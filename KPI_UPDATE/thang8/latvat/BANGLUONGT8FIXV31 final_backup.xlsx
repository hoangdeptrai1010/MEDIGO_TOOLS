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thang8\latvat\"/>
    </mc:Choice>
  </mc:AlternateContent>
  <xr:revisionPtr revIDLastSave="0" documentId="13_ncr:1_{A9DCA6A9-8511-427D-A2B3-4E7BAF11CB54}" xr6:coauthVersionLast="47" xr6:coauthVersionMax="47" xr10:uidLastSave="{00000000-0000-0000-0000-000000000000}"/>
  <bookViews>
    <workbookView xWindow="-28920" yWindow="-120" windowWidth="29040" windowHeight="16440" tabRatio="855" activeTab="1" xr2:uid="{00000000-000D-0000-FFFF-FFFF00000000}"/>
  </bookViews>
  <sheets>
    <sheet name="Med" sheetId="27" r:id="rId1"/>
    <sheet name="Sheet1" sheetId="28" r:id="rId2"/>
    <sheet name="PL MDG" sheetId="8" state="hidden" r:id="rId3"/>
    <sheet name="Bản sao của PL MDG" sheetId="9" state="hidden" r:id="rId4"/>
    <sheet name="PL MED" sheetId="10" state="hidden" r:id="rId5"/>
    <sheet name="PL CNT" sheetId="12" state="hidden" r:id="rId6"/>
    <sheet name="TT CK LƯƠNG" sheetId="13" state="hidden" r:id="rId7"/>
    <sheet name="TT CK CNT" sheetId="14" state="hidden" r:id="rId8"/>
    <sheet name="CTVKHO - Bảng lương chi tiết" sheetId="15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Med!$A$9:$DG$107</definedName>
    <definedName name="_xlnm._FilterDatabase" localSheetId="6" hidden="1">'TT CK LƯƠNG'!$B$1:$Y$1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5" l="1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V20" i="15"/>
  <c r="U20" i="15"/>
  <c r="V19" i="15"/>
  <c r="U19" i="15"/>
  <c r="V18" i="15"/>
  <c r="U18" i="15"/>
  <c r="V17" i="15"/>
  <c r="U17" i="15"/>
  <c r="V16" i="15"/>
  <c r="U16" i="15"/>
  <c r="V15" i="15"/>
  <c r="U15" i="15"/>
  <c r="V14" i="15"/>
  <c r="U14" i="15"/>
  <c r="V13" i="15"/>
  <c r="U13" i="15"/>
  <c r="V12" i="15"/>
  <c r="U12" i="15"/>
  <c r="V11" i="15"/>
  <c r="U11" i="15"/>
  <c r="V10" i="15"/>
  <c r="U10" i="15"/>
  <c r="V9" i="15"/>
  <c r="U9" i="15"/>
  <c r="V8" i="15"/>
  <c r="U8" i="15"/>
  <c r="V7" i="15"/>
  <c r="U7" i="15"/>
  <c r="V6" i="15"/>
  <c r="U6" i="15"/>
  <c r="V5" i="15"/>
  <c r="U5" i="15"/>
  <c r="T5" i="15"/>
  <c r="G84" i="14"/>
  <c r="G83" i="14"/>
  <c r="G82" i="14"/>
  <c r="G81" i="14"/>
  <c r="G80" i="14"/>
  <c r="G79" i="14"/>
  <c r="G78" i="14"/>
  <c r="G77" i="14"/>
  <c r="G75" i="14"/>
  <c r="G74" i="14"/>
  <c r="G73" i="14"/>
  <c r="G72" i="14"/>
  <c r="G71" i="14"/>
  <c r="G70" i="14"/>
  <c r="G69" i="14"/>
  <c r="G68" i="14"/>
  <c r="G66" i="14"/>
  <c r="G65" i="14"/>
  <c r="G64" i="14"/>
  <c r="G63" i="14"/>
  <c r="G62" i="14"/>
  <c r="G61" i="14"/>
  <c r="G60" i="14"/>
  <c r="G57" i="14"/>
  <c r="G56" i="14"/>
  <c r="G55" i="14"/>
  <c r="G54" i="14"/>
  <c r="G53" i="14"/>
  <c r="G52" i="14"/>
  <c r="G51" i="14"/>
  <c r="G50" i="14"/>
  <c r="G48" i="14"/>
  <c r="G47" i="14"/>
  <c r="G46" i="14"/>
  <c r="G45" i="14"/>
  <c r="G44" i="14"/>
  <c r="G42" i="14"/>
  <c r="G41" i="14"/>
  <c r="G40" i="14"/>
  <c r="G39" i="14"/>
  <c r="G38" i="14"/>
  <c r="G37" i="14"/>
  <c r="G35" i="14"/>
  <c r="G34" i="14"/>
  <c r="G33" i="14"/>
  <c r="G32" i="14"/>
  <c r="G31" i="14"/>
  <c r="G30" i="14"/>
  <c r="G29" i="14"/>
  <c r="G27" i="14"/>
  <c r="G26" i="14"/>
  <c r="G25" i="14"/>
  <c r="G24" i="14"/>
  <c r="G23" i="14"/>
  <c r="G22" i="14"/>
  <c r="G20" i="14"/>
  <c r="G19" i="14"/>
  <c r="G18" i="14"/>
  <c r="G17" i="14"/>
  <c r="G16" i="14"/>
  <c r="G15" i="14"/>
  <c r="G13" i="14"/>
  <c r="G12" i="14"/>
  <c r="G11" i="14"/>
  <c r="G10" i="14"/>
  <c r="G9" i="14"/>
  <c r="G7" i="14"/>
  <c r="G6" i="14"/>
  <c r="G5" i="14"/>
  <c r="G4" i="14"/>
  <c r="G3" i="14"/>
  <c r="F107" i="13"/>
  <c r="F104" i="13"/>
  <c r="I103" i="13"/>
  <c r="H103" i="13"/>
  <c r="F103" i="13"/>
  <c r="I102" i="13"/>
  <c r="H102" i="13"/>
  <c r="F102" i="13"/>
  <c r="I101" i="13"/>
  <c r="H101" i="13"/>
  <c r="F101" i="13"/>
  <c r="I100" i="13"/>
  <c r="H100" i="13"/>
  <c r="F100" i="13"/>
  <c r="I99" i="13"/>
  <c r="H99" i="13"/>
  <c r="F99" i="13"/>
  <c r="I98" i="13"/>
  <c r="H98" i="13"/>
  <c r="F98" i="13"/>
  <c r="I97" i="13"/>
  <c r="H97" i="13"/>
  <c r="F97" i="13"/>
  <c r="I96" i="13"/>
  <c r="H96" i="13"/>
  <c r="F96" i="13"/>
  <c r="I95" i="13"/>
  <c r="H95" i="13"/>
  <c r="F95" i="13"/>
  <c r="I94" i="13"/>
  <c r="H94" i="13"/>
  <c r="F94" i="13"/>
  <c r="I93" i="13"/>
  <c r="H93" i="13"/>
  <c r="F93" i="13"/>
  <c r="I92" i="13"/>
  <c r="H92" i="13"/>
  <c r="F92" i="13"/>
  <c r="F90" i="13"/>
  <c r="F89" i="13"/>
  <c r="F87" i="13"/>
  <c r="I86" i="13"/>
  <c r="H86" i="13"/>
  <c r="F86" i="13"/>
  <c r="I85" i="13"/>
  <c r="H85" i="13"/>
  <c r="F85" i="13"/>
  <c r="I84" i="13"/>
  <c r="H84" i="13"/>
  <c r="F84" i="13"/>
  <c r="I83" i="13"/>
  <c r="H83" i="13"/>
  <c r="F83" i="13"/>
  <c r="I82" i="13"/>
  <c r="H82" i="13"/>
  <c r="F82" i="13"/>
  <c r="I81" i="13"/>
  <c r="H81" i="13"/>
  <c r="F81" i="13"/>
  <c r="I80" i="13"/>
  <c r="H80" i="13"/>
  <c r="F80" i="13"/>
  <c r="I79" i="13"/>
  <c r="H79" i="13"/>
  <c r="F79" i="13"/>
  <c r="I78" i="13"/>
  <c r="H78" i="13"/>
  <c r="F78" i="13"/>
  <c r="I77" i="13"/>
  <c r="H77" i="13"/>
  <c r="F77" i="13"/>
  <c r="I76" i="13"/>
  <c r="H76" i="13"/>
  <c r="F76" i="13"/>
  <c r="I75" i="13"/>
  <c r="H75" i="13"/>
  <c r="F75" i="13"/>
  <c r="I74" i="13"/>
  <c r="H74" i="13"/>
  <c r="F74" i="13"/>
  <c r="F69" i="13"/>
  <c r="I68" i="13"/>
  <c r="H68" i="13"/>
  <c r="F68" i="13"/>
  <c r="I67" i="13"/>
  <c r="H67" i="13"/>
  <c r="F67" i="13"/>
  <c r="I66" i="13"/>
  <c r="H66" i="13"/>
  <c r="F66" i="13"/>
  <c r="I65" i="13"/>
  <c r="H65" i="13"/>
  <c r="F65" i="13"/>
  <c r="I64" i="13"/>
  <c r="H64" i="13"/>
  <c r="F64" i="13"/>
  <c r="I63" i="13"/>
  <c r="H63" i="13"/>
  <c r="F63" i="13"/>
  <c r="I62" i="13"/>
  <c r="H62" i="13"/>
  <c r="F62" i="13"/>
  <c r="I61" i="13"/>
  <c r="H61" i="13"/>
  <c r="F61" i="13"/>
  <c r="I60" i="13"/>
  <c r="H60" i="13"/>
  <c r="F60" i="13"/>
  <c r="F58" i="13"/>
  <c r="I57" i="13"/>
  <c r="H57" i="13"/>
  <c r="F57" i="13"/>
  <c r="I56" i="13"/>
  <c r="H56" i="13"/>
  <c r="F56" i="13"/>
  <c r="I55" i="13"/>
  <c r="H55" i="13"/>
  <c r="F55" i="13"/>
  <c r="I54" i="13"/>
  <c r="H54" i="13"/>
  <c r="F54" i="13"/>
  <c r="I53" i="13"/>
  <c r="H53" i="13"/>
  <c r="F53" i="13"/>
  <c r="I52" i="13"/>
  <c r="H52" i="13"/>
  <c r="F52" i="13"/>
  <c r="I51" i="13"/>
  <c r="H51" i="13"/>
  <c r="F51" i="13"/>
  <c r="I50" i="13"/>
  <c r="H50" i="13"/>
  <c r="F50" i="13"/>
  <c r="I49" i="13"/>
  <c r="H49" i="13"/>
  <c r="F49" i="13"/>
  <c r="I48" i="13"/>
  <c r="H48" i="13"/>
  <c r="F48" i="13"/>
  <c r="I47" i="13"/>
  <c r="H47" i="13"/>
  <c r="F47" i="13"/>
  <c r="I46" i="13"/>
  <c r="H46" i="13"/>
  <c r="F46" i="13"/>
  <c r="I45" i="13"/>
  <c r="H45" i="13"/>
  <c r="F45" i="13"/>
  <c r="I44" i="13"/>
  <c r="H44" i="13"/>
  <c r="F44" i="13"/>
  <c r="I43" i="13"/>
  <c r="H43" i="13"/>
  <c r="F43" i="13"/>
  <c r="I42" i="13"/>
  <c r="H42" i="13"/>
  <c r="F42" i="13"/>
  <c r="I41" i="13"/>
  <c r="H41" i="13"/>
  <c r="F41" i="13"/>
  <c r="I40" i="13"/>
  <c r="H40" i="13"/>
  <c r="F40" i="13"/>
  <c r="I39" i="13"/>
  <c r="H39" i="13"/>
  <c r="F39" i="13"/>
  <c r="I38" i="13"/>
  <c r="H38" i="13"/>
  <c r="F38" i="13"/>
  <c r="I37" i="13"/>
  <c r="H37" i="13"/>
  <c r="F37" i="13"/>
  <c r="I36" i="13"/>
  <c r="H36" i="13"/>
  <c r="F36" i="13"/>
  <c r="I35" i="13"/>
  <c r="H35" i="13"/>
  <c r="F35" i="13"/>
  <c r="I34" i="13"/>
  <c r="H34" i="13"/>
  <c r="F34" i="13"/>
  <c r="I33" i="13"/>
  <c r="H33" i="13"/>
  <c r="F33" i="13"/>
  <c r="I31" i="13"/>
  <c r="F31" i="13"/>
  <c r="I30" i="13"/>
  <c r="H30" i="13"/>
  <c r="F30" i="13"/>
  <c r="I29" i="13"/>
  <c r="H29" i="13"/>
  <c r="F29" i="13"/>
  <c r="I28" i="13"/>
  <c r="H28" i="13"/>
  <c r="F28" i="13"/>
  <c r="I27" i="13"/>
  <c r="H27" i="13"/>
  <c r="F27" i="13"/>
  <c r="I26" i="13"/>
  <c r="H26" i="13"/>
  <c r="F26" i="13"/>
  <c r="F25" i="13"/>
  <c r="I24" i="13"/>
  <c r="H24" i="13"/>
  <c r="F24" i="13"/>
  <c r="I23" i="13"/>
  <c r="H23" i="13"/>
  <c r="F23" i="13"/>
  <c r="I22" i="13"/>
  <c r="H22" i="13"/>
  <c r="F22" i="13"/>
  <c r="I21" i="13"/>
  <c r="H21" i="13"/>
  <c r="F21" i="13"/>
  <c r="I20" i="13"/>
  <c r="H20" i="13"/>
  <c r="F20" i="13"/>
  <c r="I19" i="13"/>
  <c r="H19" i="13"/>
  <c r="F19" i="13"/>
  <c r="I18" i="13"/>
  <c r="H18" i="13"/>
  <c r="F18" i="13"/>
  <c r="I17" i="13"/>
  <c r="H17" i="13"/>
  <c r="F17" i="13"/>
  <c r="I16" i="13"/>
  <c r="H16" i="13"/>
  <c r="F16" i="13"/>
  <c r="I15" i="13"/>
  <c r="H15" i="13"/>
  <c r="F15" i="13"/>
  <c r="I14" i="13"/>
  <c r="H14" i="13"/>
  <c r="F14" i="13"/>
  <c r="I13" i="13"/>
  <c r="H13" i="13"/>
  <c r="F13" i="13"/>
  <c r="I12" i="13"/>
  <c r="H12" i="13"/>
  <c r="F12" i="13"/>
  <c r="I11" i="13"/>
  <c r="H11" i="13"/>
  <c r="F11" i="13"/>
  <c r="I10" i="13"/>
  <c r="H10" i="13"/>
  <c r="F10" i="13"/>
  <c r="I9" i="13"/>
  <c r="H9" i="13"/>
  <c r="F9" i="13"/>
  <c r="I8" i="13"/>
  <c r="H8" i="13"/>
  <c r="F8" i="13"/>
  <c r="I7" i="13"/>
  <c r="H7" i="13"/>
  <c r="F7" i="13"/>
  <c r="I6" i="13"/>
  <c r="H6" i="13"/>
  <c r="F6" i="13"/>
  <c r="I5" i="13"/>
  <c r="H5" i="13"/>
  <c r="F5" i="13"/>
  <c r="I4" i="13"/>
  <c r="H4" i="13"/>
  <c r="F4" i="13"/>
  <c r="I3" i="13"/>
  <c r="H3" i="13"/>
  <c r="F3" i="13"/>
  <c r="C35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8" i="12"/>
  <c r="C7" i="12"/>
  <c r="C6" i="12"/>
  <c r="C4" i="12"/>
  <c r="C3" i="12"/>
  <c r="C28" i="10"/>
  <c r="C26" i="10"/>
  <c r="C25" i="10"/>
  <c r="C24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6" i="10"/>
  <c r="C5" i="10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6" i="9"/>
  <c r="C5" i="9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6" i="8"/>
  <c r="C5" i="8"/>
  <c r="CY672" i="27"/>
  <c r="CX672" i="27"/>
  <c r="CW672" i="27"/>
  <c r="CV672" i="27"/>
  <c r="CU672" i="27"/>
  <c r="CT672" i="27"/>
  <c r="CS672" i="27"/>
  <c r="CR672" i="27"/>
  <c r="CQ672" i="27"/>
  <c r="CP672" i="27"/>
  <c r="CO672" i="27"/>
  <c r="CN672" i="27"/>
  <c r="CM672" i="27"/>
  <c r="CK672" i="27"/>
  <c r="CJ672" i="27"/>
  <c r="CI672" i="27"/>
  <c r="CH672" i="27"/>
  <c r="CG672" i="27"/>
  <c r="CF672" i="27"/>
  <c r="CE672" i="27"/>
  <c r="CD672" i="27"/>
  <c r="CC672" i="27"/>
  <c r="CB672" i="27"/>
  <c r="CA672" i="27"/>
  <c r="BZ672" i="27"/>
  <c r="BY672" i="27"/>
  <c r="BX672" i="27"/>
  <c r="BW672" i="27"/>
  <c r="BV672" i="27"/>
  <c r="BU672" i="27"/>
  <c r="BT672" i="27"/>
  <c r="BS672" i="27"/>
  <c r="BQ672" i="27"/>
  <c r="BP672" i="27"/>
  <c r="BO672" i="27"/>
  <c r="BN672" i="27"/>
  <c r="BM672" i="27"/>
  <c r="BL672" i="27"/>
  <c r="BK672" i="27"/>
  <c r="BJ672" i="27"/>
  <c r="BI672" i="27"/>
  <c r="BH672" i="27"/>
  <c r="BG672" i="27"/>
  <c r="BF672" i="27"/>
  <c r="BE672" i="27"/>
  <c r="BD672" i="27"/>
  <c r="BC672" i="27"/>
  <c r="BB672" i="27"/>
  <c r="BA672" i="27"/>
  <c r="AZ672" i="27"/>
  <c r="AY672" i="27"/>
  <c r="AX672" i="27"/>
  <c r="AW672" i="27"/>
  <c r="AV672" i="27"/>
  <c r="AR672" i="27"/>
  <c r="AQ672" i="27"/>
  <c r="AP672" i="27"/>
  <c r="AO672" i="27"/>
  <c r="AN672" i="27"/>
  <c r="AM672" i="27"/>
  <c r="AL672" i="27"/>
  <c r="AH672" i="27"/>
  <c r="AG672" i="27"/>
  <c r="AF672" i="27"/>
  <c r="AE672" i="27"/>
  <c r="AD672" i="27"/>
  <c r="AC672" i="27"/>
  <c r="AB672" i="27"/>
  <c r="AA672" i="27"/>
  <c r="Z672" i="27"/>
  <c r="Y672" i="27"/>
  <c r="X672" i="27"/>
  <c r="W672" i="27"/>
  <c r="V672" i="27"/>
  <c r="U672" i="27"/>
  <c r="T672" i="27"/>
  <c r="S672" i="27"/>
  <c r="R672" i="27"/>
  <c r="Q672" i="27"/>
  <c r="P672" i="27"/>
  <c r="O672" i="27"/>
  <c r="N672" i="27"/>
  <c r="M672" i="27"/>
  <c r="L672" i="27"/>
  <c r="K672" i="27"/>
  <c r="CG107" i="27"/>
  <c r="BT102" i="27"/>
  <c r="CJ93" i="27"/>
  <c r="BR93" i="27"/>
  <c r="CG92" i="27"/>
  <c r="CF92" i="27"/>
  <c r="CE92" i="27"/>
  <c r="CD92" i="27"/>
  <c r="CC92" i="27"/>
  <c r="CB92" i="27"/>
  <c r="CA92" i="27"/>
  <c r="BZ92" i="27"/>
  <c r="BY92" i="27"/>
  <c r="BX92" i="27"/>
  <c r="BW92" i="27"/>
  <c r="BV92" i="27"/>
  <c r="BU92" i="27"/>
  <c r="BT92" i="27"/>
  <c r="BS92" i="27"/>
  <c r="BR92" i="27"/>
  <c r="BQ92" i="27"/>
  <c r="BP92" i="27"/>
  <c r="BO92" i="27"/>
  <c r="BN92" i="27"/>
  <c r="BM92" i="27"/>
  <c r="BL92" i="27"/>
  <c r="BK92" i="27"/>
  <c r="BJ92" i="27"/>
  <c r="BI92" i="27"/>
  <c r="BH92" i="27"/>
  <c r="BG92" i="27"/>
  <c r="BF92" i="27"/>
  <c r="BE92" i="27"/>
  <c r="BD92" i="27"/>
  <c r="BC92" i="27"/>
  <c r="BB92" i="27"/>
  <c r="BA92" i="27"/>
  <c r="AZ92" i="27"/>
  <c r="AY92" i="27"/>
  <c r="AX92" i="27"/>
  <c r="AW92" i="27"/>
  <c r="AV92" i="27"/>
  <c r="AR92" i="27"/>
  <c r="AQ92" i="27"/>
  <c r="AP92" i="27"/>
  <c r="AO92" i="27"/>
  <c r="AN92" i="27"/>
  <c r="AM92" i="27"/>
  <c r="AL92" i="27"/>
  <c r="AH92" i="27"/>
  <c r="AG92" i="27"/>
  <c r="AF92" i="27"/>
  <c r="AE92" i="27"/>
  <c r="AD92" i="27"/>
  <c r="AC92" i="27"/>
  <c r="AB92" i="27"/>
  <c r="AA92" i="27"/>
  <c r="Z92" i="27"/>
  <c r="Y92" i="27"/>
  <c r="X92" i="27"/>
  <c r="W92" i="27"/>
  <c r="V92" i="27"/>
  <c r="U92" i="27"/>
  <c r="T92" i="27"/>
  <c r="S92" i="27"/>
  <c r="R92" i="27"/>
  <c r="Q92" i="27"/>
  <c r="P92" i="27"/>
  <c r="O92" i="27"/>
  <c r="N92" i="27"/>
  <c r="M92" i="27"/>
  <c r="L92" i="27"/>
  <c r="CG91" i="27"/>
  <c r="CF91" i="27"/>
  <c r="CE91" i="27"/>
  <c r="CD91" i="27"/>
  <c r="CC91" i="27"/>
  <c r="CB91" i="27"/>
  <c r="CA91" i="27"/>
  <c r="BZ91" i="27"/>
  <c r="BY91" i="27"/>
  <c r="BX91" i="27"/>
  <c r="BW91" i="27"/>
  <c r="BV91" i="27"/>
  <c r="BU91" i="27"/>
  <c r="BT91" i="27"/>
  <c r="BS91" i="27"/>
  <c r="BR91" i="27"/>
  <c r="BQ91" i="27"/>
  <c r="BP91" i="27"/>
  <c r="BO91" i="27"/>
  <c r="BN91" i="27"/>
  <c r="BM91" i="27"/>
  <c r="BL91" i="27"/>
  <c r="BK91" i="27"/>
  <c r="BJ91" i="27"/>
  <c r="BI91" i="27"/>
  <c r="BH91" i="27"/>
  <c r="BG91" i="27"/>
  <c r="BF91" i="27"/>
  <c r="BE91" i="27"/>
  <c r="BD91" i="27"/>
  <c r="BC91" i="27"/>
  <c r="BB91" i="27"/>
  <c r="BA91" i="27"/>
  <c r="AZ91" i="27"/>
  <c r="AY91" i="27"/>
  <c r="AX91" i="27"/>
  <c r="AW91" i="27"/>
  <c r="AV91" i="27"/>
  <c r="AR91" i="27"/>
  <c r="AQ91" i="27"/>
  <c r="AP91" i="27"/>
  <c r="AO91" i="27"/>
  <c r="AN91" i="27"/>
  <c r="AM91" i="27"/>
  <c r="AL91" i="27"/>
  <c r="AH91" i="27"/>
  <c r="AG91" i="27"/>
  <c r="AF91" i="27"/>
  <c r="AE91" i="27"/>
  <c r="AD91" i="27"/>
  <c r="AC91" i="27"/>
  <c r="AB91" i="27"/>
  <c r="AA91" i="27"/>
  <c r="Z91" i="27"/>
  <c r="Y91" i="27"/>
  <c r="X91" i="27"/>
  <c r="W91" i="27"/>
  <c r="V91" i="27"/>
  <c r="U91" i="27"/>
  <c r="T91" i="27"/>
  <c r="S91" i="27"/>
  <c r="R91" i="27"/>
  <c r="Q91" i="27"/>
  <c r="P91" i="27"/>
  <c r="O91" i="27"/>
  <c r="N91" i="27"/>
  <c r="M91" i="27"/>
  <c r="CG90" i="27"/>
  <c r="CF90" i="27"/>
  <c r="CE90" i="27"/>
  <c r="CD90" i="27"/>
  <c r="CC90" i="27"/>
  <c r="CB90" i="27"/>
  <c r="CA90" i="27"/>
  <c r="BZ90" i="27"/>
  <c r="BY90" i="27"/>
  <c r="BX90" i="27"/>
  <c r="BW90" i="27"/>
  <c r="BV90" i="27"/>
  <c r="BU90" i="27"/>
  <c r="BT90" i="27"/>
  <c r="BS90" i="27"/>
  <c r="BR90" i="27"/>
  <c r="BQ90" i="27"/>
  <c r="BP90" i="27"/>
  <c r="BO90" i="27"/>
  <c r="BN90" i="27"/>
  <c r="BM90" i="27"/>
  <c r="BL90" i="27"/>
  <c r="BK90" i="27"/>
  <c r="BJ90" i="27"/>
  <c r="BI90" i="27"/>
  <c r="BH90" i="27"/>
  <c r="BG90" i="27"/>
  <c r="BF90" i="27"/>
  <c r="BE90" i="27"/>
  <c r="BD90" i="27"/>
  <c r="BC90" i="27"/>
  <c r="BB90" i="27"/>
  <c r="BA90" i="27"/>
  <c r="AZ90" i="27"/>
  <c r="AY90" i="27"/>
  <c r="AX90" i="27"/>
  <c r="AW90" i="27"/>
  <c r="AV90" i="27"/>
  <c r="AU90" i="27"/>
  <c r="AS90" i="27"/>
  <c r="AR90" i="27"/>
  <c r="AQ90" i="27"/>
  <c r="AP90" i="27"/>
  <c r="AO90" i="27"/>
  <c r="AN90" i="27"/>
  <c r="AM90" i="27"/>
  <c r="AL90" i="27"/>
  <c r="AH90" i="27"/>
  <c r="AG90" i="27"/>
  <c r="AF90" i="27"/>
  <c r="AE90" i="27"/>
  <c r="AD90" i="27"/>
  <c r="AC90" i="27"/>
  <c r="AB90" i="27"/>
  <c r="AA90" i="27"/>
  <c r="Z90" i="27"/>
  <c r="Y90" i="27"/>
  <c r="X90" i="27"/>
  <c r="W90" i="27"/>
  <c r="V90" i="27"/>
  <c r="U90" i="27"/>
  <c r="T90" i="27"/>
  <c r="S90" i="27"/>
  <c r="R90" i="27"/>
  <c r="Q90" i="27"/>
  <c r="P90" i="27"/>
  <c r="O90" i="27"/>
  <c r="N90" i="27"/>
  <c r="M90" i="27"/>
  <c r="L90" i="27"/>
  <c r="DG89" i="27"/>
  <c r="DF89" i="27"/>
  <c r="DE89" i="27"/>
  <c r="DC89" i="27"/>
  <c r="DB89" i="27"/>
  <c r="DA89" i="27"/>
  <c r="CZ89" i="27"/>
  <c r="CY89" i="27"/>
  <c r="CX89" i="27"/>
  <c r="CW89" i="27"/>
  <c r="CV89" i="27"/>
  <c r="CU89" i="27"/>
  <c r="CT89" i="27"/>
  <c r="CS89" i="27"/>
  <c r="CR89" i="27"/>
  <c r="CQ89" i="27"/>
  <c r="CP89" i="27"/>
  <c r="CO89" i="27"/>
  <c r="CN89" i="27"/>
  <c r="CM89" i="27"/>
  <c r="CJ89" i="27"/>
  <c r="CI89" i="27"/>
  <c r="CH89" i="27"/>
  <c r="CG89" i="27"/>
  <c r="CF89" i="27"/>
  <c r="CE89" i="27"/>
  <c r="CD89" i="27"/>
  <c r="CC89" i="27"/>
  <c r="CB89" i="27"/>
  <c r="CA89" i="27"/>
  <c r="BZ89" i="27"/>
  <c r="BY89" i="27"/>
  <c r="BX89" i="27"/>
  <c r="BW89" i="27"/>
  <c r="BV89" i="27"/>
  <c r="BU89" i="27"/>
  <c r="BT89" i="27"/>
  <c r="BS89" i="27"/>
  <c r="BR89" i="27"/>
  <c r="BQ89" i="27"/>
  <c r="BP89" i="27"/>
  <c r="BO89" i="27"/>
  <c r="BN89" i="27"/>
  <c r="BM89" i="27"/>
  <c r="BL89" i="27"/>
  <c r="BK89" i="27"/>
  <c r="BJ89" i="27"/>
  <c r="BI89" i="27"/>
  <c r="BH89" i="27"/>
  <c r="BG89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CY88" i="27"/>
  <c r="CG88" i="27"/>
  <c r="CF88" i="27"/>
  <c r="CE88" i="27"/>
  <c r="CB88" i="27"/>
  <c r="CA88" i="27"/>
  <c r="BZ88" i="27"/>
  <c r="BY88" i="27"/>
  <c r="BX88" i="27"/>
  <c r="BW88" i="27"/>
  <c r="BU88" i="27"/>
  <c r="BT88" i="27"/>
  <c r="BS88" i="27"/>
  <c r="BR88" i="27"/>
  <c r="BQ88" i="27"/>
  <c r="BO88" i="27"/>
  <c r="BN88" i="27"/>
  <c r="BM88" i="27"/>
  <c r="BL88" i="27"/>
  <c r="BJ88" i="27"/>
  <c r="BI88" i="27"/>
  <c r="BH88" i="27"/>
  <c r="BG88" i="27"/>
  <c r="AF88" i="27"/>
  <c r="AE88" i="27"/>
  <c r="AB88" i="27"/>
  <c r="T88" i="27"/>
  <c r="S88" i="27"/>
  <c r="E88" i="27"/>
  <c r="DG87" i="27"/>
  <c r="DF87" i="27"/>
  <c r="DA87" i="27"/>
  <c r="CY87" i="27"/>
  <c r="CX87" i="27"/>
  <c r="CW87" i="27"/>
  <c r="CV87" i="27"/>
  <c r="CU87" i="27"/>
  <c r="CT87" i="27"/>
  <c r="CS87" i="27"/>
  <c r="CR87" i="27"/>
  <c r="CQ87" i="27"/>
  <c r="CP87" i="27"/>
  <c r="CJ87" i="27"/>
  <c r="CI87" i="27"/>
  <c r="CG87" i="27"/>
  <c r="CF87" i="27"/>
  <c r="CE87" i="27"/>
  <c r="CB87" i="27"/>
  <c r="CA87" i="27"/>
  <c r="BZ87" i="27"/>
  <c r="BY87" i="27"/>
  <c r="BX87" i="27"/>
  <c r="BW87" i="27"/>
  <c r="BU87" i="27"/>
  <c r="BT87" i="27"/>
  <c r="BS87" i="27"/>
  <c r="BR87" i="27"/>
  <c r="BQ87" i="27"/>
  <c r="BO87" i="27"/>
  <c r="BN87" i="27"/>
  <c r="BM87" i="27"/>
  <c r="BL87" i="27"/>
  <c r="BJ87" i="27"/>
  <c r="BI87" i="27"/>
  <c r="BH87" i="27"/>
  <c r="BG87" i="27"/>
  <c r="AF87" i="27"/>
  <c r="AE87" i="27"/>
  <c r="AA87" i="27"/>
  <c r="T87" i="27"/>
  <c r="S87" i="27"/>
  <c r="E87" i="27"/>
  <c r="DG86" i="27"/>
  <c r="DF86" i="27"/>
  <c r="DA86" i="27"/>
  <c r="CY86" i="27"/>
  <c r="CX86" i="27"/>
  <c r="CW86" i="27"/>
  <c r="CV86" i="27"/>
  <c r="CU86" i="27"/>
  <c r="CT86" i="27"/>
  <c r="CS86" i="27"/>
  <c r="CR86" i="27"/>
  <c r="CQ86" i="27"/>
  <c r="CP86" i="27"/>
  <c r="CJ86" i="27"/>
  <c r="CI86" i="27"/>
  <c r="CG86" i="27"/>
  <c r="CF86" i="27"/>
  <c r="CE86" i="27"/>
  <c r="CB86" i="27"/>
  <c r="CA86" i="27"/>
  <c r="BZ86" i="27"/>
  <c r="BY86" i="27"/>
  <c r="BX86" i="27"/>
  <c r="BW86" i="27"/>
  <c r="BU86" i="27"/>
  <c r="BT86" i="27"/>
  <c r="BS86" i="27"/>
  <c r="BR86" i="27"/>
  <c r="BQ86" i="27"/>
  <c r="BO86" i="27"/>
  <c r="BN86" i="27"/>
  <c r="BM86" i="27"/>
  <c r="BL86" i="27"/>
  <c r="BJ86" i="27"/>
  <c r="BI86" i="27"/>
  <c r="BH86" i="27"/>
  <c r="BG86" i="27"/>
  <c r="AF86" i="27"/>
  <c r="AE86" i="27"/>
  <c r="AA86" i="27"/>
  <c r="T86" i="27"/>
  <c r="S86" i="27"/>
  <c r="E86" i="27"/>
  <c r="DG85" i="27"/>
  <c r="DF85" i="27"/>
  <c r="DA85" i="27"/>
  <c r="CY85" i="27"/>
  <c r="CX85" i="27"/>
  <c r="CW85" i="27"/>
  <c r="CV85" i="27"/>
  <c r="CU85" i="27"/>
  <c r="CT85" i="27"/>
  <c r="CS85" i="27"/>
  <c r="CR85" i="27"/>
  <c r="CQ85" i="27"/>
  <c r="CP85" i="27"/>
  <c r="CJ85" i="27"/>
  <c r="CI85" i="27"/>
  <c r="CG85" i="27"/>
  <c r="CF85" i="27"/>
  <c r="CE85" i="27"/>
  <c r="CB85" i="27"/>
  <c r="CA85" i="27"/>
  <c r="BZ85" i="27"/>
  <c r="BY85" i="27"/>
  <c r="BX85" i="27"/>
  <c r="BW85" i="27"/>
  <c r="BU85" i="27"/>
  <c r="BT85" i="27"/>
  <c r="BS85" i="27"/>
  <c r="BR85" i="27"/>
  <c r="BQ85" i="27"/>
  <c r="BO85" i="27"/>
  <c r="BN85" i="27"/>
  <c r="BM85" i="27"/>
  <c r="BL85" i="27"/>
  <c r="BJ85" i="27"/>
  <c r="BI85" i="27"/>
  <c r="BH85" i="27"/>
  <c r="BG85" i="27"/>
  <c r="AF85" i="27"/>
  <c r="AE85" i="27"/>
  <c r="AA85" i="27"/>
  <c r="T85" i="27"/>
  <c r="S85" i="27"/>
  <c r="E85" i="27"/>
  <c r="DG84" i="27"/>
  <c r="DF84" i="27"/>
  <c r="DE84" i="27"/>
  <c r="DA84" i="27"/>
  <c r="CY84" i="27"/>
  <c r="CX84" i="27"/>
  <c r="CW84" i="27"/>
  <c r="CV84" i="27"/>
  <c r="CU84" i="27"/>
  <c r="CT84" i="27"/>
  <c r="CS84" i="27"/>
  <c r="CR84" i="27"/>
  <c r="CQ84" i="27"/>
  <c r="CP84" i="27"/>
  <c r="CJ84" i="27"/>
  <c r="CG84" i="27"/>
  <c r="CF84" i="27"/>
  <c r="CE84" i="27"/>
  <c r="CB84" i="27"/>
  <c r="CA84" i="27"/>
  <c r="BZ84" i="27"/>
  <c r="BY84" i="27"/>
  <c r="BX84" i="27"/>
  <c r="BW84" i="27"/>
  <c r="BU84" i="27"/>
  <c r="BT84" i="27"/>
  <c r="BS84" i="27"/>
  <c r="BR84" i="27"/>
  <c r="BQ84" i="27"/>
  <c r="BO84" i="27"/>
  <c r="BN84" i="27"/>
  <c r="BM84" i="27"/>
  <c r="BL84" i="27"/>
  <c r="BJ84" i="27"/>
  <c r="BI84" i="27"/>
  <c r="BH84" i="27"/>
  <c r="BG84" i="27"/>
  <c r="AF84" i="27"/>
  <c r="AE84" i="27"/>
  <c r="AA84" i="27"/>
  <c r="T84" i="27"/>
  <c r="S84" i="27"/>
  <c r="E84" i="27"/>
  <c r="DG83" i="27"/>
  <c r="DF83" i="27"/>
  <c r="DE83" i="27"/>
  <c r="DC83" i="27"/>
  <c r="DB83" i="27"/>
  <c r="DA83" i="27"/>
  <c r="CZ83" i="27"/>
  <c r="CY83" i="27"/>
  <c r="CX83" i="27"/>
  <c r="CW83" i="27"/>
  <c r="CV83" i="27"/>
  <c r="CU83" i="27"/>
  <c r="CT83" i="27"/>
  <c r="CS83" i="27"/>
  <c r="CR83" i="27"/>
  <c r="CQ83" i="27"/>
  <c r="CP83" i="27"/>
  <c r="CO83" i="27"/>
  <c r="CN83" i="27"/>
  <c r="CM83" i="27"/>
  <c r="CJ83" i="27"/>
  <c r="CI83" i="27"/>
  <c r="CH83" i="27"/>
  <c r="CG83" i="27"/>
  <c r="CF83" i="27"/>
  <c r="CE83" i="27"/>
  <c r="CD83" i="27"/>
  <c r="CC83" i="27"/>
  <c r="CB83" i="27"/>
  <c r="CA83" i="27"/>
  <c r="BZ83" i="27"/>
  <c r="BY83" i="27"/>
  <c r="BX83" i="27"/>
  <c r="BW83" i="27"/>
  <c r="BV83" i="27"/>
  <c r="BU83" i="27"/>
  <c r="BT83" i="27"/>
  <c r="BS83" i="27"/>
  <c r="BR83" i="27"/>
  <c r="BQ83" i="27"/>
  <c r="BP83" i="27"/>
  <c r="BO83" i="27"/>
  <c r="BN83" i="27"/>
  <c r="BM83" i="27"/>
  <c r="BL83" i="27"/>
  <c r="BK83" i="27"/>
  <c r="BJ83" i="27"/>
  <c r="BI83" i="27"/>
  <c r="BH83" i="27"/>
  <c r="BG83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J83" i="27"/>
  <c r="I83" i="27"/>
  <c r="DG82" i="27"/>
  <c r="DF82" i="27"/>
  <c r="DA82" i="27"/>
  <c r="CY82" i="27"/>
  <c r="CX82" i="27"/>
  <c r="CW82" i="27"/>
  <c r="CV82" i="27"/>
  <c r="CU82" i="27"/>
  <c r="CT82" i="27"/>
  <c r="CS82" i="27"/>
  <c r="CR82" i="27"/>
  <c r="CQ82" i="27"/>
  <c r="CP82" i="27"/>
  <c r="CJ82" i="27"/>
  <c r="CI82" i="27"/>
  <c r="CG82" i="27"/>
  <c r="CF82" i="27"/>
  <c r="CE82" i="27"/>
  <c r="CB82" i="27"/>
  <c r="CA82" i="27"/>
  <c r="BZ82" i="27"/>
  <c r="BY82" i="27"/>
  <c r="BX82" i="27"/>
  <c r="BW82" i="27"/>
  <c r="BU82" i="27"/>
  <c r="BT82" i="27"/>
  <c r="BS82" i="27"/>
  <c r="BR82" i="27"/>
  <c r="BQ82" i="27"/>
  <c r="BO82" i="27"/>
  <c r="BN82" i="27"/>
  <c r="BM82" i="27"/>
  <c r="BL82" i="27"/>
  <c r="BJ82" i="27"/>
  <c r="BI82" i="27"/>
  <c r="BH82" i="27"/>
  <c r="BG82" i="27"/>
  <c r="AF82" i="27"/>
  <c r="AE82" i="27"/>
  <c r="AA82" i="27"/>
  <c r="T82" i="27"/>
  <c r="S82" i="27"/>
  <c r="E82" i="27"/>
  <c r="DG81" i="27"/>
  <c r="DF81" i="27"/>
  <c r="DE81" i="27"/>
  <c r="DA81" i="27"/>
  <c r="CY81" i="27"/>
  <c r="CX81" i="27"/>
  <c r="CW81" i="27"/>
  <c r="CV81" i="27"/>
  <c r="CU81" i="27"/>
  <c r="CT81" i="27"/>
  <c r="CS81" i="27"/>
  <c r="CR81" i="27"/>
  <c r="CQ81" i="27"/>
  <c r="CP81" i="27"/>
  <c r="CJ81" i="27"/>
  <c r="CG81" i="27"/>
  <c r="CF81" i="27"/>
  <c r="CE81" i="27"/>
  <c r="CB81" i="27"/>
  <c r="CA81" i="27"/>
  <c r="BZ81" i="27"/>
  <c r="BY81" i="27"/>
  <c r="BX81" i="27"/>
  <c r="BW81" i="27"/>
  <c r="BU81" i="27"/>
  <c r="BT81" i="27"/>
  <c r="BS81" i="27"/>
  <c r="BR81" i="27"/>
  <c r="BQ81" i="27"/>
  <c r="BO81" i="27"/>
  <c r="BN81" i="27"/>
  <c r="BM81" i="27"/>
  <c r="BL81" i="27"/>
  <c r="BJ81" i="27"/>
  <c r="BI81" i="27"/>
  <c r="BH81" i="27"/>
  <c r="BG81" i="27"/>
  <c r="AF81" i="27"/>
  <c r="AE81" i="27"/>
  <c r="AA81" i="27"/>
  <c r="T81" i="27"/>
  <c r="S81" i="27"/>
  <c r="E81" i="27"/>
  <c r="DG80" i="27"/>
  <c r="DF80" i="27"/>
  <c r="DA80" i="27"/>
  <c r="CY80" i="27"/>
  <c r="CX80" i="27"/>
  <c r="CW80" i="27"/>
  <c r="CV80" i="27"/>
  <c r="CU80" i="27"/>
  <c r="CT80" i="27"/>
  <c r="CS80" i="27"/>
  <c r="CR80" i="27"/>
  <c r="CQ80" i="27"/>
  <c r="CP80" i="27"/>
  <c r="CJ80" i="27"/>
  <c r="CG80" i="27"/>
  <c r="CF80" i="27"/>
  <c r="CE80" i="27"/>
  <c r="CB80" i="27"/>
  <c r="CA80" i="27"/>
  <c r="BZ80" i="27"/>
  <c r="BY80" i="27"/>
  <c r="BX80" i="27"/>
  <c r="BW80" i="27"/>
  <c r="BU80" i="27"/>
  <c r="BT80" i="27"/>
  <c r="BS80" i="27"/>
  <c r="BR80" i="27"/>
  <c r="BQ80" i="27"/>
  <c r="BO80" i="27"/>
  <c r="BN80" i="27"/>
  <c r="BM80" i="27"/>
  <c r="BL80" i="27"/>
  <c r="BJ80" i="27"/>
  <c r="BI80" i="27"/>
  <c r="BH80" i="27"/>
  <c r="BG80" i="27"/>
  <c r="AF80" i="27"/>
  <c r="AE80" i="27"/>
  <c r="AA80" i="27"/>
  <c r="T80" i="27"/>
  <c r="S80" i="27"/>
  <c r="E80" i="27"/>
  <c r="DG79" i="27"/>
  <c r="DF79" i="27"/>
  <c r="DA79" i="27"/>
  <c r="CY79" i="27"/>
  <c r="CX79" i="27"/>
  <c r="CW79" i="27"/>
  <c r="CV79" i="27"/>
  <c r="CU79" i="27"/>
  <c r="CT79" i="27"/>
  <c r="CS79" i="27"/>
  <c r="CR79" i="27"/>
  <c r="CQ79" i="27"/>
  <c r="CP79" i="27"/>
  <c r="CJ79" i="27"/>
  <c r="CG79" i="27"/>
  <c r="CF79" i="27"/>
  <c r="CE79" i="27"/>
  <c r="CB79" i="27"/>
  <c r="CA79" i="27"/>
  <c r="BZ79" i="27"/>
  <c r="BY79" i="27"/>
  <c r="BX79" i="27"/>
  <c r="BW79" i="27"/>
  <c r="BU79" i="27"/>
  <c r="BT79" i="27"/>
  <c r="BS79" i="27"/>
  <c r="BR79" i="27"/>
  <c r="BQ79" i="27"/>
  <c r="BO79" i="27"/>
  <c r="BN79" i="27"/>
  <c r="BM79" i="27"/>
  <c r="BL79" i="27"/>
  <c r="BJ79" i="27"/>
  <c r="BI79" i="27"/>
  <c r="BH79" i="27"/>
  <c r="BG79" i="27"/>
  <c r="AF79" i="27"/>
  <c r="AE79" i="27"/>
  <c r="AA79" i="27"/>
  <c r="T79" i="27"/>
  <c r="S79" i="27"/>
  <c r="E79" i="27"/>
  <c r="DG78" i="27"/>
  <c r="DF78" i="27"/>
  <c r="DE78" i="27"/>
  <c r="DA78" i="27"/>
  <c r="CX78" i="27"/>
  <c r="CW78" i="27"/>
  <c r="CV78" i="27"/>
  <c r="CU78" i="27"/>
  <c r="CT78" i="27"/>
  <c r="CS78" i="27"/>
  <c r="CR78" i="27"/>
  <c r="CQ78" i="27"/>
  <c r="CP78" i="27"/>
  <c r="CJ78" i="27"/>
  <c r="CG78" i="27"/>
  <c r="CF78" i="27"/>
  <c r="CE78" i="27"/>
  <c r="CB78" i="27"/>
  <c r="CA78" i="27"/>
  <c r="BZ78" i="27"/>
  <c r="BY78" i="27"/>
  <c r="BX78" i="27"/>
  <c r="BW78" i="27"/>
  <c r="BU78" i="27"/>
  <c r="BT78" i="27"/>
  <c r="BS78" i="27"/>
  <c r="BR78" i="27"/>
  <c r="BQ78" i="27"/>
  <c r="BO78" i="27"/>
  <c r="BN78" i="27"/>
  <c r="BM78" i="27"/>
  <c r="BL78" i="27"/>
  <c r="BJ78" i="27"/>
  <c r="BI78" i="27"/>
  <c r="BH78" i="27"/>
  <c r="BG78" i="27"/>
  <c r="AF78" i="27"/>
  <c r="AE78" i="27"/>
  <c r="AA78" i="27"/>
  <c r="T78" i="27"/>
  <c r="S78" i="27"/>
  <c r="E78" i="27"/>
  <c r="DG77" i="27"/>
  <c r="DF77" i="27"/>
  <c r="DE77" i="27"/>
  <c r="DC77" i="27"/>
  <c r="DB77" i="27"/>
  <c r="DA77" i="27"/>
  <c r="CZ77" i="27"/>
  <c r="CY77" i="27"/>
  <c r="CX77" i="27"/>
  <c r="CW77" i="27"/>
  <c r="CV77" i="27"/>
  <c r="CU77" i="27"/>
  <c r="CT77" i="27"/>
  <c r="CS77" i="27"/>
  <c r="CR77" i="27"/>
  <c r="CQ77" i="27"/>
  <c r="CP77" i="27"/>
  <c r="CO77" i="27"/>
  <c r="CN77" i="27"/>
  <c r="CM77" i="27"/>
  <c r="CJ77" i="27"/>
  <c r="CI77" i="27"/>
  <c r="CH77" i="27"/>
  <c r="CG77" i="27"/>
  <c r="CF77" i="27"/>
  <c r="CE77" i="27"/>
  <c r="CD77" i="27"/>
  <c r="CC77" i="27"/>
  <c r="CB77" i="27"/>
  <c r="CA77" i="27"/>
  <c r="BZ77" i="27"/>
  <c r="BY77" i="27"/>
  <c r="BX77" i="27"/>
  <c r="BW77" i="27"/>
  <c r="BV77" i="27"/>
  <c r="BU77" i="27"/>
  <c r="BT77" i="27"/>
  <c r="BS77" i="27"/>
  <c r="BR77" i="27"/>
  <c r="BQ77" i="27"/>
  <c r="BP77" i="27"/>
  <c r="BO77" i="27"/>
  <c r="BN77" i="27"/>
  <c r="BM77" i="27"/>
  <c r="BL77" i="27"/>
  <c r="BK77" i="27"/>
  <c r="BJ77" i="27"/>
  <c r="BI77" i="27"/>
  <c r="BH77" i="27"/>
  <c r="BG77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DG76" i="27"/>
  <c r="DF76" i="27"/>
  <c r="CX76" i="27"/>
  <c r="CW76" i="27"/>
  <c r="CV76" i="27"/>
  <c r="CU76" i="27"/>
  <c r="CT76" i="27"/>
  <c r="CS76" i="27"/>
  <c r="CR76" i="27"/>
  <c r="CQ76" i="27"/>
  <c r="CP76" i="27"/>
  <c r="CG76" i="27"/>
  <c r="CF76" i="27"/>
  <c r="CE76" i="27"/>
  <c r="CB76" i="27"/>
  <c r="CA76" i="27"/>
  <c r="BZ76" i="27"/>
  <c r="BY76" i="27"/>
  <c r="BX76" i="27"/>
  <c r="BW76" i="27"/>
  <c r="BU76" i="27"/>
  <c r="BT76" i="27"/>
  <c r="BS76" i="27"/>
  <c r="BR76" i="27"/>
  <c r="BQ76" i="27"/>
  <c r="BO76" i="27"/>
  <c r="BN76" i="27"/>
  <c r="BM76" i="27"/>
  <c r="BL76" i="27"/>
  <c r="BJ76" i="27"/>
  <c r="BI76" i="27"/>
  <c r="BH76" i="27"/>
  <c r="BG76" i="27"/>
  <c r="AF76" i="27"/>
  <c r="AE76" i="27"/>
  <c r="AC76" i="27"/>
  <c r="AB76" i="27"/>
  <c r="T76" i="27"/>
  <c r="S76" i="27"/>
  <c r="E76" i="27"/>
  <c r="CY75" i="27"/>
  <c r="CG75" i="27"/>
  <c r="CF75" i="27"/>
  <c r="CE75" i="27"/>
  <c r="CB75" i="27"/>
  <c r="CA75" i="27"/>
  <c r="BZ75" i="27"/>
  <c r="BY75" i="27"/>
  <c r="BX75" i="27"/>
  <c r="BW75" i="27"/>
  <c r="BU75" i="27"/>
  <c r="BT75" i="27"/>
  <c r="BQ75" i="27"/>
  <c r="BO75" i="27"/>
  <c r="BN75" i="27"/>
  <c r="BM75" i="27"/>
  <c r="BL75" i="27"/>
  <c r="BJ75" i="27"/>
  <c r="BI75" i="27"/>
  <c r="BH75" i="27"/>
  <c r="BG75" i="27"/>
  <c r="AF75" i="27"/>
  <c r="AE75" i="27"/>
  <c r="AC75" i="27"/>
  <c r="AB75" i="27"/>
  <c r="E75" i="27"/>
  <c r="CY74" i="27"/>
  <c r="CG74" i="27"/>
  <c r="CF74" i="27"/>
  <c r="CE74" i="27"/>
  <c r="CB74" i="27"/>
  <c r="CA74" i="27"/>
  <c r="BZ74" i="27"/>
  <c r="BY74" i="27"/>
  <c r="BX74" i="27"/>
  <c r="BW74" i="27"/>
  <c r="BU74" i="27"/>
  <c r="BT74" i="27"/>
  <c r="BS74" i="27"/>
  <c r="BR74" i="27"/>
  <c r="BQ74" i="27"/>
  <c r="BO74" i="27"/>
  <c r="BN74" i="27"/>
  <c r="BM74" i="27"/>
  <c r="BL74" i="27"/>
  <c r="BJ74" i="27"/>
  <c r="BI74" i="27"/>
  <c r="BH74" i="27"/>
  <c r="BG74" i="27"/>
  <c r="AF74" i="27"/>
  <c r="AE74" i="27"/>
  <c r="AB74" i="27"/>
  <c r="T74" i="27"/>
  <c r="S74" i="27"/>
  <c r="E74" i="27"/>
  <c r="CY73" i="27"/>
  <c r="CG73" i="27"/>
  <c r="CF73" i="27"/>
  <c r="CE73" i="27"/>
  <c r="CB73" i="27"/>
  <c r="CA73" i="27"/>
  <c r="BZ73" i="27"/>
  <c r="BY73" i="27"/>
  <c r="BX73" i="27"/>
  <c r="BW73" i="27"/>
  <c r="BU73" i="27"/>
  <c r="BT73" i="27"/>
  <c r="BS73" i="27"/>
  <c r="BR73" i="27"/>
  <c r="BQ73" i="27"/>
  <c r="BO73" i="27"/>
  <c r="BN73" i="27"/>
  <c r="BM73" i="27"/>
  <c r="BL73" i="27"/>
  <c r="BJ73" i="27"/>
  <c r="BI73" i="27"/>
  <c r="BH73" i="27"/>
  <c r="BG73" i="27"/>
  <c r="AF73" i="27"/>
  <c r="AE73" i="27"/>
  <c r="AB73" i="27"/>
  <c r="T73" i="27"/>
  <c r="S73" i="27"/>
  <c r="E73" i="27"/>
  <c r="DG72" i="27"/>
  <c r="DF72" i="27"/>
  <c r="DE72" i="27"/>
  <c r="DA72" i="27"/>
  <c r="CR72" i="27"/>
  <c r="CQ72" i="27"/>
  <c r="CJ72" i="27"/>
  <c r="CG72" i="27"/>
  <c r="CF72" i="27"/>
  <c r="CE72" i="27"/>
  <c r="CB72" i="27"/>
  <c r="CA72" i="27"/>
  <c r="BZ72" i="27"/>
  <c r="BY72" i="27"/>
  <c r="BX72" i="27"/>
  <c r="BW72" i="27"/>
  <c r="BU72" i="27"/>
  <c r="BT72" i="27"/>
  <c r="BS72" i="27"/>
  <c r="BR72" i="27"/>
  <c r="BQ72" i="27"/>
  <c r="BO72" i="27"/>
  <c r="BN72" i="27"/>
  <c r="BM72" i="27"/>
  <c r="BL72" i="27"/>
  <c r="BJ72" i="27"/>
  <c r="BI72" i="27"/>
  <c r="BH72" i="27"/>
  <c r="BG72" i="27"/>
  <c r="AZ72" i="27"/>
  <c r="AF72" i="27"/>
  <c r="AE72" i="27"/>
  <c r="AA72" i="27"/>
  <c r="T72" i="27"/>
  <c r="S72" i="27"/>
  <c r="DG71" i="27"/>
  <c r="DF71" i="27"/>
  <c r="CY71" i="27"/>
  <c r="CX71" i="27"/>
  <c r="CW71" i="27"/>
  <c r="CV71" i="27"/>
  <c r="CU71" i="27"/>
  <c r="CT71" i="27"/>
  <c r="CS71" i="27"/>
  <c r="CR71" i="27"/>
  <c r="CQ71" i="27"/>
  <c r="CP71" i="27"/>
  <c r="CJ71" i="27"/>
  <c r="CI71" i="27"/>
  <c r="CG71" i="27"/>
  <c r="CF71" i="27"/>
  <c r="CE71" i="27"/>
  <c r="CB71" i="27"/>
  <c r="CA71" i="27"/>
  <c r="BZ71" i="27"/>
  <c r="BY71" i="27"/>
  <c r="BX71" i="27"/>
  <c r="BW71" i="27"/>
  <c r="BU71" i="27"/>
  <c r="BT71" i="27"/>
  <c r="BS71" i="27"/>
  <c r="BR71" i="27"/>
  <c r="BQ71" i="27"/>
  <c r="BO71" i="27"/>
  <c r="BN71" i="27"/>
  <c r="BM71" i="27"/>
  <c r="BL71" i="27"/>
  <c r="BJ71" i="27"/>
  <c r="BI71" i="27"/>
  <c r="BH71" i="27"/>
  <c r="BG71" i="27"/>
  <c r="AF71" i="27"/>
  <c r="AE71" i="27"/>
  <c r="AA71" i="27"/>
  <c r="T71" i="27"/>
  <c r="S71" i="27"/>
  <c r="E71" i="27"/>
  <c r="DG70" i="27"/>
  <c r="DF70" i="27"/>
  <c r="DE70" i="27"/>
  <c r="DC70" i="27"/>
  <c r="DB70" i="27"/>
  <c r="DA70" i="27"/>
  <c r="CZ70" i="27"/>
  <c r="CY70" i="27"/>
  <c r="CX70" i="27"/>
  <c r="CW70" i="27"/>
  <c r="CV70" i="27"/>
  <c r="CU70" i="27"/>
  <c r="CT70" i="27"/>
  <c r="CS70" i="27"/>
  <c r="CR70" i="27"/>
  <c r="CQ70" i="27"/>
  <c r="CP70" i="27"/>
  <c r="CO70" i="27"/>
  <c r="CN70" i="27"/>
  <c r="CM70" i="27"/>
  <c r="CL70" i="27"/>
  <c r="CK70" i="27"/>
  <c r="CJ70" i="27"/>
  <c r="CI70" i="27"/>
  <c r="CH70" i="27"/>
  <c r="CG70" i="27"/>
  <c r="CF70" i="27"/>
  <c r="CE70" i="27"/>
  <c r="CD70" i="27"/>
  <c r="CC70" i="27"/>
  <c r="CB70" i="27"/>
  <c r="CA70" i="27"/>
  <c r="BZ70" i="27"/>
  <c r="BY70" i="27"/>
  <c r="BX70" i="27"/>
  <c r="BW70" i="27"/>
  <c r="BV70" i="27"/>
  <c r="BU70" i="27"/>
  <c r="BT70" i="27"/>
  <c r="BS70" i="27"/>
  <c r="BR70" i="27"/>
  <c r="BQ70" i="27"/>
  <c r="BP70" i="27"/>
  <c r="BO70" i="27"/>
  <c r="BN70" i="27"/>
  <c r="BM70" i="27"/>
  <c r="BL70" i="27"/>
  <c r="BK70" i="27"/>
  <c r="BJ70" i="27"/>
  <c r="BI70" i="27"/>
  <c r="BH70" i="27"/>
  <c r="BG70" i="27"/>
  <c r="BF70" i="27"/>
  <c r="BE70" i="27"/>
  <c r="BD70" i="27"/>
  <c r="BC70" i="27"/>
  <c r="BB70" i="27"/>
  <c r="BA70" i="27"/>
  <c r="AZ70" i="27"/>
  <c r="AY70" i="27"/>
  <c r="AX70" i="27"/>
  <c r="AW70" i="27"/>
  <c r="AV70" i="27"/>
  <c r="AU70" i="27"/>
  <c r="AT70" i="27"/>
  <c r="AS70" i="27"/>
  <c r="AR70" i="27"/>
  <c r="AQ70" i="27"/>
  <c r="AP70" i="27"/>
  <c r="AO70" i="27"/>
  <c r="AN70" i="27"/>
  <c r="AM70" i="27"/>
  <c r="AL70" i="27"/>
  <c r="AK70" i="27"/>
  <c r="AJ70" i="27"/>
  <c r="AI70" i="27"/>
  <c r="AH70" i="27"/>
  <c r="AG70" i="27"/>
  <c r="AF70" i="27"/>
  <c r="AE70" i="27"/>
  <c r="AC70" i="27"/>
  <c r="AB70" i="27"/>
  <c r="AA70" i="27"/>
  <c r="Z70" i="27"/>
  <c r="Y70" i="27"/>
  <c r="X70" i="27"/>
  <c r="W70" i="27"/>
  <c r="V70" i="27"/>
  <c r="U70" i="27"/>
  <c r="T70" i="27"/>
  <c r="S70" i="27"/>
  <c r="R70" i="27"/>
  <c r="Q70" i="27"/>
  <c r="P70" i="27"/>
  <c r="O70" i="27"/>
  <c r="N70" i="27"/>
  <c r="M70" i="27"/>
  <c r="L70" i="27"/>
  <c r="K70" i="27"/>
  <c r="J70" i="27"/>
  <c r="DG69" i="27"/>
  <c r="DF69" i="27"/>
  <c r="DA69" i="27"/>
  <c r="CY69" i="27"/>
  <c r="CX69" i="27"/>
  <c r="CW69" i="27"/>
  <c r="CV69" i="27"/>
  <c r="CU69" i="27"/>
  <c r="CT69" i="27"/>
  <c r="CS69" i="27"/>
  <c r="CR69" i="27"/>
  <c r="CQ69" i="27"/>
  <c r="CP69" i="27"/>
  <c r="CJ69" i="27"/>
  <c r="CG69" i="27"/>
  <c r="CF69" i="27"/>
  <c r="CE69" i="27"/>
  <c r="CB69" i="27"/>
  <c r="CA69" i="27"/>
  <c r="BZ69" i="27"/>
  <c r="BY69" i="27"/>
  <c r="BX69" i="27"/>
  <c r="BW69" i="27"/>
  <c r="BU69" i="27"/>
  <c r="BT69" i="27"/>
  <c r="BS69" i="27"/>
  <c r="BR69" i="27"/>
  <c r="BQ69" i="27"/>
  <c r="BO69" i="27"/>
  <c r="BN69" i="27"/>
  <c r="BM69" i="27"/>
  <c r="BL69" i="27"/>
  <c r="BJ69" i="27"/>
  <c r="BI69" i="27"/>
  <c r="BH69" i="27"/>
  <c r="BG69" i="27"/>
  <c r="AF69" i="27"/>
  <c r="AE69" i="27"/>
  <c r="AA69" i="27"/>
  <c r="T69" i="27"/>
  <c r="S69" i="27"/>
  <c r="E69" i="27"/>
  <c r="DG68" i="27"/>
  <c r="DF68" i="27"/>
  <c r="DA68" i="27"/>
  <c r="CY68" i="27"/>
  <c r="CX68" i="27"/>
  <c r="CW68" i="27"/>
  <c r="CV68" i="27"/>
  <c r="CU68" i="27"/>
  <c r="CT68" i="27"/>
  <c r="CS68" i="27"/>
  <c r="CR68" i="27"/>
  <c r="CQ68" i="27"/>
  <c r="CP68" i="27"/>
  <c r="CJ68" i="27"/>
  <c r="CG68" i="27"/>
  <c r="CF68" i="27"/>
  <c r="CE68" i="27"/>
  <c r="CB68" i="27"/>
  <c r="CA68" i="27"/>
  <c r="BZ68" i="27"/>
  <c r="BY68" i="27"/>
  <c r="BX68" i="27"/>
  <c r="BW68" i="27"/>
  <c r="BU68" i="27"/>
  <c r="BT68" i="27"/>
  <c r="BS68" i="27"/>
  <c r="BR68" i="27"/>
  <c r="BQ68" i="27"/>
  <c r="BO68" i="27"/>
  <c r="BN68" i="27"/>
  <c r="BM68" i="27"/>
  <c r="BL68" i="27"/>
  <c r="BJ68" i="27"/>
  <c r="BI68" i="27"/>
  <c r="BH68" i="27"/>
  <c r="BG68" i="27"/>
  <c r="AF68" i="27"/>
  <c r="AE68" i="27"/>
  <c r="AA68" i="27"/>
  <c r="T68" i="27"/>
  <c r="S68" i="27"/>
  <c r="E68" i="27"/>
  <c r="DG67" i="27"/>
  <c r="DF67" i="27"/>
  <c r="DA67" i="27"/>
  <c r="CY67" i="27"/>
  <c r="CX67" i="27"/>
  <c r="CW67" i="27"/>
  <c r="CV67" i="27"/>
  <c r="CU67" i="27"/>
  <c r="CT67" i="27"/>
  <c r="CS67" i="27"/>
  <c r="CR67" i="27"/>
  <c r="CQ67" i="27"/>
  <c r="CP67" i="27"/>
  <c r="CJ67" i="27"/>
  <c r="CG67" i="27"/>
  <c r="CF67" i="27"/>
  <c r="CE67" i="27"/>
  <c r="CB67" i="27"/>
  <c r="CA67" i="27"/>
  <c r="BZ67" i="27"/>
  <c r="BY67" i="27"/>
  <c r="BX67" i="27"/>
  <c r="BW67" i="27"/>
  <c r="BU67" i="27"/>
  <c r="BT67" i="27"/>
  <c r="BS67" i="27"/>
  <c r="BR67" i="27"/>
  <c r="BQ67" i="27"/>
  <c r="BO67" i="27"/>
  <c r="BN67" i="27"/>
  <c r="BM67" i="27"/>
  <c r="BL67" i="27"/>
  <c r="BJ67" i="27"/>
  <c r="BI67" i="27"/>
  <c r="BH67" i="27"/>
  <c r="BG67" i="27"/>
  <c r="AF67" i="27"/>
  <c r="AE67" i="27"/>
  <c r="AA67" i="27"/>
  <c r="T67" i="27"/>
  <c r="S67" i="27"/>
  <c r="E67" i="27"/>
  <c r="DG66" i="27"/>
  <c r="DF66" i="27"/>
  <c r="DE66" i="27"/>
  <c r="DA66" i="27"/>
  <c r="CY66" i="27"/>
  <c r="CX66" i="27"/>
  <c r="CW66" i="27"/>
  <c r="CV66" i="27"/>
  <c r="CU66" i="27"/>
  <c r="CT66" i="27"/>
  <c r="CS66" i="27"/>
  <c r="CR66" i="27"/>
  <c r="CQ66" i="27"/>
  <c r="CP66" i="27"/>
  <c r="CJ66" i="27"/>
  <c r="CG66" i="27"/>
  <c r="CF66" i="27"/>
  <c r="CE66" i="27"/>
  <c r="CB66" i="27"/>
  <c r="CA66" i="27"/>
  <c r="BZ66" i="27"/>
  <c r="BY66" i="27"/>
  <c r="BX66" i="27"/>
  <c r="BW66" i="27"/>
  <c r="BU66" i="27"/>
  <c r="BT66" i="27"/>
  <c r="BS66" i="27"/>
  <c r="BR66" i="27"/>
  <c r="BQ66" i="27"/>
  <c r="BO66" i="27"/>
  <c r="BN66" i="27"/>
  <c r="BM66" i="27"/>
  <c r="BL66" i="27"/>
  <c r="BJ66" i="27"/>
  <c r="BI66" i="27"/>
  <c r="BH66" i="27"/>
  <c r="BG66" i="27"/>
  <c r="AF66" i="27"/>
  <c r="AE66" i="27"/>
  <c r="AA66" i="27"/>
  <c r="T66" i="27"/>
  <c r="S66" i="27"/>
  <c r="E66" i="27"/>
  <c r="DG65" i="27"/>
  <c r="DF65" i="27"/>
  <c r="DE65" i="27"/>
  <c r="DD65" i="27"/>
  <c r="DC65" i="27"/>
  <c r="DB65" i="27"/>
  <c r="DA65" i="27"/>
  <c r="CZ65" i="27"/>
  <c r="CY65" i="27"/>
  <c r="CX65" i="27"/>
  <c r="CW65" i="27"/>
  <c r="CV65" i="27"/>
  <c r="CU65" i="27"/>
  <c r="CT65" i="27"/>
  <c r="CS65" i="27"/>
  <c r="CR65" i="27"/>
  <c r="CQ65" i="27"/>
  <c r="CP65" i="27"/>
  <c r="CO65" i="27"/>
  <c r="CN65" i="27"/>
  <c r="CM65" i="27"/>
  <c r="CL65" i="27"/>
  <c r="CK65" i="27"/>
  <c r="CJ65" i="27"/>
  <c r="CI65" i="27"/>
  <c r="CH65" i="27"/>
  <c r="CG65" i="27"/>
  <c r="CF65" i="27"/>
  <c r="CE65" i="27"/>
  <c r="CD65" i="27"/>
  <c r="CC65" i="27"/>
  <c r="CB65" i="27"/>
  <c r="CA65" i="27"/>
  <c r="BZ65" i="27"/>
  <c r="BY65" i="27"/>
  <c r="BX65" i="27"/>
  <c r="BW65" i="27"/>
  <c r="BV65" i="27"/>
  <c r="BU65" i="27"/>
  <c r="BT65" i="27"/>
  <c r="BS65" i="27"/>
  <c r="BR65" i="27"/>
  <c r="BQ65" i="27"/>
  <c r="BP65" i="27"/>
  <c r="BO65" i="27"/>
  <c r="BN65" i="27"/>
  <c r="BM65" i="27"/>
  <c r="BL65" i="27"/>
  <c r="BK65" i="27"/>
  <c r="BJ65" i="27"/>
  <c r="BI65" i="27"/>
  <c r="BH65" i="27"/>
  <c r="BG65" i="27"/>
  <c r="BF65" i="27"/>
  <c r="BE65" i="27"/>
  <c r="BD65" i="27"/>
  <c r="BC65" i="27"/>
  <c r="BB65" i="27"/>
  <c r="BA65" i="27"/>
  <c r="AZ65" i="27"/>
  <c r="AY65" i="27"/>
  <c r="AX65" i="27"/>
  <c r="AW65" i="27"/>
  <c r="AV65" i="27"/>
  <c r="AU65" i="27"/>
  <c r="AT65" i="27"/>
  <c r="AS65" i="27"/>
  <c r="AR65" i="27"/>
  <c r="AQ65" i="27"/>
  <c r="AP65" i="27"/>
  <c r="AO65" i="27"/>
  <c r="AN65" i="27"/>
  <c r="AM65" i="27"/>
  <c r="AL65" i="27"/>
  <c r="AK65" i="27"/>
  <c r="AJ65" i="27"/>
  <c r="AI65" i="27"/>
  <c r="AH65" i="27"/>
  <c r="AG65" i="27"/>
  <c r="AF65" i="27"/>
  <c r="AE65" i="27"/>
  <c r="AC65" i="27"/>
  <c r="AB65" i="27"/>
  <c r="AA65" i="27"/>
  <c r="Z65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CJ64" i="27"/>
  <c r="CG64" i="27"/>
  <c r="CF64" i="27"/>
  <c r="CE64" i="27"/>
  <c r="CB64" i="27"/>
  <c r="CA64" i="27"/>
  <c r="BZ64" i="27"/>
  <c r="BY64" i="27"/>
  <c r="BX64" i="27"/>
  <c r="BW64" i="27"/>
  <c r="BU64" i="27"/>
  <c r="BT64" i="27"/>
  <c r="BR64" i="27"/>
  <c r="BQ64" i="27"/>
  <c r="BO64" i="27"/>
  <c r="BN64" i="27"/>
  <c r="BM64" i="27"/>
  <c r="BL64" i="27"/>
  <c r="BJ64" i="27"/>
  <c r="BI64" i="27"/>
  <c r="BH64" i="27"/>
  <c r="BG64" i="27"/>
  <c r="AF64" i="27"/>
  <c r="AE64" i="27"/>
  <c r="AA64" i="27"/>
  <c r="T64" i="27"/>
  <c r="S64" i="27"/>
  <c r="E64" i="27"/>
  <c r="CY63" i="27"/>
  <c r="CG63" i="27"/>
  <c r="CF63" i="27"/>
  <c r="CE63" i="27"/>
  <c r="CB63" i="27"/>
  <c r="CA63" i="27"/>
  <c r="BZ63" i="27"/>
  <c r="BY63" i="27"/>
  <c r="BX63" i="27"/>
  <c r="BW63" i="27"/>
  <c r="BU63" i="27"/>
  <c r="BT63" i="27"/>
  <c r="BQ63" i="27"/>
  <c r="BO63" i="27"/>
  <c r="BN63" i="27"/>
  <c r="BM63" i="27"/>
  <c r="BL63" i="27"/>
  <c r="BJ63" i="27"/>
  <c r="BI63" i="27"/>
  <c r="BH63" i="27"/>
  <c r="BG63" i="27"/>
  <c r="AF63" i="27"/>
  <c r="AE63" i="27"/>
  <c r="AC63" i="27"/>
  <c r="AB63" i="27"/>
  <c r="E63" i="27"/>
  <c r="DG62" i="27"/>
  <c r="DF62" i="27"/>
  <c r="DA62" i="27"/>
  <c r="CY62" i="27"/>
  <c r="CW62" i="27"/>
  <c r="CT62" i="27"/>
  <c r="CR62" i="27"/>
  <c r="CQ62" i="27"/>
  <c r="CJ62" i="27"/>
  <c r="CG62" i="27"/>
  <c r="CF62" i="27"/>
  <c r="CE62" i="27"/>
  <c r="CB62" i="27"/>
  <c r="CA62" i="27"/>
  <c r="BZ62" i="27"/>
  <c r="BY62" i="27"/>
  <c r="BX62" i="27"/>
  <c r="BW62" i="27"/>
  <c r="BU62" i="27"/>
  <c r="BT62" i="27"/>
  <c r="BS62" i="27"/>
  <c r="BR62" i="27"/>
  <c r="BQ62" i="27"/>
  <c r="BO62" i="27"/>
  <c r="BN62" i="27"/>
  <c r="BM62" i="27"/>
  <c r="BL62" i="27"/>
  <c r="BJ62" i="27"/>
  <c r="BI62" i="27"/>
  <c r="BH62" i="27"/>
  <c r="BG62" i="27"/>
  <c r="AF62" i="27"/>
  <c r="AE62" i="27"/>
  <c r="AA62" i="27"/>
  <c r="T62" i="27"/>
  <c r="S62" i="27"/>
  <c r="CG61" i="27"/>
  <c r="CF61" i="27"/>
  <c r="CE61" i="27"/>
  <c r="CB61" i="27"/>
  <c r="CA61" i="27"/>
  <c r="BZ61" i="27"/>
  <c r="BY61" i="27"/>
  <c r="BX61" i="27"/>
  <c r="BW61" i="27"/>
  <c r="BU61" i="27"/>
  <c r="BT61" i="27"/>
  <c r="BQ61" i="27"/>
  <c r="BO61" i="27"/>
  <c r="BN61" i="27"/>
  <c r="BM61" i="27"/>
  <c r="BL61" i="27"/>
  <c r="BJ61" i="27"/>
  <c r="BI61" i="27"/>
  <c r="BH61" i="27"/>
  <c r="BG61" i="27"/>
  <c r="AF61" i="27"/>
  <c r="AE61" i="27"/>
  <c r="AC61" i="27"/>
  <c r="AB61" i="27"/>
  <c r="T61" i="27"/>
  <c r="E61" i="27"/>
  <c r="DG60" i="27"/>
  <c r="DF60" i="27"/>
  <c r="DA60" i="27"/>
  <c r="CY60" i="27"/>
  <c r="CX60" i="27"/>
  <c r="CW60" i="27"/>
  <c r="CV60" i="27"/>
  <c r="CU60" i="27"/>
  <c r="CT60" i="27"/>
  <c r="CS60" i="27"/>
  <c r="CR60" i="27"/>
  <c r="CQ60" i="27"/>
  <c r="CP60" i="27"/>
  <c r="CJ60" i="27"/>
  <c r="CG60" i="27"/>
  <c r="CF60" i="27"/>
  <c r="CE60" i="27"/>
  <c r="CB60" i="27"/>
  <c r="CA60" i="27"/>
  <c r="BZ60" i="27"/>
  <c r="BY60" i="27"/>
  <c r="BX60" i="27"/>
  <c r="BW60" i="27"/>
  <c r="BU60" i="27"/>
  <c r="BT60" i="27"/>
  <c r="BS60" i="27"/>
  <c r="BR60" i="27"/>
  <c r="BQ60" i="27"/>
  <c r="BO60" i="27"/>
  <c r="BN60" i="27"/>
  <c r="BM60" i="27"/>
  <c r="BL60" i="27"/>
  <c r="BJ60" i="27"/>
  <c r="BI60" i="27"/>
  <c r="BH60" i="27"/>
  <c r="BG60" i="27"/>
  <c r="AF60" i="27"/>
  <c r="AE60" i="27"/>
  <c r="AA60" i="27"/>
  <c r="T60" i="27"/>
  <c r="S60" i="27"/>
  <c r="E60" i="27"/>
  <c r="DG59" i="27"/>
  <c r="DF59" i="27"/>
  <c r="DA59" i="27"/>
  <c r="CX59" i="27"/>
  <c r="CW59" i="27"/>
  <c r="CV59" i="27"/>
  <c r="CU59" i="27"/>
  <c r="CT59" i="27"/>
  <c r="CS59" i="27"/>
  <c r="CR59" i="27"/>
  <c r="CQ59" i="27"/>
  <c r="CP59" i="27"/>
  <c r="CJ59" i="27"/>
  <c r="CI59" i="27"/>
  <c r="CG59" i="27"/>
  <c r="CF59" i="27"/>
  <c r="CE59" i="27"/>
  <c r="CB59" i="27"/>
  <c r="CA59" i="27"/>
  <c r="BZ59" i="27"/>
  <c r="BY59" i="27"/>
  <c r="BX59" i="27"/>
  <c r="BW59" i="27"/>
  <c r="BU59" i="27"/>
  <c r="BT59" i="27"/>
  <c r="BS59" i="27"/>
  <c r="BR59" i="27"/>
  <c r="BQ59" i="27"/>
  <c r="BO59" i="27"/>
  <c r="BN59" i="27"/>
  <c r="BM59" i="27"/>
  <c r="BL59" i="27"/>
  <c r="BJ59" i="27"/>
  <c r="BI59" i="27"/>
  <c r="BH59" i="27"/>
  <c r="BG59" i="27"/>
  <c r="AF59" i="27"/>
  <c r="AE59" i="27"/>
  <c r="AA59" i="27"/>
  <c r="T59" i="27"/>
  <c r="S59" i="27"/>
  <c r="E59" i="27"/>
  <c r="DG58" i="27"/>
  <c r="DF58" i="27"/>
  <c r="DE58" i="27"/>
  <c r="DA58" i="27"/>
  <c r="CY58" i="27"/>
  <c r="CX58" i="27"/>
  <c r="CW58" i="27"/>
  <c r="CV58" i="27"/>
  <c r="CU58" i="27"/>
  <c r="CT58" i="27"/>
  <c r="CS58" i="27"/>
  <c r="CR58" i="27"/>
  <c r="CQ58" i="27"/>
  <c r="CP58" i="27"/>
  <c r="CJ58" i="27"/>
  <c r="CG58" i="27"/>
  <c r="CF58" i="27"/>
  <c r="CE58" i="27"/>
  <c r="CB58" i="27"/>
  <c r="CA58" i="27"/>
  <c r="BZ58" i="27"/>
  <c r="BY58" i="27"/>
  <c r="BX58" i="27"/>
  <c r="BW58" i="27"/>
  <c r="BU58" i="27"/>
  <c r="BT58" i="27"/>
  <c r="BS58" i="27"/>
  <c r="BR58" i="27"/>
  <c r="BQ58" i="27"/>
  <c r="BO58" i="27"/>
  <c r="BN58" i="27"/>
  <c r="BM58" i="27"/>
  <c r="BL58" i="27"/>
  <c r="BJ58" i="27"/>
  <c r="BI58" i="27"/>
  <c r="BH58" i="27"/>
  <c r="BG58" i="27"/>
  <c r="AF58" i="27"/>
  <c r="AE58" i="27"/>
  <c r="AA58" i="27"/>
  <c r="T58" i="27"/>
  <c r="S58" i="27"/>
  <c r="E58" i="27"/>
  <c r="DA57" i="27"/>
  <c r="CY57" i="27"/>
  <c r="CX57" i="27"/>
  <c r="CW57" i="27"/>
  <c r="CV57" i="27"/>
  <c r="CU57" i="27"/>
  <c r="CT57" i="27"/>
  <c r="CS57" i="27"/>
  <c r="CR57" i="27"/>
  <c r="CQ57" i="27"/>
  <c r="CP57" i="27"/>
  <c r="CI57" i="27"/>
  <c r="CG57" i="27"/>
  <c r="CF57" i="27"/>
  <c r="CE57" i="27"/>
  <c r="CB57" i="27"/>
  <c r="CA57" i="27"/>
  <c r="BZ57" i="27"/>
  <c r="BY57" i="27"/>
  <c r="BX57" i="27"/>
  <c r="BW57" i="27"/>
  <c r="BU57" i="27"/>
  <c r="BT57" i="27"/>
  <c r="BS57" i="27"/>
  <c r="BR57" i="27"/>
  <c r="BQ57" i="27"/>
  <c r="BO57" i="27"/>
  <c r="BN57" i="27"/>
  <c r="BM57" i="27"/>
  <c r="BL57" i="27"/>
  <c r="BJ57" i="27"/>
  <c r="BI57" i="27"/>
  <c r="BH57" i="27"/>
  <c r="BG57" i="27"/>
  <c r="AF57" i="27"/>
  <c r="AE57" i="27"/>
  <c r="AC57" i="27"/>
  <c r="AB57" i="27"/>
  <c r="AA57" i="27"/>
  <c r="T57" i="27"/>
  <c r="E57" i="27"/>
  <c r="DG56" i="27"/>
  <c r="DF56" i="27"/>
  <c r="DE56" i="27"/>
  <c r="DD56" i="27"/>
  <c r="DC56" i="27"/>
  <c r="DB56" i="27"/>
  <c r="DA56" i="27"/>
  <c r="CZ56" i="27"/>
  <c r="CY56" i="27"/>
  <c r="CX56" i="27"/>
  <c r="CW56" i="27"/>
  <c r="CV56" i="27"/>
  <c r="CU56" i="27"/>
  <c r="CT56" i="27"/>
  <c r="CS56" i="27"/>
  <c r="CR56" i="27"/>
  <c r="CQ56" i="27"/>
  <c r="CP56" i="27"/>
  <c r="CO56" i="27"/>
  <c r="CN56" i="27"/>
  <c r="CM56" i="27"/>
  <c r="CL56" i="27"/>
  <c r="CK56" i="27"/>
  <c r="CJ56" i="27"/>
  <c r="CI56" i="27"/>
  <c r="CH56" i="27"/>
  <c r="CG56" i="27"/>
  <c r="CF56" i="27"/>
  <c r="CE56" i="27"/>
  <c r="CD56" i="27"/>
  <c r="CC56" i="27"/>
  <c r="CB56" i="27"/>
  <c r="CA56" i="27"/>
  <c r="BZ56" i="27"/>
  <c r="BY56" i="27"/>
  <c r="BX56" i="27"/>
  <c r="BW56" i="27"/>
  <c r="BV56" i="27"/>
  <c r="BU56" i="27"/>
  <c r="BT56" i="27"/>
  <c r="BS56" i="27"/>
  <c r="BR56" i="27"/>
  <c r="BQ56" i="27"/>
  <c r="BP56" i="27"/>
  <c r="BO56" i="27"/>
  <c r="BN56" i="27"/>
  <c r="BM56" i="27"/>
  <c r="BL56" i="27"/>
  <c r="BK56" i="27"/>
  <c r="BJ56" i="27"/>
  <c r="BI56" i="27"/>
  <c r="BH56" i="27"/>
  <c r="BG56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DG55" i="27"/>
  <c r="DF55" i="27"/>
  <c r="DA55" i="27"/>
  <c r="CY55" i="27"/>
  <c r="CX55" i="27"/>
  <c r="CW55" i="27"/>
  <c r="CV55" i="27"/>
  <c r="CU55" i="27"/>
  <c r="CT55" i="27"/>
  <c r="CS55" i="27"/>
  <c r="CR55" i="27"/>
  <c r="CQ55" i="27"/>
  <c r="CP55" i="27"/>
  <c r="CJ55" i="27"/>
  <c r="CG55" i="27"/>
  <c r="CF55" i="27"/>
  <c r="CE55" i="27"/>
  <c r="CB55" i="27"/>
  <c r="CA55" i="27"/>
  <c r="BZ55" i="27"/>
  <c r="BY55" i="27"/>
  <c r="BX55" i="27"/>
  <c r="BW55" i="27"/>
  <c r="BU55" i="27"/>
  <c r="BT55" i="27"/>
  <c r="BS55" i="27"/>
  <c r="BR55" i="27"/>
  <c r="BQ55" i="27"/>
  <c r="BO55" i="27"/>
  <c r="BN55" i="27"/>
  <c r="BM55" i="27"/>
  <c r="BL55" i="27"/>
  <c r="BJ55" i="27"/>
  <c r="BI55" i="27"/>
  <c r="BH55" i="27"/>
  <c r="BG55" i="27"/>
  <c r="AF55" i="27"/>
  <c r="AE55" i="27"/>
  <c r="AA55" i="27"/>
  <c r="T55" i="27"/>
  <c r="S55" i="27"/>
  <c r="CY54" i="27"/>
  <c r="CG54" i="27"/>
  <c r="CF54" i="27"/>
  <c r="CE54" i="27"/>
  <c r="CB54" i="27"/>
  <c r="CA54" i="27"/>
  <c r="BZ54" i="27"/>
  <c r="BY54" i="27"/>
  <c r="BX54" i="27"/>
  <c r="BW54" i="27"/>
  <c r="BU54" i="27"/>
  <c r="BT54" i="27"/>
  <c r="BQ54" i="27"/>
  <c r="BO54" i="27"/>
  <c r="BN54" i="27"/>
  <c r="BM54" i="27"/>
  <c r="BL54" i="27"/>
  <c r="BJ54" i="27"/>
  <c r="BI54" i="27"/>
  <c r="BH54" i="27"/>
  <c r="BG54" i="27"/>
  <c r="AF54" i="27"/>
  <c r="AE54" i="27"/>
  <c r="AB54" i="27"/>
  <c r="AA54" i="27"/>
  <c r="T54" i="27"/>
  <c r="S54" i="27"/>
  <c r="E54" i="27"/>
  <c r="CY53" i="27"/>
  <c r="CG53" i="27"/>
  <c r="CF53" i="27"/>
  <c r="CE53" i="27"/>
  <c r="CB53" i="27"/>
  <c r="CA53" i="27"/>
  <c r="BZ53" i="27"/>
  <c r="BY53" i="27"/>
  <c r="BX53" i="27"/>
  <c r="BW53" i="27"/>
  <c r="BU53" i="27"/>
  <c r="BT53" i="27"/>
  <c r="BQ53" i="27"/>
  <c r="BO53" i="27"/>
  <c r="BN53" i="27"/>
  <c r="BM53" i="27"/>
  <c r="BL53" i="27"/>
  <c r="BJ53" i="27"/>
  <c r="BI53" i="27"/>
  <c r="BH53" i="27"/>
  <c r="BG53" i="27"/>
  <c r="AF53" i="27"/>
  <c r="AE53" i="27"/>
  <c r="AB53" i="27"/>
  <c r="AA53" i="27"/>
  <c r="T53" i="27"/>
  <c r="S53" i="27"/>
  <c r="E53" i="27"/>
  <c r="DG52" i="27"/>
  <c r="DF52" i="27"/>
  <c r="DA52" i="27"/>
  <c r="CT52" i="27"/>
  <c r="CR52" i="27"/>
  <c r="CQ52" i="27"/>
  <c r="CJ52" i="27"/>
  <c r="CG52" i="27"/>
  <c r="CF52" i="27"/>
  <c r="CE52" i="27"/>
  <c r="CB52" i="27"/>
  <c r="CA52" i="27"/>
  <c r="BZ52" i="27"/>
  <c r="BY52" i="27"/>
  <c r="BX52" i="27"/>
  <c r="BW52" i="27"/>
  <c r="BU52" i="27"/>
  <c r="BT52" i="27"/>
  <c r="BS52" i="27"/>
  <c r="BR52" i="27"/>
  <c r="BQ52" i="27"/>
  <c r="BO52" i="27"/>
  <c r="BN52" i="27"/>
  <c r="BM52" i="27"/>
  <c r="BL52" i="27"/>
  <c r="BJ52" i="27"/>
  <c r="BI52" i="27"/>
  <c r="BH52" i="27"/>
  <c r="BG52" i="27"/>
  <c r="AF52" i="27"/>
  <c r="AE52" i="27"/>
  <c r="AA52" i="27"/>
  <c r="T52" i="27"/>
  <c r="S52" i="27"/>
  <c r="DG51" i="27"/>
  <c r="DF51" i="27"/>
  <c r="DE51" i="27"/>
  <c r="DA51" i="27"/>
  <c r="CY51" i="27"/>
  <c r="CX51" i="27"/>
  <c r="CW51" i="27"/>
  <c r="CV51" i="27"/>
  <c r="CU51" i="27"/>
  <c r="CT51" i="27"/>
  <c r="CS51" i="27"/>
  <c r="CR51" i="27"/>
  <c r="CQ51" i="27"/>
  <c r="CP51" i="27"/>
  <c r="CJ51" i="27"/>
  <c r="CG51" i="27"/>
  <c r="CF51" i="27"/>
  <c r="CE51" i="27"/>
  <c r="CB51" i="27"/>
  <c r="CA51" i="27"/>
  <c r="BZ51" i="27"/>
  <c r="BY51" i="27"/>
  <c r="BX51" i="27"/>
  <c r="BW51" i="27"/>
  <c r="BU51" i="27"/>
  <c r="BT51" i="27"/>
  <c r="BS51" i="27"/>
  <c r="BR51" i="27"/>
  <c r="BQ51" i="27"/>
  <c r="BO51" i="27"/>
  <c r="BN51" i="27"/>
  <c r="BM51" i="27"/>
  <c r="BL51" i="27"/>
  <c r="BJ51" i="27"/>
  <c r="BI51" i="27"/>
  <c r="BH51" i="27"/>
  <c r="BG51" i="27"/>
  <c r="AF51" i="27"/>
  <c r="AE51" i="27"/>
  <c r="AA51" i="27"/>
  <c r="T51" i="27"/>
  <c r="S51" i="27"/>
  <c r="E51" i="27"/>
  <c r="DG50" i="27"/>
  <c r="DF50" i="27"/>
  <c r="DA50" i="27"/>
  <c r="CY50" i="27"/>
  <c r="CX50" i="27"/>
  <c r="CW50" i="27"/>
  <c r="CV50" i="27"/>
  <c r="CU50" i="27"/>
  <c r="CT50" i="27"/>
  <c r="CS50" i="27"/>
  <c r="CR50" i="27"/>
  <c r="CQ50" i="27"/>
  <c r="CP50" i="27"/>
  <c r="CJ50" i="27"/>
  <c r="CI50" i="27"/>
  <c r="CG50" i="27"/>
  <c r="CF50" i="27"/>
  <c r="CE50" i="27"/>
  <c r="CB50" i="27"/>
  <c r="CA50" i="27"/>
  <c r="BZ50" i="27"/>
  <c r="BY50" i="27"/>
  <c r="BX50" i="27"/>
  <c r="BW50" i="27"/>
  <c r="BU50" i="27"/>
  <c r="BT50" i="27"/>
  <c r="BS50" i="27"/>
  <c r="BR50" i="27"/>
  <c r="BQ50" i="27"/>
  <c r="BO50" i="27"/>
  <c r="BN50" i="27"/>
  <c r="BM50" i="27"/>
  <c r="BL50" i="27"/>
  <c r="BJ50" i="27"/>
  <c r="BI50" i="27"/>
  <c r="BH50" i="27"/>
  <c r="BG50" i="27"/>
  <c r="AF50" i="27"/>
  <c r="AE50" i="27"/>
  <c r="AA50" i="27"/>
  <c r="T50" i="27"/>
  <c r="S50" i="27"/>
  <c r="E50" i="27"/>
  <c r="DF49" i="27"/>
  <c r="DE49" i="27"/>
  <c r="DD49" i="27"/>
  <c r="DC49" i="27"/>
  <c r="DB49" i="27"/>
  <c r="DA49" i="27"/>
  <c r="CZ49" i="27"/>
  <c r="CY49" i="27"/>
  <c r="CX49" i="27"/>
  <c r="CW49" i="27"/>
  <c r="CV49" i="27"/>
  <c r="CU49" i="27"/>
  <c r="CT49" i="27"/>
  <c r="CS49" i="27"/>
  <c r="CR49" i="27"/>
  <c r="CQ49" i="27"/>
  <c r="CP49" i="27"/>
  <c r="CO49" i="27"/>
  <c r="CN49" i="27"/>
  <c r="CM49" i="27"/>
  <c r="CL49" i="27"/>
  <c r="CK49" i="27"/>
  <c r="CJ49" i="27"/>
  <c r="CI49" i="27"/>
  <c r="CH49" i="27"/>
  <c r="CG49" i="27"/>
  <c r="CF49" i="27"/>
  <c r="CE49" i="27"/>
  <c r="CD49" i="27"/>
  <c r="CC49" i="27"/>
  <c r="CB49" i="27"/>
  <c r="CA49" i="27"/>
  <c r="BZ49" i="27"/>
  <c r="BY49" i="27"/>
  <c r="BX49" i="27"/>
  <c r="BW49" i="27"/>
  <c r="BV49" i="27"/>
  <c r="BU49" i="27"/>
  <c r="BT49" i="27"/>
  <c r="BS49" i="27"/>
  <c r="BR49" i="27"/>
  <c r="BQ49" i="27"/>
  <c r="BP49" i="27"/>
  <c r="BO49" i="27"/>
  <c r="BN49" i="27"/>
  <c r="BM49" i="27"/>
  <c r="BL49" i="27"/>
  <c r="BK49" i="27"/>
  <c r="BJ49" i="27"/>
  <c r="BI49" i="27"/>
  <c r="BH49" i="27"/>
  <c r="BG49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CY48" i="27"/>
  <c r="CG48" i="27"/>
  <c r="CF48" i="27"/>
  <c r="CE48" i="27"/>
  <c r="CB48" i="27"/>
  <c r="CA48" i="27"/>
  <c r="BZ48" i="27"/>
  <c r="BY48" i="27"/>
  <c r="BX48" i="27"/>
  <c r="BW48" i="27"/>
  <c r="BU48" i="27"/>
  <c r="BT48" i="27"/>
  <c r="BQ48" i="27"/>
  <c r="BO48" i="27"/>
  <c r="BN48" i="27"/>
  <c r="BM48" i="27"/>
  <c r="BL48" i="27"/>
  <c r="BJ48" i="27"/>
  <c r="BI48" i="27"/>
  <c r="BH48" i="27"/>
  <c r="BG48" i="27"/>
  <c r="AF48" i="27"/>
  <c r="AE48" i="27"/>
  <c r="AC48" i="27"/>
  <c r="AB48" i="27"/>
  <c r="T48" i="27"/>
  <c r="S48" i="27"/>
  <c r="E48" i="27"/>
  <c r="DG47" i="27"/>
  <c r="DA47" i="27"/>
  <c r="CX47" i="27"/>
  <c r="CW47" i="27"/>
  <c r="CV47" i="27"/>
  <c r="CU47" i="27"/>
  <c r="CT47" i="27"/>
  <c r="CS47" i="27"/>
  <c r="CR47" i="27"/>
  <c r="CQ47" i="27"/>
  <c r="CP47" i="27"/>
  <c r="CL47" i="27"/>
  <c r="CJ47" i="27"/>
  <c r="CI47" i="27"/>
  <c r="CG47" i="27"/>
  <c r="CF47" i="27"/>
  <c r="CE47" i="27"/>
  <c r="CB47" i="27"/>
  <c r="CA47" i="27"/>
  <c r="BZ47" i="27"/>
  <c r="BY47" i="27"/>
  <c r="BX47" i="27"/>
  <c r="BW47" i="27"/>
  <c r="BU47" i="27"/>
  <c r="BT47" i="27"/>
  <c r="BS47" i="27"/>
  <c r="BR47" i="27"/>
  <c r="BQ47" i="27"/>
  <c r="BO47" i="27"/>
  <c r="BN47" i="27"/>
  <c r="BM47" i="27"/>
  <c r="BL47" i="27"/>
  <c r="BJ47" i="27"/>
  <c r="BI47" i="27"/>
  <c r="BH47" i="27"/>
  <c r="BG47" i="27"/>
  <c r="AF47" i="27"/>
  <c r="AE47" i="27"/>
  <c r="AC47" i="27"/>
  <c r="AB47" i="27"/>
  <c r="AA47" i="27"/>
  <c r="E47" i="27"/>
  <c r="CY46" i="27"/>
  <c r="CG46" i="27"/>
  <c r="CF46" i="27"/>
  <c r="CE46" i="27"/>
  <c r="CB46" i="27"/>
  <c r="CA46" i="27"/>
  <c r="BZ46" i="27"/>
  <c r="BY46" i="27"/>
  <c r="BX46" i="27"/>
  <c r="BW46" i="27"/>
  <c r="BU46" i="27"/>
  <c r="BT46" i="27"/>
  <c r="BS46" i="27"/>
  <c r="BR46" i="27"/>
  <c r="BQ46" i="27"/>
  <c r="BO46" i="27"/>
  <c r="BN46" i="27"/>
  <c r="BM46" i="27"/>
  <c r="BL46" i="27"/>
  <c r="BJ46" i="27"/>
  <c r="BI46" i="27"/>
  <c r="BH46" i="27"/>
  <c r="BG46" i="27"/>
  <c r="AF46" i="27"/>
  <c r="AE46" i="27"/>
  <c r="AB46" i="27"/>
  <c r="T46" i="27"/>
  <c r="S46" i="27"/>
  <c r="E46" i="27"/>
  <c r="CY45" i="27"/>
  <c r="CG45" i="27"/>
  <c r="CF45" i="27"/>
  <c r="CE45" i="27"/>
  <c r="CB45" i="27"/>
  <c r="CA45" i="27"/>
  <c r="BZ45" i="27"/>
  <c r="BY45" i="27"/>
  <c r="BX45" i="27"/>
  <c r="BW45" i="27"/>
  <c r="BU45" i="27"/>
  <c r="BT45" i="27"/>
  <c r="BS45" i="27"/>
  <c r="BR45" i="27"/>
  <c r="BQ45" i="27"/>
  <c r="BO45" i="27"/>
  <c r="BN45" i="27"/>
  <c r="BM45" i="27"/>
  <c r="BL45" i="27"/>
  <c r="BJ45" i="27"/>
  <c r="BI45" i="27"/>
  <c r="BH45" i="27"/>
  <c r="BG45" i="27"/>
  <c r="AF45" i="27"/>
  <c r="AE45" i="27"/>
  <c r="AB45" i="27"/>
  <c r="T45" i="27"/>
  <c r="S45" i="27"/>
  <c r="E45" i="27"/>
  <c r="CY44" i="27"/>
  <c r="CG44" i="27"/>
  <c r="CF44" i="27"/>
  <c r="CE44" i="27"/>
  <c r="CB44" i="27"/>
  <c r="CA44" i="27"/>
  <c r="BZ44" i="27"/>
  <c r="BY44" i="27"/>
  <c r="BX44" i="27"/>
  <c r="BW44" i="27"/>
  <c r="BU44" i="27"/>
  <c r="BT44" i="27"/>
  <c r="BS44" i="27"/>
  <c r="BR44" i="27"/>
  <c r="BQ44" i="27"/>
  <c r="BO44" i="27"/>
  <c r="BN44" i="27"/>
  <c r="BM44" i="27"/>
  <c r="BL44" i="27"/>
  <c r="BJ44" i="27"/>
  <c r="BI44" i="27"/>
  <c r="BH44" i="27"/>
  <c r="BG44" i="27"/>
  <c r="AF44" i="27"/>
  <c r="AE44" i="27"/>
  <c r="AB44" i="27"/>
  <c r="T44" i="27"/>
  <c r="S44" i="27"/>
  <c r="E44" i="27"/>
  <c r="DG43" i="27"/>
  <c r="DF43" i="27"/>
  <c r="DA43" i="27"/>
  <c r="CX43" i="27"/>
  <c r="CW43" i="27"/>
  <c r="CV43" i="27"/>
  <c r="CU43" i="27"/>
  <c r="CT43" i="27"/>
  <c r="CS43" i="27"/>
  <c r="CR43" i="27"/>
  <c r="CQ43" i="27"/>
  <c r="CP43" i="27"/>
  <c r="CJ43" i="27"/>
  <c r="CI43" i="27"/>
  <c r="CG43" i="27"/>
  <c r="CF43" i="27"/>
  <c r="CE43" i="27"/>
  <c r="CB43" i="27"/>
  <c r="CA43" i="27"/>
  <c r="BZ43" i="27"/>
  <c r="BY43" i="27"/>
  <c r="BX43" i="27"/>
  <c r="BW43" i="27"/>
  <c r="BU43" i="27"/>
  <c r="BT43" i="27"/>
  <c r="BS43" i="27"/>
  <c r="BR43" i="27"/>
  <c r="BQ43" i="27"/>
  <c r="BO43" i="27"/>
  <c r="BN43" i="27"/>
  <c r="BM43" i="27"/>
  <c r="BL43" i="27"/>
  <c r="BJ43" i="27"/>
  <c r="BI43" i="27"/>
  <c r="BH43" i="27"/>
  <c r="BG43" i="27"/>
  <c r="AF43" i="27"/>
  <c r="AE43" i="27"/>
  <c r="AC43" i="27"/>
  <c r="AB43" i="27"/>
  <c r="AA43" i="27"/>
  <c r="T43" i="27"/>
  <c r="S43" i="27"/>
  <c r="E43" i="27"/>
  <c r="CY42" i="27"/>
  <c r="CG42" i="27"/>
  <c r="CF42" i="27"/>
  <c r="CE42" i="27"/>
  <c r="CB42" i="27"/>
  <c r="CA42" i="27"/>
  <c r="BZ42" i="27"/>
  <c r="BY42" i="27"/>
  <c r="BX42" i="27"/>
  <c r="BW42" i="27"/>
  <c r="BU42" i="27"/>
  <c r="BT42" i="27"/>
  <c r="BQ42" i="27"/>
  <c r="BO42" i="27"/>
  <c r="BN42" i="27"/>
  <c r="BM42" i="27"/>
  <c r="BL42" i="27"/>
  <c r="BJ42" i="27"/>
  <c r="BI42" i="27"/>
  <c r="BH42" i="27"/>
  <c r="BG42" i="27"/>
  <c r="AF42" i="27"/>
  <c r="AE42" i="27"/>
  <c r="AB42" i="27"/>
  <c r="AA42" i="27"/>
  <c r="T42" i="27"/>
  <c r="S42" i="27"/>
  <c r="E42" i="27"/>
  <c r="DF41" i="27"/>
  <c r="DC41" i="27"/>
  <c r="DB41" i="27"/>
  <c r="DA41" i="27"/>
  <c r="CZ41" i="27"/>
  <c r="CY41" i="27"/>
  <c r="CX41" i="27"/>
  <c r="CW41" i="27"/>
  <c r="CV41" i="27"/>
  <c r="CU41" i="27"/>
  <c r="CT41" i="27"/>
  <c r="CS41" i="27"/>
  <c r="CR41" i="27"/>
  <c r="CQ41" i="27"/>
  <c r="CP41" i="27"/>
  <c r="CO41" i="27"/>
  <c r="CN41" i="27"/>
  <c r="CM41" i="27"/>
  <c r="CL41" i="27"/>
  <c r="CK41" i="27"/>
  <c r="CJ41" i="27"/>
  <c r="CI41" i="27"/>
  <c r="CH41" i="27"/>
  <c r="CG41" i="27"/>
  <c r="CF41" i="27"/>
  <c r="CE41" i="27"/>
  <c r="CD41" i="27"/>
  <c r="CC41" i="27"/>
  <c r="CB41" i="27"/>
  <c r="CA41" i="27"/>
  <c r="BZ41" i="27"/>
  <c r="BY41" i="27"/>
  <c r="BX41" i="27"/>
  <c r="BW41" i="27"/>
  <c r="BV41" i="27"/>
  <c r="BU41" i="27"/>
  <c r="BT41" i="27"/>
  <c r="BS41" i="27"/>
  <c r="BR41" i="27"/>
  <c r="BQ41" i="27"/>
  <c r="BP41" i="27"/>
  <c r="BO41" i="27"/>
  <c r="BN41" i="27"/>
  <c r="BM41" i="27"/>
  <c r="BL41" i="27"/>
  <c r="BK41" i="27"/>
  <c r="BJ41" i="27"/>
  <c r="BI41" i="27"/>
  <c r="BH41" i="27"/>
  <c r="BG41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CJ40" i="27"/>
  <c r="CG40" i="27"/>
  <c r="CF40" i="27"/>
  <c r="CE40" i="27"/>
  <c r="CD40" i="27"/>
  <c r="CB40" i="27"/>
  <c r="CA40" i="27"/>
  <c r="BZ40" i="27"/>
  <c r="BY40" i="27"/>
  <c r="BX40" i="27"/>
  <c r="BW40" i="27"/>
  <c r="BU40" i="27"/>
  <c r="BT40" i="27"/>
  <c r="BR40" i="27"/>
  <c r="BQ40" i="27"/>
  <c r="BO40" i="27"/>
  <c r="BN40" i="27"/>
  <c r="BM40" i="27"/>
  <c r="BL40" i="27"/>
  <c r="BJ40" i="27"/>
  <c r="BI40" i="27"/>
  <c r="BH40" i="27"/>
  <c r="BG40" i="27"/>
  <c r="AF40" i="27"/>
  <c r="AE40" i="27"/>
  <c r="AA40" i="27"/>
  <c r="T40" i="27"/>
  <c r="S40" i="27"/>
  <c r="E40" i="27"/>
  <c r="CY39" i="27"/>
  <c r="CG39" i="27"/>
  <c r="CF39" i="27"/>
  <c r="CE39" i="27"/>
  <c r="CD39" i="27"/>
  <c r="CB39" i="27"/>
  <c r="CA39" i="27"/>
  <c r="BZ39" i="27"/>
  <c r="BY39" i="27"/>
  <c r="BX39" i="27"/>
  <c r="BW39" i="27"/>
  <c r="BU39" i="27"/>
  <c r="BT39" i="27"/>
  <c r="BQ39" i="27"/>
  <c r="BO39" i="27"/>
  <c r="BN39" i="27"/>
  <c r="BM39" i="27"/>
  <c r="BL39" i="27"/>
  <c r="BJ39" i="27"/>
  <c r="BI39" i="27"/>
  <c r="BH39" i="27"/>
  <c r="BG39" i="27"/>
  <c r="AF39" i="27"/>
  <c r="AE39" i="27"/>
  <c r="AC39" i="27"/>
  <c r="AB39" i="27"/>
  <c r="AA39" i="27"/>
  <c r="T39" i="27"/>
  <c r="E39" i="27"/>
  <c r="CY38" i="27"/>
  <c r="CG38" i="27"/>
  <c r="CF38" i="27"/>
  <c r="CE38" i="27"/>
  <c r="CD38" i="27"/>
  <c r="CB38" i="27"/>
  <c r="CA38" i="27"/>
  <c r="BZ38" i="27"/>
  <c r="BY38" i="27"/>
  <c r="BX38" i="27"/>
  <c r="BW38" i="27"/>
  <c r="BU38" i="27"/>
  <c r="BT38" i="27"/>
  <c r="BQ38" i="27"/>
  <c r="BO38" i="27"/>
  <c r="BN38" i="27"/>
  <c r="BM38" i="27"/>
  <c r="BL38" i="27"/>
  <c r="BJ38" i="27"/>
  <c r="BI38" i="27"/>
  <c r="BH38" i="27"/>
  <c r="BG38" i="27"/>
  <c r="AF38" i="27"/>
  <c r="AE38" i="27"/>
  <c r="AB38" i="27"/>
  <c r="AA38" i="27"/>
  <c r="T38" i="27"/>
  <c r="S38" i="27"/>
  <c r="E38" i="27"/>
  <c r="DG37" i="27"/>
  <c r="DF37" i="27"/>
  <c r="DA37" i="27"/>
  <c r="CX37" i="27"/>
  <c r="CW37" i="27"/>
  <c r="CV37" i="27"/>
  <c r="CU37" i="27"/>
  <c r="CT37" i="27"/>
  <c r="CS37" i="27"/>
  <c r="CR37" i="27"/>
  <c r="CQ37" i="27"/>
  <c r="CP37" i="27"/>
  <c r="CL37" i="27"/>
  <c r="CG37" i="27"/>
  <c r="CF37" i="27"/>
  <c r="CE37" i="27"/>
  <c r="CB37" i="27"/>
  <c r="CA37" i="27"/>
  <c r="BZ37" i="27"/>
  <c r="BY37" i="27"/>
  <c r="BX37" i="27"/>
  <c r="BW37" i="27"/>
  <c r="BU37" i="27"/>
  <c r="BT37" i="27"/>
  <c r="BS37" i="27"/>
  <c r="BR37" i="27"/>
  <c r="BQ37" i="27"/>
  <c r="BO37" i="27"/>
  <c r="BN37" i="27"/>
  <c r="BM37" i="27"/>
  <c r="BL37" i="27"/>
  <c r="BJ37" i="27"/>
  <c r="BI37" i="27"/>
  <c r="BH37" i="27"/>
  <c r="BG37" i="27"/>
  <c r="AF37" i="27"/>
  <c r="AE37" i="27"/>
  <c r="AC37" i="27"/>
  <c r="AB37" i="27"/>
  <c r="T37" i="27"/>
  <c r="S37" i="27"/>
  <c r="E37" i="27"/>
  <c r="CY36" i="27"/>
  <c r="CG36" i="27"/>
  <c r="CF36" i="27"/>
  <c r="CE36" i="27"/>
  <c r="CD36" i="27"/>
  <c r="CB36" i="27"/>
  <c r="CA36" i="27"/>
  <c r="BZ36" i="27"/>
  <c r="BY36" i="27"/>
  <c r="BX36" i="27"/>
  <c r="BW36" i="27"/>
  <c r="BU36" i="27"/>
  <c r="BT36" i="27"/>
  <c r="BS36" i="27"/>
  <c r="BR36" i="27"/>
  <c r="BQ36" i="27"/>
  <c r="BO36" i="27"/>
  <c r="BN36" i="27"/>
  <c r="BM36" i="27"/>
  <c r="BL36" i="27"/>
  <c r="BJ36" i="27"/>
  <c r="BI36" i="27"/>
  <c r="BH36" i="27"/>
  <c r="BG36" i="27"/>
  <c r="AF36" i="27"/>
  <c r="AE36" i="27"/>
  <c r="AB36" i="27"/>
  <c r="T36" i="27"/>
  <c r="S36" i="27"/>
  <c r="E36" i="27"/>
  <c r="CY35" i="27"/>
  <c r="CG35" i="27"/>
  <c r="CF35" i="27"/>
  <c r="CE35" i="27"/>
  <c r="CD35" i="27"/>
  <c r="CB35" i="27"/>
  <c r="CA35" i="27"/>
  <c r="BZ35" i="27"/>
  <c r="BY35" i="27"/>
  <c r="BX35" i="27"/>
  <c r="BW35" i="27"/>
  <c r="BU35" i="27"/>
  <c r="BT35" i="27"/>
  <c r="BS35" i="27"/>
  <c r="BR35" i="27"/>
  <c r="BQ35" i="27"/>
  <c r="BO35" i="27"/>
  <c r="BN35" i="27"/>
  <c r="BM35" i="27"/>
  <c r="BL35" i="27"/>
  <c r="BJ35" i="27"/>
  <c r="BI35" i="27"/>
  <c r="BH35" i="27"/>
  <c r="BG35" i="27"/>
  <c r="AF35" i="27"/>
  <c r="AE35" i="27"/>
  <c r="AB35" i="27"/>
  <c r="T35" i="27"/>
  <c r="S35" i="27"/>
  <c r="E35" i="27"/>
  <c r="CY34" i="27"/>
  <c r="CG34" i="27"/>
  <c r="CF34" i="27"/>
  <c r="CE34" i="27"/>
  <c r="CD34" i="27"/>
  <c r="CB34" i="27"/>
  <c r="CA34" i="27"/>
  <c r="BZ34" i="27"/>
  <c r="BY34" i="27"/>
  <c r="BX34" i="27"/>
  <c r="BW34" i="27"/>
  <c r="BU34" i="27"/>
  <c r="BT34" i="27"/>
  <c r="BQ34" i="27"/>
  <c r="BO34" i="27"/>
  <c r="BN34" i="27"/>
  <c r="BM34" i="27"/>
  <c r="BL34" i="27"/>
  <c r="BJ34" i="27"/>
  <c r="BI34" i="27"/>
  <c r="BH34" i="27"/>
  <c r="BG34" i="27"/>
  <c r="AF34" i="27"/>
  <c r="AE34" i="27"/>
  <c r="AB34" i="27"/>
  <c r="AA34" i="27"/>
  <c r="T34" i="27"/>
  <c r="S34" i="27"/>
  <c r="E34" i="27"/>
  <c r="DG33" i="27"/>
  <c r="DF33" i="27"/>
  <c r="CY33" i="27"/>
  <c r="CX33" i="27"/>
  <c r="CW33" i="27"/>
  <c r="CV33" i="27"/>
  <c r="CU33" i="27"/>
  <c r="CT33" i="27"/>
  <c r="CS33" i="27"/>
  <c r="CR33" i="27"/>
  <c r="CQ33" i="27"/>
  <c r="CP33" i="27"/>
  <c r="CL33" i="27"/>
  <c r="CJ33" i="27"/>
  <c r="CG33" i="27"/>
  <c r="CF33" i="27"/>
  <c r="CE33" i="27"/>
  <c r="CD33" i="27"/>
  <c r="CB33" i="27"/>
  <c r="CA33" i="27"/>
  <c r="BZ33" i="27"/>
  <c r="BY33" i="27"/>
  <c r="BX33" i="27"/>
  <c r="BW33" i="27"/>
  <c r="BU33" i="27"/>
  <c r="BT33" i="27"/>
  <c r="BS33" i="27"/>
  <c r="BR33" i="27"/>
  <c r="BQ33" i="27"/>
  <c r="BO33" i="27"/>
  <c r="BN33" i="27"/>
  <c r="BM33" i="27"/>
  <c r="BL33" i="27"/>
  <c r="BJ33" i="27"/>
  <c r="BI33" i="27"/>
  <c r="BH33" i="27"/>
  <c r="BG33" i="27"/>
  <c r="AF33" i="27"/>
  <c r="AE33" i="27"/>
  <c r="AA33" i="27"/>
  <c r="T33" i="27"/>
  <c r="S33" i="27"/>
  <c r="E33" i="27"/>
  <c r="DF32" i="27"/>
  <c r="DC32" i="27"/>
  <c r="DB32" i="27"/>
  <c r="DA32" i="27"/>
  <c r="CZ32" i="27"/>
  <c r="CY32" i="27"/>
  <c r="CX32" i="27"/>
  <c r="CW32" i="27"/>
  <c r="CV32" i="27"/>
  <c r="CU32" i="27"/>
  <c r="CT32" i="27"/>
  <c r="CS32" i="27"/>
  <c r="CR32" i="27"/>
  <c r="CQ32" i="27"/>
  <c r="CP32" i="27"/>
  <c r="CO32" i="27"/>
  <c r="CN32" i="27"/>
  <c r="CM32" i="27"/>
  <c r="CL32" i="27"/>
  <c r="CK32" i="27"/>
  <c r="CJ32" i="27"/>
  <c r="CI32" i="27"/>
  <c r="CH32" i="27"/>
  <c r="CG32" i="27"/>
  <c r="CF32" i="27"/>
  <c r="CE32" i="27"/>
  <c r="CD32" i="27"/>
  <c r="CC32" i="27"/>
  <c r="CB32" i="27"/>
  <c r="CA32" i="27"/>
  <c r="BZ32" i="27"/>
  <c r="BY32" i="27"/>
  <c r="BX32" i="27"/>
  <c r="BW32" i="27"/>
  <c r="BV32" i="27"/>
  <c r="BU32" i="27"/>
  <c r="BT32" i="27"/>
  <c r="BS32" i="27"/>
  <c r="BR32" i="27"/>
  <c r="BQ32" i="27"/>
  <c r="BP32" i="27"/>
  <c r="BO32" i="27"/>
  <c r="BN32" i="27"/>
  <c r="BM32" i="27"/>
  <c r="BL32" i="27"/>
  <c r="BK32" i="27"/>
  <c r="BJ32" i="27"/>
  <c r="BI32" i="27"/>
  <c r="BH32" i="27"/>
  <c r="BG32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CY31" i="27"/>
  <c r="CG31" i="27"/>
  <c r="CF31" i="27"/>
  <c r="CE31" i="27"/>
  <c r="CD31" i="27"/>
  <c r="CB31" i="27"/>
  <c r="CA31" i="27"/>
  <c r="BZ31" i="27"/>
  <c r="BY31" i="27"/>
  <c r="BX31" i="27"/>
  <c r="BW31" i="27"/>
  <c r="BU31" i="27"/>
  <c r="BT31" i="27"/>
  <c r="BS31" i="27"/>
  <c r="BR31" i="27"/>
  <c r="BQ31" i="27"/>
  <c r="BO31" i="27"/>
  <c r="BN31" i="27"/>
  <c r="BM31" i="27"/>
  <c r="BL31" i="27"/>
  <c r="BJ31" i="27"/>
  <c r="BI31" i="27"/>
  <c r="BH31" i="27"/>
  <c r="BG31" i="27"/>
  <c r="AF31" i="27"/>
  <c r="AE31" i="27"/>
  <c r="AB31" i="27"/>
  <c r="T31" i="27"/>
  <c r="S31" i="27"/>
  <c r="E31" i="27"/>
  <c r="CY30" i="27"/>
  <c r="CG30" i="27"/>
  <c r="CF30" i="27"/>
  <c r="CE30" i="27"/>
  <c r="CD30" i="27"/>
  <c r="CB30" i="27"/>
  <c r="CA30" i="27"/>
  <c r="BZ30" i="27"/>
  <c r="BY30" i="27"/>
  <c r="BX30" i="27"/>
  <c r="BW30" i="27"/>
  <c r="BU30" i="27"/>
  <c r="BT30" i="27"/>
  <c r="BQ30" i="27"/>
  <c r="BO30" i="27"/>
  <c r="BN30" i="27"/>
  <c r="BM30" i="27"/>
  <c r="BL30" i="27"/>
  <c r="BJ30" i="27"/>
  <c r="BI30" i="27"/>
  <c r="BH30" i="27"/>
  <c r="BG30" i="27"/>
  <c r="AF30" i="27"/>
  <c r="AE30" i="27"/>
  <c r="AC30" i="27"/>
  <c r="AB30" i="27"/>
  <c r="T30" i="27"/>
  <c r="S30" i="27"/>
  <c r="E30" i="27"/>
  <c r="DG29" i="27"/>
  <c r="DF29" i="27"/>
  <c r="DA29" i="27"/>
  <c r="CX29" i="27"/>
  <c r="CW29" i="27"/>
  <c r="CV29" i="27"/>
  <c r="CU29" i="27"/>
  <c r="CT29" i="27"/>
  <c r="CS29" i="27"/>
  <c r="CR29" i="27"/>
  <c r="CQ29" i="27"/>
  <c r="CP29" i="27"/>
  <c r="CL29" i="27"/>
  <c r="CJ29" i="27"/>
  <c r="CI29" i="27"/>
  <c r="CG29" i="27"/>
  <c r="CF29" i="27"/>
  <c r="CE29" i="27"/>
  <c r="CB29" i="27"/>
  <c r="BZ29" i="27"/>
  <c r="BY29" i="27"/>
  <c r="BX29" i="27"/>
  <c r="BW29" i="27"/>
  <c r="BU29" i="27"/>
  <c r="BT29" i="27"/>
  <c r="BS29" i="27"/>
  <c r="BR29" i="27"/>
  <c r="BQ29" i="27"/>
  <c r="BO29" i="27"/>
  <c r="BN29" i="27"/>
  <c r="BM29" i="27"/>
  <c r="BL29" i="27"/>
  <c r="BJ29" i="27"/>
  <c r="BI29" i="27"/>
  <c r="BH29" i="27"/>
  <c r="BG29" i="27"/>
  <c r="AF29" i="27"/>
  <c r="AE29" i="27"/>
  <c r="AA29" i="27"/>
  <c r="T29" i="27"/>
  <c r="S29" i="27"/>
  <c r="E29" i="27"/>
  <c r="DG28" i="27"/>
  <c r="DF28" i="27"/>
  <c r="DA28" i="27"/>
  <c r="CY28" i="27"/>
  <c r="CX28" i="27"/>
  <c r="CW28" i="27"/>
  <c r="CV28" i="27"/>
  <c r="CU28" i="27"/>
  <c r="CT28" i="27"/>
  <c r="CS28" i="27"/>
  <c r="CR28" i="27"/>
  <c r="CQ28" i="27"/>
  <c r="CP28" i="27"/>
  <c r="CL28" i="27"/>
  <c r="CJ28" i="27"/>
  <c r="CG28" i="27"/>
  <c r="CF28" i="27"/>
  <c r="CE28" i="27"/>
  <c r="CD28" i="27"/>
  <c r="CB28" i="27"/>
  <c r="CA28" i="27"/>
  <c r="BZ28" i="27"/>
  <c r="BY28" i="27"/>
  <c r="BX28" i="27"/>
  <c r="BW28" i="27"/>
  <c r="BU28" i="27"/>
  <c r="BT28" i="27"/>
  <c r="BS28" i="27"/>
  <c r="BR28" i="27"/>
  <c r="BQ28" i="27"/>
  <c r="BO28" i="27"/>
  <c r="BN28" i="27"/>
  <c r="BM28" i="27"/>
  <c r="BL28" i="27"/>
  <c r="BJ28" i="27"/>
  <c r="BI28" i="27"/>
  <c r="BH28" i="27"/>
  <c r="BG28" i="27"/>
  <c r="AF28" i="27"/>
  <c r="AE28" i="27"/>
  <c r="AA28" i="27"/>
  <c r="T28" i="27"/>
  <c r="S28" i="27"/>
  <c r="E28" i="27"/>
  <c r="DG27" i="27"/>
  <c r="DF27" i="27"/>
  <c r="DE27" i="27"/>
  <c r="DA27" i="27"/>
  <c r="CY27" i="27"/>
  <c r="CX27" i="27"/>
  <c r="CW27" i="27"/>
  <c r="CV27" i="27"/>
  <c r="CU27" i="27"/>
  <c r="CT27" i="27"/>
  <c r="CS27" i="27"/>
  <c r="CR27" i="27"/>
  <c r="CQ27" i="27"/>
  <c r="CP27" i="27"/>
  <c r="CL27" i="27"/>
  <c r="CJ27" i="27"/>
  <c r="CG27" i="27"/>
  <c r="CF27" i="27"/>
  <c r="CE27" i="27"/>
  <c r="CD27" i="27"/>
  <c r="CB27" i="27"/>
  <c r="CA27" i="27"/>
  <c r="BZ27" i="27"/>
  <c r="BY27" i="27"/>
  <c r="BX27" i="27"/>
  <c r="BW27" i="27"/>
  <c r="BU27" i="27"/>
  <c r="BT27" i="27"/>
  <c r="BS27" i="27"/>
  <c r="BR27" i="27"/>
  <c r="BQ27" i="27"/>
  <c r="BO27" i="27"/>
  <c r="BN27" i="27"/>
  <c r="BM27" i="27"/>
  <c r="BL27" i="27"/>
  <c r="BJ27" i="27"/>
  <c r="BI27" i="27"/>
  <c r="BH27" i="27"/>
  <c r="BG27" i="27"/>
  <c r="AF27" i="27"/>
  <c r="AE27" i="27"/>
  <c r="AA27" i="27"/>
  <c r="T27" i="27"/>
  <c r="S27" i="27"/>
  <c r="E27" i="27"/>
  <c r="DF26" i="27"/>
  <c r="DC26" i="27"/>
  <c r="DB26" i="27"/>
  <c r="DA26" i="27"/>
  <c r="CZ26" i="27"/>
  <c r="CY26" i="27"/>
  <c r="CX26" i="27"/>
  <c r="CW26" i="27"/>
  <c r="CV26" i="27"/>
  <c r="CU26" i="27"/>
  <c r="CT26" i="27"/>
  <c r="CS26" i="27"/>
  <c r="CR26" i="27"/>
  <c r="CQ26" i="27"/>
  <c r="CP26" i="27"/>
  <c r="CO26" i="27"/>
  <c r="CN26" i="27"/>
  <c r="CM26" i="27"/>
  <c r="CL26" i="27"/>
  <c r="CK26" i="27"/>
  <c r="CJ26" i="27"/>
  <c r="CI26" i="27"/>
  <c r="CH26" i="27"/>
  <c r="CG26" i="27"/>
  <c r="CF26" i="27"/>
  <c r="CE26" i="27"/>
  <c r="CD26" i="27"/>
  <c r="CC26" i="27"/>
  <c r="CB26" i="27"/>
  <c r="CA26" i="27"/>
  <c r="BZ26" i="27"/>
  <c r="BY26" i="27"/>
  <c r="BX26" i="27"/>
  <c r="BW26" i="27"/>
  <c r="BV26" i="27"/>
  <c r="BU26" i="27"/>
  <c r="BT26" i="27"/>
  <c r="BS26" i="27"/>
  <c r="BR26" i="27"/>
  <c r="BQ26" i="27"/>
  <c r="BP26" i="27"/>
  <c r="BO26" i="27"/>
  <c r="BN26" i="27"/>
  <c r="BM26" i="27"/>
  <c r="BL26" i="27"/>
  <c r="BK26" i="27"/>
  <c r="BJ26" i="27"/>
  <c r="BI26" i="27"/>
  <c r="BH26" i="27"/>
  <c r="BG26" i="27"/>
  <c r="BF26" i="27"/>
  <c r="BE26" i="27"/>
  <c r="BD26" i="27"/>
  <c r="BC26" i="27"/>
  <c r="BB26" i="27"/>
  <c r="BA26" i="27"/>
  <c r="AZ26" i="27"/>
  <c r="AY26" i="27"/>
  <c r="AX26" i="27"/>
  <c r="AW26" i="27"/>
  <c r="AV26" i="27"/>
  <c r="AU26" i="27"/>
  <c r="AT26" i="27"/>
  <c r="AS26" i="27"/>
  <c r="AR26" i="27"/>
  <c r="AQ26" i="27"/>
  <c r="AP26" i="27"/>
  <c r="AO26" i="27"/>
  <c r="AN26" i="27"/>
  <c r="AM26" i="27"/>
  <c r="AL26" i="27"/>
  <c r="AK26" i="27"/>
  <c r="AJ26" i="27"/>
  <c r="AI26" i="27"/>
  <c r="AH26" i="27"/>
  <c r="AG26" i="27"/>
  <c r="AF26" i="27"/>
  <c r="AE26" i="27"/>
  <c r="AC26" i="27"/>
  <c r="AB26" i="27"/>
  <c r="AA26" i="27"/>
  <c r="Z26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DG25" i="27"/>
  <c r="DF25" i="27"/>
  <c r="DE25" i="27"/>
  <c r="DA25" i="27"/>
  <c r="CY25" i="27"/>
  <c r="CX25" i="27"/>
  <c r="CW25" i="27"/>
  <c r="CV25" i="27"/>
  <c r="CU25" i="27"/>
  <c r="CT25" i="27"/>
  <c r="CS25" i="27"/>
  <c r="CR25" i="27"/>
  <c r="CQ25" i="27"/>
  <c r="CP25" i="27"/>
  <c r="CL25" i="27"/>
  <c r="CJ25" i="27"/>
  <c r="CG25" i="27"/>
  <c r="CF25" i="27"/>
  <c r="CE25" i="27"/>
  <c r="CD25" i="27"/>
  <c r="CB25" i="27"/>
  <c r="CA25" i="27"/>
  <c r="BZ25" i="27"/>
  <c r="BY25" i="27"/>
  <c r="BX25" i="27"/>
  <c r="BW25" i="27"/>
  <c r="BU25" i="27"/>
  <c r="BT25" i="27"/>
  <c r="BS25" i="27"/>
  <c r="BR25" i="27"/>
  <c r="BQ25" i="27"/>
  <c r="BO25" i="27"/>
  <c r="BN25" i="27"/>
  <c r="BM25" i="27"/>
  <c r="BL25" i="27"/>
  <c r="BJ25" i="27"/>
  <c r="BI25" i="27"/>
  <c r="BH25" i="27"/>
  <c r="BG25" i="27"/>
  <c r="AF25" i="27"/>
  <c r="AE25" i="27"/>
  <c r="AA25" i="27"/>
  <c r="T25" i="27"/>
  <c r="S25" i="27"/>
  <c r="E25" i="27"/>
  <c r="DG24" i="27"/>
  <c r="DF24" i="27"/>
  <c r="DA24" i="27"/>
  <c r="CY24" i="27"/>
  <c r="CX24" i="27"/>
  <c r="CW24" i="27"/>
  <c r="CV24" i="27"/>
  <c r="CU24" i="27"/>
  <c r="CT24" i="27"/>
  <c r="CS24" i="27"/>
  <c r="CR24" i="27"/>
  <c r="CQ24" i="27"/>
  <c r="CP24" i="27"/>
  <c r="CL24" i="27"/>
  <c r="CJ24" i="27"/>
  <c r="CI24" i="27"/>
  <c r="CG24" i="27"/>
  <c r="CF24" i="27"/>
  <c r="CE24" i="27"/>
  <c r="CD24" i="27"/>
  <c r="CB24" i="27"/>
  <c r="CA24" i="27"/>
  <c r="BZ24" i="27"/>
  <c r="BY24" i="27"/>
  <c r="BX24" i="27"/>
  <c r="BW24" i="27"/>
  <c r="BU24" i="27"/>
  <c r="BT24" i="27"/>
  <c r="BS24" i="27"/>
  <c r="BR24" i="27"/>
  <c r="BQ24" i="27"/>
  <c r="BO24" i="27"/>
  <c r="BN24" i="27"/>
  <c r="BM24" i="27"/>
  <c r="BL24" i="27"/>
  <c r="BJ24" i="27"/>
  <c r="BI24" i="27"/>
  <c r="BH24" i="27"/>
  <c r="BG24" i="27"/>
  <c r="AF24" i="27"/>
  <c r="AE24" i="27"/>
  <c r="AA24" i="27"/>
  <c r="T24" i="27"/>
  <c r="S24" i="27"/>
  <c r="E24" i="27"/>
  <c r="CY23" i="27"/>
  <c r="CG23" i="27"/>
  <c r="CF23" i="27"/>
  <c r="CE23" i="27"/>
  <c r="CD23" i="27"/>
  <c r="CB23" i="27"/>
  <c r="CA23" i="27"/>
  <c r="BZ23" i="27"/>
  <c r="BY23" i="27"/>
  <c r="BX23" i="27"/>
  <c r="BW23" i="27"/>
  <c r="BU23" i="27"/>
  <c r="BT23" i="27"/>
  <c r="BQ23" i="27"/>
  <c r="BO23" i="27"/>
  <c r="BN23" i="27"/>
  <c r="BM23" i="27"/>
  <c r="BL23" i="27"/>
  <c r="BJ23" i="27"/>
  <c r="BI23" i="27"/>
  <c r="BH23" i="27"/>
  <c r="BG23" i="27"/>
  <c r="AF23" i="27"/>
  <c r="AE23" i="27"/>
  <c r="AC23" i="27"/>
  <c r="AB23" i="27"/>
  <c r="AA23" i="27"/>
  <c r="T23" i="27"/>
  <c r="E23" i="27"/>
  <c r="DG22" i="27"/>
  <c r="DF22" i="27"/>
  <c r="DA22" i="27"/>
  <c r="CY22" i="27"/>
  <c r="CX22" i="27"/>
  <c r="CW22" i="27"/>
  <c r="CV22" i="27"/>
  <c r="CU22" i="27"/>
  <c r="CT22" i="27"/>
  <c r="CS22" i="27"/>
  <c r="CR22" i="27"/>
  <c r="CQ22" i="27"/>
  <c r="CP22" i="27"/>
  <c r="CL22" i="27"/>
  <c r="CJ22" i="27"/>
  <c r="CG22" i="27"/>
  <c r="CF22" i="27"/>
  <c r="CE22" i="27"/>
  <c r="CD22" i="27"/>
  <c r="CB22" i="27"/>
  <c r="CA22" i="27"/>
  <c r="BZ22" i="27"/>
  <c r="BY22" i="27"/>
  <c r="BX22" i="27"/>
  <c r="BW22" i="27"/>
  <c r="BU22" i="27"/>
  <c r="BT22" i="27"/>
  <c r="BS22" i="27"/>
  <c r="BR22" i="27"/>
  <c r="BQ22" i="27"/>
  <c r="BO22" i="27"/>
  <c r="BN22" i="27"/>
  <c r="BM22" i="27"/>
  <c r="BL22" i="27"/>
  <c r="BJ22" i="27"/>
  <c r="BI22" i="27"/>
  <c r="BH22" i="27"/>
  <c r="BG22" i="27"/>
  <c r="AF22" i="27"/>
  <c r="AE22" i="27"/>
  <c r="AA22" i="27"/>
  <c r="T22" i="27"/>
  <c r="S22" i="27"/>
  <c r="E22" i="27"/>
  <c r="DG21" i="27"/>
  <c r="DF21" i="27"/>
  <c r="DE21" i="27"/>
  <c r="DA21" i="27"/>
  <c r="CY21" i="27"/>
  <c r="CR21" i="27"/>
  <c r="CL21" i="27"/>
  <c r="CJ21" i="27"/>
  <c r="CG21" i="27"/>
  <c r="CF21" i="27"/>
  <c r="CE21" i="27"/>
  <c r="CD21" i="27"/>
  <c r="CB21" i="27"/>
  <c r="CA21" i="27"/>
  <c r="BZ21" i="27"/>
  <c r="BY21" i="27"/>
  <c r="BX21" i="27"/>
  <c r="BW21" i="27"/>
  <c r="BU21" i="27"/>
  <c r="BT21" i="27"/>
  <c r="BS21" i="27"/>
  <c r="BR21" i="27"/>
  <c r="BQ21" i="27"/>
  <c r="BO21" i="27"/>
  <c r="BN21" i="27"/>
  <c r="BM21" i="27"/>
  <c r="BL21" i="27"/>
  <c r="BJ21" i="27"/>
  <c r="BI21" i="27"/>
  <c r="BH21" i="27"/>
  <c r="BG21" i="27"/>
  <c r="AF21" i="27"/>
  <c r="AE21" i="27"/>
  <c r="AA21" i="27"/>
  <c r="T21" i="27"/>
  <c r="S21" i="27"/>
  <c r="CY20" i="27"/>
  <c r="CG20" i="27"/>
  <c r="CF20" i="27"/>
  <c r="CE20" i="27"/>
  <c r="CD20" i="27"/>
  <c r="CB20" i="27"/>
  <c r="CA20" i="27"/>
  <c r="BZ20" i="27"/>
  <c r="BY20" i="27"/>
  <c r="BX20" i="27"/>
  <c r="BW20" i="27"/>
  <c r="BU20" i="27"/>
  <c r="BT20" i="27"/>
  <c r="BS20" i="27"/>
  <c r="BR20" i="27"/>
  <c r="BQ20" i="27"/>
  <c r="BO20" i="27"/>
  <c r="BN20" i="27"/>
  <c r="BM20" i="27"/>
  <c r="BL20" i="27"/>
  <c r="BJ20" i="27"/>
  <c r="BI20" i="27"/>
  <c r="BH20" i="27"/>
  <c r="BG20" i="27"/>
  <c r="AF20" i="27"/>
  <c r="AE20" i="27"/>
  <c r="AB20" i="27"/>
  <c r="T20" i="27"/>
  <c r="S20" i="27"/>
  <c r="E20" i="27"/>
  <c r="DG19" i="27"/>
  <c r="DF19" i="27"/>
  <c r="DE19" i="27"/>
  <c r="DA19" i="27"/>
  <c r="CY19" i="27"/>
  <c r="CX19" i="27"/>
  <c r="CW19" i="27"/>
  <c r="CV19" i="27"/>
  <c r="CU19" i="27"/>
  <c r="CT19" i="27"/>
  <c r="CS19" i="27"/>
  <c r="CR19" i="27"/>
  <c r="CQ19" i="27"/>
  <c r="CP19" i="27"/>
  <c r="CL19" i="27"/>
  <c r="CJ19" i="27"/>
  <c r="CG19" i="27"/>
  <c r="CF19" i="27"/>
  <c r="CE19" i="27"/>
  <c r="CD19" i="27"/>
  <c r="CB19" i="27"/>
  <c r="CA19" i="27"/>
  <c r="BZ19" i="27"/>
  <c r="BY19" i="27"/>
  <c r="BX19" i="27"/>
  <c r="BW19" i="27"/>
  <c r="BU19" i="27"/>
  <c r="BT19" i="27"/>
  <c r="BS19" i="27"/>
  <c r="BR19" i="27"/>
  <c r="BQ19" i="27"/>
  <c r="BO19" i="27"/>
  <c r="BN19" i="27"/>
  <c r="BM19" i="27"/>
  <c r="BL19" i="27"/>
  <c r="BJ19" i="27"/>
  <c r="BI19" i="27"/>
  <c r="BH19" i="27"/>
  <c r="BG19" i="27"/>
  <c r="AF19" i="27"/>
  <c r="AE19" i="27"/>
  <c r="AA19" i="27"/>
  <c r="T19" i="27"/>
  <c r="S19" i="27"/>
  <c r="E19" i="27"/>
  <c r="DG18" i="27"/>
  <c r="DF18" i="27"/>
  <c r="DE18" i="27"/>
  <c r="DD18" i="27"/>
  <c r="DC18" i="27"/>
  <c r="DB18" i="27"/>
  <c r="DA18" i="27"/>
  <c r="CZ18" i="27"/>
  <c r="CY18" i="27"/>
  <c r="CX18" i="27"/>
  <c r="CW18" i="27"/>
  <c r="CV18" i="27"/>
  <c r="CU18" i="27"/>
  <c r="CT18" i="27"/>
  <c r="CS18" i="27"/>
  <c r="CR18" i="27"/>
  <c r="CQ18" i="27"/>
  <c r="CP18" i="27"/>
  <c r="CO18" i="27"/>
  <c r="CN18" i="27"/>
  <c r="CM18" i="27"/>
  <c r="CL18" i="27"/>
  <c r="CK18" i="27"/>
  <c r="CJ18" i="27"/>
  <c r="CI18" i="27"/>
  <c r="CH18" i="27"/>
  <c r="CG18" i="27"/>
  <c r="CF18" i="27"/>
  <c r="CE18" i="27"/>
  <c r="CD18" i="27"/>
  <c r="CC18" i="27"/>
  <c r="CB18" i="27"/>
  <c r="CA18" i="27"/>
  <c r="BZ18" i="27"/>
  <c r="BY18" i="27"/>
  <c r="BX18" i="27"/>
  <c r="BW18" i="27"/>
  <c r="BV18" i="27"/>
  <c r="BU18" i="27"/>
  <c r="BT18" i="27"/>
  <c r="BS18" i="27"/>
  <c r="BR18" i="27"/>
  <c r="BQ18" i="27"/>
  <c r="BP18" i="27"/>
  <c r="BO18" i="27"/>
  <c r="BN18" i="27"/>
  <c r="BM18" i="27"/>
  <c r="BL18" i="27"/>
  <c r="BK18" i="27"/>
  <c r="BJ18" i="27"/>
  <c r="BI18" i="27"/>
  <c r="BH18" i="27"/>
  <c r="BG18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CY17" i="27"/>
  <c r="CG17" i="27"/>
  <c r="CE17" i="27"/>
  <c r="CB17" i="27"/>
  <c r="CA17" i="27"/>
  <c r="BZ17" i="27"/>
  <c r="BY17" i="27"/>
  <c r="BX17" i="27"/>
  <c r="BW17" i="27"/>
  <c r="BU17" i="27"/>
  <c r="BT17" i="27"/>
  <c r="BQ17" i="27"/>
  <c r="BO17" i="27"/>
  <c r="BN17" i="27"/>
  <c r="BM17" i="27"/>
  <c r="BL17" i="27"/>
  <c r="BJ17" i="27"/>
  <c r="BI17" i="27"/>
  <c r="BH17" i="27"/>
  <c r="BG17" i="27"/>
  <c r="AF17" i="27"/>
  <c r="AE17" i="27"/>
  <c r="AC17" i="27"/>
  <c r="AB17" i="27"/>
  <c r="T17" i="27"/>
  <c r="S17" i="27"/>
  <c r="E17" i="27"/>
  <c r="DG16" i="27"/>
  <c r="DF16" i="27"/>
  <c r="DB16" i="27"/>
  <c r="CY16" i="27"/>
  <c r="CX16" i="27"/>
  <c r="CW16" i="27"/>
  <c r="CV16" i="27"/>
  <c r="CU16" i="27"/>
  <c r="CT16" i="27"/>
  <c r="CS16" i="27"/>
  <c r="CR16" i="27"/>
  <c r="CQ16" i="27"/>
  <c r="CP16" i="27"/>
  <c r="CL16" i="27"/>
  <c r="CJ16" i="27"/>
  <c r="CG16" i="27"/>
  <c r="CF16" i="27"/>
  <c r="CE16" i="27"/>
  <c r="CD16" i="27"/>
  <c r="CB16" i="27"/>
  <c r="CA16" i="27"/>
  <c r="BZ16" i="27"/>
  <c r="BY16" i="27"/>
  <c r="BX16" i="27"/>
  <c r="BW16" i="27"/>
  <c r="BU16" i="27"/>
  <c r="BT16" i="27"/>
  <c r="BS16" i="27"/>
  <c r="BR16" i="27"/>
  <c r="BQ16" i="27"/>
  <c r="BO16" i="27"/>
  <c r="BN16" i="27"/>
  <c r="BM16" i="27"/>
  <c r="BL16" i="27"/>
  <c r="BJ16" i="27"/>
  <c r="BI16" i="27"/>
  <c r="BH16" i="27"/>
  <c r="BG16" i="27"/>
  <c r="AF16" i="27"/>
  <c r="AE16" i="27"/>
  <c r="AA16" i="27"/>
  <c r="T16" i="27"/>
  <c r="S16" i="27"/>
  <c r="E16" i="27"/>
  <c r="DG15" i="27"/>
  <c r="DF15" i="27"/>
  <c r="DB15" i="27"/>
  <c r="CY15" i="27"/>
  <c r="CX15" i="27"/>
  <c r="CW15" i="27"/>
  <c r="CV15" i="27"/>
  <c r="CU15" i="27"/>
  <c r="CT15" i="27"/>
  <c r="CS15" i="27"/>
  <c r="CR15" i="27"/>
  <c r="CQ15" i="27"/>
  <c r="CP15" i="27"/>
  <c r="CL15" i="27"/>
  <c r="CJ15" i="27"/>
  <c r="CI15" i="27"/>
  <c r="CG15" i="27"/>
  <c r="CF15" i="27"/>
  <c r="CE15" i="27"/>
  <c r="CD15" i="27"/>
  <c r="CB15" i="27"/>
  <c r="CA15" i="27"/>
  <c r="BZ15" i="27"/>
  <c r="BY15" i="27"/>
  <c r="BX15" i="27"/>
  <c r="BW15" i="27"/>
  <c r="BU15" i="27"/>
  <c r="BT15" i="27"/>
  <c r="BS15" i="27"/>
  <c r="BR15" i="27"/>
  <c r="BQ15" i="27"/>
  <c r="BO15" i="27"/>
  <c r="BN15" i="27"/>
  <c r="BM15" i="27"/>
  <c r="BL15" i="27"/>
  <c r="BJ15" i="27"/>
  <c r="BI15" i="27"/>
  <c r="BH15" i="27"/>
  <c r="BG15" i="27"/>
  <c r="AF15" i="27"/>
  <c r="AE15" i="27"/>
  <c r="AA15" i="27"/>
  <c r="T15" i="27"/>
  <c r="S15" i="27"/>
  <c r="E15" i="27"/>
  <c r="CY14" i="27"/>
  <c r="CG14" i="27"/>
  <c r="CF14" i="27"/>
  <c r="CE14" i="27"/>
  <c r="CD14" i="27"/>
  <c r="CB14" i="27"/>
  <c r="CA14" i="27"/>
  <c r="BZ14" i="27"/>
  <c r="BY14" i="27"/>
  <c r="BX14" i="27"/>
  <c r="BW14" i="27"/>
  <c r="BU14" i="27"/>
  <c r="BT14" i="27"/>
  <c r="BQ14" i="27"/>
  <c r="BO14" i="27"/>
  <c r="BN14" i="27"/>
  <c r="BM14" i="27"/>
  <c r="BL14" i="27"/>
  <c r="BJ14" i="27"/>
  <c r="BI14" i="27"/>
  <c r="BH14" i="27"/>
  <c r="BG14" i="27"/>
  <c r="AF14" i="27"/>
  <c r="AE14" i="27"/>
  <c r="AC14" i="27"/>
  <c r="AB14" i="27"/>
  <c r="T14" i="27"/>
  <c r="E14" i="27"/>
  <c r="CY13" i="27"/>
  <c r="CG13" i="27"/>
  <c r="CF13" i="27"/>
  <c r="CE13" i="27"/>
  <c r="CD13" i="27"/>
  <c r="CB13" i="27"/>
  <c r="CA13" i="27"/>
  <c r="BZ13" i="27"/>
  <c r="BY13" i="27"/>
  <c r="BX13" i="27"/>
  <c r="BW13" i="27"/>
  <c r="BU13" i="27"/>
  <c r="BT13" i="27"/>
  <c r="BS13" i="27"/>
  <c r="BR13" i="27"/>
  <c r="BQ13" i="27"/>
  <c r="BO13" i="27"/>
  <c r="BN13" i="27"/>
  <c r="BM13" i="27"/>
  <c r="BL13" i="27"/>
  <c r="BJ13" i="27"/>
  <c r="BI13" i="27"/>
  <c r="BH13" i="27"/>
  <c r="BG13" i="27"/>
  <c r="AF13" i="27"/>
  <c r="AE13" i="27"/>
  <c r="AC13" i="27"/>
  <c r="AB13" i="27"/>
  <c r="AA13" i="27"/>
  <c r="T13" i="27"/>
  <c r="S13" i="27"/>
  <c r="E13" i="27"/>
  <c r="DG12" i="27"/>
  <c r="DF12" i="27"/>
  <c r="DB12" i="27"/>
  <c r="CY12" i="27"/>
  <c r="CX12" i="27"/>
  <c r="CW12" i="27"/>
  <c r="CV12" i="27"/>
  <c r="CU12" i="27"/>
  <c r="CT12" i="27"/>
  <c r="CS12" i="27"/>
  <c r="CR12" i="27"/>
  <c r="CQ12" i="27"/>
  <c r="CP12" i="27"/>
  <c r="CL12" i="27"/>
  <c r="CG12" i="27"/>
  <c r="CF12" i="27"/>
  <c r="CE12" i="27"/>
  <c r="CD12" i="27"/>
  <c r="CB12" i="27"/>
  <c r="CA12" i="27"/>
  <c r="BZ12" i="27"/>
  <c r="BY12" i="27"/>
  <c r="BX12" i="27"/>
  <c r="BW12" i="27"/>
  <c r="BU12" i="27"/>
  <c r="BT12" i="27"/>
  <c r="BS12" i="27"/>
  <c r="BR12" i="27"/>
  <c r="BQ12" i="27"/>
  <c r="BO12" i="27"/>
  <c r="BN12" i="27"/>
  <c r="BM12" i="27"/>
  <c r="BL12" i="27"/>
  <c r="BJ12" i="27"/>
  <c r="BI12" i="27"/>
  <c r="BH12" i="27"/>
  <c r="BG12" i="27"/>
  <c r="AF12" i="27"/>
  <c r="AE12" i="27"/>
  <c r="AC12" i="27"/>
  <c r="AA12" i="27"/>
  <c r="T12" i="27"/>
  <c r="S12" i="27"/>
  <c r="E12" i="27"/>
  <c r="DG11" i="27"/>
  <c r="DF11" i="27"/>
  <c r="DB11" i="27"/>
  <c r="CY11" i="27"/>
  <c r="CX11" i="27"/>
  <c r="CW11" i="27"/>
  <c r="CV11" i="27"/>
  <c r="CU11" i="27"/>
  <c r="CT11" i="27"/>
  <c r="CS11" i="27"/>
  <c r="CR11" i="27"/>
  <c r="CQ11" i="27"/>
  <c r="CP11" i="27"/>
  <c r="CJ11" i="27"/>
  <c r="CG11" i="27"/>
  <c r="CF11" i="27"/>
  <c r="CE11" i="27"/>
  <c r="CD11" i="27"/>
  <c r="CB11" i="27"/>
  <c r="CA11" i="27"/>
  <c r="BZ11" i="27"/>
  <c r="BY11" i="27"/>
  <c r="BX11" i="27"/>
  <c r="BW11" i="27"/>
  <c r="BU11" i="27"/>
  <c r="BT11" i="27"/>
  <c r="BS11" i="27"/>
  <c r="BR11" i="27"/>
  <c r="BQ11" i="27"/>
  <c r="BO11" i="27"/>
  <c r="BN11" i="27"/>
  <c r="BM11" i="27"/>
  <c r="BL11" i="27"/>
  <c r="BJ11" i="27"/>
  <c r="BI11" i="27"/>
  <c r="BH11" i="27"/>
  <c r="BG11" i="27"/>
  <c r="AF11" i="27"/>
  <c r="AE11" i="27"/>
  <c r="AA11" i="27"/>
  <c r="E11" i="27"/>
  <c r="CL10" i="27"/>
  <c r="CH10" i="27"/>
  <c r="CG10" i="27"/>
  <c r="CF10" i="27"/>
  <c r="CE10" i="27"/>
  <c r="CD10" i="27"/>
  <c r="CC10" i="27"/>
  <c r="CB10" i="27"/>
  <c r="CA10" i="27"/>
  <c r="BZ10" i="27"/>
  <c r="BY10" i="27"/>
  <c r="BX10" i="27"/>
  <c r="BW10" i="27"/>
  <c r="BV10" i="27"/>
  <c r="BU10" i="27"/>
  <c r="BT10" i="27"/>
  <c r="BS10" i="27"/>
  <c r="BR10" i="27"/>
  <c r="BQ10" i="27"/>
  <c r="BP10" i="27"/>
  <c r="BO10" i="27"/>
  <c r="BN10" i="27"/>
  <c r="BM10" i="27"/>
  <c r="BL10" i="27"/>
  <c r="BK10" i="27"/>
  <c r="BJ10" i="27"/>
  <c r="BI10" i="27"/>
  <c r="BH10" i="27"/>
  <c r="BG10" i="27"/>
  <c r="BF10" i="27"/>
  <c r="BE10" i="27"/>
  <c r="BD10" i="27"/>
  <c r="BC10" i="27"/>
  <c r="BB10" i="27"/>
  <c r="BA10" i="27"/>
  <c r="AZ10" i="27"/>
  <c r="AY10" i="27"/>
  <c r="AX10" i="27"/>
  <c r="AW10" i="27"/>
  <c r="AV10" i="27"/>
  <c r="AU10" i="27"/>
  <c r="AT10" i="27"/>
  <c r="AS10" i="27"/>
  <c r="AR10" i="27"/>
  <c r="AQ10" i="27"/>
  <c r="AP10" i="27"/>
  <c r="AO10" i="27"/>
  <c r="AN10" i="27"/>
  <c r="AM10" i="27"/>
  <c r="AL10" i="27"/>
  <c r="AK10" i="27"/>
  <c r="AJ10" i="27"/>
  <c r="AI10" i="27"/>
  <c r="AH10" i="27"/>
  <c r="AG10" i="27"/>
  <c r="AF10" i="27"/>
  <c r="AE10" i="27"/>
  <c r="AC10" i="27"/>
  <c r="AB10" i="27"/>
  <c r="AA10" i="27"/>
  <c r="Z10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BG8" i="27"/>
  <c r="CG7" i="27"/>
  <c r="CF7" i="27"/>
  <c r="CG6" i="27"/>
  <c r="CF6" i="27"/>
  <c r="CE6" i="27"/>
  <c r="CE3" i="27"/>
  <c r="G41" i="27" l="1"/>
  <c r="J26" i="27"/>
  <c r="J41" i="27"/>
  <c r="G26" i="27"/>
  <c r="F41" i="27"/>
  <c r="DG49" i="27"/>
  <c r="I41" i="27"/>
  <c r="J32" i="27"/>
  <c r="I26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Hoàng Nguyễn</author>
    <author/>
    <author>medigo user 20</author>
  </authors>
  <commentList>
    <comment ref="BQ11" authorId="0" shapeId="0" xr:uid="{00000000-0006-0000-0000-000001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12" authorId="0" shapeId="0" xr:uid="{00000000-0006-0000-0000-000002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13" authorId="0" shapeId="0" xr:uid="{00000000-0006-0000-0000-000003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14" authorId="0" shapeId="0" xr:uid="{00000000-0006-0000-0000-000004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15" authorId="0" shapeId="0" xr:uid="{00000000-0006-0000-0000-000005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16" authorId="0" shapeId="0" xr:uid="{00000000-0006-0000-0000-000006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17" authorId="0" shapeId="0" xr:uid="{00000000-0006-0000-0000-000007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19" authorId="0" shapeId="0" xr:uid="{00000000-0006-0000-0000-000008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20" authorId="0" shapeId="0" xr:uid="{00000000-0006-0000-0000-000009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21" authorId="0" shapeId="0" xr:uid="{00000000-0006-0000-0000-00000A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22" authorId="0" shapeId="0" xr:uid="{00000000-0006-0000-0000-00000B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23" authorId="0" shapeId="0" xr:uid="{00000000-0006-0000-0000-00000C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24" authorId="0" shapeId="0" xr:uid="{00000000-0006-0000-0000-00000D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25" authorId="0" shapeId="0" xr:uid="{00000000-0006-0000-0000-00000E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27" authorId="0" shapeId="0" xr:uid="{00000000-0006-0000-0000-00000F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28" authorId="0" shapeId="0" xr:uid="{00000000-0006-0000-0000-000010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29" authorId="0" shapeId="0" xr:uid="{00000000-0006-0000-0000-000011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CA29" authorId="0" shapeId="0" xr:uid="{00000000-0006-0000-0000-000012000000}">
      <text>
        <r>
          <rPr>
            <b/>
            <sz val="9"/>
            <rFont val="Tahoma"/>
            <charset val="134"/>
          </rPr>
          <t xml:space="preserve">Tổng thu nhập 4 nhà 21.606.046
Thuế TNCN : 1.660.605đ lũy tiến </t>
        </r>
      </text>
    </comment>
    <comment ref="H30" authorId="1" shapeId="0" xr:uid="{00000000-0006-0000-0000-000013000000}">
      <text>
        <r>
          <rPr>
            <b/>
            <sz val="9"/>
            <rFont val="Tahoma"/>
            <charset val="134"/>
          </rPr>
          <t>Hoàng Nguyễn:</t>
        </r>
        <r>
          <rPr>
            <sz val="9"/>
            <rFont val="Tahoma"/>
            <charset val="134"/>
          </rPr>
          <t xml:space="preserve">
Duoc si nghi khong luon g thang 6,7,8 nam 2026
</t>
        </r>
      </text>
    </comment>
    <comment ref="BQ30" authorId="0" shapeId="0" xr:uid="{00000000-0006-0000-0000-000014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31" authorId="0" shapeId="0" xr:uid="{00000000-0006-0000-0000-000015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33" authorId="0" shapeId="0" xr:uid="{00000000-0006-0000-0000-000016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34" authorId="0" shapeId="0" xr:uid="{00000000-0006-0000-0000-000017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35" authorId="0" shapeId="0" xr:uid="{00000000-0006-0000-0000-000018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36" authorId="0" shapeId="0" xr:uid="{00000000-0006-0000-0000-000019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37" authorId="0" shapeId="0" xr:uid="{00000000-0006-0000-0000-00001A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38" authorId="0" shapeId="0" xr:uid="{00000000-0006-0000-0000-00001B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39" authorId="0" shapeId="0" xr:uid="{00000000-0006-0000-0000-00001C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40" authorId="0" shapeId="0" xr:uid="{00000000-0006-0000-0000-00001D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42" authorId="0" shapeId="0" xr:uid="{00000000-0006-0000-0000-00001E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AQ43" authorId="2" shapeId="0" xr:uid="{00000000-0006-0000-0000-00001F000000}">
      <text>
        <r>
          <rPr>
            <sz val="10"/>
            <color rgb="FF000000"/>
            <rFont val="Calibri"/>
            <charset val="1"/>
            <scheme val="minor"/>
          </rPr>
          <t>Hoàn khấu hao đồng phục 500
tiền gửi xe ngày tháng 8/2026:29 ngày
tiền gửi xe ngày tháng 7/2026 29 ngày</t>
        </r>
      </text>
    </comment>
    <comment ref="BQ43" authorId="0" shapeId="0" xr:uid="{00000000-0006-0000-0000-000020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44" authorId="0" shapeId="0" xr:uid="{00000000-0006-0000-0000-000021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AQ45" authorId="1" shapeId="0" xr:uid="{00000000-0006-0000-0000-000022000000}">
      <text>
        <r>
          <rPr>
            <b/>
            <sz val="9"/>
            <rFont val="Tahoma"/>
            <charset val="134"/>
          </rPr>
          <t>Hoàng Nguyễn:</t>
        </r>
        <r>
          <rPr>
            <sz val="9"/>
            <rFont val="Tahoma"/>
            <charset val="134"/>
          </rPr>
          <t xml:space="preserve">
Tiền gửi xe sáng 8/2026: 5x500=25k
Tiền gửi xe sáng tháng 7/2026: 18x5=90k
</t>
        </r>
      </text>
    </comment>
    <comment ref="BQ45" authorId="0" shapeId="0" xr:uid="{00000000-0006-0000-0000-000023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46" authorId="0" shapeId="0" xr:uid="{00000000-0006-0000-0000-000024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47" authorId="0" shapeId="0" xr:uid="{00000000-0006-0000-0000-000025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D48" authorId="0" shapeId="0" xr:uid="{00000000-0006-0000-0000-000026000000}">
      <text>
        <r>
          <rPr>
            <sz val="9"/>
            <rFont val="Tahoma"/>
            <charset val="134"/>
          </rPr>
          <t xml:space="preserve">nhân sự vào làm 1 ngày nghỉ luôn 
</t>
        </r>
      </text>
    </comment>
    <comment ref="BQ48" authorId="0" shapeId="0" xr:uid="{00000000-0006-0000-0000-000027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50" authorId="0" shapeId="0" xr:uid="{00000000-0006-0000-0000-000028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51" authorId="0" shapeId="0" xr:uid="{00000000-0006-0000-0000-000029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52" authorId="0" shapeId="0" xr:uid="{00000000-0006-0000-0000-00002A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53" authorId="0" shapeId="0" xr:uid="{00000000-0006-0000-0000-00002B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54" authorId="0" shapeId="0" xr:uid="{00000000-0006-0000-0000-00002C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55" authorId="0" shapeId="0" xr:uid="{00000000-0006-0000-0000-00002D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57" authorId="0" shapeId="0" xr:uid="{00000000-0006-0000-0000-00002E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58" authorId="0" shapeId="0" xr:uid="{00000000-0006-0000-0000-00002F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59" authorId="0" shapeId="0" xr:uid="{00000000-0006-0000-0000-000030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AZ60" authorId="3" shapeId="0" xr:uid="{00000000-0006-0000-0000-000031000000}">
      <text>
        <r>
          <rPr>
            <b/>
            <sz val="9"/>
            <rFont val="Times New Roman"/>
          </rPr>
          <t>medigo user 20:</t>
        </r>
        <r>
          <rPr>
            <sz val="9"/>
            <rFont val="Times New Roman"/>
          </rPr>
          <t xml:space="preserve">
Chi trả  dược sĩ chuyên môn nhà Nguyễn văn Quá</t>
        </r>
      </text>
    </comment>
    <comment ref="BQ60" authorId="0" shapeId="0" xr:uid="{00000000-0006-0000-0000-000032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61" authorId="0" shapeId="0" xr:uid="{00000000-0006-0000-0000-000033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62" authorId="0" shapeId="0" xr:uid="{00000000-0006-0000-0000-000034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63" authorId="0" shapeId="0" xr:uid="{00000000-0006-0000-0000-000035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64" authorId="0" shapeId="0" xr:uid="{00000000-0006-0000-0000-000036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66" authorId="0" shapeId="0" xr:uid="{00000000-0006-0000-0000-000037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67" authorId="0" shapeId="0" xr:uid="{00000000-0006-0000-0000-000038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68" authorId="0" shapeId="0" xr:uid="{00000000-0006-0000-0000-000039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69" authorId="0" shapeId="0" xr:uid="{00000000-0006-0000-0000-00003A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71" authorId="0" shapeId="0" xr:uid="{00000000-0006-0000-0000-00003B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AZ72" authorId="3" shapeId="0" xr:uid="{00000000-0006-0000-0000-00003C000000}">
      <text>
        <r>
          <rPr>
            <b/>
            <sz val="9"/>
            <rFont val="Times New Roman"/>
          </rPr>
          <t>medigo user 20:</t>
        </r>
        <r>
          <rPr>
            <sz val="9"/>
            <rFont val="Times New Roman"/>
          </rPr>
          <t xml:space="preserve">
HD dược sĩ chuyên môn Lê Bình, tính từ 22/7/2026</t>
        </r>
      </text>
    </comment>
    <comment ref="BQ72" authorId="0" shapeId="0" xr:uid="{00000000-0006-0000-0000-00003D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73" authorId="0" shapeId="0" xr:uid="{00000000-0006-0000-0000-00003E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74" authorId="0" shapeId="0" xr:uid="{00000000-0006-0000-0000-00003F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75" authorId="0" shapeId="0" xr:uid="{00000000-0006-0000-0000-000040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76" authorId="0" shapeId="0" xr:uid="{00000000-0006-0000-0000-000041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D78" authorId="0" shapeId="0" xr:uid="{00000000-0006-0000-0000-000042000000}">
      <text>
        <r>
          <rPr>
            <b/>
            <sz val="9"/>
            <rFont val="Tahoma"/>
            <charset val="134"/>
          </rPr>
          <t xml:space="preserve">THANG 8/2025 CHUYEN CHE DO PARRTIME, THANG 7/2026 CHUYEN FULLTIME LUONG CO BAN 6,920,000
</t>
        </r>
      </text>
    </comment>
    <comment ref="BQ78" authorId="0" shapeId="0" xr:uid="{00000000-0006-0000-0000-000043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79" authorId="0" shapeId="0" xr:uid="{00000000-0006-0000-0000-000044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80" authorId="0" shapeId="0" xr:uid="{00000000-0006-0000-0000-000045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81" authorId="0" shapeId="0" xr:uid="{00000000-0006-0000-0000-000046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82" authorId="0" shapeId="0" xr:uid="{00000000-0006-0000-0000-000047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84" authorId="0" shapeId="0" xr:uid="{00000000-0006-0000-0000-000048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85" authorId="0" shapeId="0" xr:uid="{00000000-0006-0000-0000-000049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86" authorId="0" shapeId="0" xr:uid="{00000000-0006-0000-0000-00004A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87" authorId="0" shapeId="0" xr:uid="{00000000-0006-0000-0000-00004B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  <comment ref="BQ88" authorId="0" shapeId="0" xr:uid="{00000000-0006-0000-0000-00004C000000}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báo giàm BHXH T2 trễ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9" authorId="0" shapeId="0" xr:uid="{00000000-0006-0000-0500-000001000000}">
      <text>
        <r>
          <rPr>
            <sz val="11"/>
            <color rgb="FF000000"/>
            <rFont val="Calibri"/>
            <charset val="1"/>
            <scheme val="minor"/>
          </rPr>
          <t>Chủ TK là chị Ngô Thị Hương, do cô ko có tk, cô nhận tiền mặt, chị Hương sẽ gửi tiền mặt cho cô
======</t>
        </r>
      </text>
    </comment>
  </commentList>
</comments>
</file>

<file path=xl/sharedStrings.xml><?xml version="1.0" encoding="utf-8"?>
<sst xmlns="http://schemas.openxmlformats.org/spreadsheetml/2006/main" count="1953" uniqueCount="1006">
  <si>
    <t>BẢNG LƯƠNG THÁNG 8</t>
  </si>
  <si>
    <t>Ngày bắt đầu</t>
  </si>
  <si>
    <t>Ngày kết thúc</t>
  </si>
  <si>
    <t>Chuyển khoản VP</t>
  </si>
  <si>
    <t>Chuyển khoản CNT</t>
  </si>
  <si>
    <t>05/2026</t>
  </si>
  <si>
    <t>STT</t>
  </si>
  <si>
    <t>Tháng</t>
  </si>
  <si>
    <t>Mã NV</t>
  </si>
  <si>
    <t>Họ tên</t>
  </si>
  <si>
    <t>Loại Hợp đồng</t>
  </si>
  <si>
    <t>Bộ phận</t>
  </si>
  <si>
    <t>Chức 
vụ</t>
  </si>
  <si>
    <t>Ngày vào công ty</t>
  </si>
  <si>
    <t xml:space="preserve">Số tài khoản </t>
  </si>
  <si>
    <t xml:space="preserve">CN Ngân hàng </t>
  </si>
  <si>
    <t>Ngày công chuẩn</t>
  </si>
  <si>
    <t>Ngày công thực tế</t>
  </si>
  <si>
    <t>CNT ca ngày (giờ)</t>
  </si>
  <si>
    <t>CNT ca đêm (giờ)</t>
  </si>
  <si>
    <t>Số giờ TC ngày thường</t>
  </si>
  <si>
    <t>Số giờ TC ngày CN (*2)</t>
  </si>
  <si>
    <t>Số giờ TC ngày Lễ, tết (*3)</t>
  </si>
  <si>
    <t>HT hiệu quả làm việc</t>
  </si>
  <si>
    <t>Lương cơ bản (đóng BHXH)</t>
  </si>
  <si>
    <t>Hỗ trợ tiền ăn</t>
  </si>
  <si>
    <t>Hỗ trợ đồng phục</t>
  </si>
  <si>
    <t>Hỗ trợ điện thoại, xăng xe</t>
  </si>
  <si>
    <t>Hỗ trợ tiền gởi xe</t>
  </si>
  <si>
    <t>Hỗ trợ nhà ở</t>
  </si>
  <si>
    <t>Hỗ trợ nuôi con nhỏ</t>
  </si>
  <si>
    <t>Hỗ trợ phụ trách dự án/ sáng kiến</t>
  </si>
  <si>
    <t>Lương thỏa thuận</t>
  </si>
  <si>
    <t>Lương chính thức</t>
  </si>
  <si>
    <t>Lương thử việc</t>
  </si>
  <si>
    <t>Lương thực tế</t>
  </si>
  <si>
    <t>CNT- Lương ca ngày</t>
  </si>
  <si>
    <t>CNT- Lương ca đêm</t>
  </si>
  <si>
    <t>Phụ cấp trách nhiệm (áp dụng CHT)</t>
  </si>
  <si>
    <t>CNT-Phụ cấp cửa hàng mới</t>
  </si>
  <si>
    <t>CNT-Phụ cấp sức khỏe ca đêm</t>
  </si>
  <si>
    <t>Phụ cấp lưu động</t>
  </si>
  <si>
    <t>Phụ cấp tăng cường vận hành</t>
  </si>
  <si>
    <t>CNT- TPhụ cấp quy trình/dự án</t>
  </si>
  <si>
    <t>CNT- Tiền hỗ trợ đạt KPI</t>
  </si>
  <si>
    <t>CNT- tiền HT hàng điểm + Cắt liều</t>
  </si>
  <si>
    <t>CNT- Tiền HT hàng cận date</t>
  </si>
  <si>
    <t>CNT- Tiền hỗ trợ chương trình Maps</t>
  </si>
  <si>
    <t>CNT- HT Thưởng khác</t>
  </si>
  <si>
    <t>Bổ sung lương tính thiếu tháng trước</t>
  </si>
  <si>
    <t>CNT - Thưởng dự án Mini</t>
  </si>
  <si>
    <t>Thưởng dự án Mini 
(Đại diện CHT nhận)</t>
  </si>
  <si>
    <t>CNT - Thường Whatsapp</t>
  </si>
  <si>
    <t>Hỗ trợ đạt KPI Quý</t>
  </si>
  <si>
    <t>HT lễ, tết / thưởng khác</t>
  </si>
  <si>
    <t>HT đi CT tỉnh/ gởi xe</t>
  </si>
  <si>
    <t>HT sinh nhật</t>
  </si>
  <si>
    <t>HT khấu hao máy tính/ kiêm nhiệm/ hỗ trợ đứng bằng</t>
  </si>
  <si>
    <t>CNT trừ hết date</t>
  </si>
  <si>
    <t>CNT trừ quy chế, quy trình</t>
  </si>
  <si>
    <t>CNT trừ App- Kiot</t>
  </si>
  <si>
    <t>CNT trừ Ecom</t>
  </si>
  <si>
    <t>CNT Đối soát</t>
  </si>
  <si>
    <t>CNT các khoản trừ khác</t>
  </si>
  <si>
    <t>Tổng thu nhập thực tế</t>
  </si>
  <si>
    <t>BHXH Cty
(17.5%)</t>
  </si>
  <si>
    <t>BHYT Cty
(3%)</t>
  </si>
  <si>
    <t>BHTN CTy
1%</t>
  </si>
  <si>
    <t>KPCĐ Cty (2%)</t>
  </si>
  <si>
    <t>Cộng Cty
23,5%</t>
  </si>
  <si>
    <t>BHXH NV
(8%)</t>
  </si>
  <si>
    <t>BHYT NV
(1,5%)</t>
  </si>
  <si>
    <t>BHTN NV
(1%)</t>
  </si>
  <si>
    <t>ĐP NV (1%)</t>
  </si>
  <si>
    <t>BHXH, BHYT, BHTN của NV (11,5%)</t>
  </si>
  <si>
    <t>CNT- Ca đêm miễn thuế</t>
  </si>
  <si>
    <t>Tổng miễn giảm thuế TNCN (gởi xe, PC điện thoại, tiền ăn, đồng phục)</t>
  </si>
  <si>
    <t>Thu nhập chịu thuế</t>
  </si>
  <si>
    <t>Giảm trừ TTNCN
Bản thân</t>
  </si>
  <si>
    <t>Số người phụ thuộc</t>
  </si>
  <si>
    <t>Giảm trừ TTNCN
Người PT</t>
  </si>
  <si>
    <t>Giảm trừ TTNCN
10.5% BHXH, BHYT, BHTN</t>
  </si>
  <si>
    <t>Tổng các khoản giảm trừ</t>
  </si>
  <si>
    <t>Thu nhập tính thuế</t>
  </si>
  <si>
    <t>Thuế TNCN phải nộp</t>
  </si>
  <si>
    <t>Tổng thực nhận sau khi trừ TTNCN, BHXH</t>
  </si>
  <si>
    <t>Trả lại  lương Cty tính sai/thiếu</t>
  </si>
  <si>
    <t xml:space="preserve">Trừ tạm ứng/ mượn/ bồi thường/ khác </t>
  </si>
  <si>
    <t xml:space="preserve">Tổng thu nhập còn lại </t>
  </si>
  <si>
    <t>CK TM</t>
  </si>
  <si>
    <t>CK TK</t>
  </si>
  <si>
    <t>T7</t>
  </si>
  <si>
    <t>Email</t>
  </si>
  <si>
    <t>Tháng sinh</t>
  </si>
  <si>
    <t>Giờ công đào tạo</t>
  </si>
  <si>
    <t>Ngày nhận việc</t>
  </si>
  <si>
    <t>Tháng nhận việc</t>
  </si>
  <si>
    <t>Năm nhận việc</t>
  </si>
  <si>
    <t>thâm niên trước tháng 04/2024 đến 01/4/2024</t>
  </si>
  <si>
    <t>thâm niên cho NV chưa đủ 12 tháng trong CSTN cũ -&gt; hưởng theo CSTN mới</t>
  </si>
  <si>
    <t>Thâm niên cho NV vừa theo chính sách cũ vừa theo chính sách mới</t>
  </si>
  <si>
    <t>Số năm TN làm tròn xuống theo CS cũ</t>
  </si>
  <si>
    <t>Số năm TN làm tròn xuống theo CS mới</t>
  </si>
  <si>
    <t>Số năm TN làm tròn xuống NV hưởng CS mới+ cũ</t>
  </si>
  <si>
    <t>Lương thâm niên theo chính sách cũ trước tháng 04/2024</t>
  </si>
  <si>
    <t>Lương thâm niên theo chính sách mới từ 01/04/2024</t>
  </si>
  <si>
    <t>Lương thâm niên cho NV vừa theo chính sách mới + cũ</t>
  </si>
  <si>
    <t>Lương Thâm niên của NV</t>
  </si>
  <si>
    <t>Lý do cộng trừ của HC-NS</t>
  </si>
  <si>
    <t>Lý do cộng trừ của nhà thuốc</t>
  </si>
  <si>
    <t>Lý do chung</t>
  </si>
  <si>
    <t xml:space="preserve">V. </t>
  </si>
  <si>
    <t>CHUỖI NHÀ THUỐC</t>
  </si>
  <si>
    <t>ok</t>
  </si>
  <si>
    <t>Ho Thi Minh Hoa</t>
  </si>
  <si>
    <t>Hồ Thị Minh Hòa</t>
  </si>
  <si>
    <t>24H</t>
  </si>
  <si>
    <t>DSBC</t>
  </si>
  <si>
    <t>0051000542226</t>
  </si>
  <si>
    <t>Vietcombank</t>
  </si>
  <si>
    <t>hoa.ho@medigoapp.com</t>
  </si>
  <si>
    <t>Nguyen Tran Ngoc Phuong</t>
  </si>
  <si>
    <t>Nguyễn Trần Ngọc Phương</t>
  </si>
  <si>
    <t>Q.CHT</t>
  </si>
  <si>
    <t>0721000550950</t>
  </si>
  <si>
    <t>1,500,000</t>
  </si>
  <si>
    <t>phuong.nguyen@medigoapp.com</t>
  </si>
  <si>
    <t>Nguyen Ngoc Anh Thu</t>
  </si>
  <si>
    <t>Nguyễn Ngọc Anh Thư</t>
  </si>
  <si>
    <t>DSTV</t>
  </si>
  <si>
    <t>14/07/2026</t>
  </si>
  <si>
    <t>7500664184</t>
  </si>
  <si>
    <t>BIDV</t>
  </si>
  <si>
    <t>thu.nguyen@medigoapp.com</t>
  </si>
  <si>
    <t>Trinh Thi Phuong</t>
  </si>
  <si>
    <t>Trịnh Thị Phượng</t>
  </si>
  <si>
    <t>10200014211025</t>
  </si>
  <si>
    <t xml:space="preserve"> Đông Nam Á (Seabank)</t>
  </si>
  <si>
    <t>Ngo Tran Tuyet Vy</t>
  </si>
  <si>
    <t>Ngô Trần Tuyết Vy</t>
  </si>
  <si>
    <t>060260188766</t>
  </si>
  <si>
    <t>Sacombank</t>
  </si>
  <si>
    <t>Pham Nguyen Ngoc Quy</t>
  </si>
  <si>
    <t>Phạm Nguyễn Ngọc Quý</t>
  </si>
  <si>
    <t>01/11/2024</t>
  </si>
  <si>
    <t>1026764251</t>
  </si>
  <si>
    <t>quy.pham@medigoapp.com</t>
  </si>
  <si>
    <t>Tran Thi Kim Khanh</t>
  </si>
  <si>
    <t>Trần Thị Kim Khánh</t>
  </si>
  <si>
    <t>69110000565904</t>
  </si>
  <si>
    <t xml:space="preserve">BIDV </t>
  </si>
  <si>
    <t>Ngo Thi Thanh Tham</t>
  </si>
  <si>
    <t>Ngô Thị Thanh Thắm</t>
  </si>
  <si>
    <t>Đỗ Quang Đẩu</t>
  </si>
  <si>
    <t>CHT</t>
  </si>
  <si>
    <t>0431000219840</t>
  </si>
  <si>
    <t>2,000,000</t>
  </si>
  <si>
    <t>tham.ngo@medigoapp.com</t>
  </si>
  <si>
    <t>Duong Thi Huynh Nhu</t>
  </si>
  <si>
    <t>Dương Thị Huỳnh Như</t>
  </si>
  <si>
    <t>28/07/2026</t>
  </si>
  <si>
    <t>023704070008223</t>
  </si>
  <si>
    <t>HD Bank</t>
  </si>
  <si>
    <t>nhu.duong@medigoapp.com</t>
  </si>
  <si>
    <t>Pham Thi Nghia Huong</t>
  </si>
  <si>
    <t>Phạm Thị Nghĩa Hương</t>
  </si>
  <si>
    <t>HĐLĐ</t>
  </si>
  <si>
    <t>0968249073</t>
  </si>
  <si>
    <t>Mb bank</t>
  </si>
  <si>
    <t>huong.pham@medigoapp.com</t>
  </si>
  <si>
    <t>Sai thao tác (Sai kênh bán HD1180427): 100.000đ</t>
  </si>
  <si>
    <t>Tran Thien Phat</t>
  </si>
  <si>
    <t>Trần Thiên Phát</t>
  </si>
  <si>
    <t>21/07/2025</t>
  </si>
  <si>
    <t>0345611564</t>
  </si>
  <si>
    <t>Mbbank</t>
  </si>
  <si>
    <t>phat.tran@medigoapp.com</t>
  </si>
  <si>
    <t xml:space="preserve">ok </t>
  </si>
  <si>
    <t>Hoang Lam Gia Bao</t>
  </si>
  <si>
    <t>Hoàng Lâm Gia Bảo</t>
  </si>
  <si>
    <t>27/5/2026</t>
  </si>
  <si>
    <t>067106916868</t>
  </si>
  <si>
    <t>Hoang Thanh Thuy</t>
  </si>
  <si>
    <t>Hoàng Thanh Thủy</t>
  </si>
  <si>
    <t>27/10/2025</t>
  </si>
  <si>
    <t>615704060127761</t>
  </si>
  <si>
    <t>VIB</t>
  </si>
  <si>
    <t>Sai thao tác (Sai kênh bán HD1180947): 100.000đ</t>
  </si>
  <si>
    <t>Le Thi Huyen Tran</t>
  </si>
  <si>
    <t>Lê Thị Huyền Trân</t>
  </si>
  <si>
    <t>03130767201</t>
  </si>
  <si>
    <t>Tiên Phong Bank</t>
  </si>
  <si>
    <t>tran.le@medigoapp.com</t>
  </si>
  <si>
    <t>x</t>
  </si>
  <si>
    <t>Thai Thuy Linh</t>
  </si>
  <si>
    <t>Thái Thùy Linh</t>
  </si>
  <si>
    <t>Minh Châu</t>
  </si>
  <si>
    <t>070077077837</t>
  </si>
  <si>
    <t>linh.thai@medigoapp.com</t>
  </si>
  <si>
    <t>phuong.trinh@medigoapp.com</t>
  </si>
  <si>
    <t>Phan Cong Vu Tai</t>
  </si>
  <si>
    <t>Phan Công Vũ Tài</t>
  </si>
  <si>
    <t>26/01/2026</t>
  </si>
  <si>
    <t>02446989901</t>
  </si>
  <si>
    <t>Tp Bank</t>
  </si>
  <si>
    <t>Sai thao tác - xuất nhầm 2 HD chéo với nhau (HD1194853): 100.000đ 
Đối soát HD1133288</t>
  </si>
  <si>
    <t>Đoàn Quốc Tâm</t>
  </si>
  <si>
    <t xml:space="preserve">25/3/2024 </t>
  </si>
  <si>
    <t>ACB</t>
  </si>
  <si>
    <t>Nguyen Ngoc Thuy</t>
  </si>
  <si>
    <t>Nguyễn Ngọc Thùy</t>
  </si>
  <si>
    <t>0798366668888</t>
  </si>
  <si>
    <t>MB Bank</t>
  </si>
  <si>
    <t>thuy.nguyen@medigoapp.com</t>
  </si>
  <si>
    <t>Khấu hao đồng phục</t>
  </si>
  <si>
    <t>Lê Bình</t>
  </si>
  <si>
    <t>Le Thi Xuyen</t>
  </si>
  <si>
    <t>Lê Thị Xuyến</t>
  </si>
  <si>
    <t>17/07/2026</t>
  </si>
  <si>
    <t>7755599939</t>
  </si>
  <si>
    <t>Techcombank</t>
  </si>
  <si>
    <t>xuyen.le@medigoapp.com</t>
  </si>
  <si>
    <t>Dinh Hoai Bao</t>
  </si>
  <si>
    <t>Đinh Hoài Bảo</t>
  </si>
  <si>
    <t>03/07/2026</t>
  </si>
  <si>
    <t>5620709358</t>
  </si>
  <si>
    <t>bao.dinh@medigoapp.com</t>
  </si>
  <si>
    <t>Sai thao tác (Sai kênh bán HD1175699) : 100.000đ</t>
  </si>
  <si>
    <t>bao.hoang@medigoapp.com</t>
  </si>
  <si>
    <t>Sai thao tác (Sai kênh bán HD1180912) : 100.000đ
Đối soát HD1169130: 23.000</t>
  </si>
  <si>
    <t>Nguyen Thi Huyen Trang</t>
  </si>
  <si>
    <t>Nguyễn Thị Huyền Trang</t>
  </si>
  <si>
    <t>30/06/2026</t>
  </si>
  <si>
    <t>1033345427</t>
  </si>
  <si>
    <t>Tran Thi Phuong Thuy</t>
  </si>
  <si>
    <t>Trần Thị Phương Thùy</t>
  </si>
  <si>
    <t>DSHV</t>
  </si>
  <si>
    <t>07560774501</t>
  </si>
  <si>
    <t xml:space="preserve"> TP bank</t>
  </si>
  <si>
    <t>thuy.tran@medigoapp.com</t>
  </si>
  <si>
    <t>Nam Hòa</t>
  </si>
  <si>
    <t>Tran Thi Anh Nguyet</t>
  </si>
  <si>
    <t>Trần Thị Ánh Nguyệt</t>
  </si>
  <si>
    <t>13/3/2026</t>
  </si>
  <si>
    <t>19035042801010</t>
  </si>
  <si>
    <t>techcombank - chi nhánh Bình Đăng</t>
  </si>
  <si>
    <t>Do Thi Kim Tien</t>
  </si>
  <si>
    <t>Đỗ Thị Kim Tiến</t>
  </si>
  <si>
    <t>07/07/2026</t>
  </si>
  <si>
    <t>19039887406019</t>
  </si>
  <si>
    <t>tien.do@medigoapp.com</t>
  </si>
  <si>
    <t>Sai thao tác (Sai kênh bán HD1171985) : 100.000đ</t>
  </si>
  <si>
    <t>Bui Thi Thanh Thuy</t>
  </si>
  <si>
    <t>Bùi Thị Thanh Thủy</t>
  </si>
  <si>
    <t>1014584596</t>
  </si>
  <si>
    <t>thuy.bui@medigoapp.com</t>
  </si>
  <si>
    <t>Đối soát HD1147169</t>
  </si>
  <si>
    <t>trang.nguyen@medigoapp.com</t>
  </si>
  <si>
    <t>Đối soát HD1142672</t>
  </si>
  <si>
    <t>Tran Linh Khai</t>
  </si>
  <si>
    <t>Trần Linh Khải</t>
  </si>
  <si>
    <t xml:space="preserve">DSHV </t>
  </si>
  <si>
    <t>18/08/2026</t>
  </si>
  <si>
    <t>100006151096</t>
  </si>
  <si>
    <t>Vietinbank</t>
  </si>
  <si>
    <t>Le Thi Quynh Tram</t>
  </si>
  <si>
    <t>Lê Thị Quỳnh Trâm</t>
  </si>
  <si>
    <t>Nguyễn Chí Thanh</t>
  </si>
  <si>
    <t>18/08/2025</t>
  </si>
  <si>
    <t>6321205302943</t>
  </si>
  <si>
    <t>AGRIBANK</t>
  </si>
  <si>
    <t>Nguyen Thi Hong Hanh</t>
  </si>
  <si>
    <t>Nguyễn Thị Hồng Hạnh</t>
  </si>
  <si>
    <t>19036469088011</t>
  </si>
  <si>
    <t>hanh.nguyen@medigoapp.com</t>
  </si>
  <si>
    <t>Tran Hoang Khanh</t>
  </si>
  <si>
    <t>Trần Hoàng Khánh</t>
  </si>
  <si>
    <t>02/06/2025</t>
  </si>
  <si>
    <t>0985967065</t>
  </si>
  <si>
    <t>khanh.tran@medigoapp.com</t>
  </si>
  <si>
    <t>Đối soát HD1167056</t>
  </si>
  <si>
    <t>Ly Thuc Mi</t>
  </si>
  <si>
    <t>Lý Thục Mi</t>
  </si>
  <si>
    <t>01/08/2026</t>
  </si>
  <si>
    <t>01805590901</t>
  </si>
  <si>
    <t>Tiên Phong bank</t>
  </si>
  <si>
    <t>Ngo Thi Ngoc Thuy</t>
  </si>
  <si>
    <t>Ngô Thị Ngọc Thủy</t>
  </si>
  <si>
    <t>02031125202</t>
  </si>
  <si>
    <t>TP Bank</t>
  </si>
  <si>
    <t>Do Thi Phuong Thao</t>
  </si>
  <si>
    <t>Đỗ Thị Phương Thảo</t>
  </si>
  <si>
    <t>HDLD</t>
  </si>
  <si>
    <t>DSXC</t>
  </si>
  <si>
    <t>19/04/2025</t>
  </si>
  <si>
    <t>0561000503731</t>
  </si>
  <si>
    <t>thao.do@medigoapp.com</t>
  </si>
  <si>
    <t>Cu Thi Tuong Vy</t>
  </si>
  <si>
    <t>Cù Thị Tường Vy</t>
  </si>
  <si>
    <t>Nguyễn Thị Thập</t>
  </si>
  <si>
    <t>16/3/2026</t>
  </si>
  <si>
    <t>0071000937911</t>
  </si>
  <si>
    <t>Trieu Thi Ngoc Ly</t>
  </si>
  <si>
    <t>Triệu Thị Ngọc Lý</t>
  </si>
  <si>
    <t>0989442883</t>
  </si>
  <si>
    <t>MB BANK</t>
  </si>
  <si>
    <t>32.,750</t>
  </si>
  <si>
    <t>ly.trieu@medigoapp.com</t>
  </si>
  <si>
    <t>HD1167853</t>
  </si>
  <si>
    <t>Cao Trong Nhan</t>
  </si>
  <si>
    <t>Cao Trọng Nhân</t>
  </si>
  <si>
    <t>18/12/2025</t>
  </si>
  <si>
    <t>109868265987</t>
  </si>
  <si>
    <t>Tran Thanh Dat</t>
  </si>
  <si>
    <t>Trần Thành Đạt</t>
  </si>
  <si>
    <t>0621000445313</t>
  </si>
  <si>
    <t>dat.tran@medigoapp.com</t>
  </si>
  <si>
    <t>Nguyen Tri Nghia</t>
  </si>
  <si>
    <t>Nguyễn Trí Nghĩa</t>
  </si>
  <si>
    <t>0251002787705</t>
  </si>
  <si>
    <t>tringhia.nguyen@medigoapp.com</t>
  </si>
  <si>
    <t>Đối soát HD1144176,HD1163287</t>
  </si>
  <si>
    <t>Bui Thi Bich Tram</t>
  </si>
  <si>
    <t>Bùi Thị Bích Trâm</t>
  </si>
  <si>
    <t>06/07/2026</t>
  </si>
  <si>
    <t>1016922539</t>
  </si>
  <si>
    <t>tram.bui@medigoapp.com</t>
  </si>
  <si>
    <t>Vo Ngoc Giau Sang</t>
  </si>
  <si>
    <t>Võ Ngọc Giàu Sang</t>
  </si>
  <si>
    <t>Nguyễn Văn Quá</t>
  </si>
  <si>
    <t>08/07/2024</t>
  </si>
  <si>
    <t>04015933001</t>
  </si>
  <si>
    <t>TP bank</t>
  </si>
  <si>
    <t>sang.vo@medigoapp.com</t>
  </si>
  <si>
    <t>Ho Ngoc Ly</t>
  </si>
  <si>
    <t>Hồ Ngọc Lý</t>
  </si>
  <si>
    <t>0081765868686</t>
  </si>
  <si>
    <t>MB bank</t>
  </si>
  <si>
    <t>ly.ho@medigoapp.com</t>
  </si>
  <si>
    <t>Đối soát HD1133420, HD1139361</t>
  </si>
  <si>
    <t>Nguyen Thi Thu Huyen</t>
  </si>
  <si>
    <t>Nguyễn Thị Thu Huyền</t>
  </si>
  <si>
    <t>24/06/2025</t>
  </si>
  <si>
    <t>0964455650</t>
  </si>
  <si>
    <t>huyen.nguyen@medigoapp.com</t>
  </si>
  <si>
    <t>Đối soát HD1176334</t>
  </si>
  <si>
    <t>Nguyen Thi Huong Giang</t>
  </si>
  <si>
    <t>Nguyễn Thị Hương Giang</t>
  </si>
  <si>
    <t>1028255437</t>
  </si>
  <si>
    <t>giang.nguyen@medigoapp.com</t>
  </si>
  <si>
    <t>Rạch Bùng Binh</t>
  </si>
  <si>
    <t>Huynh Thi Hue Hien</t>
  </si>
  <si>
    <t>Huỳnh Thị Huệ Hiền</t>
  </si>
  <si>
    <t>0421000443270</t>
  </si>
  <si>
    <t>VietComBank</t>
  </si>
  <si>
    <t>hien.huynh@medigoapp.com</t>
  </si>
  <si>
    <t>Đối soát HD1169832</t>
  </si>
  <si>
    <t>Nguyen Thi Phuc Loc</t>
  </si>
  <si>
    <t>Nguyễn Thị Phúc Lộc</t>
  </si>
  <si>
    <t>22/07/2026</t>
  </si>
  <si>
    <t>2158791</t>
  </si>
  <si>
    <t>Á Châu ( ACB)</t>
  </si>
  <si>
    <t>loc.nguyen@medigoapp.com</t>
  </si>
  <si>
    <t>thuy.ngo@medigoapp.com</t>
  </si>
  <si>
    <t>Đối soát 1157386, HD 1152876, HD1176087,HD1176039, HD1152936</t>
  </si>
  <si>
    <t>Pham Nguyen Ngoc Quyen Tran</t>
  </si>
  <si>
    <t>Phạm Nguyễn Ngọc Quyền Trân</t>
  </si>
  <si>
    <t>25/05/2026</t>
  </si>
  <si>
    <t>0933512397</t>
  </si>
  <si>
    <t>tran.pham@medigoapp.com</t>
  </si>
  <si>
    <t>Đối soát HD1135328, HD1168963</t>
  </si>
  <si>
    <t>Hua Thi Kim Thoa</t>
  </si>
  <si>
    <t>Hứa Thị Kim Thoa</t>
  </si>
  <si>
    <t>Đường Láng</t>
  </si>
  <si>
    <t>30961328046</t>
  </si>
  <si>
    <t>TPbank</t>
  </si>
  <si>
    <t>thoa.hua@medigoapp.com</t>
  </si>
  <si>
    <t>Đối soát HD1131659, HD1140403, HD1157179</t>
  </si>
  <si>
    <t>Le Thi Soan</t>
  </si>
  <si>
    <t>Lê Thị Soạn</t>
  </si>
  <si>
    <t xml:space="preserve">0987524738 </t>
  </si>
  <si>
    <t xml:space="preserve">Vietinbank </t>
  </si>
  <si>
    <t>soan.le@medigoapp.com</t>
  </si>
  <si>
    <t>Đối soát HD1133571, HD1142074, HD1132281, HD1164962, HD1152215, HD1149076, HD1164912, HD1154922, HD1158019, HD1164551, HD1167363, HD1169357, HD1176958, HD1166028</t>
  </si>
  <si>
    <t>Nguyen Thi Mai Duyen</t>
  </si>
  <si>
    <t>Nguyễn Thị Mai Duyên</t>
  </si>
  <si>
    <t>21/03/2025</t>
  </si>
  <si>
    <t>51016102001</t>
  </si>
  <si>
    <t>VP Bank</t>
  </si>
  <si>
    <t>duyen.nguyen@medigoapp.com</t>
  </si>
  <si>
    <t>Đối soát HD1131905, HD1140362, HD1133521, HD1153161, HD1152999, HD1167344, HD1179737, HD1178453</t>
  </si>
  <si>
    <t>Nguyen Thi Tam</t>
  </si>
  <si>
    <t>Nguyễn Thị Tâm</t>
  </si>
  <si>
    <t xml:space="preserve"> 0924479717</t>
  </si>
  <si>
    <t>tam.nguyen@medigoapp.com</t>
  </si>
  <si>
    <t>Đối soát HD1141553, HD1144912, HD1149586, HD1154529, HD1150500, HD1165062, HD1178247, HD1166873, HD1175496</t>
  </si>
  <si>
    <t>Tran Ngoc Dung</t>
  </si>
  <si>
    <t>Trần Ngọc Dung</t>
  </si>
  <si>
    <t>10/3/2026</t>
  </si>
  <si>
    <t>19036814716010</t>
  </si>
  <si>
    <t>Đối soát HD1139700, HD1134931, HD1130696, HD1144058, HD1154996, HD1161144, HD1160702</t>
  </si>
  <si>
    <t>Dinh Thi Lan Anh</t>
  </si>
  <si>
    <t>Đinh Thị Lan Anh</t>
  </si>
  <si>
    <t>Hàng Bông</t>
  </si>
  <si>
    <t>16010000495222</t>
  </si>
  <si>
    <t>anh.dinh@medigoapp.com</t>
  </si>
  <si>
    <t>Nguyen Manh Tuan</t>
  </si>
  <si>
    <t>Nguyễn Mạnh Tuấn</t>
  </si>
  <si>
    <t>29/09/2025</t>
  </si>
  <si>
    <t xml:space="preserve">00834502302 </t>
  </si>
  <si>
    <t>Đối soát HD1181233, HD1172143</t>
  </si>
  <si>
    <t>Vu Thanh Hang</t>
  </si>
  <si>
    <t>Vũ Thanh Hằng</t>
  </si>
  <si>
    <t>22/9/2025</t>
  </si>
  <si>
    <t>9993886688</t>
  </si>
  <si>
    <t>Đối soát HD1155478</t>
  </si>
  <si>
    <t>Dinh Thi Khanh Ly</t>
  </si>
  <si>
    <t>Đinh Thị Khánh Ly</t>
  </si>
  <si>
    <t>03/11/2025</t>
  </si>
  <si>
    <t>0021000423384</t>
  </si>
  <si>
    <t>Đối soát HD1159992, HD1169265</t>
  </si>
  <si>
    <t>Đỗ Thu Huệ</t>
  </si>
  <si>
    <t>19038804011011</t>
  </si>
  <si>
    <t>11.606.046</t>
  </si>
  <si>
    <t>Số Thứ tự</t>
  </si>
  <si>
    <t>Địa chỉ Email</t>
  </si>
  <si>
    <t>PHIẾU LƯƠNG THÁNG 06</t>
  </si>
  <si>
    <t>Tiêu đề thư</t>
  </si>
  <si>
    <t>Nội dung thư</t>
  </si>
  <si>
    <t>Họ tên:</t>
  </si>
  <si>
    <t>Ghi chú</t>
  </si>
  <si>
    <t>Chức vụ</t>
  </si>
  <si>
    <t>Số giờ tăng ca</t>
  </si>
  <si>
    <t>Số giờ tăng ca ngày lễ</t>
  </si>
  <si>
    <t>Lương theo HQCV</t>
  </si>
  <si>
    <t>Lương cơ bản</t>
  </si>
  <si>
    <t>Phụ cấp tiền ăn</t>
  </si>
  <si>
    <t>Phụ cấp đồng phục</t>
  </si>
  <si>
    <t>Phụ cấp đi lại</t>
  </si>
  <si>
    <t>Tổng lương thực tế</t>
  </si>
  <si>
    <t>Lương tăng ca</t>
  </si>
  <si>
    <t>Lương tăng ca ngày lễ * 3</t>
  </si>
  <si>
    <t>Phụ cấp chuyên cần</t>
  </si>
  <si>
    <t>Thưởng T13</t>
  </si>
  <si>
    <t>Phụ Cấp / Tiền hỗ trợ khác</t>
  </si>
  <si>
    <t>CÁC KHOẢN KHẤU TRỪ</t>
  </si>
  <si>
    <t>BHXH</t>
  </si>
  <si>
    <t>Tạm ứng</t>
  </si>
  <si>
    <t>Tổng thực nhận sau thuế</t>
  </si>
  <si>
    <t>PHIẾU LƯƠNG THÁNG 03</t>
  </si>
  <si>
    <t>Phụ Cấp / Tiền hổ trợ khác</t>
  </si>
  <si>
    <t>Cửa hàng</t>
  </si>
  <si>
    <t>Ca ngày (giờ)</t>
  </si>
  <si>
    <t>Ca đêm (giờ)</t>
  </si>
  <si>
    <t>I. CÁC KHOẢN THU NHẬP</t>
  </si>
  <si>
    <t>Phụ cấp trách nhiệm</t>
  </si>
  <si>
    <t>Phụ cấp quy trình</t>
  </si>
  <si>
    <t>Lương ca ngày</t>
  </si>
  <si>
    <t>Lương ca đêm</t>
  </si>
  <si>
    <t>KPIs cá nhân</t>
  </si>
  <si>
    <t>KPIs quản lý, CHT</t>
  </si>
  <si>
    <t>Thưởng chiết khấu</t>
  </si>
  <si>
    <t>Thưởng đánh giá Maps + MKT</t>
  </si>
  <si>
    <t>Thưởng khác</t>
  </si>
  <si>
    <t>Thưởng hàng điểm + cắt liều</t>
  </si>
  <si>
    <t>II. CÁC KHOẢN KHẤU TRỪ</t>
  </si>
  <si>
    <t>Ecom</t>
  </si>
  <si>
    <t>KPIs trừ QTBH</t>
  </si>
  <si>
    <t>KPIs trừ hết date</t>
  </si>
  <si>
    <t>Khoản trừ KPI, trừ khác</t>
  </si>
  <si>
    <t>Đã nhận thưởng quý/ Lương T13</t>
  </si>
  <si>
    <t>III. TỔNG THỰC NHẬN</t>
  </si>
  <si>
    <t>SỐ TIỀN ĐÃ CHUYỂN KHOẢN</t>
  </si>
  <si>
    <t>SỐ TIỀN TRỪ LẠI VÀO KỲ LƯƠNG T2</t>
  </si>
  <si>
    <t>BỘ PHẬN</t>
  </si>
  <si>
    <t xml:space="preserve">ĐI TỪ TÀI KHOẢN </t>
  </si>
  <si>
    <t>Số TK</t>
  </si>
  <si>
    <t>Ngân hàng</t>
  </si>
  <si>
    <t>Số tiền thanh toán</t>
  </si>
  <si>
    <t>Nội dung thanh toán</t>
  </si>
  <si>
    <t>MEDIGO</t>
  </si>
  <si>
    <t xml:space="preserve">BOD - </t>
  </si>
  <si>
    <t>Medigo 015</t>
  </si>
  <si>
    <t>Le Huu Ha</t>
  </si>
  <si>
    <t>19130751923025</t>
  </si>
  <si>
    <t xml:space="preserve">Medigo TT Luong T10.2024 -  BOD -  </t>
  </si>
  <si>
    <t xml:space="preserve">P.HCNS - </t>
  </si>
  <si>
    <t>Ngo Thi Huong</t>
  </si>
  <si>
    <t>19033415015018</t>
  </si>
  <si>
    <t xml:space="preserve">Medigo TT Luong T10.2024 -  P.HCNS - </t>
  </si>
  <si>
    <t>Nguyen Ut Nguyen</t>
  </si>
  <si>
    <t>105870966796</t>
  </si>
  <si>
    <t>Ngân hàng Vietinbank</t>
  </si>
  <si>
    <t>Ngo Thi Truc Phuong</t>
  </si>
  <si>
    <t>VCB</t>
  </si>
  <si>
    <t xml:space="preserve">P.IT - </t>
  </si>
  <si>
    <t>Le Thai Hien</t>
  </si>
  <si>
    <t>0071003715489</t>
  </si>
  <si>
    <t xml:space="preserve">Medigo TT Luong T10.2024 -  P.IT -  </t>
  </si>
  <si>
    <t>Nguyen Thanh Tai</t>
  </si>
  <si>
    <t>107868923760</t>
  </si>
  <si>
    <t>Pham Dang Khoa</t>
  </si>
  <si>
    <t>109870512653</t>
  </si>
  <si>
    <t>Nguyen Dinh Hieu</t>
  </si>
  <si>
    <t>20010129108</t>
  </si>
  <si>
    <t xml:space="preserve">TPBANK </t>
  </si>
  <si>
    <t xml:space="preserve">P.MARKETING·- </t>
  </si>
  <si>
    <t>Le Thi Thuy My</t>
  </si>
  <si>
    <t>61510000535071</t>
  </si>
  <si>
    <t xml:space="preserve">Medigo TT Luong T10.2024 -  P.MARKETING -  </t>
  </si>
  <si>
    <t xml:space="preserve">P.ADMIN-CSKH - </t>
  </si>
  <si>
    <t>Le Phu Qui</t>
  </si>
  <si>
    <t>07183522701</t>
  </si>
  <si>
    <t>Ngân hàng Thương mại Cổ phần Tiên Phong (TP Bank)</t>
  </si>
  <si>
    <t xml:space="preserve">Medigo TT Luong T10.2024 -  P.ADMIN-CSKH -  </t>
  </si>
  <si>
    <t>Luu Thanh Tuyen</t>
  </si>
  <si>
    <t>0181000337432</t>
  </si>
  <si>
    <t>Nguyen Ho Phuong Anh</t>
  </si>
  <si>
    <t>19033258827011</t>
  </si>
  <si>
    <t>Nguyen Thi Ngoc Han</t>
  </si>
  <si>
    <t>104002495110</t>
  </si>
  <si>
    <t>Truong Hoang Ngan</t>
  </si>
  <si>
    <t>0251002776128</t>
  </si>
  <si>
    <t>Nguyen Thi Diem Mi</t>
  </si>
  <si>
    <t>8899779989</t>
  </si>
  <si>
    <t>Seabank</t>
  </si>
  <si>
    <t>Vo Thi Dieu Hien</t>
  </si>
  <si>
    <t>238349327</t>
  </si>
  <si>
    <t>VPbank</t>
  </si>
  <si>
    <t xml:space="preserve">P.ADMIN-NT - </t>
  </si>
  <si>
    <t>Nguyen Thi Cam Binh</t>
  </si>
  <si>
    <t>0381000583650</t>
  </si>
  <si>
    <t xml:space="preserve">Medigo TT Luong T10.2024 -  P.ADMIN-NT -  </t>
  </si>
  <si>
    <t xml:space="preserve">P.VẬN HÀNH NT - </t>
  </si>
  <si>
    <t>Nguyen Tuan Nghia</t>
  </si>
  <si>
    <t>9333757326</t>
  </si>
  <si>
    <t xml:space="preserve">Vietcombank </t>
  </si>
  <si>
    <t xml:space="preserve">Medigo TT Luong T10.2024 -  P.VẬN HÀNH NT -  </t>
  </si>
  <si>
    <t>Do Hoang Anh Vuong</t>
  </si>
  <si>
    <t>224722709</t>
  </si>
  <si>
    <t xml:space="preserve">Medigo TT Luong T10.2024 -  P.XN·-  </t>
  </si>
  <si>
    <t xml:space="preserve">P.XN - </t>
  </si>
  <si>
    <t>Phan Thi Truc Giang</t>
  </si>
  <si>
    <t>0000234047237</t>
  </si>
  <si>
    <t>Tran Thi Nhu Y</t>
  </si>
  <si>
    <t>7211317355</t>
  </si>
  <si>
    <t>Tran Phu Quy</t>
  </si>
  <si>
    <t>070078132221</t>
  </si>
  <si>
    <t>P.XN -</t>
  </si>
  <si>
    <t>Dinh Thi My Hau</t>
  </si>
  <si>
    <t>Ngân Hàng Tiên Phong ( TP BANK)</t>
  </si>
  <si>
    <t>Medigo TT Luong T09.2024 - P.XN - Dinh Thi My Hau Dinh Thi My Hau</t>
  </si>
  <si>
    <t xml:space="preserve">P.KT - </t>
  </si>
  <si>
    <t>Vu Quang Truong</t>
  </si>
  <si>
    <t>0071001099946</t>
  </si>
  <si>
    <t xml:space="preserve">Medigo TT Luong T10.2024 -  P.KT -  </t>
  </si>
  <si>
    <t>Nguyen Cao Nhan</t>
  </si>
  <si>
    <t>0071001008815</t>
  </si>
  <si>
    <t>Nguyen Tan Trong</t>
  </si>
  <si>
    <t>19033541313016</t>
  </si>
  <si>
    <t>Nguyen Tương Vi</t>
  </si>
  <si>
    <t>19037078157013</t>
  </si>
  <si>
    <t>Vu Thi Thu Ha</t>
  </si>
  <si>
    <t>19028134071020</t>
  </si>
  <si>
    <t>BÁC SĨ ONLINE</t>
  </si>
  <si>
    <t xml:space="preserve">BS.ONL - </t>
  </si>
  <si>
    <t>Truong Vinh Thai</t>
  </si>
  <si>
    <t>1028950088</t>
  </si>
  <si>
    <t xml:space="preserve">Medigo TT Luong T10.2024 -  BS.ONL -  </t>
  </si>
  <si>
    <t>Vo Tran Minh Tri</t>
  </si>
  <si>
    <t>trivtm</t>
  </si>
  <si>
    <t>Le Thi Thu Huong</t>
  </si>
  <si>
    <t>108872596477</t>
  </si>
  <si>
    <t>Luong To Quyen</t>
  </si>
  <si>
    <t>0071001317398</t>
  </si>
  <si>
    <t>Lê Thị Thùy Ngân</t>
  </si>
  <si>
    <t>0511000416577</t>
  </si>
  <si>
    <t>Pham Thi Ngoc Dung</t>
  </si>
  <si>
    <t>1961347</t>
  </si>
  <si>
    <t>Vo Duy Tam</t>
  </si>
  <si>
    <t>1600190310893</t>
  </si>
  <si>
    <t>MBbank</t>
  </si>
  <si>
    <t>Duong Tan Thanh</t>
  </si>
  <si>
    <t>0360470758888</t>
  </si>
  <si>
    <t>Do Thi Lam Oanh</t>
  </si>
  <si>
    <t>1540106953005</t>
  </si>
  <si>
    <t>Nguyen Thanh Hoang Loc</t>
  </si>
  <si>
    <t>0891000658962</t>
  </si>
  <si>
    <t>Tran Thi Thu Ha</t>
  </si>
  <si>
    <t>173167865</t>
  </si>
  <si>
    <t>VP bank</t>
  </si>
  <si>
    <t>Do Thai Phuong Ngoc</t>
  </si>
  <si>
    <t>0071000610531</t>
  </si>
  <si>
    <t>Tran Phuoc Duy Bao</t>
  </si>
  <si>
    <t>1600179050294</t>
  </si>
  <si>
    <t>Nguyen Minh Bao</t>
  </si>
  <si>
    <t>100007117555</t>
  </si>
  <si>
    <t>Nguyen Ly Nhat Tam</t>
  </si>
  <si>
    <t>0331000463292</t>
  </si>
  <si>
    <t>Tran Thi Kieu My</t>
  </si>
  <si>
    <t>2040108751001</t>
  </si>
  <si>
    <t>Nguyen Thuy Thuy Duong</t>
  </si>
  <si>
    <t>3466927061994</t>
  </si>
  <si>
    <t>Ho Duc Ha</t>
  </si>
  <si>
    <t>102869279221</t>
  </si>
  <si>
    <t>Huynh Nhu Huynh</t>
  </si>
  <si>
    <t>0111000375684</t>
  </si>
  <si>
    <t>Pham Hong Toan</t>
  </si>
  <si>
    <t>101872881861</t>
  </si>
  <si>
    <t>Pham Hoang Vu</t>
  </si>
  <si>
    <t>0010148837002</t>
  </si>
  <si>
    <t>Nguyen Huynh Quang Tin</t>
  </si>
  <si>
    <t>Le Thi Kieu Trinh</t>
  </si>
  <si>
    <t xml:space="preserve"> vietcombank</t>
  </si>
  <si>
    <t>Tran Thi Quynh</t>
  </si>
  <si>
    <t>0868082514</t>
  </si>
  <si>
    <t>Dinh Thi Thu Trang</t>
  </si>
  <si>
    <t>0984890769</t>
  </si>
  <si>
    <t>MEDIGO_CTV</t>
  </si>
  <si>
    <t>Vo Nguyen Doan Thao</t>
  </si>
  <si>
    <t>0004100038772006</t>
  </si>
  <si>
    <t>OCB</t>
  </si>
  <si>
    <t>Dang Quang Vinh</t>
  </si>
  <si>
    <t>0704833644</t>
  </si>
  <si>
    <t>Luu Chan Hung</t>
  </si>
  <si>
    <t>0004100037733007</t>
  </si>
  <si>
    <t>Nguyen Phan Hoang Phuc</t>
  </si>
  <si>
    <t>0369322789</t>
  </si>
  <si>
    <t xml:space="preserve">P.VAN HANH NT - </t>
  </si>
  <si>
    <t>Nguyen Duc Viet Khoa</t>
  </si>
  <si>
    <t>100874109827</t>
  </si>
  <si>
    <t xml:space="preserve">Medigo TT Luong T10.2024 -  P.VAN HANH NT -  </t>
  </si>
  <si>
    <t xml:space="preserve">P.MARKETING - </t>
  </si>
  <si>
    <t>Nguyen Thi Xuan Phuong</t>
  </si>
  <si>
    <t>Xp200104</t>
  </si>
  <si>
    <t>Tiên Phong bank (TP bank)</t>
  </si>
  <si>
    <t>Duong Ngoc Vy</t>
  </si>
  <si>
    <t>0251002763091</t>
  </si>
  <si>
    <t xml:space="preserve">Medigo TT Luong T10.2024 -  P.KT - </t>
  </si>
  <si>
    <t>Thai Ngoc Hanh</t>
  </si>
  <si>
    <t>0001624671534</t>
  </si>
  <si>
    <t xml:space="preserve">P.PD - </t>
  </si>
  <si>
    <t>Le Thi Thuy Huong</t>
  </si>
  <si>
    <t>1015816066</t>
  </si>
  <si>
    <t>Vietcombank - Ngân hàng thương mại cổ phần Ngoại thương Việt Nam</t>
  </si>
  <si>
    <t xml:space="preserve">Medigo TT Luong T10.2024 -  P.PD - </t>
  </si>
  <si>
    <t>LƯƠNG NỘI BỘ</t>
  </si>
  <si>
    <t>Medigo 012</t>
  </si>
  <si>
    <t>Medigo TT Luong T10.2024 - BOD - Le Huu Ha</t>
  </si>
  <si>
    <t>MED SERVICE</t>
  </si>
  <si>
    <t xml:space="preserve">P.VAN HANH - </t>
  </si>
  <si>
    <t>Med Service 018</t>
  </si>
  <si>
    <t>Nong Thi Bich</t>
  </si>
  <si>
    <t>4701205145047</t>
  </si>
  <si>
    <t>Agribank - TP. Nha Trang, tỉnh Khánh Hòa</t>
  </si>
  <si>
    <t xml:space="preserve">Med TT Luong T10.2024 P.VAN HANH - </t>
  </si>
  <si>
    <t>Le Thi Quy Ngoc</t>
  </si>
  <si>
    <t>0441000768646</t>
  </si>
  <si>
    <t>Le Thu Ha</t>
  </si>
  <si>
    <t>0511000409951</t>
  </si>
  <si>
    <t>Vu Thi Kim Phung</t>
  </si>
  <si>
    <t>19036786706012</t>
  </si>
  <si>
    <t>Tran Pham Thi Khanh Vy</t>
  </si>
  <si>
    <t>1018632367</t>
  </si>
  <si>
    <t>Nguyen Thi Thanh Sang</t>
  </si>
  <si>
    <t>20069666879</t>
  </si>
  <si>
    <t>Ngo Phuong Quynh</t>
  </si>
  <si>
    <t>0531002575415</t>
  </si>
  <si>
    <t>Nguyen Hong Hai</t>
  </si>
  <si>
    <t>19036983446014</t>
  </si>
  <si>
    <t>Nguyen Thi Kim Hue</t>
  </si>
  <si>
    <t>101877631559</t>
  </si>
  <si>
    <t xml:space="preserve">Med TT Luong T10.2024 P.ADMIN-CSKH -  </t>
  </si>
  <si>
    <t>Nguyen Hoang Nguyen Dan</t>
  </si>
  <si>
    <t>0865817107</t>
  </si>
  <si>
    <t>Shinhanbank</t>
  </si>
  <si>
    <t xml:space="preserve">Med TT Luong T10.2024 P.PD -  </t>
  </si>
  <si>
    <t>Vo Hong Duyen</t>
  </si>
  <si>
    <t>0421000492697</t>
  </si>
  <si>
    <t xml:space="preserve">Med TT Luong T10.2024 P.XN -  </t>
  </si>
  <si>
    <t>Le Thanh Toan</t>
  </si>
  <si>
    <t>19038793631012</t>
  </si>
  <si>
    <t>Tran Minh Nhat</t>
  </si>
  <si>
    <t>19031654726020</t>
  </si>
  <si>
    <t>MED_CTV INVENTORY TEAM</t>
  </si>
  <si>
    <t>Phạm Trần Vân An</t>
  </si>
  <si>
    <t>104877160004</t>
  </si>
  <si>
    <t>Med TT Luong T10.2024 P.PD -  Pham Tran Van Anh</t>
  </si>
  <si>
    <t>DƯỢC SĨ ĐỨNG BẰNG</t>
  </si>
  <si>
    <t>P.XN</t>
  </si>
  <si>
    <t>Nguyen Anh Tuan</t>
  </si>
  <si>
    <t>6380215021812</t>
  </si>
  <si>
    <t>Agribank  chi nhánh Bình Triệu, HCM</t>
  </si>
  <si>
    <t>Med TT Luong T10.2024 - DSDB</t>
  </si>
  <si>
    <t>P.VẬN HÀNH NT</t>
  </si>
  <si>
    <t>Tran Thanh Long</t>
  </si>
  <si>
    <t>0367851304</t>
  </si>
  <si>
    <t>Hoang Anh Tai</t>
  </si>
  <si>
    <t>0938265135</t>
  </si>
  <si>
    <t>Ton Nu Thanh Hien</t>
  </si>
  <si>
    <t>1020418091</t>
  </si>
  <si>
    <t>Bui Thi Hong Phuong</t>
  </si>
  <si>
    <t>0071001114247</t>
  </si>
  <si>
    <t>Pham Tuyet Mai</t>
  </si>
  <si>
    <t>19036740571015</t>
  </si>
  <si>
    <t xml:space="preserve">Techcombank </t>
  </si>
  <si>
    <t xml:space="preserve">Le Thi Mai </t>
  </si>
  <si>
    <t xml:space="preserve">034 923 5409 </t>
  </si>
  <si>
    <t>Thi Meo</t>
  </si>
  <si>
    <t xml:space="preserve">0511000416697   </t>
  </si>
  <si>
    <t>Nguyen Thanh Van</t>
  </si>
  <si>
    <t>19034603067013</t>
  </si>
  <si>
    <t>Nguyen Van Manh</t>
  </si>
  <si>
    <t>122445089</t>
  </si>
  <si>
    <t>Vp Bank</t>
  </si>
  <si>
    <t>Dang Nhu Minh Tam</t>
  </si>
  <si>
    <t>7773838686868</t>
  </si>
  <si>
    <t>Medigo TT Luong T10.2024 - NOI BO -  Luu Thanh Tuyen</t>
  </si>
  <si>
    <t>Doan Huu Luan</t>
  </si>
  <si>
    <t>1020112968002</t>
  </si>
  <si>
    <t>Medigo TT Luong T10.2024 - NOI BO -  Doan Huu Luan</t>
  </si>
  <si>
    <t>Medigo TT Luong T10.2024 - NOI BO -  Ngo Thi Huong</t>
  </si>
  <si>
    <t>HỒ CHÍ MINH</t>
  </si>
  <si>
    <t>Tên chủ TK</t>
  </si>
  <si>
    <t>Số tiền</t>
  </si>
  <si>
    <t>Nội dung chuyển khoản lương</t>
  </si>
  <si>
    <t>Quách Thị Hậu</t>
  </si>
  <si>
    <t>Quach Thi Hau</t>
  </si>
  <si>
    <t>19032089518024</t>
  </si>
  <si>
    <t>NH Techcombank</t>
  </si>
  <si>
    <t>Med Service TT Luong T10.2024 - CNT 24H -</t>
  </si>
  <si>
    <t>Med Service TT Luong T10.2024 - CNT 24H - Quach Thi Hau</t>
  </si>
  <si>
    <t>·</t>
  </si>
  <si>
    <t>Med Service TT Luong T10.2024 - CNT 24H - Ngo Tran Tuyet Vy</t>
  </si>
  <si>
    <t>Med Service TT Luong T10.2024 - CNT 24H - Tran Thi Kim Khanh</t>
  </si>
  <si>
    <t>Huỳnh Ngọc Liểu</t>
  </si>
  <si>
    <t>Huynh Ngoc Lieu</t>
  </si>
  <si>
    <t>0111000173413</t>
  </si>
  <si>
    <t>Vietcombank CN Cần Thơ</t>
  </si>
  <si>
    <t>Med Service TT Luong T10.2024 - CNT 24H - Huynh Ngoc Lieu</t>
  </si>
  <si>
    <t>08 LQV</t>
  </si>
  <si>
    <t>Med Service TT Luong T10.2024 - 8LVQ -</t>
  </si>
  <si>
    <t>Med Service TT Luong T10.2024 - 8LVQ - Thai Thuy Linh</t>
  </si>
  <si>
    <t>Med Service TT Luong T10.2024 - 8LVQ - Trinh Thi Phuong</t>
  </si>
  <si>
    <t>Võ Thị Ngọc Ánh</t>
  </si>
  <si>
    <t>Vo Thi Ngoc Anh</t>
  </si>
  <si>
    <t>Med Service TT Luong T10.2024 - 8LVQ - Vo Thi Ngoc Anh</t>
  </si>
  <si>
    <t>Doan Quoc Tam</t>
  </si>
  <si>
    <t>Med Service TT Luong T10.2024 - 8LVQ - Doan Quoc Tam</t>
  </si>
  <si>
    <t>Q5</t>
  </si>
  <si>
    <t>Phạm Thị Diệu</t>
  </si>
  <si>
    <t>Pham Thi Dieu</t>
  </si>
  <si>
    <t>Med Service TT Luong T10.2024 - QUAN 5 -</t>
  </si>
  <si>
    <t>Med Service TT Luong T10.2024 - QUAN 5 - Pham Thi Dieu</t>
  </si>
  <si>
    <t>Bùi Mỹ Nhàn</t>
  </si>
  <si>
    <t>Bui My Nhan</t>
  </si>
  <si>
    <t>070116652781</t>
  </si>
  <si>
    <t>Med Service TT Luong T10.2024 - QUAN 5 - Bui My Nhan</t>
  </si>
  <si>
    <t>Hoàng Trung Thuần</t>
  </si>
  <si>
    <t>Hoang Trung Thuan</t>
  </si>
  <si>
    <t>111220005678</t>
  </si>
  <si>
    <t>Med Service TT Luong T10.2024 - QUAN 5 - Hoang Trung Thuan</t>
  </si>
  <si>
    <t>Vũ Thị Hoàng Hiếu</t>
  </si>
  <si>
    <t>Vu Thi Hoang Hieu</t>
  </si>
  <si>
    <t>5002205087854</t>
  </si>
  <si>
    <t>agribank chi nhánh An Khê - Gia Lai</t>
  </si>
  <si>
    <t>Med Service TT Luong T10.2024 - QUAN 5 - Vu Thi Hoang Hieu</t>
  </si>
  <si>
    <t>Med Service TT Luong T10.2024 - QUAN 5 - Pham Thi Nghia Huong</t>
  </si>
  <si>
    <t>Q8</t>
  </si>
  <si>
    <t>Vietcomebank</t>
  </si>
  <si>
    <t>Med Service TT Luong T10.2024 - QUAN 8 -</t>
  </si>
  <si>
    <t>Med Service TT Luong T10.2024 - QUAN 8 - Nguyen Tri Nghia</t>
  </si>
  <si>
    <t>Nguyễn Kim Xuân</t>
  </si>
  <si>
    <t>Nguyen Kim Xuan</t>
  </si>
  <si>
    <t>03831562501</t>
  </si>
  <si>
    <t>Med Service TT Luong T10.2024 - QUAN 8 - Nguyen Kim Xuan</t>
  </si>
  <si>
    <t>Nguyễn Thanh Nhàn</t>
  </si>
  <si>
    <t>Nguyen Thanh Nhan</t>
  </si>
  <si>
    <t>060314907690</t>
  </si>
  <si>
    <t>Med Service TT Luong T10.2024 - QUAN 8 - Nguyen Thanh Nhan</t>
  </si>
  <si>
    <t>Cao Thị Minh Hà</t>
  </si>
  <si>
    <t>Cao Thi Minh Ha</t>
  </si>
  <si>
    <t>Ngân hàng Thương mại cổ phần Đầu tư và Phát triển Việt Nam (BIDV)</t>
  </si>
  <si>
    <t>Med Service TT Luong T10.2024 - QUAN 8 - Cao Thi Minh Ha</t>
  </si>
  <si>
    <t>Nguyễn Thị Thủy Tiên</t>
  </si>
  <si>
    <t>Nguyen Thi Thuy Tien</t>
  </si>
  <si>
    <t>Med Service TT Luong T10.2024 - QUAN 8 - Nguyen Thi Thuy Tien</t>
  </si>
  <si>
    <t>Q7</t>
  </si>
  <si>
    <t>Med Service TT Luong T10.2024 - QUAN 7 -</t>
  </si>
  <si>
    <t>Med Service TT Luong T10.2024 - QUAN 7 - Cu Thi Tuong Vy</t>
  </si>
  <si>
    <t>Med Service TT Luong T10.2024 - QUAN 7 - Trieu Thi Ngoc Ly</t>
  </si>
  <si>
    <t>Võ Thị Thùy Trang</t>
  </si>
  <si>
    <t>Vo Thi Thuy Trang</t>
  </si>
  <si>
    <t>13200014565612</t>
  </si>
  <si>
    <t>SeABank</t>
  </si>
  <si>
    <t>Med Service TT Luong T10.2024 - QUAN 7 - Vo Thi Thuy Trang</t>
  </si>
  <si>
    <t>Trần Ngọc Lợi</t>
  </si>
  <si>
    <t>Tran Ngoc Loi</t>
  </si>
  <si>
    <t>Med Service TT Luong T10.2024 - QUAN 7 - Tran Ngoc Loi</t>
  </si>
  <si>
    <t>Trần Thị Minh Châu</t>
  </si>
  <si>
    <t>Tran Thi Minh Chau</t>
  </si>
  <si>
    <t>0471000320172</t>
  </si>
  <si>
    <t>Med Service TT Luong T10.2024 - QUAN 7 - Tran Thi Minh Chau</t>
  </si>
  <si>
    <t>Nguyễn Khánh Duy</t>
  </si>
  <si>
    <t>Nguyen Khanh Duy</t>
  </si>
  <si>
    <t>19039521237011</t>
  </si>
  <si>
    <t>Med Service TT Luong T10.2024 - QUAN 7 - Nguyen Khanh Duy</t>
  </si>
  <si>
    <t>GÒ VẤP</t>
  </si>
  <si>
    <t>Med Service TT Luong T10.2024 - QUAN GV -</t>
  </si>
  <si>
    <t>Med Service TT Luong T10.2024 - QUAN GV - Ho Thi Minh Hoa</t>
  </si>
  <si>
    <t>Lê Hữu Thắng</t>
  </si>
  <si>
    <t>Le Huu Thang</t>
  </si>
  <si>
    <t>107870955263</t>
  </si>
  <si>
    <t>Med Service TT Luong T10.2024 - QUAN GV - Le Huu Thang</t>
  </si>
  <si>
    <t>Med Service TT Luong T10.2024 - QUAN GV - Nguyen Thi Hong Hanh</t>
  </si>
  <si>
    <t>Trần Lưu Triều Ân</t>
  </si>
  <si>
    <t>Tran Luu Trieu An</t>
  </si>
  <si>
    <t>Med Service TT Luong T10.2024 - QUAN GV - Tran Luu Trieu An</t>
  </si>
  <si>
    <t>Nguyen Thi Hương Giang</t>
  </si>
  <si>
    <t>Med Service TT Luong T10.2024 - QUAN GV - Nguyen Thi Hương Giang</t>
  </si>
  <si>
    <t>Q12</t>
  </si>
  <si>
    <t>Med Service TT Luong T10.2024 - CNT 24H - QUAN 12 -</t>
  </si>
  <si>
    <t>Med Service TT Luong T10.2024 - CNT 24H - QUAN 12 - Vo Ngoc Giau Sang</t>
  </si>
  <si>
    <t>Med Service TT Luong T10.2024 - CNT 24H - QUAN 12 - Ho Ngoc Ly</t>
  </si>
  <si>
    <t>Vũ Đăng Khoa</t>
  </si>
  <si>
    <t>Vu Dang Khoa</t>
  </si>
  <si>
    <t>0111000245244</t>
  </si>
  <si>
    <t>Med Service TT Luong T10.2024 - CNT 24H - QUAN 12 - Vu Dang Khoa</t>
  </si>
  <si>
    <t>Med Service TT Luong T10.2024 - CNT 24H - QUAN 12 - Nguyen Thi Hương Giang</t>
  </si>
  <si>
    <t>Q1</t>
  </si>
  <si>
    <t>Med Service TT Luong T10.2024 - CNT 24H - QUAN 1 -</t>
  </si>
  <si>
    <t>Med Service TT Luong T10.2024 - CNT 24H - QUAN 1 - Ngo Thi Thanh Tham</t>
  </si>
  <si>
    <t>Phan Dương Liên Phương</t>
  </si>
  <si>
    <t>Phan Duong Lien Phuong</t>
  </si>
  <si>
    <t>107870415682</t>
  </si>
  <si>
    <t>Med Service TT Luong T10.2024 - CNT 24H - QUAN 1 - Phan Duong Lien Phuong</t>
  </si>
  <si>
    <t>Huỳnh Thị Kim Ngân</t>
  </si>
  <si>
    <t>Huynh Thi Kim Ngan</t>
  </si>
  <si>
    <t>00199839396666</t>
  </si>
  <si>
    <t>Med Service TT Luong T10.2024 - CNT 24H - QUAN 1 - Huynh Thi Kim Ngan</t>
  </si>
  <si>
    <t>Med Service TT Luong T10.2024 - CNT 24H - QUAN 1 - Le Thi Huyen Tran</t>
  </si>
  <si>
    <t>Med Service TT Luong T10.2024 - CNT 24H - QUAN 1 - Nguyen Khanh Duy</t>
  </si>
  <si>
    <t>Lê Trung Nguyên</t>
  </si>
  <si>
    <t>Le Trung Nguyen</t>
  </si>
  <si>
    <t>0721000554392</t>
  </si>
  <si>
    <t>Med Service TT Luong T10.2024 - CNT 24H - QUAN 1 - Le Trung Nguyen</t>
  </si>
  <si>
    <t>Văn Ngọc Phương Trinh</t>
  </si>
  <si>
    <t>Van Ngoc Phuong Trinh</t>
  </si>
  <si>
    <t>169722064</t>
  </si>
  <si>
    <t>VP BANK</t>
  </si>
  <si>
    <t>Med Service TT Luong T10.2024 - CNT 24H - QUAN 1 - Van Ngoc Phuong Trinh</t>
  </si>
  <si>
    <t>HÀ NỘI</t>
  </si>
  <si>
    <t>Tên TK</t>
  </si>
  <si>
    <t>Nội dung chuyển khoản</t>
  </si>
  <si>
    <t>247 Đường Láng</t>
  </si>
  <si>
    <t>Med Service TT Luong T10.2024 - 247 DUONG LANG -</t>
  </si>
  <si>
    <t>Med Service TT Luong T10.2024 - 247 DUONG LANG - Hua Thi Kim Thoa</t>
  </si>
  <si>
    <t>Nguyễn Thị Phiên</t>
  </si>
  <si>
    <t>0987524738</t>
  </si>
  <si>
    <t>Med Service TT Luong T10.2024 - 247 DUONG LANG - Nguyễn Thị Phiên</t>
  </si>
  <si>
    <t>0924479717</t>
  </si>
  <si>
    <t>Med Service TT Luong T10.2024 - 247 DUONG LANG - Nguyen Thi Tam</t>
  </si>
  <si>
    <t>Lê Duy Hiệu</t>
  </si>
  <si>
    <t>Le Duy Hieu</t>
  </si>
  <si>
    <t>37110001168020</t>
  </si>
  <si>
    <t>Bidv</t>
  </si>
  <si>
    <t>Med Service TT Luong T10.2024 - 247 DUONG LANG - Le Duy Hieu</t>
  </si>
  <si>
    <t>Đàm Thu Quỳnh</t>
  </si>
  <si>
    <t>Dam Thu Quynh</t>
  </si>
  <si>
    <t>106005208202</t>
  </si>
  <si>
    <t>Viettinbank</t>
  </si>
  <si>
    <t>Med Service TT Luong T10.2024 - 247 DUONG LANG - Dam Thu Quynh</t>
  </si>
  <si>
    <t>Phan Kiều Trang</t>
  </si>
  <si>
    <t>Phan Kieu Trang</t>
  </si>
  <si>
    <t>8871948321</t>
  </si>
  <si>
    <t>Med Service TT Luong T10.2024 - 247 DUONG LANG - Phan Kieu Trang</t>
  </si>
  <si>
    <t>247 Hàng Bông</t>
  </si>
  <si>
    <t>Lê Thị Ngọc Ánh</t>
  </si>
  <si>
    <t>Le Thi Ngoc Anh</t>
  </si>
  <si>
    <t>28910000298076</t>
  </si>
  <si>
    <t>Med Service TT Luong T10.2024 - 247 HANG BONG -</t>
  </si>
  <si>
    <t>Med Service TT Luong T10.2024 - 247 HANG BONG - Le Thi Ngoc Anh</t>
  </si>
  <si>
    <t>Med Service TT Luong T10.2024 - 247 HANG BONG - Dinh Thi Lan Anh</t>
  </si>
  <si>
    <t>Ngô Thị Tâm</t>
  </si>
  <si>
    <t>Ngo Thi Tam</t>
  </si>
  <si>
    <t>1030558333</t>
  </si>
  <si>
    <t>Med Service TT Luong T10.2024 - 247 HANG BONG - Ngo Thi Tam</t>
  </si>
  <si>
    <t>Đào Thị Diễm</t>
  </si>
  <si>
    <t>Dao Thi Diem</t>
  </si>
  <si>
    <t>Med Service TT Luong T10.2024 - 247 HANG BONG - Dao Thi Diem</t>
  </si>
  <si>
    <t>Nguyễn Ngọc Linh</t>
  </si>
  <si>
    <t>Nguyen Ngoc Linh</t>
  </si>
  <si>
    <t>1020411491</t>
  </si>
  <si>
    <t>Med Service TT Luong T10.2024 - 247 HANG BONG - Nguyen Ngoc Linh</t>
  </si>
  <si>
    <t>Nguyễn Thị Hoa</t>
  </si>
  <si>
    <t>Nguyen Thi Hoa</t>
  </si>
  <si>
    <t>0362671470</t>
  </si>
  <si>
    <t>Med Service TT Luong T10.2024 - 247 HANG BONG - Nguyen Thi Hoa</t>
  </si>
  <si>
    <t>Med Service TT Luong T10.2024 - 247 HANG BONG - Phan Kieu Trang</t>
  </si>
  <si>
    <t>882 Trương Định</t>
  </si>
  <si>
    <t>Đỗ Thục Chinh</t>
  </si>
  <si>
    <t>Do Thuc Chinh</t>
  </si>
  <si>
    <t>1042921909</t>
  </si>
  <si>
    <t>Med Service TT Luong T10.2024 - 882 TRUONG DINH -</t>
  </si>
  <si>
    <t>Med Service TT Luong T10.2024 - 882 TRUONG DINH - Do Thuc Chinh</t>
  </si>
  <si>
    <t>Đỗ Mạnh Huy</t>
  </si>
  <si>
    <t>Do Manh Huy</t>
  </si>
  <si>
    <t>73101996187</t>
  </si>
  <si>
    <t>Med Service TT Luong T10.2024 - 882 TRUONG DINH - Do Manh Huy</t>
  </si>
  <si>
    <t>Đinh Thị Nhung</t>
  </si>
  <si>
    <t>Dinh Thi Nhung</t>
  </si>
  <si>
    <t>0122100010597008</t>
  </si>
  <si>
    <t>Ocb Ngân hàng Phương Đông</t>
  </si>
  <si>
    <t>Med Service TT Luong T10.2024 - 882 TRUONG DINH - Dinh Thi Nhung</t>
  </si>
  <si>
    <t>Vũ Thị Phương</t>
  </si>
  <si>
    <t>Vu Thi Phuong</t>
  </si>
  <si>
    <t>0972549261</t>
  </si>
  <si>
    <t>Med Service TT Luong T10.2024 - 882 TRUONG DINH - Vu Thi Phuong</t>
  </si>
  <si>
    <t>Med Service TT Luong T10.2024 - 882 TRUONG DINH - Le Duy Hieu</t>
  </si>
  <si>
    <t>Med Service TT Luong T10.2024 - 882 TRUONG DINH - Hua Thi Kim Thoa</t>
  </si>
  <si>
    <t>Med Service TT Luong T10.2024 - 882 TRUONG DINH - Phan Kieu Trang</t>
  </si>
  <si>
    <t>Lương thỏa thuận CTV Kho</t>
  </si>
  <si>
    <t>Tên CTV</t>
  </si>
  <si>
    <t>Cty</t>
  </si>
  <si>
    <t>Lương thỏa thuận / sản phẩm</t>
  </si>
  <si>
    <t>TPCN - Ver 1+2</t>
  </si>
  <si>
    <t>Mỹ phẩm</t>
  </si>
  <si>
    <t>Hoạt chất</t>
  </si>
  <si>
    <t>Gắn mã Khuyến mãi</t>
  </si>
  <si>
    <t>Đổi hình sản phẩm</t>
  </si>
  <si>
    <t>Phụ cấp</t>
  </si>
  <si>
    <t>Lương NET</t>
  </si>
  <si>
    <t>Lương Gross</t>
  </si>
  <si>
    <t xml:space="preserve">Tổng </t>
  </si>
  <si>
    <t>Medigo Software</t>
  </si>
  <si>
    <t>Bùi Đức Lương</t>
  </si>
  <si>
    <t>Vũ Công Thành</t>
  </si>
  <si>
    <t>Mai Thanh Phương</t>
  </si>
  <si>
    <t>Huỳnh Thanh Thái</t>
  </si>
  <si>
    <t>Lê Ngọc Hoàng Trang</t>
  </si>
  <si>
    <t>Nguyễn Thị Thanh Tâm</t>
  </si>
  <si>
    <t>Lê Trương Thảo Vy</t>
  </si>
  <si>
    <t>Nguyễn Thị Thanh Thuý</t>
  </si>
  <si>
    <t>Nguyễn Thị Quỳnh Như</t>
  </si>
  <si>
    <t>Trần Thiện Quyền</t>
  </si>
  <si>
    <t>Nguyễn Lâm Ngọc Hiền</t>
  </si>
  <si>
    <t>Nguyễn Lê Linh Phụng</t>
  </si>
  <si>
    <t>Phan Thảo Hiền</t>
  </si>
  <si>
    <t>Số TT</t>
  </si>
  <si>
    <t>Họ và tên</t>
  </si>
  <si>
    <t>Tên chủ tài khoản</t>
  </si>
  <si>
    <t>Med  TT Luong T8.2026 -24H-Nguyen Ngoc Anh Thu</t>
  </si>
  <si>
    <t>Med  TT Luong T8.2026 -24H-Nguyen Tran Ngoc Phuong</t>
  </si>
  <si>
    <t>Med  TT Luong T8.2026 -24H-Ngo Tran Tuyet Vy</t>
  </si>
  <si>
    <t>Med  TT Luong T8.2026 -24H-Pham Nguyen Ngoc Quy</t>
  </si>
  <si>
    <t>Med  TT Luong T8.2026 -24H-Tran Thi Kim Khanh</t>
  </si>
  <si>
    <t>Do Quang Dau</t>
  </si>
  <si>
    <t>Med  TT Luong T8.2026 -Do Quang Dau-Duong Thi Huynh Nhu</t>
  </si>
  <si>
    <t>Phạm Thị Diên</t>
  </si>
  <si>
    <t>Pham Thi Dien</t>
  </si>
  <si>
    <t>Med  TT Luong T8.2026 -Do Quang Dau-Pham Thi Dien</t>
  </si>
  <si>
    <t>Med  TT Luong T8.2026 -Do Quang Dau-Tran Thien Phat</t>
  </si>
  <si>
    <t>Minh Chau</t>
  </si>
  <si>
    <t>Nguyễn Ngọc Đài Trang</t>
  </si>
  <si>
    <t>Nguyen Ngoc Dai Trang</t>
  </si>
  <si>
    <t>Med  TT Luong T8.2026 -Minh Chau-Nguyen Ngoc Dai Trang</t>
  </si>
  <si>
    <t>Med  TT Luong T8.2026 -Minh Chau-Phan Cong Vu Tai</t>
  </si>
  <si>
    <t>Le Binh</t>
  </si>
  <si>
    <t>Med  TT Luong T8.2026 -Le Binh-Cu Thi Tuong Vy</t>
  </si>
  <si>
    <t>Med  TT Luong T8.2026 -Le Binh-Phan Cong Vu Tai</t>
  </si>
  <si>
    <t>Nam Hoa</t>
  </si>
  <si>
    <t>Hạ Ngân Khánh</t>
  </si>
  <si>
    <t>Ha Ngan Khanh</t>
  </si>
  <si>
    <t>Med  TT Luong T8.2026 -Nam Hoa-Ha Ngan Khanh</t>
  </si>
  <si>
    <t>Med  TT Luong T8.2026 -Nam Hoa-Nguyen Tri Nghia</t>
  </si>
  <si>
    <t>Med  TT Luong T8.2026 -Nam Hoa-Phan Cong Vu Tai</t>
  </si>
  <si>
    <t>Med  TT Luong T8.2026 -Nam Hoa-Pham Thi Dien</t>
  </si>
  <si>
    <t>Đỗ Thị Thu Hương</t>
  </si>
  <si>
    <t>Do Thi Thu Huong</t>
  </si>
  <si>
    <t>Med  TT Luong T8.2026 -Nam Hoa-Do Thi Thu Huong</t>
  </si>
  <si>
    <t>Nguyen Chi Thanh</t>
  </si>
  <si>
    <t>Med  TT Luong T8.2026 -Nguyen Chi Thanh-Nguyen Tri Nghia</t>
  </si>
  <si>
    <t>Nguyễn Đăng An</t>
  </si>
  <si>
    <t>Nguyen Dang An</t>
  </si>
  <si>
    <t>Med  TT Luong T8.2026 -Nguyen Chi Thanh-Nguyen Dang An</t>
  </si>
  <si>
    <t>Nguyen Thi Thap</t>
  </si>
  <si>
    <t>Nguyễn Minh Trí</t>
  </si>
  <si>
    <t>Nguyen Minh Tri</t>
  </si>
  <si>
    <t>Med  TT Luong T8.2026 -Nguyen Thi Thap-Nguyen Minh Tri</t>
  </si>
  <si>
    <t>Med  TT Luong T8.2026 -Nguyen Thi Thap-Nguyen Tri Nghia</t>
  </si>
  <si>
    <t>Nguyen Van Qua</t>
  </si>
  <si>
    <t>Nguyễn Trần Vĩnh Khang</t>
  </si>
  <si>
    <t>Nguyen Tran Vinh Khang</t>
  </si>
  <si>
    <t>Med  TT Luong T8.2026 -Nguyen Van Qua-Nguyen Tran Vinh Khang</t>
  </si>
  <si>
    <t>Rach Bung Binh</t>
  </si>
  <si>
    <t>Med  TT Luong T8.2026 -Rach Bung Binh-Cu Thi Tuong Vy</t>
  </si>
  <si>
    <t>Nguyễn Mẫn Tiệp</t>
  </si>
  <si>
    <t>Nguyen Man Tiep</t>
  </si>
  <si>
    <t>Med  TT Luong T8.2026 -Rach Bung Binh-Nguyen Man Tiep</t>
  </si>
  <si>
    <t>Trần Gia Tiến</t>
  </si>
  <si>
    <t>Tran Gia Tien</t>
  </si>
  <si>
    <t>Med  TT Luong T8.2026 -Rach Bung Binh-Tran Gia Tien</t>
  </si>
  <si>
    <t>Duong Lang</t>
  </si>
  <si>
    <t>Med  TT Luong T8.2026 -Duong Lang-Nguyen Thi Mai Duyen</t>
  </si>
  <si>
    <t>Hang Bong</t>
  </si>
  <si>
    <t>Med  TT Luong T8.2026 -Hang Bong-Nguyen Thi Mai Duyen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</si>
</sst>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.00_-;\-* #,##0.00_-;_-* &quot;-&quot;??_-;_-@_-"/>
    <numFmt numFmtId="168" formatCode="#,##0\ [$đ-42A]"/>
    <numFmt numFmtId="169" formatCode="_-* #,##0\ _₫_-;\-* #,##0\ _₫_-;_-* &quot;-&quot;??\ _₫_-;_-@"/>
    <numFmt numFmtId="170" formatCode="_-* #,##0_-;\-* #,##0_-;_-* &quot;-&quot;??_-;_-@"/>
    <numFmt numFmtId="171" formatCode="_(* #,##0_);_(* \(#,##0\);_(* &quot;-&quot;??_);_(@_)"/>
    <numFmt numFmtId="172" formatCode="_-* #,##0_-;\-* #,##0_-;_-* &quot;-&quot;??_-;_-@_-"/>
    <numFmt numFmtId="173" formatCode="#,##0.00000000"/>
    <numFmt numFmtId="174" formatCode="#,##0.0"/>
    <numFmt numFmtId="175" formatCode="_(* #,##0.00_);_(* \(#,##0.00\);_(* &quot;-&quot;??.00_);_(@_)"/>
    <numFmt numFmtId="176" formatCode="#,##0.0000000"/>
    <numFmt numFmtId="177" formatCode="00"/>
    <numFmt numFmtId="178" formatCode="_-* #,##0.00\ _₫_-;\-* #,##0.00\ _₫_-;_-* &quot;-&quot;??\ _₫_-;_-@"/>
    <numFmt numFmtId="179" formatCode="_-* #,##0.0_-;\-* #,##0.0_-;_-* &quot;-&quot;??_-;_-@_-"/>
    <numFmt numFmtId="180" formatCode="0_);\(0\)"/>
    <numFmt numFmtId="181" formatCode="&quot;$&quot;#,##0.00"/>
  </numFmts>
  <fonts count="7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name val="Calibri"/>
      <charset val="134"/>
    </font>
    <font>
      <sz val="10"/>
      <color theme="1"/>
      <name val="Cambria"/>
      <charset val="134"/>
    </font>
    <font>
      <sz val="11"/>
      <color theme="1"/>
      <name val="Calibri"/>
      <charset val="134"/>
    </font>
    <font>
      <b/>
      <sz val="10"/>
      <color rgb="FF000000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rgb="FF0000FF"/>
      <name val="Times New Roman"/>
      <charset val="134"/>
    </font>
    <font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b/>
      <sz val="11"/>
      <color theme="1"/>
      <name val="Times New Roman"/>
      <charset val="134"/>
    </font>
    <font>
      <sz val="10"/>
      <color rgb="FFFF0000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b/>
      <sz val="13"/>
      <color rgb="FFFF0000"/>
      <name val="Times New Roman"/>
      <charset val="134"/>
    </font>
    <font>
      <b/>
      <sz val="18"/>
      <color theme="1"/>
      <name val="Times New Roman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C00000"/>
      <name val="Calibri"/>
      <charset val="134"/>
      <scheme val="minor"/>
    </font>
    <font>
      <b/>
      <sz val="10"/>
      <color rgb="FFC00000"/>
      <name val="Calibri"/>
      <charset val="134"/>
      <scheme val="minor"/>
    </font>
    <font>
      <b/>
      <i/>
      <sz val="10"/>
      <color theme="1"/>
      <name val="Times New Roman"/>
      <charset val="134"/>
    </font>
    <font>
      <b/>
      <i/>
      <sz val="10"/>
      <color rgb="FF000000"/>
      <name val="Times New Roman"/>
      <charset val="134"/>
    </font>
    <font>
      <b/>
      <i/>
      <sz val="10"/>
      <color rgb="FFC00000"/>
      <name val="Times New Roman"/>
      <charset val="134"/>
    </font>
    <font>
      <b/>
      <i/>
      <sz val="10"/>
      <color rgb="FFFF0000"/>
      <name val="Times New Roman"/>
      <charset val="134"/>
    </font>
    <font>
      <i/>
      <sz val="10"/>
      <color theme="1"/>
      <name val="Times New Roman"/>
      <charset val="134"/>
    </font>
    <font>
      <i/>
      <sz val="10"/>
      <color rgb="FFC00000"/>
      <name val="Times New Roman"/>
      <charset val="134"/>
    </font>
    <font>
      <i/>
      <sz val="10"/>
      <color rgb="FFFF0000"/>
      <name val="Times New Roman"/>
      <charset val="134"/>
    </font>
    <font>
      <b/>
      <sz val="11"/>
      <name val="Times New Roman"/>
      <charset val="134"/>
    </font>
    <font>
      <sz val="10"/>
      <color rgb="FF0000FF"/>
      <name val="Times New Roman"/>
      <charset val="134"/>
    </font>
    <font>
      <i/>
      <sz val="10"/>
      <color rgb="FF000000"/>
      <name val="Times New Roman"/>
      <charset val="134"/>
    </font>
    <font>
      <b/>
      <i/>
      <sz val="10"/>
      <color rgb="FF0000FF"/>
      <name val="Times New Roman"/>
      <charset val="134"/>
    </font>
    <font>
      <i/>
      <sz val="10"/>
      <color rgb="FF0000FF"/>
      <name val="Times New Roman"/>
      <charset val="134"/>
    </font>
    <font>
      <sz val="10"/>
      <name val="Times New Roman"/>
      <charset val="134"/>
    </font>
    <font>
      <sz val="10"/>
      <name val="Arial"/>
      <charset val="134"/>
    </font>
    <font>
      <b/>
      <sz val="10"/>
      <name val="Times New Roman"/>
      <charset val="134"/>
    </font>
    <font>
      <b/>
      <sz val="12"/>
      <color theme="1"/>
      <name val="Times New Roman"/>
      <charset val="134"/>
    </font>
    <font>
      <b/>
      <sz val="10"/>
      <color rgb="FFC00000"/>
      <name val="Times New Roman"/>
      <charset val="134"/>
    </font>
    <font>
      <u/>
      <sz val="11"/>
      <name val="Calibri"/>
      <charset val="134"/>
      <scheme val="minor"/>
    </font>
    <font>
      <sz val="12"/>
      <name val="Times New Roman"/>
      <charset val="134"/>
    </font>
    <font>
      <b/>
      <sz val="11"/>
      <name val="Calibri"/>
      <charset val="134"/>
      <scheme val="minor"/>
    </font>
    <font>
      <sz val="10"/>
      <name val="Roboto"/>
      <charset val="134"/>
    </font>
    <font>
      <sz val="10"/>
      <color rgb="FF473821"/>
      <name val="Times New Roman"/>
      <charset val="134"/>
    </font>
    <font>
      <sz val="10"/>
      <color rgb="FF5A3286"/>
      <name val="Times New Roman"/>
      <charset val="134"/>
    </font>
    <font>
      <sz val="10"/>
      <color rgb="FF11734B"/>
      <name val="Times New Roman"/>
      <charset val="134"/>
    </font>
    <font>
      <sz val="10"/>
      <color rgb="FF434343"/>
      <name val="Roboto"/>
      <charset val="134"/>
    </font>
    <font>
      <sz val="10"/>
      <color rgb="FF0A53A8"/>
      <name val="Times New Roman"/>
      <charset val="134"/>
    </font>
    <font>
      <sz val="10"/>
      <color rgb="FF753800"/>
      <name val="Times New Roman"/>
      <charset val="134"/>
    </font>
    <font>
      <sz val="10"/>
      <color rgb="FFC00000"/>
      <name val="Times New Roman"/>
      <charset val="134"/>
    </font>
    <font>
      <u/>
      <sz val="10"/>
      <color theme="10"/>
      <name val="Times New Roman"/>
      <charset val="134"/>
    </font>
    <font>
      <sz val="12"/>
      <color theme="1"/>
      <name val="Times New Roman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u/>
      <sz val="11"/>
      <color theme="1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Arial"/>
      <charset val="134"/>
    </font>
    <font>
      <sz val="11"/>
      <color rgb="FF000000"/>
      <name val="Calibri"/>
      <charset val="1"/>
      <scheme val="minor"/>
    </font>
    <font>
      <sz val="10"/>
      <color rgb="FF000000"/>
      <name val="Calibri"/>
      <charset val="1"/>
      <scheme val="minor"/>
    </font>
    <font>
      <b/>
      <sz val="9"/>
      <name val="Tahoma"/>
      <charset val="134"/>
    </font>
    <font>
      <sz val="9"/>
      <name val="Tahoma"/>
      <charset val="134"/>
    </font>
    <font>
      <sz val="9"/>
      <name val="Times New Roman"/>
    </font>
    <font>
      <b/>
      <sz val="9"/>
      <name val="Times New Roman"/>
    </font>
    <font>
      <sz val="11"/>
      <color theme="1"/>
      <name val="Calibri"/>
      <charset val="134"/>
      <scheme val="minor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434343"/>
      <name val="Times New Roman"/>
      <family val="1"/>
    </font>
    <font>
      <sz val="10"/>
      <color rgb="FF5A3286"/>
      <name val="Times New Roman"/>
      <family val="1"/>
    </font>
  </fonts>
  <fills count="5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AF9F9"/>
        <bgColor rgb="FFFAF9F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89013336588644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theme="4"/>
        <bgColor rgb="FFD9EAD3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B6D7A8"/>
      </patternFill>
    </fill>
    <fill>
      <patternFill patternType="solid">
        <fgColor theme="4"/>
        <bgColor rgb="FFFFFFFF"/>
      </patternFill>
    </fill>
    <fill>
      <patternFill patternType="solid">
        <fgColor theme="5"/>
        <bgColor rgb="FFFFFF00"/>
      </patternFill>
    </fill>
    <fill>
      <patternFill patternType="solid">
        <fgColor theme="5"/>
        <bgColor rgb="FFFFFFFF"/>
      </patternFill>
    </fill>
    <fill>
      <patternFill patternType="solid">
        <fgColor theme="7" tint="0.79989013336588644"/>
        <bgColor rgb="FFFEF2CB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theme="5" tint="0.79995117038483843"/>
        <bgColor rgb="FFFFFF00"/>
      </patternFill>
    </fill>
    <fill>
      <patternFill patternType="solid">
        <fgColor rgb="FFFFFF00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4" tint="0.39988402966399123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CCFF"/>
        <bgColor rgb="FFEA9999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rgb="FFCFE2F3"/>
      </patternFill>
    </fill>
    <fill>
      <patternFill patternType="solid">
        <fgColor rgb="FFCFE2F3"/>
        <bgColor rgb="FFCFE2F3"/>
      </patternFill>
    </fill>
    <fill>
      <patternFill patternType="solid">
        <fgColor theme="8" tint="0.59999389629810485"/>
        <bgColor rgb="FFCFE2F3"/>
      </patternFill>
    </fill>
    <fill>
      <patternFill patternType="solid">
        <fgColor rgb="FFFFFF00"/>
        <bgColor rgb="FFCFE2F3"/>
      </patternFill>
    </fill>
    <fill>
      <patternFill patternType="solid">
        <fgColor rgb="FFFFFF00"/>
        <bgColor rgb="FF00FF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EA9999"/>
      </patternFill>
    </fill>
    <fill>
      <patternFill patternType="solid">
        <fgColor theme="9" tint="0.59999389629810485"/>
        <bgColor rgb="FFFFFFFF"/>
      </patternFill>
    </fill>
    <fill>
      <patternFill patternType="solid">
        <fgColor rgb="FFFFCCFF"/>
        <bgColor indexed="64"/>
      </patternFill>
    </fill>
    <fill>
      <patternFill patternType="solid">
        <fgColor theme="5" tint="0.79989013336588644"/>
        <bgColor theme="0"/>
      </patternFill>
    </fill>
    <fill>
      <patternFill patternType="solid">
        <fgColor theme="9" tint="0.79998168889431442"/>
        <bgColor rgb="FFB6D7A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rgb="FFFFE599"/>
      </patternFill>
    </fill>
  </fills>
  <borders count="60">
    <border>
      <left/>
      <right/>
      <top/>
      <bottom/>
      <diagonal/>
    </border>
    <border>
      <left style="thin">
        <color rgb="FF2E75B5"/>
      </left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/>
      <top style="thin">
        <color rgb="FF2E75B5"/>
      </top>
      <bottom style="hair">
        <color rgb="FF000000"/>
      </bottom>
      <diagonal/>
    </border>
    <border>
      <left/>
      <right/>
      <top style="thin">
        <color rgb="FF2E75B5"/>
      </top>
      <bottom style="hair">
        <color rgb="FF000000"/>
      </bottom>
      <diagonal/>
    </border>
    <border>
      <left/>
      <right style="thin">
        <color rgb="FF7030A0"/>
      </right>
      <top style="thin">
        <color rgb="FF2E75B5"/>
      </top>
      <bottom style="hair">
        <color rgb="FF000000"/>
      </bottom>
      <diagonal/>
    </border>
    <border>
      <left style="thin">
        <color rgb="FF7030A0"/>
      </left>
      <right/>
      <top style="thin">
        <color rgb="FF2E75B5"/>
      </top>
      <bottom/>
      <diagonal/>
    </border>
    <border>
      <left/>
      <right/>
      <top style="thin">
        <color rgb="FF2E75B5"/>
      </top>
      <bottom/>
      <diagonal/>
    </border>
    <border>
      <left/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 style="thin">
        <color rgb="FF2E75B5"/>
      </right>
      <top style="thin">
        <color rgb="FF2E75B5"/>
      </top>
      <bottom/>
      <diagonal/>
    </border>
    <border>
      <left style="thin">
        <color rgb="FF2E75B5"/>
      </left>
      <right style="thin">
        <color rgb="FF7030A0"/>
      </right>
      <top/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/>
      <diagonal/>
    </border>
    <border>
      <left style="thin">
        <color rgb="FF7030A0"/>
      </left>
      <right style="thin">
        <color rgb="FF7030A0"/>
      </right>
      <top/>
      <bottom/>
      <diagonal/>
    </border>
    <border>
      <left style="thin">
        <color rgb="FF7030A0"/>
      </left>
      <right style="thin">
        <color rgb="FF7030A0"/>
      </right>
      <top/>
      <bottom style="thin">
        <color rgb="FF000000"/>
      </bottom>
      <diagonal/>
    </border>
    <border>
      <left style="thin">
        <color rgb="FF7030A0"/>
      </left>
      <right style="thin">
        <color rgb="FF7030A0"/>
      </right>
      <top/>
      <bottom style="hair">
        <color rgb="FF000000"/>
      </bottom>
      <diagonal/>
    </border>
    <border>
      <left style="thin">
        <color rgb="FF7030A0"/>
      </left>
      <right style="thin">
        <color rgb="FF2E75B5"/>
      </right>
      <top/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thin">
        <color rgb="FF000000"/>
      </top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2E75B5"/>
      </right>
      <top style="hair">
        <color rgb="FF000000"/>
      </top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hair">
        <color rgb="FF000000"/>
      </top>
      <bottom/>
      <diagonal/>
    </border>
    <border>
      <left style="thin">
        <color rgb="FF2E75B5"/>
      </left>
      <right style="thin">
        <color rgb="FF7030A0"/>
      </right>
      <top style="hair">
        <color rgb="FF000000"/>
      </top>
      <bottom style="thin">
        <color rgb="FF2E75B5"/>
      </bottom>
      <diagonal/>
    </border>
    <border>
      <left/>
      <right style="thin">
        <color rgb="FF7030A0"/>
      </right>
      <top style="hair">
        <color rgb="FF000000"/>
      </top>
      <bottom style="thin">
        <color rgb="FF2E75B5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 style="thin">
        <color rgb="FF2E75B5"/>
      </bottom>
      <diagonal/>
    </border>
    <border>
      <left style="thin">
        <color rgb="FF7030A0"/>
      </left>
      <right style="thin">
        <color rgb="FF2E75B5"/>
      </right>
      <top style="hair">
        <color rgb="FF000000"/>
      </top>
      <bottom style="thin">
        <color rgb="FF2E75B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thin">
        <color auto="1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auto="1"/>
      </bottom>
      <diagonal/>
    </border>
  </borders>
  <cellStyleXfs count="12">
    <xf numFmtId="0" fontId="0" fillId="0" borderId="0"/>
    <xf numFmtId="164" fontId="65" fillId="0" borderId="0" applyFont="0" applyFill="0" applyBorder="0" applyAlignment="0" applyProtection="0"/>
    <xf numFmtId="0" fontId="56" fillId="0" borderId="0" applyNumberFormat="0" applyFill="0" applyBorder="0" applyAlignment="0" applyProtection="0"/>
    <xf numFmtId="164" fontId="65" fillId="0" borderId="0" applyFont="0" applyFill="0" applyBorder="0" applyAlignment="0" applyProtection="0"/>
    <xf numFmtId="164" fontId="65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65" fillId="0" borderId="0"/>
    <xf numFmtId="0" fontId="65" fillId="0" borderId="0"/>
    <xf numFmtId="0" fontId="58" fillId="0" borderId="0"/>
    <xf numFmtId="0" fontId="57" fillId="0" borderId="0"/>
    <xf numFmtId="0" fontId="57" fillId="0" borderId="0"/>
  </cellStyleXfs>
  <cellXfs count="521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8" fontId="1" fillId="3" borderId="11" xfId="0" applyNumberFormat="1" applyFont="1" applyFill="1" applyBorder="1" applyAlignment="1">
      <alignment horizontal="center" vertical="center"/>
    </xf>
    <xf numFmtId="168" fontId="1" fillId="3" borderId="12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169" fontId="1" fillId="0" borderId="18" xfId="0" applyNumberFormat="1" applyFont="1" applyBorder="1" applyAlignment="1">
      <alignment horizontal="center" vertical="center"/>
    </xf>
    <xf numFmtId="169" fontId="1" fillId="2" borderId="18" xfId="0" applyNumberFormat="1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vertical="center"/>
    </xf>
    <xf numFmtId="0" fontId="4" fillId="0" borderId="20" xfId="0" applyFont="1" applyBorder="1" applyAlignment="1">
      <alignment vertical="center"/>
    </xf>
    <xf numFmtId="4" fontId="4" fillId="2" borderId="20" xfId="0" applyNumberFormat="1" applyFont="1" applyFill="1" applyBorder="1" applyAlignment="1">
      <alignment vertical="center"/>
    </xf>
    <xf numFmtId="3" fontId="4" fillId="0" borderId="21" xfId="0" applyNumberFormat="1" applyFont="1" applyBorder="1" applyAlignment="1">
      <alignment vertical="center"/>
    </xf>
    <xf numFmtId="0" fontId="4" fillId="0" borderId="19" xfId="0" applyFont="1" applyBorder="1"/>
    <xf numFmtId="0" fontId="4" fillId="0" borderId="20" xfId="0" applyFont="1" applyBorder="1"/>
    <xf numFmtId="0" fontId="4" fillId="0" borderId="22" xfId="0" applyFont="1" applyBorder="1"/>
    <xf numFmtId="0" fontId="4" fillId="0" borderId="11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2" borderId="25" xfId="0" applyFont="1" applyFill="1" applyBorder="1"/>
    <xf numFmtId="0" fontId="4" fillId="0" borderId="26" xfId="0" applyFont="1" applyBorder="1"/>
    <xf numFmtId="0" fontId="4" fillId="0" borderId="0" xfId="0" applyFont="1"/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/>
    <xf numFmtId="0" fontId="6" fillId="5" borderId="27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69" fontId="6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169" fontId="9" fillId="0" borderId="0" xfId="0" applyNumberFormat="1" applyFont="1" applyAlignment="1">
      <alignment vertical="center"/>
    </xf>
    <xf numFmtId="0" fontId="6" fillId="0" borderId="27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6" fillId="3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0" fontId="6" fillId="0" borderId="0" xfId="0" applyNumberFormat="1" applyFont="1" applyAlignment="1">
      <alignment horizontal="left" vertical="center"/>
    </xf>
    <xf numFmtId="170" fontId="10" fillId="0" borderId="0" xfId="0" applyNumberFormat="1" applyFont="1" applyAlignment="1">
      <alignment horizontal="left" vertical="center"/>
    </xf>
    <xf numFmtId="170" fontId="10" fillId="4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0" borderId="28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3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3" fontId="6" fillId="3" borderId="27" xfId="0" applyNumberFormat="1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4" fillId="4" borderId="29" xfId="0" applyFont="1" applyFill="1" applyBorder="1" applyAlignment="1">
      <alignment wrapText="1"/>
    </xf>
    <xf numFmtId="0" fontId="4" fillId="0" borderId="28" xfId="0" applyFont="1" applyBorder="1" applyAlignment="1">
      <alignment wrapText="1"/>
    </xf>
    <xf numFmtId="0" fontId="4" fillId="0" borderId="33" xfId="0" applyFont="1" applyBorder="1" applyAlignment="1">
      <alignment vertical="center" wrapText="1"/>
    </xf>
    <xf numFmtId="0" fontId="15" fillId="4" borderId="27" xfId="0" applyFont="1" applyFill="1" applyBorder="1" applyAlignment="1">
      <alignment horizontal="center" vertical="center" wrapText="1"/>
    </xf>
    <xf numFmtId="168" fontId="15" fillId="4" borderId="27" xfId="0" applyNumberFormat="1" applyFont="1" applyFill="1" applyBorder="1" applyAlignment="1">
      <alignment horizontal="center" vertical="center" wrapText="1"/>
    </xf>
    <xf numFmtId="0" fontId="4" fillId="4" borderId="27" xfId="0" applyFont="1" applyFill="1" applyBorder="1" applyAlignment="1">
      <alignment vertical="center" wrapText="1"/>
    </xf>
    <xf numFmtId="0" fontId="16" fillId="4" borderId="27" xfId="0" applyFont="1" applyFill="1" applyBorder="1" applyAlignment="1">
      <alignment vertical="center" wrapText="1"/>
    </xf>
    <xf numFmtId="0" fontId="16" fillId="4" borderId="27" xfId="0" applyFont="1" applyFill="1" applyBorder="1" applyAlignment="1">
      <alignment horizontal="center" vertical="center" wrapText="1"/>
    </xf>
    <xf numFmtId="43" fontId="16" fillId="4" borderId="27" xfId="0" applyNumberFormat="1" applyFont="1" applyFill="1" applyBorder="1" applyAlignment="1">
      <alignment horizontal="center" vertical="center" wrapText="1"/>
    </xf>
    <xf numFmtId="0" fontId="15" fillId="4" borderId="27" xfId="0" applyFont="1" applyFill="1" applyBorder="1" applyAlignment="1">
      <alignment vertical="center" wrapText="1"/>
    </xf>
    <xf numFmtId="171" fontId="15" fillId="4" borderId="27" xfId="0" applyNumberFormat="1" applyFont="1" applyFill="1" applyBorder="1" applyAlignment="1">
      <alignment horizontal="center" vertical="center" wrapText="1"/>
    </xf>
    <xf numFmtId="171" fontId="16" fillId="4" borderId="27" xfId="0" applyNumberFormat="1" applyFont="1" applyFill="1" applyBorder="1" applyAlignment="1">
      <alignment horizontal="center" vertical="center" wrapText="1"/>
    </xf>
    <xf numFmtId="0" fontId="15" fillId="4" borderId="34" xfId="0" applyFont="1" applyFill="1" applyBorder="1" applyAlignment="1">
      <alignment horizontal="center" vertical="center" wrapText="1"/>
    </xf>
    <xf numFmtId="3" fontId="15" fillId="4" borderId="27" xfId="0" applyNumberFormat="1" applyFont="1" applyFill="1" applyBorder="1" applyAlignment="1">
      <alignment horizontal="center" vertical="center"/>
    </xf>
    <xf numFmtId="3" fontId="15" fillId="4" borderId="27" xfId="0" applyNumberFormat="1" applyFont="1" applyFill="1" applyBorder="1" applyAlignment="1">
      <alignment horizontal="center" vertical="center" wrapText="1"/>
    </xf>
    <xf numFmtId="0" fontId="17" fillId="4" borderId="27" xfId="0" applyFont="1" applyFill="1" applyBorder="1" applyAlignment="1">
      <alignment vertical="center" wrapText="1"/>
    </xf>
    <xf numFmtId="0" fontId="4" fillId="0" borderId="27" xfId="0" applyFont="1" applyBorder="1"/>
    <xf numFmtId="0" fontId="16" fillId="0" borderId="28" xfId="0" applyFont="1" applyBorder="1" applyAlignment="1">
      <alignment vertical="center" wrapText="1"/>
    </xf>
    <xf numFmtId="0" fontId="16" fillId="7" borderId="28" xfId="0" applyFont="1" applyFill="1" applyBorder="1" applyAlignment="1">
      <alignment horizontal="right" vertical="center" wrapText="1"/>
    </xf>
    <xf numFmtId="0" fontId="4" fillId="3" borderId="28" xfId="0" applyFont="1" applyFill="1" applyBorder="1" applyAlignment="1">
      <alignment vertical="center" wrapText="1"/>
    </xf>
    <xf numFmtId="0" fontId="4" fillId="0" borderId="29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15" fillId="0" borderId="37" xfId="0" applyFont="1" applyBorder="1" applyAlignment="1">
      <alignment horizontal="center" vertical="center" wrapText="1"/>
    </xf>
    <xf numFmtId="3" fontId="15" fillId="0" borderId="38" xfId="0" applyNumberFormat="1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0" fontId="4" fillId="0" borderId="41" xfId="0" applyFont="1" applyBorder="1" applyAlignment="1">
      <alignment vertical="center" wrapText="1"/>
    </xf>
    <xf numFmtId="43" fontId="16" fillId="0" borderId="27" xfId="0" applyNumberFormat="1" applyFont="1" applyBorder="1" applyAlignment="1">
      <alignment horizontal="left" vertical="center" wrapText="1"/>
    </xf>
    <xf numFmtId="171" fontId="16" fillId="0" borderId="27" xfId="0" applyNumberFormat="1" applyFont="1" applyBorder="1" applyAlignment="1">
      <alignment horizontal="left" vertical="center" wrapText="1"/>
    </xf>
    <xf numFmtId="0" fontId="15" fillId="0" borderId="40" xfId="0" applyFont="1" applyBorder="1" applyAlignment="1">
      <alignment vertical="center" wrapText="1"/>
    </xf>
    <xf numFmtId="169" fontId="15" fillId="0" borderId="27" xfId="0" applyNumberFormat="1" applyFont="1" applyBorder="1" applyAlignment="1">
      <alignment horizontal="right" vertical="center" wrapText="1"/>
    </xf>
    <xf numFmtId="171" fontId="15" fillId="0" borderId="27" xfId="0" applyNumberFormat="1" applyFont="1" applyBorder="1" applyAlignment="1">
      <alignment horizontal="right" vertical="center" wrapText="1"/>
    </xf>
    <xf numFmtId="169" fontId="15" fillId="0" borderId="27" xfId="0" applyNumberFormat="1" applyFont="1" applyBorder="1" applyAlignment="1">
      <alignment horizontal="center" vertical="center" wrapText="1"/>
    </xf>
    <xf numFmtId="0" fontId="16" fillId="0" borderId="42" xfId="0" applyFont="1" applyBorder="1" applyAlignment="1">
      <alignment vertical="center" wrapText="1"/>
    </xf>
    <xf numFmtId="171" fontId="16" fillId="0" borderId="43" xfId="0" applyNumberFormat="1" applyFont="1" applyBorder="1" applyAlignment="1">
      <alignment horizontal="left" vertical="center" wrapText="1"/>
    </xf>
    <xf numFmtId="0" fontId="4" fillId="0" borderId="44" xfId="0" applyFont="1" applyBorder="1" applyAlignment="1">
      <alignment vertical="center" wrapText="1"/>
    </xf>
    <xf numFmtId="0" fontId="15" fillId="0" borderId="45" xfId="0" applyFont="1" applyBorder="1" applyAlignment="1">
      <alignment vertical="center" wrapText="1"/>
    </xf>
    <xf numFmtId="169" fontId="15" fillId="0" borderId="46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vertical="center" wrapText="1"/>
    </xf>
    <xf numFmtId="0" fontId="4" fillId="0" borderId="48" xfId="0" applyFont="1" applyBorder="1" applyAlignment="1">
      <alignment vertical="center" wrapText="1"/>
    </xf>
    <xf numFmtId="0" fontId="4" fillId="0" borderId="49" xfId="0" applyFont="1" applyBorder="1" applyAlignment="1">
      <alignment vertical="center" wrapText="1"/>
    </xf>
    <xf numFmtId="0" fontId="16" fillId="0" borderId="49" xfId="0" applyFont="1" applyBorder="1" applyAlignment="1">
      <alignment horizontal="center" vertical="center" wrapText="1"/>
    </xf>
    <xf numFmtId="0" fontId="4" fillId="8" borderId="28" xfId="0" applyFont="1" applyFill="1" applyBorder="1" applyAlignment="1">
      <alignment vertical="center" wrapText="1"/>
    </xf>
    <xf numFmtId="0" fontId="15" fillId="0" borderId="38" xfId="0" applyFont="1" applyBorder="1" applyAlignment="1">
      <alignment horizontal="center" vertical="center" wrapText="1"/>
    </xf>
    <xf numFmtId="0" fontId="6" fillId="9" borderId="0" xfId="0" applyFont="1" applyFill="1"/>
    <xf numFmtId="0" fontId="19" fillId="10" borderId="0" xfId="7" applyFont="1" applyFill="1" applyAlignment="1">
      <alignment horizontal="center" vertical="center"/>
    </xf>
    <xf numFmtId="0" fontId="19" fillId="11" borderId="0" xfId="7" applyFont="1" applyFill="1"/>
    <xf numFmtId="0" fontId="20" fillId="10" borderId="0" xfId="7" applyFont="1" applyFill="1"/>
    <xf numFmtId="0" fontId="19" fillId="10" borderId="0" xfId="7" applyFont="1" applyFill="1"/>
    <xf numFmtId="0" fontId="20" fillId="11" borderId="0" xfId="7" applyFont="1" applyFill="1"/>
    <xf numFmtId="0" fontId="19" fillId="10" borderId="50" xfId="7" applyFont="1" applyFill="1" applyBorder="1"/>
    <xf numFmtId="0" fontId="21" fillId="11" borderId="0" xfId="7" applyFont="1" applyFill="1"/>
    <xf numFmtId="0" fontId="21" fillId="10" borderId="0" xfId="7" applyFont="1" applyFill="1"/>
    <xf numFmtId="0" fontId="21" fillId="0" borderId="0" xfId="7" applyFont="1"/>
    <xf numFmtId="0" fontId="22" fillId="0" borderId="0" xfId="7" applyFont="1"/>
    <xf numFmtId="0" fontId="21" fillId="0" borderId="0" xfId="7" applyFont="1" applyAlignment="1">
      <alignment horizontal="center" vertical="center"/>
    </xf>
    <xf numFmtId="3" fontId="21" fillId="0" borderId="0" xfId="7" applyNumberFormat="1" applyFont="1"/>
    <xf numFmtId="3" fontId="21" fillId="10" borderId="0" xfId="7" applyNumberFormat="1" applyFont="1" applyFill="1"/>
    <xf numFmtId="3" fontId="21" fillId="12" borderId="0" xfId="7" applyNumberFormat="1" applyFont="1" applyFill="1"/>
    <xf numFmtId="3" fontId="21" fillId="13" borderId="0" xfId="7" applyNumberFormat="1" applyFont="1" applyFill="1"/>
    <xf numFmtId="3" fontId="21" fillId="0" borderId="0" xfId="1" applyNumberFormat="1" applyFont="1" applyBorder="1"/>
    <xf numFmtId="0" fontId="7" fillId="0" borderId="0" xfId="7" applyFont="1"/>
    <xf numFmtId="0" fontId="23" fillId="0" borderId="0" xfId="7" applyFont="1"/>
    <xf numFmtId="172" fontId="21" fillId="0" borderId="0" xfId="3" applyNumberFormat="1" applyFont="1"/>
    <xf numFmtId="0" fontId="21" fillId="0" borderId="0" xfId="7" applyFont="1" applyAlignment="1">
      <alignment vertical="center"/>
    </xf>
    <xf numFmtId="0" fontId="21" fillId="10" borderId="0" xfId="7" applyFont="1" applyFill="1" applyAlignment="1">
      <alignment horizontal="center" vertical="center"/>
    </xf>
    <xf numFmtId="0" fontId="6" fillId="0" borderId="0" xfId="7" applyFont="1" applyAlignment="1">
      <alignment horizontal="center" vertical="center"/>
    </xf>
    <xf numFmtId="0" fontId="6" fillId="10" borderId="0" xfId="7" applyFont="1" applyFill="1" applyAlignment="1">
      <alignment vertical="center"/>
    </xf>
    <xf numFmtId="0" fontId="24" fillId="0" borderId="0" xfId="7" applyFont="1" applyAlignment="1">
      <alignment horizontal="center" vertical="center"/>
    </xf>
    <xf numFmtId="0" fontId="6" fillId="0" borderId="0" xfId="7" applyFont="1" applyAlignment="1">
      <alignment vertical="center" wrapText="1"/>
    </xf>
    <xf numFmtId="0" fontId="25" fillId="0" borderId="0" xfId="7" applyFont="1" applyAlignment="1">
      <alignment horizontal="center" vertical="center" wrapText="1"/>
    </xf>
    <xf numFmtId="49" fontId="24" fillId="0" borderId="0" xfId="7" applyNumberFormat="1" applyFont="1" applyAlignment="1">
      <alignment horizontal="left" vertical="center"/>
    </xf>
    <xf numFmtId="0" fontId="24" fillId="0" borderId="0" xfId="7" applyFont="1" applyAlignment="1">
      <alignment horizontal="left" vertical="center"/>
    </xf>
    <xf numFmtId="0" fontId="24" fillId="0" borderId="0" xfId="7" applyFont="1" applyAlignment="1">
      <alignment vertical="center"/>
    </xf>
    <xf numFmtId="0" fontId="26" fillId="0" borderId="0" xfId="7" applyFont="1" applyAlignment="1">
      <alignment vertical="center"/>
    </xf>
    <xf numFmtId="0" fontId="27" fillId="0" borderId="0" xfId="7" applyFont="1" applyAlignment="1">
      <alignment vertical="center"/>
    </xf>
    <xf numFmtId="3" fontId="6" fillId="0" borderId="0" xfId="7" applyNumberFormat="1" applyFont="1" applyAlignment="1">
      <alignment horizontal="right" vertical="center"/>
    </xf>
    <xf numFmtId="173" fontId="28" fillId="0" borderId="0" xfId="7" applyNumberFormat="1" applyFont="1" applyAlignment="1">
      <alignment horizontal="right" vertical="center"/>
    </xf>
    <xf numFmtId="3" fontId="7" fillId="0" borderId="0" xfId="7" applyNumberFormat="1" applyFont="1" applyAlignment="1">
      <alignment horizontal="right" vertical="center"/>
    </xf>
    <xf numFmtId="3" fontId="6" fillId="14" borderId="0" xfId="7" applyNumberFormat="1" applyFont="1" applyFill="1" applyAlignment="1">
      <alignment horizontal="right" vertical="center"/>
    </xf>
    <xf numFmtId="3" fontId="6" fillId="10" borderId="0" xfId="7" applyNumberFormat="1" applyFont="1" applyFill="1" applyAlignment="1">
      <alignment horizontal="right" vertical="center"/>
    </xf>
    <xf numFmtId="3" fontId="9" fillId="0" borderId="0" xfId="7" applyNumberFormat="1" applyFont="1" applyAlignment="1">
      <alignment horizontal="right" vertical="center"/>
    </xf>
    <xf numFmtId="3" fontId="6" fillId="12" borderId="0" xfId="7" applyNumberFormat="1" applyFont="1" applyFill="1" applyAlignment="1">
      <alignment horizontal="right" vertical="center"/>
    </xf>
    <xf numFmtId="3" fontId="6" fillId="13" borderId="0" xfId="7" applyNumberFormat="1" applyFont="1" applyFill="1" applyAlignment="1">
      <alignment horizontal="right" vertical="center"/>
    </xf>
    <xf numFmtId="3" fontId="6" fillId="15" borderId="0" xfId="7" applyNumberFormat="1" applyFont="1" applyFill="1" applyAlignment="1">
      <alignment vertical="center"/>
    </xf>
    <xf numFmtId="3" fontId="10" fillId="0" borderId="0" xfId="7" applyNumberFormat="1" applyFont="1" applyAlignment="1">
      <alignment vertical="center"/>
    </xf>
    <xf numFmtId="3" fontId="10" fillId="0" borderId="0" xfId="1" applyNumberFormat="1" applyFont="1" applyBorder="1" applyAlignment="1">
      <alignment vertical="center"/>
    </xf>
    <xf numFmtId="0" fontId="6" fillId="4" borderId="0" xfId="7" applyFont="1" applyFill="1" applyAlignment="1">
      <alignment vertical="center"/>
    </xf>
    <xf numFmtId="0" fontId="5" fillId="16" borderId="0" xfId="7" applyFont="1" applyFill="1" applyAlignment="1">
      <alignment horizontal="center" vertical="center"/>
    </xf>
    <xf numFmtId="0" fontId="7" fillId="0" borderId="0" xfId="7" applyFont="1" applyAlignment="1">
      <alignment horizontal="center" vertical="center"/>
    </xf>
    <xf numFmtId="0" fontId="7" fillId="10" borderId="0" xfId="7" applyFont="1" applyFill="1" applyAlignment="1">
      <alignment vertical="center"/>
    </xf>
    <xf numFmtId="0" fontId="28" fillId="0" borderId="0" xfId="7" applyFont="1" applyAlignment="1">
      <alignment horizontal="center" vertical="center"/>
    </xf>
    <xf numFmtId="0" fontId="7" fillId="0" borderId="0" xfId="7" applyFont="1" applyAlignment="1">
      <alignment vertical="center" wrapText="1"/>
    </xf>
    <xf numFmtId="0" fontId="28" fillId="0" borderId="0" xfId="7" applyFont="1" applyAlignment="1">
      <alignment horizontal="center" vertical="center" wrapText="1"/>
    </xf>
    <xf numFmtId="14" fontId="28" fillId="3" borderId="0" xfId="7" applyNumberFormat="1" applyFont="1" applyFill="1" applyAlignment="1">
      <alignment horizontal="center" vertical="center"/>
    </xf>
    <xf numFmtId="49" fontId="28" fillId="0" borderId="0" xfId="7" applyNumberFormat="1" applyFont="1" applyAlignment="1">
      <alignment horizontal="left" vertical="center"/>
    </xf>
    <xf numFmtId="0" fontId="28" fillId="0" borderId="0" xfId="7" applyFont="1" applyAlignment="1">
      <alignment vertical="center"/>
    </xf>
    <xf numFmtId="0" fontId="29" fillId="0" borderId="0" xfId="7" applyFont="1" applyAlignment="1">
      <alignment vertical="center"/>
    </xf>
    <xf numFmtId="0" fontId="30" fillId="0" borderId="0" xfId="7" applyFont="1" applyAlignment="1">
      <alignment vertical="center"/>
    </xf>
    <xf numFmtId="174" fontId="7" fillId="0" borderId="0" xfId="7" applyNumberFormat="1" applyFont="1" applyAlignment="1">
      <alignment horizontal="right" vertical="center"/>
    </xf>
    <xf numFmtId="4" fontId="7" fillId="0" borderId="0" xfId="7" applyNumberFormat="1" applyFont="1" applyAlignment="1">
      <alignment horizontal="right" vertical="center"/>
    </xf>
    <xf numFmtId="3" fontId="7" fillId="0" borderId="0" xfId="7" applyNumberFormat="1" applyFont="1" applyAlignment="1">
      <alignment vertical="center"/>
    </xf>
    <xf numFmtId="4" fontId="6" fillId="0" borderId="0" xfId="7" applyNumberFormat="1" applyFont="1" applyAlignment="1">
      <alignment horizontal="right" vertical="center"/>
    </xf>
    <xf numFmtId="3" fontId="31" fillId="14" borderId="0" xfId="7" applyNumberFormat="1" applyFont="1" applyFill="1" applyAlignment="1">
      <alignment horizontal="center" vertical="center"/>
    </xf>
    <xf numFmtId="3" fontId="31" fillId="0" borderId="0" xfId="7" applyNumberFormat="1" applyFont="1" applyAlignment="1">
      <alignment horizontal="center" vertical="center"/>
    </xf>
    <xf numFmtId="3" fontId="31" fillId="9" borderId="0" xfId="7" applyNumberFormat="1" applyFont="1" applyFill="1" applyAlignment="1">
      <alignment horizontal="center" vertical="center"/>
    </xf>
    <xf numFmtId="3" fontId="31" fillId="16" borderId="0" xfId="7" applyNumberFormat="1" applyFont="1" applyFill="1" applyAlignment="1">
      <alignment horizontal="center" vertical="center"/>
    </xf>
    <xf numFmtId="3" fontId="7" fillId="16" borderId="0" xfId="7" applyNumberFormat="1" applyFont="1" applyFill="1" applyAlignment="1">
      <alignment horizontal="right" vertical="center"/>
    </xf>
    <xf numFmtId="3" fontId="7" fillId="12" borderId="0" xfId="7" applyNumberFormat="1" applyFont="1" applyFill="1" applyAlignment="1">
      <alignment horizontal="right" vertical="center"/>
    </xf>
    <xf numFmtId="3" fontId="14" fillId="0" borderId="0" xfId="7" applyNumberFormat="1" applyFont="1" applyAlignment="1">
      <alignment horizontal="right" vertical="center"/>
    </xf>
    <xf numFmtId="3" fontId="7" fillId="13" borderId="0" xfId="7" applyNumberFormat="1" applyFont="1" applyFill="1" applyAlignment="1">
      <alignment horizontal="right" vertical="center"/>
    </xf>
    <xf numFmtId="3" fontId="7" fillId="15" borderId="0" xfId="7" applyNumberFormat="1" applyFont="1" applyFill="1" applyAlignment="1">
      <alignment vertical="center"/>
    </xf>
    <xf numFmtId="3" fontId="32" fillId="0" borderId="0" xfId="1" applyNumberFormat="1" applyFont="1" applyBorder="1" applyAlignment="1">
      <alignment vertical="center"/>
    </xf>
    <xf numFmtId="0" fontId="7" fillId="4" borderId="0" xfId="7" applyFont="1" applyFill="1" applyAlignment="1">
      <alignment vertical="center"/>
    </xf>
    <xf numFmtId="0" fontId="8" fillId="0" borderId="0" xfId="7" applyFont="1" applyAlignment="1">
      <alignment horizontal="center" vertical="center"/>
    </xf>
    <xf numFmtId="0" fontId="28" fillId="10" borderId="0" xfId="7" applyFont="1" applyFill="1" applyAlignment="1">
      <alignment vertical="center"/>
    </xf>
    <xf numFmtId="0" fontId="28" fillId="0" borderId="0" xfId="7" applyFont="1" applyAlignment="1">
      <alignment vertical="center" wrapText="1"/>
    </xf>
    <xf numFmtId="0" fontId="33" fillId="0" borderId="0" xfId="7" applyFont="1" applyAlignment="1">
      <alignment vertical="center" wrapText="1"/>
    </xf>
    <xf numFmtId="0" fontId="28" fillId="0" borderId="0" xfId="7" applyFont="1" applyAlignment="1">
      <alignment horizontal="left" vertical="center"/>
    </xf>
    <xf numFmtId="175" fontId="28" fillId="0" borderId="0" xfId="7" applyNumberFormat="1" applyFont="1" applyAlignment="1">
      <alignment vertical="center"/>
    </xf>
    <xf numFmtId="4" fontId="28" fillId="0" borderId="0" xfId="7" applyNumberFormat="1" applyFont="1" applyAlignment="1">
      <alignment horizontal="right" vertical="center"/>
    </xf>
    <xf numFmtId="0" fontId="7" fillId="0" borderId="0" xfId="7" applyFont="1" applyAlignment="1">
      <alignment vertical="center"/>
    </xf>
    <xf numFmtId="3" fontId="28" fillId="0" borderId="0" xfId="7" applyNumberFormat="1" applyFont="1" applyAlignment="1">
      <alignment horizontal="right" vertical="center"/>
    </xf>
    <xf numFmtId="3" fontId="24" fillId="0" borderId="0" xfId="7" applyNumberFormat="1" applyFont="1" applyAlignment="1">
      <alignment horizontal="right" vertical="center"/>
    </xf>
    <xf numFmtId="3" fontId="28" fillId="10" borderId="0" xfId="7" applyNumberFormat="1" applyFont="1" applyFill="1" applyAlignment="1">
      <alignment horizontal="right" vertical="center"/>
    </xf>
    <xf numFmtId="3" fontId="27" fillId="0" borderId="0" xfId="7" applyNumberFormat="1" applyFont="1" applyAlignment="1">
      <alignment horizontal="right" vertical="center"/>
    </xf>
    <xf numFmtId="3" fontId="30" fillId="0" borderId="0" xfId="7" applyNumberFormat="1" applyFont="1" applyAlignment="1">
      <alignment horizontal="right" vertical="center"/>
    </xf>
    <xf numFmtId="3" fontId="28" fillId="12" borderId="0" xfId="7" applyNumberFormat="1" applyFont="1" applyFill="1" applyAlignment="1">
      <alignment horizontal="right" vertical="center"/>
    </xf>
    <xf numFmtId="3" fontId="28" fillId="0" borderId="0" xfId="7" applyNumberFormat="1" applyFont="1" applyAlignment="1">
      <alignment vertical="center"/>
    </xf>
    <xf numFmtId="3" fontId="28" fillId="13" borderId="0" xfId="7" applyNumberFormat="1" applyFont="1" applyFill="1" applyAlignment="1">
      <alignment horizontal="right" vertical="center"/>
    </xf>
    <xf numFmtId="3" fontId="28" fillId="15" borderId="0" xfId="7" applyNumberFormat="1" applyFont="1" applyFill="1" applyAlignment="1">
      <alignment vertical="center"/>
    </xf>
    <xf numFmtId="3" fontId="34" fillId="0" borderId="0" xfId="7" applyNumberFormat="1" applyFont="1" applyAlignment="1">
      <alignment vertical="center"/>
    </xf>
    <xf numFmtId="3" fontId="35" fillId="0" borderId="0" xfId="1" applyNumberFormat="1" applyFont="1" applyBorder="1" applyAlignment="1">
      <alignment vertical="center"/>
    </xf>
    <xf numFmtId="0" fontId="28" fillId="4" borderId="0" xfId="7" applyFont="1" applyFill="1" applyAlignment="1">
      <alignment vertical="center"/>
    </xf>
    <xf numFmtId="0" fontId="33" fillId="0" borderId="0" xfId="7" applyFont="1" applyAlignment="1">
      <alignment horizontal="center" vertical="center"/>
    </xf>
    <xf numFmtId="3" fontId="7" fillId="10" borderId="0" xfId="7" applyNumberFormat="1" applyFont="1" applyFill="1" applyAlignment="1">
      <alignment horizontal="right" vertical="center"/>
    </xf>
    <xf numFmtId="0" fontId="28" fillId="17" borderId="0" xfId="7" applyFont="1" applyFill="1" applyAlignment="1">
      <alignment vertical="center"/>
    </xf>
    <xf numFmtId="176" fontId="7" fillId="0" borderId="0" xfId="7" applyNumberFormat="1" applyFont="1" applyAlignment="1">
      <alignment horizontal="right" vertical="center"/>
    </xf>
    <xf numFmtId="14" fontId="7" fillId="0" borderId="0" xfId="7" applyNumberFormat="1" applyFont="1" applyAlignment="1">
      <alignment horizontal="right" vertical="center"/>
    </xf>
    <xf numFmtId="3" fontId="28" fillId="17" borderId="0" xfId="7" applyNumberFormat="1" applyFont="1" applyFill="1" applyAlignment="1">
      <alignment vertical="center"/>
    </xf>
    <xf numFmtId="169" fontId="36" fillId="0" borderId="51" xfId="7" applyNumberFormat="1" applyFont="1" applyBorder="1" applyAlignment="1">
      <alignment vertical="center"/>
    </xf>
    <xf numFmtId="169" fontId="36" fillId="9" borderId="51" xfId="7" applyNumberFormat="1" applyFont="1" applyFill="1" applyBorder="1" applyAlignment="1">
      <alignment vertical="center"/>
    </xf>
    <xf numFmtId="169" fontId="37" fillId="9" borderId="51" xfId="7" applyNumberFormat="1" applyFont="1" applyFill="1" applyBorder="1"/>
    <xf numFmtId="177" fontId="6" fillId="0" borderId="51" xfId="7" applyNumberFormat="1" applyFont="1" applyBorder="1" applyAlignment="1">
      <alignment horizontal="center" vertical="center" wrapText="1"/>
    </xf>
    <xf numFmtId="0" fontId="6" fillId="18" borderId="51" xfId="7" applyFont="1" applyFill="1" applyBorder="1" applyAlignment="1">
      <alignment horizontal="center" vertical="center" wrapText="1"/>
    </xf>
    <xf numFmtId="0" fontId="6" fillId="4" borderId="51" xfId="7" applyFont="1" applyFill="1" applyBorder="1" applyAlignment="1">
      <alignment horizontal="center" vertical="center" wrapText="1"/>
    </xf>
    <xf numFmtId="0" fontId="6" fillId="0" borderId="51" xfId="7" applyFont="1" applyBorder="1" applyAlignment="1">
      <alignment horizontal="center" vertical="center" wrapText="1"/>
    </xf>
    <xf numFmtId="0" fontId="5" fillId="4" borderId="51" xfId="7" applyFont="1" applyFill="1" applyBorder="1" applyAlignment="1">
      <alignment horizontal="center" vertical="center" wrapText="1"/>
    </xf>
    <xf numFmtId="49" fontId="6" fillId="4" borderId="51" xfId="7" applyNumberFormat="1" applyFont="1" applyFill="1" applyBorder="1" applyAlignment="1">
      <alignment horizontal="center" vertical="center" wrapText="1"/>
    </xf>
    <xf numFmtId="0" fontId="38" fillId="19" borderId="51" xfId="7" applyFont="1" applyFill="1" applyBorder="1" applyAlignment="1">
      <alignment horizontal="center" vertical="center" wrapText="1"/>
    </xf>
    <xf numFmtId="0" fontId="38" fillId="20" borderId="51" xfId="7" applyFont="1" applyFill="1" applyBorder="1" applyAlignment="1">
      <alignment horizontal="center" vertical="center" wrapText="1"/>
    </xf>
    <xf numFmtId="0" fontId="38" fillId="21" borderId="51" xfId="7" applyFont="1" applyFill="1" applyBorder="1" applyAlignment="1">
      <alignment horizontal="center" vertical="center" wrapText="1"/>
    </xf>
    <xf numFmtId="3" fontId="38" fillId="4" borderId="51" xfId="7" applyNumberFormat="1" applyFont="1" applyFill="1" applyBorder="1" applyAlignment="1">
      <alignment horizontal="center" vertical="center" wrapText="1"/>
    </xf>
    <xf numFmtId="3" fontId="6" fillId="4" borderId="51" xfId="7" applyNumberFormat="1" applyFont="1" applyFill="1" applyBorder="1" applyAlignment="1">
      <alignment horizontal="center" vertical="center" wrapText="1"/>
    </xf>
    <xf numFmtId="3" fontId="6" fillId="22" borderId="51" xfId="7" applyNumberFormat="1" applyFont="1" applyFill="1" applyBorder="1" applyAlignment="1">
      <alignment horizontal="center" vertical="center" wrapText="1"/>
    </xf>
    <xf numFmtId="3" fontId="6" fillId="0" borderId="51" xfId="7" applyNumberFormat="1" applyFont="1" applyBorder="1" applyAlignment="1">
      <alignment horizontal="center" vertical="center" wrapText="1"/>
    </xf>
    <xf numFmtId="178" fontId="6" fillId="7" borderId="51" xfId="7" applyNumberFormat="1" applyFont="1" applyFill="1" applyBorder="1" applyAlignment="1">
      <alignment horizontal="center" vertical="center" wrapText="1"/>
    </xf>
    <xf numFmtId="3" fontId="6" fillId="7" borderId="51" xfId="7" applyNumberFormat="1" applyFont="1" applyFill="1" applyBorder="1" applyAlignment="1">
      <alignment horizontal="center" vertical="center" wrapText="1"/>
    </xf>
    <xf numFmtId="3" fontId="39" fillId="23" borderId="27" xfId="10" applyNumberFormat="1" applyFont="1" applyFill="1" applyBorder="1" applyAlignment="1">
      <alignment horizontal="center" vertical="center" wrapText="1"/>
    </xf>
    <xf numFmtId="3" fontId="38" fillId="24" borderId="51" xfId="7" applyNumberFormat="1" applyFont="1" applyFill="1" applyBorder="1" applyAlignment="1">
      <alignment horizontal="center" vertical="center" wrapText="1"/>
    </xf>
    <xf numFmtId="3" fontId="38" fillId="24" borderId="52" xfId="7" applyNumberFormat="1" applyFont="1" applyFill="1" applyBorder="1" applyAlignment="1">
      <alignment horizontal="center" vertical="center" wrapText="1"/>
    </xf>
    <xf numFmtId="3" fontId="6" fillId="25" borderId="51" xfId="7" applyNumberFormat="1" applyFont="1" applyFill="1" applyBorder="1" applyAlignment="1">
      <alignment horizontal="center" vertical="center" wrapText="1"/>
    </xf>
    <xf numFmtId="3" fontId="6" fillId="26" borderId="51" xfId="7" applyNumberFormat="1" applyFont="1" applyFill="1" applyBorder="1" applyAlignment="1">
      <alignment horizontal="center" vertical="center" wrapText="1"/>
    </xf>
    <xf numFmtId="3" fontId="38" fillId="27" borderId="51" xfId="7" applyNumberFormat="1" applyFont="1" applyFill="1" applyBorder="1" applyAlignment="1">
      <alignment horizontal="center" vertical="center" wrapText="1"/>
    </xf>
    <xf numFmtId="3" fontId="6" fillId="28" borderId="51" xfId="7" applyNumberFormat="1" applyFont="1" applyFill="1" applyBorder="1" applyAlignment="1">
      <alignment horizontal="center" vertical="center" wrapText="1"/>
    </xf>
    <xf numFmtId="3" fontId="6" fillId="29" borderId="51" xfId="7" applyNumberFormat="1" applyFont="1" applyFill="1" applyBorder="1" applyAlignment="1">
      <alignment horizontal="center" vertical="center" wrapText="1"/>
    </xf>
    <xf numFmtId="3" fontId="6" fillId="30" borderId="51" xfId="7" applyNumberFormat="1" applyFont="1" applyFill="1" applyBorder="1" applyAlignment="1">
      <alignment horizontal="center" vertical="center" wrapText="1"/>
    </xf>
    <xf numFmtId="3" fontId="6" fillId="31" borderId="51" xfId="7" applyNumberFormat="1" applyFont="1" applyFill="1" applyBorder="1" applyAlignment="1">
      <alignment horizontal="center" vertical="center" wrapText="1"/>
    </xf>
    <xf numFmtId="3" fontId="6" fillId="32" borderId="51" xfId="7" applyNumberFormat="1" applyFont="1" applyFill="1" applyBorder="1" applyAlignment="1">
      <alignment horizontal="center" vertical="center" wrapText="1"/>
    </xf>
    <xf numFmtId="3" fontId="6" fillId="33" borderId="51" xfId="7" applyNumberFormat="1" applyFont="1" applyFill="1" applyBorder="1" applyAlignment="1">
      <alignment horizontal="center" vertical="center" wrapText="1"/>
    </xf>
    <xf numFmtId="3" fontId="6" fillId="34" borderId="51" xfId="7" applyNumberFormat="1" applyFont="1" applyFill="1" applyBorder="1" applyAlignment="1">
      <alignment horizontal="center" vertical="center" wrapText="1"/>
    </xf>
    <xf numFmtId="3" fontId="6" fillId="12" borderId="51" xfId="7" applyNumberFormat="1" applyFont="1" applyFill="1" applyBorder="1" applyAlignment="1">
      <alignment horizontal="center" vertical="center" wrapText="1"/>
    </xf>
    <xf numFmtId="3" fontId="9" fillId="9" borderId="51" xfId="7" applyNumberFormat="1" applyFont="1" applyFill="1" applyBorder="1" applyAlignment="1">
      <alignment horizontal="center" vertical="center" wrapText="1"/>
    </xf>
    <xf numFmtId="3" fontId="6" fillId="35" borderId="51" xfId="7" applyNumberFormat="1" applyFont="1" applyFill="1" applyBorder="1" applyAlignment="1">
      <alignment horizontal="center" vertical="center" wrapText="1"/>
    </xf>
    <xf numFmtId="3" fontId="6" fillId="36" borderId="51" xfId="7" applyNumberFormat="1" applyFont="1" applyFill="1" applyBorder="1" applyAlignment="1">
      <alignment horizontal="center" vertical="center" wrapText="1"/>
    </xf>
    <xf numFmtId="3" fontId="5" fillId="37" borderId="51" xfId="7" applyNumberFormat="1" applyFont="1" applyFill="1" applyBorder="1" applyAlignment="1">
      <alignment horizontal="center" vertical="center" wrapText="1"/>
    </xf>
    <xf numFmtId="3" fontId="10" fillId="22" borderId="51" xfId="7" applyNumberFormat="1" applyFont="1" applyFill="1" applyBorder="1" applyAlignment="1">
      <alignment horizontal="center" vertical="center" wrapText="1"/>
    </xf>
    <xf numFmtId="3" fontId="10" fillId="22" borderId="51" xfId="1" applyNumberFormat="1" applyFont="1" applyFill="1" applyBorder="1" applyAlignment="1">
      <alignment horizontal="center" vertical="center" wrapText="1"/>
    </xf>
    <xf numFmtId="0" fontId="38" fillId="38" borderId="51" xfId="7" applyFont="1" applyFill="1" applyBorder="1" applyAlignment="1">
      <alignment horizontal="center" vertical="center" wrapText="1"/>
    </xf>
    <xf numFmtId="0" fontId="6" fillId="21" borderId="51" xfId="7" applyFont="1" applyFill="1" applyBorder="1" applyAlignment="1">
      <alignment horizontal="center" vertical="center" wrapText="1"/>
    </xf>
    <xf numFmtId="1" fontId="40" fillId="38" borderId="51" xfId="7" applyNumberFormat="1" applyFont="1" applyFill="1" applyBorder="1" applyAlignment="1">
      <alignment horizontal="center" vertical="center" wrapText="1"/>
    </xf>
    <xf numFmtId="0" fontId="6" fillId="39" borderId="51" xfId="7" applyFont="1" applyFill="1" applyBorder="1" applyAlignment="1">
      <alignment horizontal="center" vertical="center" wrapText="1"/>
    </xf>
    <xf numFmtId="168" fontId="38" fillId="40" borderId="51" xfId="7" applyNumberFormat="1" applyFont="1" applyFill="1" applyBorder="1" applyAlignment="1">
      <alignment horizontal="center" vertical="center" wrapText="1"/>
    </xf>
    <xf numFmtId="168" fontId="38" fillId="41" borderId="51" xfId="7" applyNumberFormat="1" applyFont="1" applyFill="1" applyBorder="1" applyAlignment="1">
      <alignment horizontal="center" vertical="center" wrapText="1"/>
    </xf>
    <xf numFmtId="168" fontId="38" fillId="42" borderId="51" xfId="7" applyNumberFormat="1" applyFont="1" applyFill="1" applyBorder="1" applyAlignment="1">
      <alignment horizontal="center" vertical="center" wrapText="1"/>
    </xf>
    <xf numFmtId="168" fontId="38" fillId="43" borderId="51" xfId="7" applyNumberFormat="1" applyFont="1" applyFill="1" applyBorder="1" applyAlignment="1">
      <alignment horizontal="center" vertical="center" wrapText="1"/>
    </xf>
    <xf numFmtId="0" fontId="6" fillId="21" borderId="0" xfId="7" applyFont="1" applyFill="1" applyAlignment="1">
      <alignment horizontal="center" vertical="center" wrapText="1"/>
    </xf>
    <xf numFmtId="0" fontId="9" fillId="3" borderId="51" xfId="0" applyFont="1" applyFill="1" applyBorder="1" applyAlignment="1">
      <alignment vertical="center"/>
    </xf>
    <xf numFmtId="0" fontId="6" fillId="9" borderId="51" xfId="0" applyFont="1" applyFill="1" applyBorder="1"/>
    <xf numFmtId="168" fontId="6" fillId="44" borderId="51" xfId="0" applyNumberFormat="1" applyFont="1" applyFill="1" applyBorder="1" applyAlignment="1">
      <alignment vertical="center" wrapText="1"/>
    </xf>
    <xf numFmtId="0" fontId="6" fillId="3" borderId="51" xfId="0" applyFont="1" applyFill="1" applyBorder="1" applyAlignment="1">
      <alignment vertical="center"/>
    </xf>
    <xf numFmtId="49" fontId="6" fillId="3" borderId="51" xfId="0" applyNumberFormat="1" applyFont="1" applyFill="1" applyBorder="1" applyAlignment="1">
      <alignment vertical="center"/>
    </xf>
    <xf numFmtId="169" fontId="6" fillId="3" borderId="51" xfId="0" applyNumberFormat="1" applyFont="1" applyFill="1" applyBorder="1" applyAlignment="1">
      <alignment vertical="center"/>
    </xf>
    <xf numFmtId="3" fontId="6" fillId="3" borderId="51" xfId="0" applyNumberFormat="1" applyFont="1" applyFill="1" applyBorder="1" applyAlignment="1">
      <alignment vertical="center"/>
    </xf>
    <xf numFmtId="169" fontId="6" fillId="3" borderId="51" xfId="0" applyNumberFormat="1" applyFont="1" applyFill="1" applyBorder="1" applyAlignment="1">
      <alignment horizontal="center" vertical="center"/>
    </xf>
    <xf numFmtId="178" fontId="6" fillId="3" borderId="51" xfId="0" applyNumberFormat="1" applyFont="1" applyFill="1" applyBorder="1" applyAlignment="1">
      <alignment vertical="center"/>
    </xf>
    <xf numFmtId="0" fontId="7" fillId="0" borderId="51" xfId="0" applyFont="1" applyBorder="1"/>
    <xf numFmtId="172" fontId="7" fillId="0" borderId="0" xfId="1" applyNumberFormat="1" applyFont="1" applyBorder="1"/>
    <xf numFmtId="0" fontId="6" fillId="9" borderId="0" xfId="0" applyFont="1" applyFill="1" applyAlignment="1">
      <alignment vertical="center"/>
    </xf>
    <xf numFmtId="0" fontId="36" fillId="10" borderId="51" xfId="7" applyFont="1" applyFill="1" applyBorder="1" applyAlignment="1">
      <alignment horizontal="center" vertical="center" wrapText="1"/>
    </xf>
    <xf numFmtId="177" fontId="36" fillId="10" borderId="51" xfId="7" applyNumberFormat="1" applyFont="1" applyFill="1" applyBorder="1" applyAlignment="1">
      <alignment horizontal="center" vertical="center"/>
    </xf>
    <xf numFmtId="0" fontId="38" fillId="45" borderId="51" xfId="7" applyFont="1" applyFill="1" applyBorder="1" applyAlignment="1">
      <alignment horizontal="center" vertical="center"/>
    </xf>
    <xf numFmtId="3" fontId="38" fillId="45" borderId="53" xfId="7" applyNumberFormat="1" applyFont="1" applyFill="1" applyBorder="1" applyAlignment="1">
      <alignment vertical="center"/>
    </xf>
    <xf numFmtId="14" fontId="36" fillId="19" borderId="51" xfId="7" applyNumberFormat="1" applyFont="1" applyFill="1" applyBorder="1" applyAlignment="1">
      <alignment horizontal="center" vertical="center"/>
    </xf>
    <xf numFmtId="169" fontId="36" fillId="19" borderId="51" xfId="7" applyNumberFormat="1" applyFont="1" applyFill="1" applyBorder="1" applyAlignment="1">
      <alignment horizontal="center" vertical="center"/>
    </xf>
    <xf numFmtId="43" fontId="36" fillId="10" borderId="51" xfId="7" applyNumberFormat="1" applyFont="1" applyFill="1" applyBorder="1" applyAlignment="1">
      <alignment horizontal="center" vertical="center"/>
    </xf>
    <xf numFmtId="2" fontId="36" fillId="10" borderId="51" xfId="7" applyNumberFormat="1" applyFont="1" applyFill="1" applyBorder="1" applyAlignment="1">
      <alignment horizontal="center" vertical="center" wrapText="1"/>
    </xf>
    <xf numFmtId="169" fontId="36" fillId="19" borderId="51" xfId="7" applyNumberFormat="1" applyFont="1" applyFill="1" applyBorder="1" applyAlignment="1">
      <alignment horizontal="center" vertical="center" wrapText="1"/>
    </xf>
    <xf numFmtId="0" fontId="36" fillId="10" borderId="51" xfId="7" applyFont="1" applyFill="1" applyBorder="1" applyAlignment="1">
      <alignment horizontal="center" vertical="center"/>
    </xf>
    <xf numFmtId="172" fontId="36" fillId="10" borderId="51" xfId="3" applyNumberFormat="1" applyFont="1" applyFill="1" applyBorder="1" applyAlignment="1">
      <alignment horizontal="center" vertical="center"/>
    </xf>
    <xf numFmtId="170" fontId="36" fillId="19" borderId="51" xfId="7" applyNumberFormat="1" applyFont="1" applyFill="1" applyBorder="1" applyAlignment="1">
      <alignment horizontal="center" vertical="center" wrapText="1"/>
    </xf>
    <xf numFmtId="171" fontId="36" fillId="19" borderId="53" xfId="7" applyNumberFormat="1" applyFont="1" applyFill="1" applyBorder="1" applyAlignment="1">
      <alignment horizontal="center" vertical="center"/>
    </xf>
    <xf numFmtId="172" fontId="36" fillId="19" borderId="51" xfId="1" applyNumberFormat="1" applyFont="1" applyFill="1" applyBorder="1" applyAlignment="1">
      <alignment horizontal="center" vertical="center" wrapText="1"/>
    </xf>
    <xf numFmtId="3" fontId="36" fillId="19" borderId="51" xfId="7" applyNumberFormat="1" applyFont="1" applyFill="1" applyBorder="1" applyAlignment="1">
      <alignment horizontal="center" vertical="center" wrapText="1"/>
    </xf>
    <xf numFmtId="3" fontId="36" fillId="10" borderId="51" xfId="7" applyNumberFormat="1" applyFont="1" applyFill="1" applyBorder="1" applyAlignment="1">
      <alignment horizontal="center" vertical="center"/>
    </xf>
    <xf numFmtId="3" fontId="36" fillId="10" borderId="51" xfId="7" applyNumberFormat="1" applyFont="1" applyFill="1" applyBorder="1" applyAlignment="1">
      <alignment horizontal="center" vertical="center" wrapText="1"/>
    </xf>
    <xf numFmtId="3" fontId="38" fillId="46" borderId="51" xfId="7" applyNumberFormat="1" applyFont="1" applyFill="1" applyBorder="1" applyAlignment="1">
      <alignment horizontal="center" vertical="center"/>
    </xf>
    <xf numFmtId="3" fontId="36" fillId="15" borderId="51" xfId="7" applyNumberFormat="1" applyFont="1" applyFill="1" applyBorder="1" applyAlignment="1">
      <alignment horizontal="center" vertical="center"/>
    </xf>
    <xf numFmtId="3" fontId="36" fillId="47" borderId="51" xfId="7" applyNumberFormat="1" applyFont="1" applyFill="1" applyBorder="1" applyAlignment="1">
      <alignment horizontal="center" vertical="center"/>
    </xf>
    <xf numFmtId="3" fontId="36" fillId="10" borderId="51" xfId="0" applyNumberFormat="1" applyFont="1" applyFill="1" applyBorder="1" applyAlignment="1">
      <alignment horizontal="center" vertical="center"/>
    </xf>
    <xf numFmtId="3" fontId="36" fillId="19" borderId="51" xfId="7" applyNumberFormat="1" applyFont="1" applyFill="1" applyBorder="1" applyAlignment="1">
      <alignment horizontal="center" vertical="center"/>
    </xf>
    <xf numFmtId="3" fontId="36" fillId="48" borderId="51" xfId="7" applyNumberFormat="1" applyFont="1" applyFill="1" applyBorder="1" applyAlignment="1">
      <alignment horizontal="center" vertical="center"/>
    </xf>
    <xf numFmtId="3" fontId="36" fillId="49" borderId="51" xfId="7" applyNumberFormat="1" applyFont="1" applyFill="1" applyBorder="1" applyAlignment="1">
      <alignment horizontal="center" vertical="center"/>
    </xf>
    <xf numFmtId="3" fontId="38" fillId="50" borderId="51" xfId="1" applyNumberFormat="1" applyFont="1" applyFill="1" applyBorder="1" applyAlignment="1">
      <alignment horizontal="center" vertical="center" wrapText="1"/>
    </xf>
    <xf numFmtId="49" fontId="36" fillId="10" borderId="27" xfId="0" applyNumberFormat="1" applyFont="1" applyFill="1" applyBorder="1" applyAlignment="1">
      <alignment horizontal="center" vertical="center"/>
    </xf>
    <xf numFmtId="168" fontId="41" fillId="19" borderId="51" xfId="2" applyNumberFormat="1" applyFont="1" applyFill="1" applyBorder="1" applyAlignment="1">
      <alignment horizontal="center" vertical="center"/>
    </xf>
    <xf numFmtId="0" fontId="36" fillId="19" borderId="51" xfId="7" applyFont="1" applyFill="1" applyBorder="1" applyAlignment="1">
      <alignment horizontal="center" vertical="center"/>
    </xf>
    <xf numFmtId="169" fontId="36" fillId="10" borderId="51" xfId="7" applyNumberFormat="1" applyFont="1" applyFill="1" applyBorder="1" applyAlignment="1">
      <alignment horizontal="center" vertical="center"/>
    </xf>
    <xf numFmtId="172" fontId="36" fillId="10" borderId="51" xfId="7" applyNumberFormat="1" applyFont="1" applyFill="1" applyBorder="1" applyAlignment="1">
      <alignment horizontal="center" vertical="center"/>
    </xf>
    <xf numFmtId="0" fontId="19" fillId="10" borderId="51" xfId="7" applyFont="1" applyFill="1" applyBorder="1" applyAlignment="1">
      <alignment horizontal="center" vertical="center"/>
    </xf>
    <xf numFmtId="0" fontId="19" fillId="10" borderId="51" xfId="7" applyFont="1" applyFill="1" applyBorder="1" applyAlignment="1">
      <alignment horizontal="center" vertical="center" wrapText="1"/>
    </xf>
    <xf numFmtId="172" fontId="19" fillId="10" borderId="0" xfId="3" applyNumberFormat="1" applyFont="1" applyFill="1" applyBorder="1" applyAlignment="1">
      <alignment horizontal="center" vertical="center"/>
    </xf>
    <xf numFmtId="172" fontId="19" fillId="10" borderId="0" xfId="3" applyNumberFormat="1" applyFont="1" applyFill="1" applyAlignment="1">
      <alignment horizontal="center" vertical="center"/>
    </xf>
    <xf numFmtId="3" fontId="38" fillId="45" borderId="53" xfId="7" applyNumberFormat="1" applyFont="1" applyFill="1" applyBorder="1" applyAlignment="1">
      <alignment horizontal="center" vertical="center"/>
    </xf>
    <xf numFmtId="4" fontId="36" fillId="10" borderId="51" xfId="7" applyNumberFormat="1" applyFont="1" applyFill="1" applyBorder="1" applyAlignment="1">
      <alignment horizontal="center" vertical="center"/>
    </xf>
    <xf numFmtId="170" fontId="36" fillId="10" borderId="51" xfId="7" applyNumberFormat="1" applyFont="1" applyFill="1" applyBorder="1" applyAlignment="1">
      <alignment horizontal="center" vertical="center" wrapText="1"/>
    </xf>
    <xf numFmtId="169" fontId="36" fillId="10" borderId="51" xfId="7" applyNumberFormat="1" applyFont="1" applyFill="1" applyBorder="1" applyAlignment="1">
      <alignment horizontal="center" vertical="center" wrapText="1"/>
    </xf>
    <xf numFmtId="3" fontId="36" fillId="19" borderId="51" xfId="1" applyNumberFormat="1" applyFont="1" applyFill="1" applyBorder="1" applyAlignment="1">
      <alignment horizontal="center" vertical="center" wrapText="1"/>
    </xf>
    <xf numFmtId="3" fontId="38" fillId="15" borderId="51" xfId="0" applyNumberFormat="1" applyFont="1" applyFill="1" applyBorder="1" applyAlignment="1">
      <alignment horizontal="center" vertical="center"/>
    </xf>
    <xf numFmtId="168" fontId="41" fillId="19" borderId="51" xfId="5" applyNumberFormat="1" applyFont="1" applyFill="1" applyBorder="1" applyAlignment="1">
      <alignment horizontal="center" vertical="center"/>
    </xf>
    <xf numFmtId="172" fontId="19" fillId="10" borderId="51" xfId="0" applyNumberFormat="1" applyFont="1" applyFill="1" applyBorder="1" applyAlignment="1">
      <alignment horizontal="center" vertical="center"/>
    </xf>
    <xf numFmtId="3" fontId="38" fillId="50" borderId="51" xfId="7" applyNumberFormat="1" applyFont="1" applyFill="1" applyBorder="1" applyAlignment="1">
      <alignment horizontal="center" vertical="center"/>
    </xf>
    <xf numFmtId="171" fontId="36" fillId="10" borderId="51" xfId="7" applyNumberFormat="1" applyFont="1" applyFill="1" applyBorder="1" applyAlignment="1">
      <alignment horizontal="center" vertical="center"/>
    </xf>
    <xf numFmtId="179" fontId="36" fillId="19" borderId="51" xfId="1" applyNumberFormat="1" applyFont="1" applyFill="1" applyBorder="1" applyAlignment="1">
      <alignment horizontal="center" vertical="center" wrapText="1"/>
    </xf>
    <xf numFmtId="0" fontId="38" fillId="45" borderId="51" xfId="7" applyFont="1" applyFill="1" applyBorder="1" applyAlignment="1">
      <alignment vertical="center"/>
    </xf>
    <xf numFmtId="14" fontId="36" fillId="19" borderId="51" xfId="7" applyNumberFormat="1" applyFont="1" applyFill="1" applyBorder="1" applyAlignment="1">
      <alignment horizontal="left" vertical="center"/>
    </xf>
    <xf numFmtId="169" fontId="36" fillId="19" borderId="51" xfId="7" applyNumberFormat="1" applyFont="1" applyFill="1" applyBorder="1" applyAlignment="1">
      <alignment horizontal="left" vertical="center"/>
    </xf>
    <xf numFmtId="3" fontId="38" fillId="50" borderId="51" xfId="7" applyNumberFormat="1" applyFont="1" applyFill="1" applyBorder="1" applyAlignment="1">
      <alignment horizontal="right" vertical="center"/>
    </xf>
    <xf numFmtId="3" fontId="36" fillId="19" borderId="51" xfId="7" applyNumberFormat="1" applyFont="1" applyFill="1" applyBorder="1" applyAlignment="1">
      <alignment horizontal="right" vertical="center"/>
    </xf>
    <xf numFmtId="3" fontId="36" fillId="10" borderId="51" xfId="7" applyNumberFormat="1" applyFont="1" applyFill="1" applyBorder="1" applyAlignment="1">
      <alignment horizontal="right" vertical="center"/>
    </xf>
    <xf numFmtId="171" fontId="36" fillId="10" borderId="51" xfId="7" applyNumberFormat="1" applyFont="1" applyFill="1" applyBorder="1" applyAlignment="1">
      <alignment horizontal="right" vertical="center"/>
    </xf>
    <xf numFmtId="172" fontId="36" fillId="10" borderId="51" xfId="7" applyNumberFormat="1" applyFont="1" applyFill="1" applyBorder="1"/>
    <xf numFmtId="0" fontId="38" fillId="10" borderId="51" xfId="7" applyFont="1" applyFill="1" applyBorder="1" applyAlignment="1">
      <alignment horizontal="center" vertical="center"/>
    </xf>
    <xf numFmtId="3" fontId="38" fillId="10" borderId="53" xfId="7" applyNumberFormat="1" applyFont="1" applyFill="1" applyBorder="1" applyAlignment="1">
      <alignment horizontal="center" vertical="center"/>
    </xf>
    <xf numFmtId="14" fontId="36" fillId="10" borderId="51" xfId="7" applyNumberFormat="1" applyFont="1" applyFill="1" applyBorder="1" applyAlignment="1">
      <alignment horizontal="center" vertical="center"/>
    </xf>
    <xf numFmtId="3" fontId="38" fillId="10" borderId="51" xfId="7" applyNumberFormat="1" applyFont="1" applyFill="1" applyBorder="1" applyAlignment="1">
      <alignment horizontal="center" vertical="center"/>
    </xf>
    <xf numFmtId="49" fontId="36" fillId="10" borderId="0" xfId="0" applyNumberFormat="1" applyFont="1" applyFill="1" applyAlignment="1">
      <alignment horizontal="center" vertical="center"/>
    </xf>
    <xf numFmtId="0" fontId="36" fillId="11" borderId="51" xfId="7" applyFont="1" applyFill="1" applyBorder="1" applyAlignment="1">
      <alignment horizontal="center" vertical="center" wrapText="1"/>
    </xf>
    <xf numFmtId="177" fontId="36" fillId="11" borderId="51" xfId="7" applyNumberFormat="1" applyFont="1" applyFill="1" applyBorder="1" applyAlignment="1">
      <alignment horizontal="center" vertical="center"/>
    </xf>
    <xf numFmtId="0" fontId="19" fillId="11" borderId="51" xfId="7" applyFont="1" applyFill="1" applyBorder="1"/>
    <xf numFmtId="0" fontId="36" fillId="11" borderId="51" xfId="7" applyFont="1" applyFill="1" applyBorder="1" applyAlignment="1">
      <alignment vertical="center" wrapText="1"/>
    </xf>
    <xf numFmtId="14" fontId="36" fillId="51" borderId="51" xfId="7" applyNumberFormat="1" applyFont="1" applyFill="1" applyBorder="1" applyAlignment="1">
      <alignment horizontal="left" vertical="center"/>
    </xf>
    <xf numFmtId="169" fontId="36" fillId="51" borderId="51" xfId="7" applyNumberFormat="1" applyFont="1" applyFill="1" applyBorder="1" applyAlignment="1">
      <alignment horizontal="left" vertical="center"/>
    </xf>
    <xf numFmtId="169" fontId="36" fillId="51" borderId="51" xfId="7" applyNumberFormat="1" applyFont="1" applyFill="1" applyBorder="1" applyAlignment="1">
      <alignment horizontal="center" vertical="center" wrapText="1"/>
    </xf>
    <xf numFmtId="43" fontId="36" fillId="11" borderId="51" xfId="7" applyNumberFormat="1" applyFont="1" applyFill="1" applyBorder="1" applyAlignment="1">
      <alignment horizontal="center" vertical="center"/>
    </xf>
    <xf numFmtId="164" fontId="36" fillId="19" borderId="51" xfId="1" applyFont="1" applyFill="1" applyBorder="1" applyAlignment="1">
      <alignment horizontal="center" vertical="center" wrapText="1"/>
    </xf>
    <xf numFmtId="4" fontId="36" fillId="10" borderId="51" xfId="7" applyNumberFormat="1" applyFont="1" applyFill="1" applyBorder="1" applyAlignment="1">
      <alignment vertical="center"/>
    </xf>
    <xf numFmtId="170" fontId="36" fillId="10" borderId="51" xfId="7" applyNumberFormat="1" applyFont="1" applyFill="1" applyBorder="1" applyAlignment="1">
      <alignment horizontal="right" vertical="center" wrapText="1"/>
    </xf>
    <xf numFmtId="169" fontId="36" fillId="19" borderId="51" xfId="7" applyNumberFormat="1" applyFont="1" applyFill="1" applyBorder="1" applyAlignment="1">
      <alignment horizontal="right" vertical="center" wrapText="1"/>
    </xf>
    <xf numFmtId="3" fontId="38" fillId="19" borderId="51" xfId="7" applyNumberFormat="1" applyFont="1" applyFill="1" applyBorder="1" applyAlignment="1">
      <alignment horizontal="center" vertical="center" wrapText="1"/>
    </xf>
    <xf numFmtId="3" fontId="36" fillId="15" borderId="51" xfId="7" applyNumberFormat="1" applyFont="1" applyFill="1" applyBorder="1" applyAlignment="1">
      <alignment horizontal="right" vertical="center"/>
    </xf>
    <xf numFmtId="49" fontId="36" fillId="10" borderId="27" xfId="0" applyNumberFormat="1" applyFont="1" applyFill="1" applyBorder="1" applyAlignment="1">
      <alignment horizontal="left" vertical="center"/>
    </xf>
    <xf numFmtId="168" fontId="41" fillId="19" borderId="51" xfId="5" applyNumberFormat="1" applyFont="1" applyFill="1" applyBorder="1" applyAlignment="1">
      <alignment horizontal="left" vertical="center"/>
    </xf>
    <xf numFmtId="0" fontId="36" fillId="19" borderId="51" xfId="7" applyFont="1" applyFill="1" applyBorder="1" applyAlignment="1">
      <alignment horizontal="left" vertical="center"/>
    </xf>
    <xf numFmtId="169" fontId="36" fillId="10" borderId="51" xfId="7" applyNumberFormat="1" applyFont="1" applyFill="1" applyBorder="1" applyAlignment="1">
      <alignment vertical="center"/>
    </xf>
    <xf numFmtId="169" fontId="36" fillId="10" borderId="51" xfId="7" applyNumberFormat="1" applyFont="1" applyFill="1" applyBorder="1"/>
    <xf numFmtId="0" fontId="36" fillId="10" borderId="51" xfId="7" applyFont="1" applyFill="1" applyBorder="1"/>
    <xf numFmtId="172" fontId="36" fillId="10" borderId="51" xfId="3" applyNumberFormat="1" applyFont="1" applyFill="1" applyBorder="1"/>
    <xf numFmtId="0" fontId="19" fillId="10" borderId="51" xfId="7" applyFont="1" applyFill="1" applyBorder="1"/>
    <xf numFmtId="169" fontId="36" fillId="10" borderId="51" xfId="7" applyNumberFormat="1" applyFont="1" applyFill="1" applyBorder="1" applyAlignment="1">
      <alignment vertical="center" wrapText="1"/>
    </xf>
    <xf numFmtId="0" fontId="19" fillId="10" borderId="28" xfId="0" applyFont="1" applyFill="1" applyBorder="1" applyAlignment="1">
      <alignment vertical="center" wrapText="1"/>
    </xf>
    <xf numFmtId="0" fontId="20" fillId="10" borderId="51" xfId="7" applyFont="1" applyFill="1" applyBorder="1"/>
    <xf numFmtId="172" fontId="19" fillId="10" borderId="0" xfId="3" applyNumberFormat="1" applyFont="1" applyFill="1" applyBorder="1"/>
    <xf numFmtId="172" fontId="19" fillId="10" borderId="0" xfId="3" applyNumberFormat="1" applyFont="1" applyFill="1" applyAlignment="1">
      <alignment vertical="center"/>
    </xf>
    <xf numFmtId="0" fontId="36" fillId="10" borderId="51" xfId="7" applyFont="1" applyFill="1" applyBorder="1" applyAlignment="1">
      <alignment vertical="center"/>
    </xf>
    <xf numFmtId="172" fontId="36" fillId="10" borderId="51" xfId="3" applyNumberFormat="1" applyFont="1" applyFill="1" applyBorder="1" applyAlignment="1">
      <alignment vertical="center"/>
    </xf>
    <xf numFmtId="3" fontId="36" fillId="10" borderId="51" xfId="7" applyNumberFormat="1" applyFont="1" applyFill="1" applyBorder="1" applyAlignment="1">
      <alignment vertical="center"/>
    </xf>
    <xf numFmtId="3" fontId="36" fillId="19" borderId="51" xfId="7" applyNumberFormat="1" applyFont="1" applyFill="1" applyBorder="1" applyAlignment="1">
      <alignment horizontal="right" vertical="center" wrapText="1"/>
    </xf>
    <xf numFmtId="3" fontId="36" fillId="10" borderId="51" xfId="7" applyNumberFormat="1" applyFont="1" applyFill="1" applyBorder="1" applyAlignment="1">
      <alignment horizontal="right" vertical="center" wrapText="1"/>
    </xf>
    <xf numFmtId="3" fontId="38" fillId="15" borderId="51" xfId="0" applyNumberFormat="1" applyFont="1" applyFill="1" applyBorder="1" applyAlignment="1">
      <alignment horizontal="right" vertical="center"/>
    </xf>
    <xf numFmtId="172" fontId="19" fillId="10" borderId="51" xfId="0" applyNumberFormat="1" applyFont="1" applyFill="1" applyBorder="1"/>
    <xf numFmtId="0" fontId="42" fillId="10" borderId="28" xfId="0" applyFont="1" applyFill="1" applyBorder="1" applyAlignment="1">
      <alignment vertical="center" wrapText="1"/>
    </xf>
    <xf numFmtId="3" fontId="36" fillId="10" borderId="51" xfId="0" applyNumberFormat="1" applyFont="1" applyFill="1" applyBorder="1" applyAlignment="1">
      <alignment horizontal="right" vertical="center"/>
    </xf>
    <xf numFmtId="0" fontId="38" fillId="10" borderId="51" xfId="7" applyFont="1" applyFill="1" applyBorder="1" applyAlignment="1">
      <alignment vertical="center"/>
    </xf>
    <xf numFmtId="3" fontId="38" fillId="10" borderId="51" xfId="7" applyNumberFormat="1" applyFont="1" applyFill="1" applyBorder="1" applyAlignment="1">
      <alignment vertical="center"/>
    </xf>
    <xf numFmtId="169" fontId="36" fillId="10" borderId="51" xfId="7" applyNumberFormat="1" applyFont="1" applyFill="1" applyBorder="1" applyAlignment="1">
      <alignment horizontal="left" vertical="center"/>
    </xf>
    <xf numFmtId="3" fontId="36" fillId="10" borderId="51" xfId="7" applyNumberFormat="1" applyFont="1" applyFill="1" applyBorder="1" applyAlignment="1">
      <alignment vertical="center" wrapText="1"/>
    </xf>
    <xf numFmtId="0" fontId="20" fillId="11" borderId="51" xfId="7" applyFont="1" applyFill="1" applyBorder="1"/>
    <xf numFmtId="169" fontId="36" fillId="51" borderId="0" xfId="7" applyNumberFormat="1" applyFont="1" applyFill="1" applyAlignment="1">
      <alignment horizontal="center" vertical="center" wrapText="1"/>
    </xf>
    <xf numFmtId="172" fontId="19" fillId="0" borderId="0" xfId="3" applyNumberFormat="1" applyFont="1" applyBorder="1"/>
    <xf numFmtId="3" fontId="36" fillId="10" borderId="51" xfId="1" applyNumberFormat="1" applyFont="1" applyFill="1" applyBorder="1" applyAlignment="1">
      <alignment horizontal="center" vertical="center" wrapText="1"/>
    </xf>
    <xf numFmtId="172" fontId="38" fillId="10" borderId="27" xfId="1" applyNumberFormat="1" applyFont="1" applyFill="1" applyBorder="1" applyAlignment="1">
      <alignment horizontal="left" vertical="center"/>
    </xf>
    <xf numFmtId="168" fontId="41" fillId="19" borderId="54" xfId="5" applyNumberFormat="1" applyFont="1" applyFill="1" applyBorder="1" applyAlignment="1">
      <alignment horizontal="left" vertical="center"/>
    </xf>
    <xf numFmtId="172" fontId="43" fillId="10" borderId="54" xfId="0" applyNumberFormat="1" applyFont="1" applyFill="1" applyBorder="1"/>
    <xf numFmtId="3" fontId="38" fillId="19" borderId="51" xfId="7" applyNumberFormat="1" applyFont="1" applyFill="1" applyBorder="1" applyAlignment="1">
      <alignment horizontal="right" vertical="center"/>
    </xf>
    <xf numFmtId="3" fontId="38" fillId="45" borderId="51" xfId="7" applyNumberFormat="1" applyFont="1" applyFill="1" applyBorder="1" applyAlignment="1">
      <alignment vertical="center"/>
    </xf>
    <xf numFmtId="170" fontId="36" fillId="10" borderId="51" xfId="7" applyNumberFormat="1" applyFont="1" applyFill="1" applyBorder="1" applyAlignment="1">
      <alignment vertical="center"/>
    </xf>
    <xf numFmtId="3" fontId="38" fillId="52" borderId="51" xfId="7" applyNumberFormat="1" applyFont="1" applyFill="1" applyBorder="1" applyAlignment="1">
      <alignment horizontal="center" vertical="center"/>
    </xf>
    <xf numFmtId="3" fontId="38" fillId="45" borderId="51" xfId="7" applyNumberFormat="1" applyFont="1" applyFill="1" applyBorder="1" applyAlignment="1">
      <alignment horizontal="left" vertical="center"/>
    </xf>
    <xf numFmtId="180" fontId="36" fillId="19" borderId="51" xfId="1" applyNumberFormat="1" applyFont="1" applyFill="1" applyBorder="1" applyAlignment="1">
      <alignment horizontal="left" vertical="center"/>
    </xf>
    <xf numFmtId="168" fontId="41" fillId="10" borderId="51" xfId="5" applyNumberFormat="1" applyFont="1" applyFill="1" applyBorder="1" applyAlignment="1">
      <alignment horizontal="left" vertical="center"/>
    </xf>
    <xf numFmtId="0" fontId="36" fillId="10" borderId="51" xfId="7" applyFont="1" applyFill="1" applyBorder="1" applyAlignment="1">
      <alignment horizontal="left" vertical="center"/>
    </xf>
    <xf numFmtId="164" fontId="36" fillId="10" borderId="51" xfId="1" applyFont="1" applyFill="1" applyBorder="1" applyAlignment="1">
      <alignment horizontal="center" vertical="center" wrapText="1"/>
    </xf>
    <xf numFmtId="171" fontId="36" fillId="19" borderId="53" xfId="7" applyNumberFormat="1" applyFont="1" applyFill="1" applyBorder="1" applyAlignment="1">
      <alignment horizontal="right" vertical="center"/>
    </xf>
    <xf numFmtId="3" fontId="36" fillId="19" borderId="51" xfId="1" applyNumberFormat="1" applyFont="1" applyFill="1" applyBorder="1" applyAlignment="1">
      <alignment horizontal="left" vertical="center" wrapText="1" indent="3"/>
    </xf>
    <xf numFmtId="168" fontId="41" fillId="19" borderId="51" xfId="2" applyNumberFormat="1" applyFont="1" applyFill="1" applyBorder="1" applyAlignment="1">
      <alignment horizontal="left" vertical="center"/>
    </xf>
    <xf numFmtId="0" fontId="19" fillId="10" borderId="51" xfId="7" applyFont="1" applyFill="1" applyBorder="1" applyAlignment="1">
      <alignment vertical="center" wrapText="1"/>
    </xf>
    <xf numFmtId="43" fontId="36" fillId="10" borderId="51" xfId="7" applyNumberFormat="1" applyFont="1" applyFill="1" applyBorder="1" applyAlignment="1">
      <alignment horizontal="right" vertical="center"/>
    </xf>
    <xf numFmtId="172" fontId="36" fillId="10" borderId="51" xfId="7" applyNumberFormat="1" applyFont="1" applyFill="1" applyBorder="1" applyAlignment="1">
      <alignment vertical="center"/>
    </xf>
    <xf numFmtId="3" fontId="36" fillId="51" borderId="51" xfId="7" applyNumberFormat="1" applyFont="1" applyFill="1" applyBorder="1" applyAlignment="1">
      <alignment horizontal="center" vertical="center" wrapText="1"/>
    </xf>
    <xf numFmtId="3" fontId="42" fillId="10" borderId="28" xfId="0" applyNumberFormat="1" applyFont="1" applyFill="1" applyBorder="1" applyAlignment="1">
      <alignment horizontal="center" vertical="center" wrapText="1"/>
    </xf>
    <xf numFmtId="0" fontId="38" fillId="45" borderId="53" xfId="7" applyFont="1" applyFill="1" applyBorder="1" applyAlignment="1">
      <alignment vertical="center"/>
    </xf>
    <xf numFmtId="0" fontId="42" fillId="10" borderId="0" xfId="11" applyFont="1" applyFill="1" applyAlignment="1">
      <alignment horizontal="left" vertical="center"/>
    </xf>
    <xf numFmtId="0" fontId="44" fillId="10" borderId="56" xfId="0" applyFont="1" applyFill="1" applyBorder="1" applyAlignment="1">
      <alignment vertical="center" wrapText="1"/>
    </xf>
    <xf numFmtId="3" fontId="38" fillId="45" borderId="53" xfId="7" applyNumberFormat="1" applyFont="1" applyFill="1" applyBorder="1" applyAlignment="1">
      <alignment horizontal="left" vertical="center"/>
    </xf>
    <xf numFmtId="0" fontId="36" fillId="10" borderId="51" xfId="7" applyFont="1" applyFill="1" applyBorder="1" applyAlignment="1">
      <alignment horizontal="left" vertical="center" wrapText="1"/>
    </xf>
    <xf numFmtId="0" fontId="20" fillId="10" borderId="54" xfId="7" applyFont="1" applyFill="1" applyBorder="1"/>
    <xf numFmtId="3" fontId="36" fillId="19" borderId="54" xfId="7" applyNumberFormat="1" applyFont="1" applyFill="1" applyBorder="1" applyAlignment="1">
      <alignment horizontal="right" vertical="center"/>
    </xf>
    <xf numFmtId="0" fontId="38" fillId="10" borderId="51" xfId="7" applyFont="1" applyFill="1" applyBorder="1" applyAlignment="1">
      <alignment horizontal="center" vertical="center" wrapText="1"/>
    </xf>
    <xf numFmtId="14" fontId="38" fillId="19" borderId="51" xfId="7" applyNumberFormat="1" applyFont="1" applyFill="1" applyBorder="1" applyAlignment="1">
      <alignment horizontal="left" vertical="center"/>
    </xf>
    <xf numFmtId="169" fontId="38" fillId="19" borderId="51" xfId="7" applyNumberFormat="1" applyFont="1" applyFill="1" applyBorder="1" applyAlignment="1">
      <alignment horizontal="left" vertical="center"/>
    </xf>
    <xf numFmtId="3" fontId="38" fillId="10" borderId="51" xfId="7" applyNumberFormat="1" applyFont="1" applyFill="1" applyBorder="1" applyAlignment="1">
      <alignment horizontal="right" vertical="center"/>
    </xf>
    <xf numFmtId="0" fontId="38" fillId="10" borderId="51" xfId="7" applyFont="1" applyFill="1" applyBorder="1" applyAlignment="1">
      <alignment vertical="center" wrapText="1"/>
    </xf>
    <xf numFmtId="0" fontId="44" fillId="11" borderId="51" xfId="7" applyFont="1" applyFill="1" applyBorder="1" applyAlignment="1">
      <alignment horizontal="left" vertical="center" wrapText="1"/>
    </xf>
    <xf numFmtId="3" fontId="36" fillId="15" borderId="51" xfId="1" applyNumberFormat="1" applyFont="1" applyFill="1" applyBorder="1" applyAlignment="1">
      <alignment horizontal="right" vertical="center"/>
    </xf>
    <xf numFmtId="0" fontId="44" fillId="10" borderId="51" xfId="7" applyFont="1" applyFill="1" applyBorder="1" applyAlignment="1">
      <alignment horizontal="left" vertical="center" wrapText="1"/>
    </xf>
    <xf numFmtId="3" fontId="36" fillId="51" borderId="51" xfId="1" applyNumberFormat="1" applyFont="1" applyFill="1" applyBorder="1" applyAlignment="1">
      <alignment horizontal="center" vertical="center" wrapText="1"/>
    </xf>
    <xf numFmtId="172" fontId="19" fillId="10" borderId="0" xfId="3" applyNumberFormat="1" applyFont="1" applyFill="1" applyBorder="1" applyAlignment="1">
      <alignment vertical="center"/>
    </xf>
    <xf numFmtId="0" fontId="44" fillId="10" borderId="58" xfId="0" applyFont="1" applyFill="1" applyBorder="1" applyAlignment="1">
      <alignment vertical="center" wrapText="1"/>
    </xf>
    <xf numFmtId="0" fontId="19" fillId="10" borderId="59" xfId="0" applyFont="1" applyFill="1" applyBorder="1" applyAlignment="1">
      <alignment vertical="center" wrapText="1"/>
    </xf>
    <xf numFmtId="172" fontId="19" fillId="10" borderId="50" xfId="3" applyNumberFormat="1" applyFont="1" applyFill="1" applyBorder="1"/>
    <xf numFmtId="172" fontId="19" fillId="10" borderId="50" xfId="3" applyNumberFormat="1" applyFont="1" applyFill="1" applyBorder="1" applyAlignment="1">
      <alignment vertical="center"/>
    </xf>
    <xf numFmtId="0" fontId="8" fillId="11" borderId="52" xfId="7" applyFont="1" applyFill="1" applyBorder="1" applyAlignment="1">
      <alignment horizontal="center" vertical="center" wrapText="1"/>
    </xf>
    <xf numFmtId="177" fontId="7" fillId="11" borderId="52" xfId="7" applyNumberFormat="1" applyFont="1" applyFill="1" applyBorder="1" applyAlignment="1">
      <alignment horizontal="center" vertical="center"/>
    </xf>
    <xf numFmtId="0" fontId="21" fillId="11" borderId="52" xfId="7" applyFont="1" applyFill="1" applyBorder="1"/>
    <xf numFmtId="0" fontId="7" fillId="11" borderId="52" xfId="7" applyFont="1" applyFill="1" applyBorder="1" applyAlignment="1">
      <alignment vertical="center" wrapText="1"/>
    </xf>
    <xf numFmtId="0" fontId="45" fillId="11" borderId="52" xfId="7" applyFont="1" applyFill="1" applyBorder="1" applyAlignment="1">
      <alignment horizontal="center" vertical="center" wrapText="1"/>
    </xf>
    <xf numFmtId="0" fontId="46" fillId="11" borderId="52" xfId="7" applyFont="1" applyFill="1" applyBorder="1" applyAlignment="1">
      <alignment horizontal="center" vertical="center" wrapText="1"/>
    </xf>
    <xf numFmtId="0" fontId="47" fillId="11" borderId="52" xfId="7" applyFont="1" applyFill="1" applyBorder="1" applyAlignment="1">
      <alignment horizontal="center" vertical="center" wrapText="1"/>
    </xf>
    <xf numFmtId="14" fontId="36" fillId="51" borderId="52" xfId="7" applyNumberFormat="1" applyFont="1" applyFill="1" applyBorder="1" applyAlignment="1">
      <alignment horizontal="left" vertical="center"/>
    </xf>
    <xf numFmtId="0" fontId="48" fillId="11" borderId="52" xfId="7" applyFont="1" applyFill="1" applyBorder="1" applyAlignment="1">
      <alignment horizontal="left" vertical="center" wrapText="1"/>
    </xf>
    <xf numFmtId="169" fontId="36" fillId="51" borderId="52" xfId="7" applyNumberFormat="1" applyFont="1" applyFill="1" applyBorder="1" applyAlignment="1">
      <alignment horizontal="center" vertical="center" wrapText="1"/>
    </xf>
    <xf numFmtId="0" fontId="8" fillId="10" borderId="0" xfId="7" applyFont="1" applyFill="1" applyAlignment="1">
      <alignment horizontal="center" vertical="center" wrapText="1"/>
    </xf>
    <xf numFmtId="177" fontId="7" fillId="10" borderId="0" xfId="7" applyNumberFormat="1" applyFont="1" applyFill="1" applyAlignment="1">
      <alignment horizontal="center" vertical="center"/>
    </xf>
    <xf numFmtId="0" fontId="7" fillId="10" borderId="0" xfId="7" applyFont="1" applyFill="1"/>
    <xf numFmtId="0" fontId="6" fillId="10" borderId="0" xfId="7" applyFont="1" applyFill="1" applyAlignment="1">
      <alignment vertical="center" wrapText="1"/>
    </xf>
    <xf numFmtId="0" fontId="45" fillId="10" borderId="0" xfId="7" applyFont="1" applyFill="1" applyAlignment="1">
      <alignment horizontal="center" vertical="center" wrapText="1"/>
    </xf>
    <xf numFmtId="0" fontId="49" fillId="10" borderId="0" xfId="7" applyFont="1" applyFill="1" applyAlignment="1">
      <alignment horizontal="center" vertical="center" wrapText="1"/>
    </xf>
    <xf numFmtId="0" fontId="50" fillId="10" borderId="0" xfId="7" applyFont="1" applyFill="1" applyAlignment="1">
      <alignment horizontal="center" vertical="center" wrapText="1"/>
    </xf>
    <xf numFmtId="169" fontId="36" fillId="19" borderId="0" xfId="7" applyNumberFormat="1" applyFont="1" applyFill="1" applyAlignment="1">
      <alignment vertical="center"/>
    </xf>
    <xf numFmtId="169" fontId="51" fillId="19" borderId="52" xfId="7" applyNumberFormat="1" applyFont="1" applyFill="1" applyBorder="1" applyAlignment="1">
      <alignment horizontal="center" vertical="center" wrapText="1"/>
    </xf>
    <xf numFmtId="169" fontId="36" fillId="19" borderId="52" xfId="7" applyNumberFormat="1" applyFont="1" applyFill="1" applyBorder="1" applyAlignment="1">
      <alignment horizontal="center" vertical="center" wrapText="1"/>
    </xf>
    <xf numFmtId="3" fontId="36" fillId="19" borderId="52" xfId="7" applyNumberFormat="1" applyFont="1" applyFill="1" applyBorder="1" applyAlignment="1">
      <alignment horizontal="center" vertical="center" wrapText="1"/>
    </xf>
    <xf numFmtId="3" fontId="36" fillId="19" borderId="52" xfId="1" applyNumberFormat="1" applyFont="1" applyFill="1" applyBorder="1" applyAlignment="1">
      <alignment horizontal="center" vertical="center" wrapText="1"/>
    </xf>
    <xf numFmtId="3" fontId="8" fillId="19" borderId="0" xfId="7" applyNumberFormat="1" applyFont="1" applyFill="1" applyAlignment="1">
      <alignment horizontal="right" vertical="center"/>
    </xf>
    <xf numFmtId="169" fontId="52" fillId="19" borderId="0" xfId="5" applyNumberFormat="1" applyFont="1" applyFill="1" applyBorder="1" applyAlignment="1">
      <alignment vertical="center"/>
    </xf>
    <xf numFmtId="169" fontId="36" fillId="19" borderId="0" xfId="7" applyNumberFormat="1" applyFont="1" applyFill="1" applyAlignment="1">
      <alignment horizontal="center" vertical="center"/>
    </xf>
    <xf numFmtId="0" fontId="53" fillId="10" borderId="0" xfId="7" applyFont="1" applyFill="1" applyAlignment="1">
      <alignment horizontal="center" vertical="center" wrapText="1"/>
    </xf>
    <xf numFmtId="169" fontId="36" fillId="10" borderId="0" xfId="7" applyNumberFormat="1" applyFont="1" applyFill="1" applyAlignment="1">
      <alignment vertical="center"/>
    </xf>
    <xf numFmtId="169" fontId="36" fillId="10" borderId="0" xfId="7" applyNumberFormat="1" applyFont="1" applyFill="1"/>
    <xf numFmtId="0" fontId="36" fillId="10" borderId="0" xfId="7" applyFont="1" applyFill="1"/>
    <xf numFmtId="172" fontId="36" fillId="10" borderId="0" xfId="3" applyNumberFormat="1" applyFont="1" applyFill="1" applyBorder="1"/>
    <xf numFmtId="172" fontId="36" fillId="10" borderId="0" xfId="7" applyNumberFormat="1" applyFont="1" applyFill="1"/>
    <xf numFmtId="0" fontId="65" fillId="10" borderId="0" xfId="7" applyFill="1"/>
    <xf numFmtId="0" fontId="53" fillId="10" borderId="0" xfId="7" applyFont="1" applyFill="1" applyAlignment="1">
      <alignment vertical="center" wrapText="1"/>
    </xf>
    <xf numFmtId="172" fontId="21" fillId="10" borderId="0" xfId="3" applyNumberFormat="1" applyFont="1" applyFill="1"/>
    <xf numFmtId="0" fontId="21" fillId="10" borderId="0" xfId="7" applyFont="1" applyFill="1" applyAlignment="1">
      <alignment vertical="center"/>
    </xf>
    <xf numFmtId="0" fontId="54" fillId="10" borderId="0" xfId="7" applyFont="1" applyFill="1"/>
    <xf numFmtId="0" fontId="55" fillId="10" borderId="0" xfId="7" applyFont="1" applyFill="1"/>
    <xf numFmtId="172" fontId="22" fillId="10" borderId="0" xfId="3" applyNumberFormat="1" applyFont="1" applyFill="1"/>
    <xf numFmtId="3" fontId="21" fillId="10" borderId="0" xfId="3" applyNumberFormat="1" applyFont="1" applyFill="1"/>
    <xf numFmtId="3" fontId="51" fillId="53" borderId="51" xfId="7" applyNumberFormat="1" applyFont="1" applyFill="1" applyBorder="1" applyAlignment="1">
      <alignment horizontal="right" vertical="center"/>
    </xf>
    <xf numFmtId="3" fontId="21" fillId="10" borderId="0" xfId="1" applyNumberFormat="1" applyFont="1" applyFill="1" applyBorder="1"/>
    <xf numFmtId="0" fontId="21" fillId="10" borderId="0" xfId="7" applyFont="1" applyFill="1" applyAlignment="1">
      <alignment horizontal="center"/>
    </xf>
    <xf numFmtId="172" fontId="22" fillId="10" borderId="0" xfId="7" applyNumberFormat="1" applyFont="1" applyFill="1"/>
    <xf numFmtId="172" fontId="21" fillId="10" borderId="0" xfId="7" applyNumberFormat="1" applyFont="1" applyFill="1"/>
    <xf numFmtId="0" fontId="22" fillId="10" borderId="0" xfId="7" applyFont="1" applyFill="1"/>
    <xf numFmtId="172" fontId="23" fillId="10" borderId="0" xfId="7" applyNumberFormat="1" applyFont="1" applyFill="1"/>
    <xf numFmtId="0" fontId="23" fillId="10" borderId="0" xfId="7" applyFont="1" applyFill="1"/>
    <xf numFmtId="181" fontId="21" fillId="10" borderId="0" xfId="7" applyNumberFormat="1" applyFont="1" applyFill="1"/>
    <xf numFmtId="2" fontId="21" fillId="10" borderId="0" xfId="7" applyNumberFormat="1" applyFont="1" applyFill="1"/>
    <xf numFmtId="0" fontId="54" fillId="0" borderId="0" xfId="7" applyFont="1"/>
    <xf numFmtId="0" fontId="55" fillId="0" borderId="0" xfId="7" applyFont="1"/>
    <xf numFmtId="17" fontId="21" fillId="0" borderId="0" xfId="7" quotePrefix="1" applyNumberFormat="1" applyFont="1"/>
    <xf numFmtId="0" fontId="21" fillId="0" borderId="0" xfId="7" quotePrefix="1" applyFont="1"/>
    <xf numFmtId="169" fontId="36" fillId="19" borderId="51" xfId="7" quotePrefix="1" applyNumberFormat="1" applyFont="1" applyFill="1" applyBorder="1" applyAlignment="1">
      <alignment horizontal="center" vertical="center"/>
    </xf>
    <xf numFmtId="14" fontId="36" fillId="19" borderId="51" xfId="7" quotePrefix="1" applyNumberFormat="1" applyFont="1" applyFill="1" applyBorder="1" applyAlignment="1">
      <alignment horizontal="center" vertical="center"/>
    </xf>
    <xf numFmtId="14" fontId="36" fillId="19" borderId="51" xfId="7" quotePrefix="1" applyNumberFormat="1" applyFont="1" applyFill="1" applyBorder="1" applyAlignment="1">
      <alignment horizontal="left" vertical="center"/>
    </xf>
    <xf numFmtId="169" fontId="36" fillId="19" borderId="51" xfId="7" quotePrefix="1" applyNumberFormat="1" applyFont="1" applyFill="1" applyBorder="1" applyAlignment="1">
      <alignment horizontal="left" vertical="center"/>
    </xf>
    <xf numFmtId="14" fontId="36" fillId="10" borderId="51" xfId="7" quotePrefix="1" applyNumberFormat="1" applyFont="1" applyFill="1" applyBorder="1" applyAlignment="1">
      <alignment horizontal="left" vertical="center"/>
    </xf>
    <xf numFmtId="14" fontId="36" fillId="19" borderId="51" xfId="7" quotePrefix="1" applyNumberFormat="1" applyFont="1" applyFill="1" applyBorder="1" applyAlignment="1">
      <alignment horizontal="left" vertical="center" wrapText="1"/>
    </xf>
    <xf numFmtId="0" fontId="44" fillId="10" borderId="55" xfId="0" quotePrefix="1" applyFont="1" applyFill="1" applyBorder="1" applyAlignment="1">
      <alignment horizontal="right" vertical="center" wrapText="1"/>
    </xf>
    <xf numFmtId="0" fontId="36" fillId="10" borderId="51" xfId="7" quotePrefix="1" applyFont="1" applyFill="1" applyBorder="1" applyAlignment="1">
      <alignment horizontal="left" vertical="center" wrapText="1"/>
    </xf>
    <xf numFmtId="169" fontId="36" fillId="10" borderId="51" xfId="7" quotePrefix="1" applyNumberFormat="1" applyFont="1" applyFill="1" applyBorder="1" applyAlignment="1">
      <alignment horizontal="left" vertical="center"/>
    </xf>
    <xf numFmtId="0" fontId="44" fillId="10" borderId="51" xfId="7" quotePrefix="1" applyFont="1" applyFill="1" applyBorder="1" applyAlignment="1">
      <alignment horizontal="left" vertical="center" wrapText="1"/>
    </xf>
    <xf numFmtId="0" fontId="44" fillId="10" borderId="57" xfId="0" quotePrefix="1" applyFont="1" applyFill="1" applyBorder="1" applyAlignment="1">
      <alignment horizontal="right" vertical="center" wrapText="1"/>
    </xf>
    <xf numFmtId="0" fontId="7" fillId="0" borderId="0" xfId="0" quotePrefix="1" applyFont="1" applyAlignment="1">
      <alignment horizontal="left" vertical="center"/>
    </xf>
    <xf numFmtId="0" fontId="7" fillId="0" borderId="28" xfId="0" quotePrefix="1" applyFont="1" applyBorder="1" applyAlignment="1">
      <alignment vertical="center" wrapText="1"/>
    </xf>
    <xf numFmtId="0" fontId="7" fillId="0" borderId="0" xfId="0" quotePrefix="1" applyFont="1" applyAlignment="1">
      <alignment vertical="center"/>
    </xf>
    <xf numFmtId="0" fontId="8" fillId="0" borderId="0" xfId="0" quotePrefix="1" applyFont="1" applyAlignment="1">
      <alignment horizontal="left" vertical="center"/>
    </xf>
    <xf numFmtId="0" fontId="8" fillId="0" borderId="0" xfId="0" quotePrefix="1" applyFont="1" applyAlignment="1">
      <alignment vertical="center"/>
    </xf>
    <xf numFmtId="49" fontId="7" fillId="0" borderId="0" xfId="0" quotePrefix="1" applyNumberFormat="1" applyFont="1" applyAlignment="1">
      <alignment horizontal="left" vertical="center"/>
    </xf>
    <xf numFmtId="0" fontId="18" fillId="0" borderId="35" xfId="0" applyFont="1" applyBorder="1" applyAlignment="1">
      <alignment horizontal="center" vertical="center" wrapText="1"/>
    </xf>
    <xf numFmtId="0" fontId="2" fillId="0" borderId="36" xfId="0" applyFont="1" applyBorder="1"/>
    <xf numFmtId="0" fontId="2" fillId="0" borderId="33" xfId="0" applyFont="1" applyBorder="1"/>
    <xf numFmtId="0" fontId="15" fillId="4" borderId="30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0" borderId="1" xfId="0" applyFont="1" applyBorder="1" applyAlignment="1">
      <alignment horizontal="center" vertical="center"/>
    </xf>
    <xf numFmtId="0" fontId="2" fillId="0" borderId="10" xfId="0" applyFont="1" applyBorder="1"/>
    <xf numFmtId="0" fontId="1" fillId="0" borderId="8" xfId="0" applyFont="1" applyBorder="1" applyAlignment="1">
      <alignment horizontal="center" vertical="center"/>
    </xf>
    <xf numFmtId="0" fontId="2" fillId="0" borderId="13" xfId="0" applyFont="1" applyBorder="1"/>
    <xf numFmtId="0" fontId="1" fillId="2" borderId="8" xfId="0" applyFont="1" applyFill="1" applyBorder="1" applyAlignment="1">
      <alignment horizontal="center" vertical="center"/>
    </xf>
    <xf numFmtId="0" fontId="2" fillId="0" borderId="14" xfId="0" applyFont="1" applyBorder="1"/>
    <xf numFmtId="0" fontId="1" fillId="0" borderId="9" xfId="0" applyFont="1" applyBorder="1" applyAlignment="1">
      <alignment horizontal="center" vertical="center"/>
    </xf>
    <xf numFmtId="0" fontId="2" fillId="0" borderId="15" xfId="0" applyFont="1" applyBorder="1"/>
    <xf numFmtId="169" fontId="66" fillId="54" borderId="51" xfId="0" applyNumberFormat="1" applyFont="1" applyFill="1" applyBorder="1" applyAlignment="1">
      <alignment horizontal="center" vertical="center" wrapText="1"/>
    </xf>
    <xf numFmtId="0" fontId="67" fillId="55" borderId="51" xfId="0" applyFont="1" applyFill="1" applyBorder="1" applyAlignment="1">
      <alignment horizontal="center" vertical="center"/>
    </xf>
    <xf numFmtId="0" fontId="68" fillId="10" borderId="51" xfId="0" applyFont="1" applyFill="1" applyBorder="1" applyAlignment="1">
      <alignment horizontal="center" vertical="center" wrapText="1"/>
    </xf>
    <xf numFmtId="0" fontId="69" fillId="10" borderId="51" xfId="0" applyFont="1" applyFill="1" applyBorder="1" applyAlignment="1">
      <alignment vertical="center"/>
    </xf>
    <xf numFmtId="0" fontId="70" fillId="0" borderId="51" xfId="0" applyFont="1" applyBorder="1" applyAlignment="1">
      <alignment vertical="center" wrapText="1"/>
    </xf>
    <xf numFmtId="0" fontId="70" fillId="10" borderId="51" xfId="0" applyFont="1" applyFill="1" applyBorder="1" applyAlignment="1">
      <alignment vertical="center"/>
    </xf>
    <xf numFmtId="169" fontId="69" fillId="19" borderId="51" xfId="0" applyNumberFormat="1" applyFont="1" applyFill="1" applyBorder="1" applyAlignment="1">
      <alignment horizontal="left" vertical="center"/>
    </xf>
    <xf numFmtId="3" fontId="68" fillId="49" borderId="51" xfId="0" applyNumberFormat="1" applyFont="1" applyFill="1" applyBorder="1" applyAlignment="1">
      <alignment vertical="center"/>
    </xf>
    <xf numFmtId="0" fontId="68" fillId="55" borderId="51" xfId="0" applyFont="1" applyFill="1" applyBorder="1" applyAlignment="1">
      <alignment horizontal="center" vertical="center" wrapText="1"/>
    </xf>
    <xf numFmtId="0" fontId="66" fillId="55" borderId="51" xfId="0" applyFont="1" applyFill="1" applyBorder="1" applyAlignment="1">
      <alignment vertical="center"/>
    </xf>
    <xf numFmtId="0" fontId="70" fillId="55" borderId="51" xfId="0" applyFont="1" applyFill="1" applyBorder="1" applyAlignment="1">
      <alignment vertical="center" wrapText="1"/>
    </xf>
    <xf numFmtId="0" fontId="70" fillId="55" borderId="51" xfId="0" applyFont="1" applyFill="1" applyBorder="1" applyAlignment="1">
      <alignment vertical="center"/>
    </xf>
    <xf numFmtId="169" fontId="69" fillId="56" borderId="51" xfId="0" applyNumberFormat="1" applyFont="1" applyFill="1" applyBorder="1" applyAlignment="1">
      <alignment horizontal="left" vertical="center"/>
    </xf>
    <xf numFmtId="3" fontId="71" fillId="57" borderId="51" xfId="0" applyNumberFormat="1" applyFont="1" applyFill="1" applyBorder="1" applyAlignment="1">
      <alignment vertical="center"/>
    </xf>
    <xf numFmtId="0" fontId="72" fillId="55" borderId="51" xfId="0" quotePrefix="1" applyFont="1" applyFill="1" applyBorder="1" applyAlignment="1">
      <alignment horizontal="left" vertical="center" wrapText="1"/>
    </xf>
    <xf numFmtId="0" fontId="72" fillId="55" borderId="51" xfId="0" applyFont="1" applyFill="1" applyBorder="1" applyAlignment="1">
      <alignment horizontal="left" vertical="center" wrapText="1"/>
    </xf>
    <xf numFmtId="0" fontId="67" fillId="55" borderId="51" xfId="0" applyFont="1" applyFill="1" applyBorder="1" applyAlignment="1">
      <alignment vertical="center"/>
    </xf>
    <xf numFmtId="169" fontId="68" fillId="10" borderId="51" xfId="0" applyNumberFormat="1" applyFont="1" applyFill="1" applyBorder="1" applyAlignment="1">
      <alignment horizontal="center" vertical="center" wrapText="1"/>
    </xf>
    <xf numFmtId="0" fontId="69" fillId="55" borderId="51" xfId="0" applyFont="1" applyFill="1" applyBorder="1" applyAlignment="1">
      <alignment vertical="center"/>
    </xf>
    <xf numFmtId="0" fontId="69" fillId="0" borderId="51" xfId="0" applyFont="1" applyBorder="1" applyAlignment="1">
      <alignment horizontal="center" vertical="center" wrapText="1"/>
    </xf>
    <xf numFmtId="0" fontId="68" fillId="0" borderId="51" xfId="0" applyFont="1" applyBorder="1" applyAlignment="1">
      <alignment horizontal="center" vertical="center" wrapText="1"/>
    </xf>
    <xf numFmtId="3" fontId="67" fillId="45" borderId="53" xfId="0" applyNumberFormat="1" applyFont="1" applyFill="1" applyBorder="1" applyAlignment="1">
      <alignment vertical="center"/>
    </xf>
    <xf numFmtId="0" fontId="73" fillId="55" borderId="51" xfId="0" applyFont="1" applyFill="1" applyBorder="1" applyAlignment="1">
      <alignment horizontal="center" vertical="center" wrapText="1"/>
    </xf>
    <xf numFmtId="169" fontId="69" fillId="55" borderId="51" xfId="0" applyNumberFormat="1" applyFont="1" applyFill="1" applyBorder="1" applyAlignment="1">
      <alignment vertical="center"/>
    </xf>
  </cellXfs>
  <cellStyles count="12">
    <cellStyle name="Comma" xfId="1" builtinId="3"/>
    <cellStyle name="Comma 2" xfId="3" xr:uid="{00000000-0005-0000-0000-000031000000}"/>
    <cellStyle name="Comma 3" xfId="4" xr:uid="{00000000-0005-0000-0000-000032000000}"/>
    <cellStyle name="Hyperlink" xfId="2" builtinId="8"/>
    <cellStyle name="Hyperlink 2" xfId="5" xr:uid="{00000000-0005-0000-0000-000033000000}"/>
    <cellStyle name="Normal" xfId="0" builtinId="0"/>
    <cellStyle name="Normal 2" xfId="6" xr:uid="{00000000-0005-0000-0000-000034000000}"/>
    <cellStyle name="Normal 3" xfId="7" xr:uid="{00000000-0005-0000-0000-000035000000}"/>
    <cellStyle name="Normal 4" xfId="8" xr:uid="{00000000-0005-0000-0000-000036000000}"/>
    <cellStyle name="Normal 5" xfId="9" xr:uid="{00000000-0005-0000-0000-000037000000}"/>
    <cellStyle name="Normal 6" xfId="10" xr:uid="{00000000-0005-0000-0000-000038000000}"/>
    <cellStyle name="Normal 7" xfId="11" xr:uid="{00000000-0005-0000-0000-000039000000}"/>
  </cellStyles>
  <dxfs count="17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99999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CCFF"/>
      <color rgb="FFFF99CC"/>
      <color rgb="FFFF66FF"/>
      <color rgb="FFFF6699"/>
      <color rgb="FFFF9966"/>
      <color rgb="FF71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am/Cham%20cong%20T7.2026/1/06.08%20CNT%20-%20Bang%20luong%20tong%20T7-2026.xlsx" TargetMode="External"/><Relationship Id="rId1" Type="http://schemas.openxmlformats.org/officeDocument/2006/relationships/externalLinkPath" Target="/Cam/Cham%20cong%20T7.2026/1/06.08%20CNT%20-%20Bang%20luong%20tong%20T7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HUNG/luong/2026/Th&#225;ng%205.2026/Bang%20luong%20tong%20T4-2026.Med_nham%2026.4.xlsx" TargetMode="External"/><Relationship Id="rId1" Type="http://schemas.openxmlformats.org/officeDocument/2006/relationships/externalLinkPath" Target="/PHUNG/luong/2026/Th&#225;ng%205.2026/Bang%20luong%20tong%20T4-2026.Med_nham%2026.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HUNG/luong/2026/Th&#225;ng%205.2026/BCC/Copy%20of%20B&#7842;NG%20L&#431;&#416;NG%20TH&#193;NG%205%202026%20-%20Team%20CNT_lay%20file%20nay%20tinh%20luong.xlsx" TargetMode="External"/><Relationship Id="rId1" Type="http://schemas.openxmlformats.org/officeDocument/2006/relationships/externalLinkPath" Target="/PHUNG/luong/2026/Th&#225;ng%205.2026/BCC/Copy%20of%20B&#7842;NG%20L&#431;&#416;NG%20TH&#193;NG%205%202026%20-%20Team%20CNT_lay%20file%20nay%20tinh%20luo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Cam/Cham%20cong%20T7.2026/1/Bang%20luong%20tong%20T7-2026%20-%2004.08.2026.xlsx" TargetMode="External"/><Relationship Id="rId1" Type="http://schemas.openxmlformats.org/officeDocument/2006/relationships/externalLinkPath" Target="/Cam/Cham%20cong%20T7.2026/1/Bang%20luong%20tong%20T7-2026%20-%2004.08.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dmin/Desktop/email%20Medigo_Nhan%20vien%20Cty_2026.xlsx" TargetMode="External"/><Relationship Id="rId1" Type="http://schemas.openxmlformats.org/officeDocument/2006/relationships/externalLinkPath" Target="/Users/Admin/Desktop/email%20Medigo_Nhan%20vien%20Cty_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10102/AppData/Local/Temp/Zalo%20Temp/TempDownloads/Accounting_Tax_Refund%20PIT_2024-2025.xlsx" TargetMode="External"/><Relationship Id="rId1" Type="http://schemas.openxmlformats.org/officeDocument/2006/relationships/externalLinkPath" Target="/Users/10102/AppData/Local/Temp/Zalo%20Temp/TempDownloads/Accounting_Tax_Refund%20PIT_202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ẢNG CC"/>
      <sheetName val="CNT"/>
      <sheetName val="TTCK CNT"/>
      <sheetName val="PLDSĐB"/>
      <sheetName val="PL medigo+ VP nha thuoc"/>
      <sheetName val="PL nha thuoc"/>
      <sheetName val="PL MDG"/>
      <sheetName val="Bản sao của PL MDG"/>
      <sheetName val="PL MED"/>
      <sheetName val="PL CNT"/>
      <sheetName val="TT CK LƯƠNG"/>
      <sheetName val="TT CK CNT"/>
      <sheetName val="CTVKHO - Bảng lương chi tiết"/>
    </sheetNames>
    <sheetDataSet>
      <sheetData sheetId="0"/>
      <sheetData sheetId="1">
        <row r="6">
          <cell r="C6" t="str">
            <v>Hồ Thị Minh Hòa</v>
          </cell>
          <cell r="D6" t="str">
            <v>DSBC</v>
          </cell>
          <cell r="E6">
            <v>118</v>
          </cell>
          <cell r="F6">
            <v>48.4</v>
          </cell>
          <cell r="G6">
            <v>118</v>
          </cell>
          <cell r="H6">
            <v>48.4</v>
          </cell>
          <cell r="J6">
            <v>18</v>
          </cell>
          <cell r="K6">
            <v>6</v>
          </cell>
          <cell r="N6">
            <v>0</v>
          </cell>
          <cell r="O6">
            <v>0</v>
          </cell>
          <cell r="P6">
            <v>0</v>
          </cell>
          <cell r="R6">
            <v>18</v>
          </cell>
          <cell r="S6">
            <v>0</v>
          </cell>
          <cell r="T6">
            <v>0</v>
          </cell>
          <cell r="V6">
            <v>283333</v>
          </cell>
          <cell r="X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C7" t="str">
            <v>Nguyễn Ngọc Anh Thư</v>
          </cell>
          <cell r="D7" t="str">
            <v>DSTV</v>
          </cell>
          <cell r="E7">
            <v>43.62</v>
          </cell>
          <cell r="F7">
            <v>72.319999999999993</v>
          </cell>
          <cell r="G7">
            <v>39.119999999999997</v>
          </cell>
          <cell r="H7">
            <v>72.319999999999993</v>
          </cell>
          <cell r="J7">
            <v>14</v>
          </cell>
          <cell r="K7">
            <v>9</v>
          </cell>
          <cell r="N7">
            <v>0</v>
          </cell>
          <cell r="O7">
            <v>0</v>
          </cell>
          <cell r="P7">
            <v>0</v>
          </cell>
          <cell r="R7">
            <v>14</v>
          </cell>
          <cell r="S7">
            <v>4.5</v>
          </cell>
          <cell r="T7">
            <v>0</v>
          </cell>
          <cell r="X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</row>
        <row r="8">
          <cell r="C8" t="str">
            <v>Nguyễn Trần Ngọc Phương</v>
          </cell>
          <cell r="D8" t="str">
            <v>CHT</v>
          </cell>
          <cell r="E8">
            <v>146.12</v>
          </cell>
          <cell r="F8">
            <v>70.180000000000007</v>
          </cell>
          <cell r="G8">
            <v>146.12</v>
          </cell>
          <cell r="H8">
            <v>70.180000000000007</v>
          </cell>
          <cell r="J8">
            <v>27</v>
          </cell>
          <cell r="K8">
            <v>9</v>
          </cell>
          <cell r="N8">
            <v>0</v>
          </cell>
          <cell r="O8">
            <v>0</v>
          </cell>
          <cell r="P8">
            <v>0</v>
          </cell>
          <cell r="R8">
            <v>27</v>
          </cell>
          <cell r="S8">
            <v>0</v>
          </cell>
          <cell r="T8">
            <v>0</v>
          </cell>
          <cell r="V8">
            <v>1500000</v>
          </cell>
          <cell r="X8">
            <v>0</v>
          </cell>
          <cell r="AA8">
            <v>0</v>
          </cell>
          <cell r="AD8">
            <v>2000000</v>
          </cell>
          <cell r="AE8">
            <v>0</v>
          </cell>
          <cell r="AF8">
            <v>876500</v>
          </cell>
          <cell r="AG8">
            <v>5680</v>
          </cell>
          <cell r="AH8">
            <v>0</v>
          </cell>
          <cell r="AJ8">
            <v>500000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500000</v>
          </cell>
          <cell r="AP8" t="str">
            <v>Cấn trừ chi phí đồng phục</v>
          </cell>
        </row>
        <row r="9">
          <cell r="C9" t="str">
            <v>Ngô Trần Tuyết Vy</v>
          </cell>
          <cell r="D9" t="str">
            <v>DSBC</v>
          </cell>
          <cell r="E9">
            <v>144.58000000000001</v>
          </cell>
          <cell r="F9">
            <v>137.32</v>
          </cell>
          <cell r="G9">
            <v>128.58000000000001</v>
          </cell>
          <cell r="H9">
            <v>137.32</v>
          </cell>
          <cell r="I9">
            <v>16</v>
          </cell>
          <cell r="J9">
            <v>31</v>
          </cell>
          <cell r="K9">
            <v>17</v>
          </cell>
          <cell r="N9">
            <v>0</v>
          </cell>
          <cell r="O9">
            <v>0</v>
          </cell>
          <cell r="P9">
            <v>0</v>
          </cell>
          <cell r="R9">
            <v>31</v>
          </cell>
          <cell r="S9">
            <v>0</v>
          </cell>
          <cell r="T9">
            <v>0</v>
          </cell>
          <cell r="X9">
            <v>0</v>
          </cell>
          <cell r="AA9">
            <v>0</v>
          </cell>
          <cell r="AD9">
            <v>2200000</v>
          </cell>
          <cell r="AE9">
            <v>1154180</v>
          </cell>
          <cell r="AF9">
            <v>2576900</v>
          </cell>
          <cell r="AG9">
            <v>10408</v>
          </cell>
          <cell r="AH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C10" t="str">
            <v>Phạm Nguyễn Ngọc Quý</v>
          </cell>
          <cell r="D10" t="str">
            <v>DSBC</v>
          </cell>
          <cell r="E10">
            <v>138.41999999999999</v>
          </cell>
          <cell r="F10">
            <v>135.94999999999999</v>
          </cell>
          <cell r="G10">
            <v>122.42</v>
          </cell>
          <cell r="H10">
            <v>135.94999999999999</v>
          </cell>
          <cell r="I10">
            <v>16</v>
          </cell>
          <cell r="J10">
            <v>31</v>
          </cell>
          <cell r="K10">
            <v>17</v>
          </cell>
          <cell r="N10">
            <v>0</v>
          </cell>
          <cell r="O10">
            <v>0</v>
          </cell>
          <cell r="P10">
            <v>0</v>
          </cell>
          <cell r="R10">
            <v>31</v>
          </cell>
          <cell r="S10">
            <v>0</v>
          </cell>
          <cell r="T10">
            <v>0</v>
          </cell>
          <cell r="X10">
            <v>0</v>
          </cell>
          <cell r="AA10">
            <v>0</v>
          </cell>
          <cell r="AD10">
            <v>1000000</v>
          </cell>
          <cell r="AE10">
            <v>0</v>
          </cell>
          <cell r="AF10">
            <v>1968750</v>
          </cell>
          <cell r="AG10">
            <v>1050</v>
          </cell>
          <cell r="AH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</row>
        <row r="11">
          <cell r="C11" t="str">
            <v>Trần Thị Kim Khánh</v>
          </cell>
          <cell r="D11" t="str">
            <v>DSBC</v>
          </cell>
          <cell r="E11">
            <v>212.4</v>
          </cell>
          <cell r="F11">
            <v>87.22</v>
          </cell>
          <cell r="G11">
            <v>196.4</v>
          </cell>
          <cell r="H11">
            <v>87.22</v>
          </cell>
          <cell r="I11">
            <v>16</v>
          </cell>
          <cell r="J11">
            <v>31</v>
          </cell>
          <cell r="K11">
            <v>11</v>
          </cell>
          <cell r="N11">
            <v>0</v>
          </cell>
          <cell r="O11">
            <v>0</v>
          </cell>
          <cell r="P11">
            <v>0</v>
          </cell>
          <cell r="R11">
            <v>31</v>
          </cell>
          <cell r="S11">
            <v>0</v>
          </cell>
          <cell r="T11">
            <v>0</v>
          </cell>
          <cell r="X11">
            <v>0</v>
          </cell>
          <cell r="AA11">
            <v>0</v>
          </cell>
          <cell r="AD11">
            <v>4000000</v>
          </cell>
          <cell r="AE11">
            <v>2027888</v>
          </cell>
          <cell r="AF11">
            <v>3969800</v>
          </cell>
          <cell r="AG11">
            <v>6380</v>
          </cell>
          <cell r="AH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C12" t="str">
            <v>Bùi Thị Thanh Thủy</v>
          </cell>
          <cell r="D12" t="str">
            <v>DSTV</v>
          </cell>
          <cell r="E12">
            <v>56.37</v>
          </cell>
          <cell r="F12">
            <v>0</v>
          </cell>
          <cell r="G12">
            <v>56.37</v>
          </cell>
          <cell r="H12">
            <v>0</v>
          </cell>
          <cell r="J12">
            <v>7</v>
          </cell>
          <cell r="K12">
            <v>0</v>
          </cell>
          <cell r="N12">
            <v>0</v>
          </cell>
          <cell r="O12">
            <v>0</v>
          </cell>
          <cell r="P12">
            <v>0</v>
          </cell>
          <cell r="R12">
            <v>7</v>
          </cell>
          <cell r="S12">
            <v>0</v>
          </cell>
          <cell r="T12">
            <v>0</v>
          </cell>
          <cell r="X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C13" t="str">
            <v>Dương Thị Huỳnh Như</v>
          </cell>
          <cell r="D13" t="str">
            <v>DSTV</v>
          </cell>
          <cell r="E13">
            <v>24.13</v>
          </cell>
          <cell r="F13">
            <v>0</v>
          </cell>
          <cell r="G13">
            <v>24.13</v>
          </cell>
          <cell r="H13">
            <v>0</v>
          </cell>
          <cell r="J13">
            <v>3</v>
          </cell>
          <cell r="K13">
            <v>0</v>
          </cell>
          <cell r="N13">
            <v>0</v>
          </cell>
          <cell r="O13">
            <v>0</v>
          </cell>
          <cell r="P13">
            <v>0</v>
          </cell>
          <cell r="R13">
            <v>3</v>
          </cell>
          <cell r="S13">
            <v>0</v>
          </cell>
          <cell r="T13">
            <v>0</v>
          </cell>
          <cell r="X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C14" t="str">
            <v>Hoàng Thanh Thủy</v>
          </cell>
          <cell r="D14" t="str">
            <v>DSBC</v>
          </cell>
          <cell r="E14">
            <v>260.60000000000002</v>
          </cell>
          <cell r="F14">
            <v>0.6</v>
          </cell>
          <cell r="G14">
            <v>244.6</v>
          </cell>
          <cell r="H14">
            <v>0.6</v>
          </cell>
          <cell r="I14">
            <v>16</v>
          </cell>
          <cell r="J14">
            <v>30</v>
          </cell>
          <cell r="K14">
            <v>0</v>
          </cell>
          <cell r="N14">
            <v>0</v>
          </cell>
          <cell r="O14">
            <v>0</v>
          </cell>
          <cell r="P14">
            <v>0</v>
          </cell>
          <cell r="R14">
            <v>30</v>
          </cell>
          <cell r="S14">
            <v>0</v>
          </cell>
          <cell r="T14">
            <v>0</v>
          </cell>
          <cell r="X14">
            <v>0</v>
          </cell>
          <cell r="AA14">
            <v>0</v>
          </cell>
          <cell r="AC14">
            <v>3664228</v>
          </cell>
          <cell r="AD14">
            <v>0</v>
          </cell>
          <cell r="AE14">
            <v>0</v>
          </cell>
          <cell r="AF14">
            <v>1292850</v>
          </cell>
          <cell r="AG14">
            <v>141680</v>
          </cell>
          <cell r="AH14">
            <v>0</v>
          </cell>
          <cell r="AI14">
            <v>1572430</v>
          </cell>
          <cell r="AJ14">
            <v>100000</v>
          </cell>
          <cell r="AK14">
            <v>0</v>
          </cell>
          <cell r="AL14">
            <v>0</v>
          </cell>
          <cell r="AM14">
            <v>100000</v>
          </cell>
          <cell r="AN14">
            <v>0</v>
          </cell>
          <cell r="AO14">
            <v>0</v>
          </cell>
          <cell r="AP14" t="str">
            <v>Sai kênh bán HD1155007 : 100.000đ</v>
          </cell>
        </row>
        <row r="15">
          <cell r="C15" t="str">
            <v>Lê Thị Huyền Trân</v>
          </cell>
          <cell r="D15" t="str">
            <v>DSBC</v>
          </cell>
          <cell r="E15">
            <v>248.83</v>
          </cell>
          <cell r="F15">
            <v>8.08</v>
          </cell>
          <cell r="G15">
            <v>232.83</v>
          </cell>
          <cell r="H15">
            <v>8.08</v>
          </cell>
          <cell r="I15">
            <v>16</v>
          </cell>
          <cell r="J15">
            <v>30</v>
          </cell>
          <cell r="K15">
            <v>1</v>
          </cell>
          <cell r="N15">
            <v>0</v>
          </cell>
          <cell r="O15">
            <v>0</v>
          </cell>
          <cell r="P15">
            <v>0</v>
          </cell>
          <cell r="R15">
            <v>30</v>
          </cell>
          <cell r="S15">
            <v>0</v>
          </cell>
          <cell r="T15">
            <v>0</v>
          </cell>
          <cell r="X15">
            <v>0</v>
          </cell>
          <cell r="AA15">
            <v>0</v>
          </cell>
          <cell r="AC15">
            <v>2317896</v>
          </cell>
          <cell r="AD15">
            <v>0</v>
          </cell>
          <cell r="AE15">
            <v>0</v>
          </cell>
          <cell r="AF15">
            <v>1022400</v>
          </cell>
          <cell r="AG15">
            <v>43495</v>
          </cell>
          <cell r="AH15">
            <v>0</v>
          </cell>
          <cell r="AI15">
            <v>1119186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6">
          <cell r="C16" t="str">
            <v>Nguyễn Thị Huyền Trang</v>
          </cell>
          <cell r="D16" t="str">
            <v>DSTV</v>
          </cell>
          <cell r="E16">
            <v>57</v>
          </cell>
          <cell r="F16">
            <v>0</v>
          </cell>
          <cell r="G16">
            <v>57</v>
          </cell>
          <cell r="H16">
            <v>0</v>
          </cell>
          <cell r="J16">
            <v>7</v>
          </cell>
          <cell r="K16">
            <v>0</v>
          </cell>
          <cell r="N16">
            <v>0</v>
          </cell>
          <cell r="O16">
            <v>0</v>
          </cell>
          <cell r="P16">
            <v>0</v>
          </cell>
          <cell r="R16">
            <v>7</v>
          </cell>
          <cell r="S16">
            <v>0</v>
          </cell>
          <cell r="T16">
            <v>0</v>
          </cell>
          <cell r="X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</row>
        <row r="17">
          <cell r="C17" t="str">
            <v>Ngô Thị Ngọc Thủy</v>
          </cell>
          <cell r="D17" t="str">
            <v>DSTV</v>
          </cell>
          <cell r="E17">
            <v>64.62</v>
          </cell>
          <cell r="F17">
            <v>0</v>
          </cell>
          <cell r="G17">
            <v>64.62</v>
          </cell>
          <cell r="H17">
            <v>0</v>
          </cell>
          <cell r="J17">
            <v>8</v>
          </cell>
          <cell r="K17">
            <v>0</v>
          </cell>
          <cell r="N17">
            <v>0</v>
          </cell>
          <cell r="O17">
            <v>0</v>
          </cell>
          <cell r="P17">
            <v>0</v>
          </cell>
          <cell r="R17">
            <v>8</v>
          </cell>
          <cell r="S17">
            <v>0</v>
          </cell>
          <cell r="T17">
            <v>0</v>
          </cell>
          <cell r="X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C18" t="str">
            <v>Ngô Thị Thanh Thắm</v>
          </cell>
          <cell r="D18" t="str">
            <v>CHT</v>
          </cell>
          <cell r="E18">
            <v>225.32</v>
          </cell>
          <cell r="F18">
            <v>0</v>
          </cell>
          <cell r="G18">
            <v>201.32</v>
          </cell>
          <cell r="H18">
            <v>0</v>
          </cell>
          <cell r="J18">
            <v>25</v>
          </cell>
          <cell r="K18">
            <v>0</v>
          </cell>
          <cell r="N18">
            <v>0</v>
          </cell>
          <cell r="O18">
            <v>0</v>
          </cell>
          <cell r="P18">
            <v>0</v>
          </cell>
          <cell r="R18">
            <v>25</v>
          </cell>
          <cell r="S18">
            <v>0</v>
          </cell>
          <cell r="T18">
            <v>24</v>
          </cell>
          <cell r="U18" t="str">
            <v>19/07/2026 - 21/07/2026</v>
          </cell>
          <cell r="V18">
            <v>1500000</v>
          </cell>
          <cell r="X18">
            <v>0</v>
          </cell>
          <cell r="AA18">
            <v>0</v>
          </cell>
          <cell r="AC18">
            <v>2673092</v>
          </cell>
          <cell r="AD18">
            <v>0</v>
          </cell>
          <cell r="AE18">
            <v>0</v>
          </cell>
          <cell r="AF18">
            <v>435350</v>
          </cell>
          <cell r="AG18">
            <v>9545</v>
          </cell>
          <cell r="AH18">
            <v>0</v>
          </cell>
          <cell r="AI18">
            <v>2893430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</row>
        <row r="19">
          <cell r="C19" t="str">
            <v>Phạm Thị Diên</v>
          </cell>
          <cell r="D19" t="str">
            <v>DSTV</v>
          </cell>
          <cell r="E19">
            <v>16.47</v>
          </cell>
          <cell r="F19">
            <v>0</v>
          </cell>
          <cell r="G19">
            <v>16.47</v>
          </cell>
          <cell r="H19">
            <v>0</v>
          </cell>
          <cell r="J19">
            <v>2</v>
          </cell>
          <cell r="K19">
            <v>0</v>
          </cell>
          <cell r="N19">
            <v>0</v>
          </cell>
          <cell r="O19">
            <v>0</v>
          </cell>
          <cell r="P19">
            <v>0</v>
          </cell>
          <cell r="R19">
            <v>2</v>
          </cell>
          <cell r="S19">
            <v>0</v>
          </cell>
          <cell r="T19">
            <v>0</v>
          </cell>
          <cell r="X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</row>
        <row r="20">
          <cell r="C20" t="str">
            <v>Phạm Thị Nghĩa Hương</v>
          </cell>
          <cell r="D20" t="str">
            <v>DSCD</v>
          </cell>
          <cell r="E20">
            <v>16</v>
          </cell>
          <cell r="F20">
            <v>237.83</v>
          </cell>
          <cell r="G20">
            <v>0</v>
          </cell>
          <cell r="H20">
            <v>237.83</v>
          </cell>
          <cell r="I20">
            <v>16</v>
          </cell>
          <cell r="J20">
            <v>30</v>
          </cell>
          <cell r="K20">
            <v>30</v>
          </cell>
          <cell r="N20">
            <v>0</v>
          </cell>
          <cell r="O20">
            <v>0</v>
          </cell>
          <cell r="P20">
            <v>0</v>
          </cell>
          <cell r="R20">
            <v>30</v>
          </cell>
          <cell r="S20">
            <v>0</v>
          </cell>
          <cell r="T20">
            <v>0</v>
          </cell>
          <cell r="X20">
            <v>1500000</v>
          </cell>
          <cell r="AA20">
            <v>0</v>
          </cell>
          <cell r="AC20">
            <v>333844</v>
          </cell>
          <cell r="AD20">
            <v>0</v>
          </cell>
          <cell r="AE20">
            <v>0</v>
          </cell>
          <cell r="AF20">
            <v>509500</v>
          </cell>
          <cell r="AG20">
            <v>7535</v>
          </cell>
          <cell r="AH20">
            <v>0</v>
          </cell>
          <cell r="AI20">
            <v>290000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C21" t="str">
            <v>Trần Thiên Phát</v>
          </cell>
          <cell r="D21" t="str">
            <v>DSCD</v>
          </cell>
          <cell r="E21">
            <v>16</v>
          </cell>
          <cell r="F21">
            <v>230.67</v>
          </cell>
          <cell r="G21">
            <v>0</v>
          </cell>
          <cell r="H21">
            <v>230.67</v>
          </cell>
          <cell r="I21">
            <v>16</v>
          </cell>
          <cell r="J21">
            <v>30</v>
          </cell>
          <cell r="K21">
            <v>30</v>
          </cell>
          <cell r="N21">
            <v>0</v>
          </cell>
          <cell r="O21">
            <v>0</v>
          </cell>
          <cell r="P21">
            <v>0</v>
          </cell>
          <cell r="R21">
            <v>30</v>
          </cell>
          <cell r="S21">
            <v>0</v>
          </cell>
          <cell r="T21">
            <v>0</v>
          </cell>
          <cell r="X21">
            <v>1500000</v>
          </cell>
          <cell r="AA21">
            <v>0</v>
          </cell>
          <cell r="AC21">
            <v>354632</v>
          </cell>
          <cell r="AD21">
            <v>0</v>
          </cell>
          <cell r="AE21">
            <v>0</v>
          </cell>
          <cell r="AF21">
            <v>579300</v>
          </cell>
          <cell r="AG21">
            <v>5485</v>
          </cell>
          <cell r="AH21">
            <v>0</v>
          </cell>
          <cell r="AI21">
            <v>114300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</row>
        <row r="22">
          <cell r="C22" t="str">
            <v>Đinh Hoài Bảo</v>
          </cell>
          <cell r="D22" t="str">
            <v>DSTV</v>
          </cell>
          <cell r="E22">
            <v>73.069999999999993</v>
          </cell>
          <cell r="F22">
            <v>0</v>
          </cell>
          <cell r="G22">
            <v>73.069999999999993</v>
          </cell>
          <cell r="H22">
            <v>0</v>
          </cell>
          <cell r="J22">
            <v>9</v>
          </cell>
          <cell r="K22">
            <v>0</v>
          </cell>
          <cell r="N22">
            <v>0</v>
          </cell>
          <cell r="O22">
            <v>0</v>
          </cell>
          <cell r="P22">
            <v>0</v>
          </cell>
          <cell r="R22">
            <v>9</v>
          </cell>
          <cell r="S22">
            <v>0</v>
          </cell>
          <cell r="T22">
            <v>0</v>
          </cell>
          <cell r="X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100000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C23" t="str">
            <v>Bùi Thị Thanh Thủy</v>
          </cell>
          <cell r="D23" t="str">
            <v>DSTV</v>
          </cell>
          <cell r="E23">
            <v>218.52</v>
          </cell>
          <cell r="F23">
            <v>0</v>
          </cell>
          <cell r="G23">
            <v>211.52</v>
          </cell>
          <cell r="H23">
            <v>0</v>
          </cell>
          <cell r="J23">
            <v>22</v>
          </cell>
          <cell r="K23">
            <v>0</v>
          </cell>
          <cell r="N23">
            <v>0</v>
          </cell>
          <cell r="O23">
            <v>0</v>
          </cell>
          <cell r="P23">
            <v>0</v>
          </cell>
          <cell r="R23">
            <v>22</v>
          </cell>
          <cell r="S23">
            <v>7</v>
          </cell>
          <cell r="T23">
            <v>0</v>
          </cell>
          <cell r="X23">
            <v>0</v>
          </cell>
          <cell r="AA23">
            <v>0</v>
          </cell>
          <cell r="AD23">
            <v>709677</v>
          </cell>
          <cell r="AE23">
            <v>0</v>
          </cell>
          <cell r="AF23">
            <v>210200</v>
          </cell>
          <cell r="AG23">
            <v>1038</v>
          </cell>
          <cell r="AH23">
            <v>0</v>
          </cell>
          <cell r="AJ23">
            <v>500000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500000</v>
          </cell>
          <cell r="AP23" t="str">
            <v>Cấn trừ chi phí đồng phục</v>
          </cell>
        </row>
        <row r="24">
          <cell r="C24" t="str">
            <v>Hoàng Lâm Gia Bảo</v>
          </cell>
          <cell r="D24" t="str">
            <v>DSTV</v>
          </cell>
          <cell r="E24">
            <v>34</v>
          </cell>
          <cell r="F24">
            <v>0</v>
          </cell>
          <cell r="G24">
            <v>34</v>
          </cell>
          <cell r="H24">
            <v>0</v>
          </cell>
          <cell r="J24">
            <v>5</v>
          </cell>
          <cell r="K24">
            <v>0</v>
          </cell>
          <cell r="N24">
            <v>0</v>
          </cell>
          <cell r="O24">
            <v>0</v>
          </cell>
          <cell r="P24">
            <v>0</v>
          </cell>
          <cell r="R24">
            <v>5</v>
          </cell>
          <cell r="S24">
            <v>0</v>
          </cell>
          <cell r="T24">
            <v>0</v>
          </cell>
          <cell r="X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C25" t="str">
            <v>Hạ Ngân Khánh</v>
          </cell>
          <cell r="D25" t="str">
            <v>DSBC</v>
          </cell>
          <cell r="E25">
            <v>61.17</v>
          </cell>
          <cell r="F25">
            <v>0</v>
          </cell>
          <cell r="G25">
            <v>61.17</v>
          </cell>
          <cell r="H25">
            <v>0</v>
          </cell>
          <cell r="J25">
            <v>6</v>
          </cell>
          <cell r="K25">
            <v>0</v>
          </cell>
          <cell r="N25">
            <v>0</v>
          </cell>
          <cell r="O25">
            <v>0</v>
          </cell>
          <cell r="P25">
            <v>0</v>
          </cell>
          <cell r="R25">
            <v>6</v>
          </cell>
          <cell r="S25">
            <v>0</v>
          </cell>
          <cell r="T25">
            <v>0</v>
          </cell>
          <cell r="V25">
            <v>107143</v>
          </cell>
          <cell r="X25">
            <v>0</v>
          </cell>
          <cell r="AA25">
            <v>0</v>
          </cell>
          <cell r="AE25">
            <v>0</v>
          </cell>
          <cell r="AF25">
            <v>114200</v>
          </cell>
          <cell r="AG25">
            <v>1425</v>
          </cell>
          <cell r="AH25">
            <v>0</v>
          </cell>
          <cell r="AI25">
            <v>500000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</row>
        <row r="26">
          <cell r="C26" t="str">
            <v>Đỗ Thị Kim Tiến</v>
          </cell>
          <cell r="D26" t="str">
            <v>DSTV</v>
          </cell>
          <cell r="E26">
            <v>23.42</v>
          </cell>
          <cell r="F26">
            <v>88.58</v>
          </cell>
          <cell r="G26">
            <v>23.42</v>
          </cell>
          <cell r="H26">
            <v>88.58</v>
          </cell>
          <cell r="J26">
            <v>12</v>
          </cell>
          <cell r="K26">
            <v>11</v>
          </cell>
          <cell r="N26">
            <v>0</v>
          </cell>
          <cell r="O26">
            <v>0</v>
          </cell>
          <cell r="P26">
            <v>0</v>
          </cell>
          <cell r="R26">
            <v>12</v>
          </cell>
          <cell r="S26">
            <v>0</v>
          </cell>
          <cell r="T26">
            <v>0</v>
          </cell>
          <cell r="X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</row>
        <row r="27">
          <cell r="C27" t="str">
            <v>Nguyễn Thị Huyền Trang</v>
          </cell>
          <cell r="D27" t="str">
            <v>DSTV</v>
          </cell>
          <cell r="E27">
            <v>216.95</v>
          </cell>
          <cell r="F27">
            <v>0</v>
          </cell>
          <cell r="G27">
            <v>209.95</v>
          </cell>
          <cell r="H27">
            <v>0</v>
          </cell>
          <cell r="J27">
            <v>22</v>
          </cell>
          <cell r="K27">
            <v>0</v>
          </cell>
          <cell r="N27">
            <v>0</v>
          </cell>
          <cell r="O27">
            <v>0</v>
          </cell>
          <cell r="P27">
            <v>0</v>
          </cell>
          <cell r="R27">
            <v>22</v>
          </cell>
          <cell r="S27">
            <v>7</v>
          </cell>
          <cell r="T27">
            <v>0</v>
          </cell>
          <cell r="X27">
            <v>0</v>
          </cell>
          <cell r="AA27">
            <v>0</v>
          </cell>
          <cell r="AD27">
            <v>677419</v>
          </cell>
          <cell r="AE27">
            <v>0</v>
          </cell>
          <cell r="AF27">
            <v>129600</v>
          </cell>
          <cell r="AG27">
            <v>1170</v>
          </cell>
          <cell r="AH27">
            <v>0</v>
          </cell>
          <cell r="AJ27">
            <v>500000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500000</v>
          </cell>
          <cell r="AP27" t="str">
            <v>Cấn trừ chi phí đồng phục</v>
          </cell>
        </row>
        <row r="28">
          <cell r="C28" t="str">
            <v>Nguyễn Trí Nghĩa</v>
          </cell>
          <cell r="D28" t="str">
            <v>DSBC</v>
          </cell>
          <cell r="E28">
            <v>56.15</v>
          </cell>
          <cell r="F28">
            <v>15.83</v>
          </cell>
          <cell r="G28">
            <v>56.15</v>
          </cell>
          <cell r="H28">
            <v>15.83</v>
          </cell>
          <cell r="J28">
            <v>8</v>
          </cell>
          <cell r="K28">
            <v>2</v>
          </cell>
          <cell r="N28">
            <v>0</v>
          </cell>
          <cell r="O28">
            <v>0</v>
          </cell>
          <cell r="P28">
            <v>0</v>
          </cell>
          <cell r="R28">
            <v>8</v>
          </cell>
          <cell r="S28">
            <v>0</v>
          </cell>
          <cell r="T28">
            <v>0</v>
          </cell>
          <cell r="X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C29" t="str">
            <v>Phan Công Vũ Tài</v>
          </cell>
          <cell r="D29" t="str">
            <v>DSBC</v>
          </cell>
          <cell r="E29">
            <v>97.13</v>
          </cell>
          <cell r="F29">
            <v>1.37</v>
          </cell>
          <cell r="G29">
            <v>97.13</v>
          </cell>
          <cell r="H29">
            <v>1.37</v>
          </cell>
          <cell r="J29">
            <v>16</v>
          </cell>
          <cell r="K29">
            <v>0</v>
          </cell>
          <cell r="N29">
            <v>0</v>
          </cell>
          <cell r="O29">
            <v>0</v>
          </cell>
          <cell r="P29">
            <v>0</v>
          </cell>
          <cell r="R29">
            <v>15</v>
          </cell>
          <cell r="S29">
            <v>0</v>
          </cell>
          <cell r="T29">
            <v>0</v>
          </cell>
          <cell r="X29">
            <v>0</v>
          </cell>
          <cell r="Y29">
            <v>1000000</v>
          </cell>
          <cell r="Z29">
            <v>2000000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</row>
        <row r="30">
          <cell r="C30" t="str">
            <v>Phạm Thị Diên</v>
          </cell>
          <cell r="D30" t="str">
            <v>DSTV</v>
          </cell>
          <cell r="E30">
            <v>36.82</v>
          </cell>
          <cell r="F30">
            <v>0</v>
          </cell>
          <cell r="G30">
            <v>30.32</v>
          </cell>
          <cell r="H30">
            <v>0</v>
          </cell>
          <cell r="J30">
            <v>4</v>
          </cell>
          <cell r="K30">
            <v>0</v>
          </cell>
          <cell r="N30">
            <v>0</v>
          </cell>
          <cell r="O30">
            <v>0</v>
          </cell>
          <cell r="P30">
            <v>0</v>
          </cell>
          <cell r="R30">
            <v>4</v>
          </cell>
          <cell r="S30">
            <v>6.5</v>
          </cell>
          <cell r="T30">
            <v>0</v>
          </cell>
          <cell r="X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C31" t="str">
            <v>Trần Thị Ánh Nguyệt</v>
          </cell>
          <cell r="D31" t="str">
            <v>DSCD</v>
          </cell>
          <cell r="E31">
            <v>30.02</v>
          </cell>
          <cell r="F31">
            <v>233.67</v>
          </cell>
          <cell r="G31">
            <v>22.02</v>
          </cell>
          <cell r="H31">
            <v>233.67</v>
          </cell>
          <cell r="I31">
            <v>8</v>
          </cell>
          <cell r="J31">
            <v>29</v>
          </cell>
          <cell r="K31">
            <v>29</v>
          </cell>
          <cell r="N31">
            <v>0</v>
          </cell>
          <cell r="O31">
            <v>0</v>
          </cell>
          <cell r="P31">
            <v>0</v>
          </cell>
          <cell r="R31">
            <v>29</v>
          </cell>
          <cell r="S31">
            <v>0</v>
          </cell>
          <cell r="T31">
            <v>0</v>
          </cell>
          <cell r="X31">
            <v>1500000</v>
          </cell>
          <cell r="AA31">
            <v>0</v>
          </cell>
          <cell r="AD31">
            <v>1000000</v>
          </cell>
          <cell r="AE31">
            <v>0</v>
          </cell>
          <cell r="AF31">
            <v>1900800</v>
          </cell>
          <cell r="AG31">
            <v>28790</v>
          </cell>
          <cell r="AH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</row>
        <row r="32">
          <cell r="C32" t="str">
            <v>Đỗ Thị Thu Hương</v>
          </cell>
          <cell r="D32" t="str">
            <v>DSCD</v>
          </cell>
          <cell r="E32">
            <v>24</v>
          </cell>
          <cell r="F32">
            <v>107.98</v>
          </cell>
          <cell r="G32">
            <v>0</v>
          </cell>
          <cell r="H32">
            <v>107.98</v>
          </cell>
          <cell r="J32">
            <v>14</v>
          </cell>
          <cell r="K32">
            <v>14</v>
          </cell>
          <cell r="N32">
            <v>0</v>
          </cell>
          <cell r="O32">
            <v>0</v>
          </cell>
          <cell r="P32">
            <v>0</v>
          </cell>
          <cell r="R32">
            <v>14</v>
          </cell>
          <cell r="S32">
            <v>0</v>
          </cell>
          <cell r="T32">
            <v>24</v>
          </cell>
          <cell r="U32" t="str">
            <v>17/07/2026 - 19/07/2026</v>
          </cell>
          <cell r="X32">
            <v>750000</v>
          </cell>
          <cell r="AA32">
            <v>0</v>
          </cell>
          <cell r="AE32">
            <v>0</v>
          </cell>
          <cell r="AF32">
            <v>482100</v>
          </cell>
          <cell r="AG32">
            <v>600</v>
          </cell>
          <cell r="AH32">
            <v>0</v>
          </cell>
          <cell r="AI32">
            <v>857694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</row>
        <row r="33">
          <cell r="C33" t="str">
            <v>Hoàng Lâm Gia Bảo</v>
          </cell>
          <cell r="D33" t="str">
            <v>DSTV</v>
          </cell>
          <cell r="E33">
            <v>114.55</v>
          </cell>
          <cell r="F33">
            <v>0.7</v>
          </cell>
          <cell r="G33">
            <v>114.55</v>
          </cell>
          <cell r="H33">
            <v>0.7</v>
          </cell>
          <cell r="J33">
            <v>14</v>
          </cell>
          <cell r="K33">
            <v>0</v>
          </cell>
          <cell r="N33">
            <v>0</v>
          </cell>
          <cell r="O33">
            <v>0</v>
          </cell>
          <cell r="P33">
            <v>0</v>
          </cell>
          <cell r="R33">
            <v>14</v>
          </cell>
          <cell r="S33">
            <v>0</v>
          </cell>
          <cell r="T33">
            <v>0</v>
          </cell>
          <cell r="X33">
            <v>0</v>
          </cell>
          <cell r="AD33">
            <v>500000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</row>
        <row r="34">
          <cell r="C34" t="str">
            <v>Lê Thị Xuyến</v>
          </cell>
          <cell r="D34" t="str">
            <v>DSTV</v>
          </cell>
          <cell r="E34">
            <v>2.15</v>
          </cell>
          <cell r="F34">
            <v>48.1</v>
          </cell>
          <cell r="G34">
            <v>2.15</v>
          </cell>
          <cell r="H34">
            <v>48.1</v>
          </cell>
          <cell r="J34">
            <v>6</v>
          </cell>
          <cell r="K34">
            <v>6</v>
          </cell>
          <cell r="N34">
            <v>0</v>
          </cell>
          <cell r="O34">
            <v>0</v>
          </cell>
          <cell r="P34">
            <v>0</v>
          </cell>
          <cell r="R34">
            <v>6</v>
          </cell>
          <cell r="S34">
            <v>0</v>
          </cell>
          <cell r="T34">
            <v>0</v>
          </cell>
          <cell r="X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</row>
        <row r="35">
          <cell r="C35" t="str">
            <v>Nguyễn Ngọc Thùy</v>
          </cell>
          <cell r="D35" t="str">
            <v>DSTV</v>
          </cell>
          <cell r="E35">
            <v>121.25</v>
          </cell>
          <cell r="F35">
            <v>16.07</v>
          </cell>
          <cell r="G35">
            <v>119.25</v>
          </cell>
          <cell r="H35">
            <v>16.07</v>
          </cell>
          <cell r="J35">
            <v>16</v>
          </cell>
          <cell r="K35">
            <v>2</v>
          </cell>
          <cell r="N35">
            <v>0</v>
          </cell>
          <cell r="O35">
            <v>0</v>
          </cell>
          <cell r="P35">
            <v>0</v>
          </cell>
          <cell r="R35">
            <v>16</v>
          </cell>
          <cell r="S35">
            <v>2</v>
          </cell>
          <cell r="T35">
            <v>0</v>
          </cell>
          <cell r="X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</row>
        <row r="36">
          <cell r="C36" t="str">
            <v>Nguyễn Ngọc Đài Trang</v>
          </cell>
          <cell r="D36" t="str">
            <v>DSHV</v>
          </cell>
          <cell r="E36">
            <v>184.28</v>
          </cell>
          <cell r="F36">
            <v>0</v>
          </cell>
          <cell r="G36">
            <v>184.28</v>
          </cell>
          <cell r="H36">
            <v>0</v>
          </cell>
          <cell r="J36">
            <v>23</v>
          </cell>
          <cell r="K36">
            <v>0</v>
          </cell>
          <cell r="N36">
            <v>0</v>
          </cell>
          <cell r="O36">
            <v>0</v>
          </cell>
          <cell r="P36">
            <v>0</v>
          </cell>
          <cell r="R36">
            <v>23</v>
          </cell>
          <cell r="S36">
            <v>0</v>
          </cell>
          <cell r="T36">
            <v>0</v>
          </cell>
          <cell r="X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</row>
        <row r="37">
          <cell r="C37" t="str">
            <v>Phan Công Vũ Tài</v>
          </cell>
          <cell r="D37" t="str">
            <v>DSBC</v>
          </cell>
          <cell r="E37">
            <v>110.28</v>
          </cell>
          <cell r="F37">
            <v>166.5</v>
          </cell>
          <cell r="G37">
            <v>102.28</v>
          </cell>
          <cell r="H37">
            <v>166.5</v>
          </cell>
          <cell r="I37">
            <v>8</v>
          </cell>
          <cell r="J37">
            <v>29</v>
          </cell>
          <cell r="K37">
            <v>21</v>
          </cell>
          <cell r="N37">
            <v>0</v>
          </cell>
          <cell r="O37">
            <v>0</v>
          </cell>
          <cell r="P37">
            <v>0</v>
          </cell>
          <cell r="R37">
            <v>29</v>
          </cell>
          <cell r="S37">
            <v>0</v>
          </cell>
          <cell r="T37">
            <v>0</v>
          </cell>
          <cell r="X37">
            <v>1125000</v>
          </cell>
          <cell r="AA37">
            <v>25000</v>
          </cell>
          <cell r="AD37">
            <v>2800000</v>
          </cell>
          <cell r="AE37">
            <v>1718096</v>
          </cell>
          <cell r="AF37">
            <v>2985250</v>
          </cell>
          <cell r="AG37">
            <v>4680</v>
          </cell>
          <cell r="AH37">
            <v>0</v>
          </cell>
          <cell r="AJ37">
            <v>4400000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4400000</v>
          </cell>
          <cell r="AP37" t="str">
            <v>Tính nhầm bảng lương tháng 6</v>
          </cell>
        </row>
        <row r="38">
          <cell r="C38" t="str">
            <v>Thái Thùy Linh</v>
          </cell>
          <cell r="D38" t="str">
            <v>CHT</v>
          </cell>
          <cell r="E38">
            <v>313.89999999999998</v>
          </cell>
          <cell r="F38">
            <v>32.67</v>
          </cell>
          <cell r="G38">
            <v>297.89999999999998</v>
          </cell>
          <cell r="H38">
            <v>32.67</v>
          </cell>
          <cell r="I38">
            <v>16</v>
          </cell>
          <cell r="J38">
            <v>30</v>
          </cell>
          <cell r="K38">
            <v>4</v>
          </cell>
          <cell r="N38">
            <v>0</v>
          </cell>
          <cell r="O38">
            <v>0</v>
          </cell>
          <cell r="P38">
            <v>0</v>
          </cell>
          <cell r="R38">
            <v>30</v>
          </cell>
          <cell r="S38">
            <v>0</v>
          </cell>
          <cell r="T38">
            <v>0</v>
          </cell>
          <cell r="V38">
            <v>1500000</v>
          </cell>
          <cell r="X38">
            <v>0</v>
          </cell>
          <cell r="AA38">
            <v>0</v>
          </cell>
          <cell r="AB38">
            <v>300000</v>
          </cell>
          <cell r="AD38">
            <v>0</v>
          </cell>
          <cell r="AE38">
            <v>0</v>
          </cell>
          <cell r="AF38">
            <v>1269800</v>
          </cell>
          <cell r="AG38">
            <v>9980</v>
          </cell>
          <cell r="AH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C39" t="str">
            <v>Trịnh Thị Phượng</v>
          </cell>
          <cell r="D39" t="str">
            <v>DSCD</v>
          </cell>
          <cell r="E39">
            <v>56</v>
          </cell>
          <cell r="F39">
            <v>187.47</v>
          </cell>
          <cell r="G39">
            <v>0</v>
          </cell>
          <cell r="H39">
            <v>187.47</v>
          </cell>
          <cell r="J39">
            <v>24</v>
          </cell>
          <cell r="K39">
            <v>23</v>
          </cell>
          <cell r="N39">
            <v>0</v>
          </cell>
          <cell r="O39">
            <v>0</v>
          </cell>
          <cell r="P39">
            <v>0</v>
          </cell>
          <cell r="R39">
            <v>23</v>
          </cell>
          <cell r="S39">
            <v>0</v>
          </cell>
          <cell r="T39">
            <v>56</v>
          </cell>
          <cell r="U39" t="str">
            <v>03/07/2026 - 05/07/2026 &amp; 18/07/2026 - 21/07/2026</v>
          </cell>
          <cell r="X39">
            <v>1285714</v>
          </cell>
          <cell r="AA39">
            <v>25000</v>
          </cell>
          <cell r="AD39">
            <v>2200000</v>
          </cell>
          <cell r="AE39">
            <v>1249096</v>
          </cell>
          <cell r="AF39">
            <v>2634550</v>
          </cell>
          <cell r="AG39">
            <v>1620</v>
          </cell>
          <cell r="AH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</row>
        <row r="40">
          <cell r="C40" t="str">
            <v>Cù Thị Tường Vy</v>
          </cell>
          <cell r="D40" t="str">
            <v>CHT</v>
          </cell>
          <cell r="E40">
            <v>13</v>
          </cell>
          <cell r="F40">
            <v>0</v>
          </cell>
          <cell r="G40">
            <v>5</v>
          </cell>
          <cell r="H40">
            <v>0</v>
          </cell>
          <cell r="J40">
            <v>1</v>
          </cell>
          <cell r="K40">
            <v>0</v>
          </cell>
          <cell r="N40">
            <v>0</v>
          </cell>
          <cell r="O40">
            <v>0</v>
          </cell>
          <cell r="P40">
            <v>0</v>
          </cell>
          <cell r="R40">
            <v>1</v>
          </cell>
          <cell r="S40">
            <v>0</v>
          </cell>
          <cell r="T40">
            <v>0</v>
          </cell>
          <cell r="V40">
            <v>1500000</v>
          </cell>
          <cell r="X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str">
            <v>Cộng 8h/ 1 ngày do tháng 6/2026 bị treo 1 ngày phép</v>
          </cell>
        </row>
        <row r="41">
          <cell r="C41" t="str">
            <v>Hoàng Lâm Gia Bảo</v>
          </cell>
          <cell r="D41" t="str">
            <v>DSTV</v>
          </cell>
          <cell r="E41">
            <v>137.72999999999999</v>
          </cell>
          <cell r="F41">
            <v>1.53</v>
          </cell>
          <cell r="G41">
            <v>137.72999999999999</v>
          </cell>
          <cell r="H41">
            <v>1.53</v>
          </cell>
          <cell r="J41">
            <v>14</v>
          </cell>
          <cell r="K41">
            <v>0</v>
          </cell>
          <cell r="N41">
            <v>0</v>
          </cell>
          <cell r="O41">
            <v>0</v>
          </cell>
          <cell r="P41">
            <v>0</v>
          </cell>
          <cell r="R41">
            <v>14</v>
          </cell>
          <cell r="S41">
            <v>0</v>
          </cell>
          <cell r="T41">
            <v>0</v>
          </cell>
          <cell r="X41">
            <v>0</v>
          </cell>
          <cell r="AA41">
            <v>0</v>
          </cell>
          <cell r="AD41">
            <v>500000</v>
          </cell>
          <cell r="AE41">
            <v>0</v>
          </cell>
          <cell r="AF41">
            <v>733600</v>
          </cell>
          <cell r="AG41">
            <v>10985</v>
          </cell>
          <cell r="AH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</row>
        <row r="42">
          <cell r="C42" t="str">
            <v>Hồ Thị Minh Hòa</v>
          </cell>
          <cell r="D42" t="str">
            <v>Q.CHT</v>
          </cell>
          <cell r="E42">
            <v>114.32</v>
          </cell>
          <cell r="F42">
            <v>24.88</v>
          </cell>
          <cell r="G42">
            <v>114.32</v>
          </cell>
          <cell r="H42">
            <v>24.88</v>
          </cell>
          <cell r="J42">
            <v>15</v>
          </cell>
          <cell r="K42">
            <v>3</v>
          </cell>
          <cell r="N42">
            <v>0</v>
          </cell>
          <cell r="O42">
            <v>0</v>
          </cell>
          <cell r="P42">
            <v>0</v>
          </cell>
          <cell r="R42">
            <v>14</v>
          </cell>
          <cell r="S42">
            <v>0</v>
          </cell>
          <cell r="T42">
            <v>0</v>
          </cell>
          <cell r="V42">
            <v>933333</v>
          </cell>
          <cell r="X42">
            <v>0</v>
          </cell>
          <cell r="AA42">
            <v>0</v>
          </cell>
          <cell r="AD42">
            <v>1000000</v>
          </cell>
          <cell r="AE42">
            <v>0</v>
          </cell>
          <cell r="AF42">
            <v>1322010</v>
          </cell>
          <cell r="AG42">
            <v>290</v>
          </cell>
          <cell r="AH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</row>
        <row r="43">
          <cell r="C43" t="str">
            <v>Lê Thị Xuyến</v>
          </cell>
          <cell r="D43" t="str">
            <v>DSTV</v>
          </cell>
          <cell r="E43">
            <v>35.53</v>
          </cell>
          <cell r="F43">
            <v>48.13</v>
          </cell>
          <cell r="G43">
            <v>28.53</v>
          </cell>
          <cell r="H43">
            <v>48.13</v>
          </cell>
          <cell r="J43">
            <v>8</v>
          </cell>
          <cell r="K43">
            <v>6</v>
          </cell>
          <cell r="N43">
            <v>0</v>
          </cell>
          <cell r="O43">
            <v>0</v>
          </cell>
          <cell r="P43">
            <v>0</v>
          </cell>
          <cell r="R43">
            <v>8</v>
          </cell>
          <cell r="S43">
            <v>7</v>
          </cell>
          <cell r="T43">
            <v>0</v>
          </cell>
          <cell r="X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</row>
        <row r="44">
          <cell r="C44" t="str">
            <v>Phan Công Vũ Tài</v>
          </cell>
          <cell r="D44" t="str">
            <v>DSBC</v>
          </cell>
          <cell r="E44">
            <v>0</v>
          </cell>
          <cell r="F44">
            <v>31</v>
          </cell>
          <cell r="G44">
            <v>0</v>
          </cell>
          <cell r="H44">
            <v>31</v>
          </cell>
          <cell r="J44">
            <v>4</v>
          </cell>
          <cell r="K44">
            <v>4</v>
          </cell>
          <cell r="N44">
            <v>0</v>
          </cell>
          <cell r="O44">
            <v>0</v>
          </cell>
          <cell r="P44">
            <v>0</v>
          </cell>
          <cell r="R44">
            <v>4</v>
          </cell>
          <cell r="S44">
            <v>0</v>
          </cell>
          <cell r="T44">
            <v>0</v>
          </cell>
          <cell r="X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</row>
        <row r="45">
          <cell r="C45" t="str">
            <v>Trần Thị Phương Thùy</v>
          </cell>
          <cell r="D45" t="str">
            <v>DSHV</v>
          </cell>
          <cell r="E45">
            <v>75.069999999999993</v>
          </cell>
          <cell r="F45">
            <v>24.28</v>
          </cell>
          <cell r="G45">
            <v>75.069999999999993</v>
          </cell>
          <cell r="H45">
            <v>24.28</v>
          </cell>
          <cell r="J45">
            <v>12</v>
          </cell>
          <cell r="K45">
            <v>3</v>
          </cell>
          <cell r="N45">
            <v>0</v>
          </cell>
          <cell r="O45">
            <v>0</v>
          </cell>
          <cell r="P45">
            <v>0</v>
          </cell>
          <cell r="R45">
            <v>12</v>
          </cell>
          <cell r="S45">
            <v>0</v>
          </cell>
          <cell r="T45">
            <v>0</v>
          </cell>
          <cell r="X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</row>
        <row r="46">
          <cell r="C46" t="str">
            <v>Đinh Hoài Bảo</v>
          </cell>
          <cell r="D46" t="str">
            <v>DSTV</v>
          </cell>
          <cell r="E46">
            <v>11.23</v>
          </cell>
          <cell r="F46">
            <v>104</v>
          </cell>
          <cell r="G46">
            <v>4.2300000000000004</v>
          </cell>
          <cell r="H46">
            <v>104</v>
          </cell>
          <cell r="J46">
            <v>13</v>
          </cell>
          <cell r="K46">
            <v>13</v>
          </cell>
          <cell r="N46">
            <v>0</v>
          </cell>
          <cell r="O46">
            <v>0</v>
          </cell>
          <cell r="P46">
            <v>0</v>
          </cell>
          <cell r="R46">
            <v>13</v>
          </cell>
          <cell r="S46">
            <v>7</v>
          </cell>
          <cell r="T46">
            <v>0</v>
          </cell>
          <cell r="X46">
            <v>0</v>
          </cell>
          <cell r="AA46">
            <v>0</v>
          </cell>
          <cell r="AD46">
            <v>419355</v>
          </cell>
          <cell r="AE46">
            <v>0</v>
          </cell>
          <cell r="AF46">
            <v>287100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</row>
        <row r="47">
          <cell r="C47" t="str">
            <v>Lê Thị Quỳnh Trâm</v>
          </cell>
          <cell r="D47" t="str">
            <v>CHT</v>
          </cell>
          <cell r="E47">
            <v>290.27999999999997</v>
          </cell>
          <cell r="F47">
            <v>0</v>
          </cell>
          <cell r="G47">
            <v>274.27999999999997</v>
          </cell>
          <cell r="H47">
            <v>0</v>
          </cell>
          <cell r="I47">
            <v>8</v>
          </cell>
          <cell r="J47">
            <v>29</v>
          </cell>
          <cell r="K47">
            <v>0</v>
          </cell>
          <cell r="N47">
            <v>0</v>
          </cell>
          <cell r="O47">
            <v>0</v>
          </cell>
          <cell r="P47">
            <v>0</v>
          </cell>
          <cell r="R47">
            <v>29</v>
          </cell>
          <cell r="S47">
            <v>0</v>
          </cell>
          <cell r="T47">
            <v>8</v>
          </cell>
          <cell r="U47">
            <v>46209</v>
          </cell>
          <cell r="V47">
            <v>1500000</v>
          </cell>
          <cell r="X47">
            <v>0</v>
          </cell>
          <cell r="AA47">
            <v>0</v>
          </cell>
          <cell r="AD47">
            <v>0</v>
          </cell>
          <cell r="AE47">
            <v>0</v>
          </cell>
          <cell r="AF47">
            <v>588300</v>
          </cell>
          <cell r="AG47">
            <v>32528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</row>
        <row r="48">
          <cell r="C48" t="str">
            <v>Nguyễn Thị Hồng Hạnh</v>
          </cell>
          <cell r="D48" t="str">
            <v>DSCD</v>
          </cell>
          <cell r="E48">
            <v>16</v>
          </cell>
          <cell r="F48">
            <v>248.77</v>
          </cell>
          <cell r="G48">
            <v>0</v>
          </cell>
          <cell r="H48">
            <v>248.77</v>
          </cell>
          <cell r="I48">
            <v>16</v>
          </cell>
          <cell r="J48">
            <v>31</v>
          </cell>
          <cell r="K48">
            <v>31</v>
          </cell>
          <cell r="N48">
            <v>0</v>
          </cell>
          <cell r="O48">
            <v>0</v>
          </cell>
          <cell r="P48">
            <v>0</v>
          </cell>
          <cell r="R48">
            <v>31</v>
          </cell>
          <cell r="S48">
            <v>0</v>
          </cell>
          <cell r="T48">
            <v>0</v>
          </cell>
          <cell r="X48">
            <v>1500000</v>
          </cell>
          <cell r="AA48">
            <v>0</v>
          </cell>
          <cell r="AD48">
            <v>0</v>
          </cell>
          <cell r="AE48">
            <v>0</v>
          </cell>
          <cell r="AF48">
            <v>1161000</v>
          </cell>
          <cell r="AG48">
            <v>8600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</row>
        <row r="49">
          <cell r="C49" t="str">
            <v>Nguyễn Trí Nghĩa</v>
          </cell>
          <cell r="D49" t="str">
            <v>DSBC</v>
          </cell>
          <cell r="E49">
            <v>38.67</v>
          </cell>
          <cell r="F49">
            <v>0</v>
          </cell>
          <cell r="G49">
            <v>14.67</v>
          </cell>
          <cell r="H49">
            <v>0</v>
          </cell>
          <cell r="J49">
            <v>1</v>
          </cell>
          <cell r="K49">
            <v>0</v>
          </cell>
          <cell r="N49">
            <v>0</v>
          </cell>
          <cell r="O49">
            <v>0</v>
          </cell>
          <cell r="P49">
            <v>0</v>
          </cell>
          <cell r="R49">
            <v>1</v>
          </cell>
          <cell r="S49">
            <v>0</v>
          </cell>
          <cell r="T49">
            <v>24</v>
          </cell>
          <cell r="U49" t="str">
            <v>08/07/2026 &amp; 20/07/2026 - 21/07/2026</v>
          </cell>
          <cell r="X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</row>
        <row r="50">
          <cell r="C50" t="str">
            <v>Nguyễn Đăng An</v>
          </cell>
          <cell r="D50" t="str">
            <v>DSTV</v>
          </cell>
          <cell r="E50">
            <v>64.38</v>
          </cell>
          <cell r="F50">
            <v>71.83</v>
          </cell>
          <cell r="G50">
            <v>64.38</v>
          </cell>
          <cell r="H50">
            <v>71.83</v>
          </cell>
          <cell r="J50">
            <v>17</v>
          </cell>
          <cell r="K50">
            <v>9</v>
          </cell>
          <cell r="N50">
            <v>0</v>
          </cell>
          <cell r="O50">
            <v>0</v>
          </cell>
          <cell r="P50">
            <v>0</v>
          </cell>
          <cell r="R50">
            <v>17</v>
          </cell>
          <cell r="S50">
            <v>0</v>
          </cell>
          <cell r="T50">
            <v>0</v>
          </cell>
          <cell r="X50">
            <v>967742</v>
          </cell>
          <cell r="AA50">
            <v>0</v>
          </cell>
          <cell r="AE50">
            <v>0</v>
          </cell>
          <cell r="AF50">
            <v>258800</v>
          </cell>
          <cell r="AG50">
            <v>18220</v>
          </cell>
          <cell r="AH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</row>
        <row r="51">
          <cell r="C51" t="str">
            <v>Trần Hoàng Khánh</v>
          </cell>
          <cell r="D51" t="str">
            <v>DSCD</v>
          </cell>
          <cell r="E51">
            <v>92.77</v>
          </cell>
          <cell r="F51">
            <v>163.52000000000001</v>
          </cell>
          <cell r="G51">
            <v>68.77</v>
          </cell>
          <cell r="H51">
            <v>163.52000000000001</v>
          </cell>
          <cell r="I51">
            <v>8</v>
          </cell>
          <cell r="J51">
            <v>29</v>
          </cell>
          <cell r="K51">
            <v>21</v>
          </cell>
          <cell r="N51">
            <v>0</v>
          </cell>
          <cell r="O51">
            <v>0</v>
          </cell>
          <cell r="P51">
            <v>0</v>
          </cell>
          <cell r="R51">
            <v>29</v>
          </cell>
          <cell r="S51">
            <v>0</v>
          </cell>
          <cell r="T51">
            <v>16</v>
          </cell>
          <cell r="U51" t="str">
            <v>11/07/2026 - 12/07/2026</v>
          </cell>
          <cell r="X51">
            <v>1500000</v>
          </cell>
          <cell r="AA51">
            <v>0</v>
          </cell>
          <cell r="AD51">
            <v>0</v>
          </cell>
          <cell r="AE51">
            <v>0</v>
          </cell>
          <cell r="AF51">
            <v>1125600</v>
          </cell>
          <cell r="AG51">
            <v>12160</v>
          </cell>
          <cell r="AH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</row>
        <row r="52">
          <cell r="C52" t="str">
            <v>Trần Thị Phương Thùy</v>
          </cell>
          <cell r="D52" t="str">
            <v>DSHV</v>
          </cell>
          <cell r="E52">
            <v>24</v>
          </cell>
          <cell r="F52">
            <v>0</v>
          </cell>
          <cell r="G52">
            <v>24</v>
          </cell>
          <cell r="H52">
            <v>0</v>
          </cell>
          <cell r="J52">
            <v>3</v>
          </cell>
          <cell r="K52">
            <v>0</v>
          </cell>
          <cell r="N52">
            <v>0</v>
          </cell>
          <cell r="O52">
            <v>0</v>
          </cell>
          <cell r="P52">
            <v>0</v>
          </cell>
          <cell r="R52">
            <v>3</v>
          </cell>
          <cell r="S52">
            <v>0</v>
          </cell>
          <cell r="T52">
            <v>0</v>
          </cell>
          <cell r="X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</row>
        <row r="53">
          <cell r="C53" t="str">
            <v>Đỗ Thị Phương Thảo</v>
          </cell>
          <cell r="D53" t="str">
            <v>DSBC</v>
          </cell>
          <cell r="E53">
            <v>205.8</v>
          </cell>
          <cell r="F53">
            <v>15.87</v>
          </cell>
          <cell r="G53">
            <v>205.8</v>
          </cell>
          <cell r="H53">
            <v>15.87</v>
          </cell>
          <cell r="J53">
            <v>27</v>
          </cell>
          <cell r="K53">
            <v>2</v>
          </cell>
          <cell r="N53">
            <v>0</v>
          </cell>
          <cell r="O53">
            <v>0</v>
          </cell>
          <cell r="P53">
            <v>0</v>
          </cell>
          <cell r="R53">
            <v>27</v>
          </cell>
          <cell r="S53">
            <v>0</v>
          </cell>
          <cell r="T53">
            <v>0</v>
          </cell>
          <cell r="X53">
            <v>0</v>
          </cell>
          <cell r="AA53">
            <v>0</v>
          </cell>
          <cell r="AD53">
            <v>0</v>
          </cell>
          <cell r="AE53">
            <v>0</v>
          </cell>
          <cell r="AF53">
            <v>702550</v>
          </cell>
          <cell r="AG53">
            <v>100785</v>
          </cell>
          <cell r="AH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</row>
        <row r="54">
          <cell r="C54" t="str">
            <v>Bùi Thị Bích Trâm</v>
          </cell>
          <cell r="D54" t="str">
            <v>DSHV</v>
          </cell>
          <cell r="E54">
            <v>80.2</v>
          </cell>
          <cell r="F54">
            <v>0</v>
          </cell>
          <cell r="G54">
            <v>80.2</v>
          </cell>
          <cell r="H54">
            <v>0</v>
          </cell>
          <cell r="I54">
            <v>0</v>
          </cell>
          <cell r="J54">
            <v>10</v>
          </cell>
          <cell r="K54">
            <v>0</v>
          </cell>
          <cell r="N54">
            <v>0</v>
          </cell>
          <cell r="O54">
            <v>0</v>
          </cell>
          <cell r="P54">
            <v>0</v>
          </cell>
          <cell r="R54">
            <v>10</v>
          </cell>
          <cell r="S54">
            <v>0</v>
          </cell>
          <cell r="T54">
            <v>0</v>
          </cell>
          <cell r="X54">
            <v>0</v>
          </cell>
          <cell r="AA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J54">
            <v>500000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500000</v>
          </cell>
        </row>
        <row r="55">
          <cell r="C55" t="str">
            <v>Cao Trọng Nhân</v>
          </cell>
          <cell r="D55" t="str">
            <v>DSCD</v>
          </cell>
          <cell r="E55">
            <v>57.85</v>
          </cell>
          <cell r="F55">
            <v>230.97</v>
          </cell>
          <cell r="G55">
            <v>49.85</v>
          </cell>
          <cell r="H55">
            <v>230.97</v>
          </cell>
          <cell r="I55">
            <v>8</v>
          </cell>
          <cell r="J55">
            <v>30</v>
          </cell>
          <cell r="K55">
            <v>29</v>
          </cell>
          <cell r="N55">
            <v>0</v>
          </cell>
          <cell r="O55">
            <v>0</v>
          </cell>
          <cell r="P55">
            <v>0</v>
          </cell>
          <cell r="R55">
            <v>29</v>
          </cell>
          <cell r="S55">
            <v>0</v>
          </cell>
          <cell r="T55">
            <v>0</v>
          </cell>
          <cell r="X55">
            <v>1500000</v>
          </cell>
          <cell r="AA55">
            <v>0</v>
          </cell>
          <cell r="AD55">
            <v>1000000</v>
          </cell>
          <cell r="AE55">
            <v>0</v>
          </cell>
          <cell r="AF55">
            <v>1830100</v>
          </cell>
          <cell r="AG55">
            <v>24370</v>
          </cell>
          <cell r="AH55">
            <v>0</v>
          </cell>
          <cell r="AJ55">
            <v>22250</v>
          </cell>
          <cell r="AK55">
            <v>22250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</row>
        <row r="56">
          <cell r="C56" t="str">
            <v>Nguyễn Minh Trí</v>
          </cell>
          <cell r="D56" t="str">
            <v>DSHV</v>
          </cell>
          <cell r="E56">
            <v>177.37</v>
          </cell>
          <cell r="F56">
            <v>0</v>
          </cell>
          <cell r="G56">
            <v>177.37</v>
          </cell>
          <cell r="H56">
            <v>0</v>
          </cell>
          <cell r="J56">
            <v>22</v>
          </cell>
          <cell r="K56">
            <v>0</v>
          </cell>
          <cell r="N56">
            <v>0</v>
          </cell>
          <cell r="O56">
            <v>0</v>
          </cell>
          <cell r="P56">
            <v>0</v>
          </cell>
          <cell r="R56">
            <v>22</v>
          </cell>
          <cell r="S56">
            <v>0</v>
          </cell>
          <cell r="T56">
            <v>0</v>
          </cell>
          <cell r="X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</row>
        <row r="57">
          <cell r="C57" t="str">
            <v>Nguyễn Trí Nghĩa</v>
          </cell>
          <cell r="D57" t="str">
            <v>DSBC</v>
          </cell>
          <cell r="E57">
            <v>198.88</v>
          </cell>
          <cell r="F57">
            <v>26.92</v>
          </cell>
          <cell r="G57">
            <v>198.88</v>
          </cell>
          <cell r="H57">
            <v>26.92</v>
          </cell>
          <cell r="J57">
            <v>24</v>
          </cell>
          <cell r="K57">
            <v>3</v>
          </cell>
          <cell r="N57">
            <v>0</v>
          </cell>
          <cell r="O57">
            <v>0</v>
          </cell>
          <cell r="P57">
            <v>0</v>
          </cell>
          <cell r="R57">
            <v>24</v>
          </cell>
          <cell r="S57">
            <v>0</v>
          </cell>
          <cell r="T57">
            <v>0</v>
          </cell>
          <cell r="X57">
            <v>0</v>
          </cell>
          <cell r="AA57">
            <v>0</v>
          </cell>
          <cell r="AD57">
            <v>0</v>
          </cell>
          <cell r="AE57">
            <v>0</v>
          </cell>
          <cell r="AF57">
            <v>950350</v>
          </cell>
          <cell r="AG57">
            <v>36700</v>
          </cell>
          <cell r="AH57">
            <v>0</v>
          </cell>
          <cell r="AJ57">
            <v>22250</v>
          </cell>
          <cell r="AK57">
            <v>22250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</row>
        <row r="58">
          <cell r="C58" t="str">
            <v>Triệu Thị Ngọc Lý</v>
          </cell>
          <cell r="D58" t="str">
            <v>CHT</v>
          </cell>
          <cell r="E58">
            <v>300.77</v>
          </cell>
          <cell r="F58">
            <v>8.1999999999999993</v>
          </cell>
          <cell r="G58">
            <v>284.77</v>
          </cell>
          <cell r="H58">
            <v>8.1999999999999993</v>
          </cell>
          <cell r="J58">
            <v>24</v>
          </cell>
          <cell r="K58">
            <v>1</v>
          </cell>
          <cell r="N58">
            <v>0</v>
          </cell>
          <cell r="O58">
            <v>0</v>
          </cell>
          <cell r="P58">
            <v>0</v>
          </cell>
          <cell r="R58">
            <v>23</v>
          </cell>
          <cell r="S58">
            <v>0</v>
          </cell>
          <cell r="T58">
            <v>16</v>
          </cell>
          <cell r="U58" t="str">
            <v>27/07/2026 - 28/07/2026</v>
          </cell>
          <cell r="V58">
            <v>1500000</v>
          </cell>
          <cell r="X58">
            <v>0</v>
          </cell>
          <cell r="AA58">
            <v>0</v>
          </cell>
          <cell r="AD58">
            <v>0</v>
          </cell>
          <cell r="AE58">
            <v>0</v>
          </cell>
          <cell r="AF58">
            <v>1039300</v>
          </cell>
          <cell r="AG58">
            <v>61700</v>
          </cell>
          <cell r="AH58">
            <v>0</v>
          </cell>
          <cell r="AJ58">
            <v>22250</v>
          </cell>
          <cell r="AK58">
            <v>22250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</row>
        <row r="59">
          <cell r="C59" t="str">
            <v>Trần Thành Đạt</v>
          </cell>
          <cell r="D59" t="str">
            <v>DSCD</v>
          </cell>
          <cell r="E59">
            <v>13.55</v>
          </cell>
          <cell r="F59">
            <v>267.42</v>
          </cell>
          <cell r="G59">
            <v>5.55</v>
          </cell>
          <cell r="H59">
            <v>267.42</v>
          </cell>
          <cell r="I59">
            <v>8</v>
          </cell>
          <cell r="J59">
            <v>29</v>
          </cell>
          <cell r="K59">
            <v>33</v>
          </cell>
          <cell r="N59">
            <v>0</v>
          </cell>
          <cell r="O59">
            <v>0</v>
          </cell>
          <cell r="P59">
            <v>0</v>
          </cell>
          <cell r="R59">
            <v>29</v>
          </cell>
          <cell r="S59">
            <v>0</v>
          </cell>
          <cell r="T59">
            <v>0</v>
          </cell>
          <cell r="X59">
            <v>1500000</v>
          </cell>
          <cell r="AA59">
            <v>0</v>
          </cell>
          <cell r="AD59">
            <v>0</v>
          </cell>
          <cell r="AE59">
            <v>0</v>
          </cell>
          <cell r="AF59">
            <v>645000</v>
          </cell>
          <cell r="AG59">
            <v>47180</v>
          </cell>
          <cell r="AH59">
            <v>0</v>
          </cell>
          <cell r="AJ59">
            <v>22250</v>
          </cell>
          <cell r="AK59">
            <v>22250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</row>
        <row r="60">
          <cell r="C60" t="str">
            <v>Hồ Ngọc Lý</v>
          </cell>
          <cell r="D60" t="str">
            <v>DSCD</v>
          </cell>
          <cell r="E60">
            <v>16</v>
          </cell>
          <cell r="F60">
            <v>246.4</v>
          </cell>
          <cell r="G60">
            <v>0</v>
          </cell>
          <cell r="H60">
            <v>246.4</v>
          </cell>
          <cell r="I60">
            <v>16</v>
          </cell>
          <cell r="J60">
            <v>30</v>
          </cell>
          <cell r="K60">
            <v>31</v>
          </cell>
          <cell r="N60">
            <v>0</v>
          </cell>
          <cell r="O60">
            <v>0</v>
          </cell>
          <cell r="P60">
            <v>0</v>
          </cell>
          <cell r="R60">
            <v>30</v>
          </cell>
          <cell r="S60">
            <v>0</v>
          </cell>
          <cell r="T60">
            <v>0</v>
          </cell>
          <cell r="X60">
            <v>1500000</v>
          </cell>
          <cell r="AA60">
            <v>0</v>
          </cell>
          <cell r="AD60">
            <v>500000</v>
          </cell>
          <cell r="AE60">
            <v>0</v>
          </cell>
          <cell r="AF60">
            <v>0</v>
          </cell>
          <cell r="AG60">
            <v>3885</v>
          </cell>
          <cell r="AH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</row>
        <row r="61">
          <cell r="C61" t="str">
            <v>Nguyễn Thị Hương Giang</v>
          </cell>
          <cell r="D61" t="str">
            <v>DSBC</v>
          </cell>
          <cell r="E61">
            <v>194.68</v>
          </cell>
          <cell r="F61">
            <v>12.27</v>
          </cell>
          <cell r="G61">
            <v>194.68</v>
          </cell>
          <cell r="H61">
            <v>12.27</v>
          </cell>
          <cell r="J61">
            <v>27</v>
          </cell>
          <cell r="K61">
            <v>2</v>
          </cell>
          <cell r="N61">
            <v>0</v>
          </cell>
          <cell r="O61">
            <v>0</v>
          </cell>
          <cell r="P61">
            <v>0</v>
          </cell>
          <cell r="R61">
            <v>27</v>
          </cell>
          <cell r="S61">
            <v>0</v>
          </cell>
          <cell r="T61">
            <v>0</v>
          </cell>
          <cell r="X61">
            <v>0</v>
          </cell>
          <cell r="AA61">
            <v>0</v>
          </cell>
          <cell r="AD61">
            <v>0</v>
          </cell>
          <cell r="AE61">
            <v>833917</v>
          </cell>
          <cell r="AF61">
            <v>0</v>
          </cell>
          <cell r="AG61">
            <v>8180</v>
          </cell>
          <cell r="AH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</row>
        <row r="62">
          <cell r="C62" t="str">
            <v>Nguyễn Thị Thu Huyền</v>
          </cell>
          <cell r="D62" t="str">
            <v>DSCD</v>
          </cell>
          <cell r="E62">
            <v>74.98</v>
          </cell>
          <cell r="F62">
            <v>224.62</v>
          </cell>
          <cell r="G62">
            <v>74.98</v>
          </cell>
          <cell r="H62">
            <v>224.62</v>
          </cell>
          <cell r="J62">
            <v>28</v>
          </cell>
          <cell r="K62">
            <v>29</v>
          </cell>
          <cell r="N62">
            <v>0</v>
          </cell>
          <cell r="O62">
            <v>0</v>
          </cell>
          <cell r="P62">
            <v>0</v>
          </cell>
          <cell r="R62">
            <v>28</v>
          </cell>
          <cell r="S62">
            <v>0</v>
          </cell>
          <cell r="T62">
            <v>0</v>
          </cell>
          <cell r="X62">
            <v>1500000</v>
          </cell>
          <cell r="AA62">
            <v>0</v>
          </cell>
          <cell r="AD62">
            <v>1000000</v>
          </cell>
          <cell r="AE62">
            <v>0</v>
          </cell>
          <cell r="AF62">
            <v>0</v>
          </cell>
          <cell r="AG62">
            <v>24100</v>
          </cell>
          <cell r="AH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C63" t="str">
            <v>Nguyễn Trần Vĩnh Khang</v>
          </cell>
          <cell r="D63" t="str">
            <v>DSHV</v>
          </cell>
          <cell r="E63">
            <v>31.88</v>
          </cell>
          <cell r="F63">
            <v>0</v>
          </cell>
          <cell r="G63">
            <v>31.88</v>
          </cell>
          <cell r="H63">
            <v>0</v>
          </cell>
          <cell r="J63">
            <v>4</v>
          </cell>
          <cell r="K63">
            <v>0</v>
          </cell>
          <cell r="N63">
            <v>0</v>
          </cell>
          <cell r="O63">
            <v>0</v>
          </cell>
          <cell r="P63">
            <v>0</v>
          </cell>
          <cell r="R63">
            <v>4</v>
          </cell>
          <cell r="S63">
            <v>0</v>
          </cell>
          <cell r="T63">
            <v>0</v>
          </cell>
          <cell r="X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C64" t="str">
            <v>Võ Ngọc Giàu Sang</v>
          </cell>
          <cell r="D64" t="str">
            <v>CHT</v>
          </cell>
          <cell r="E64">
            <v>213.22</v>
          </cell>
          <cell r="F64">
            <v>0</v>
          </cell>
          <cell r="G64">
            <v>205.22</v>
          </cell>
          <cell r="H64">
            <v>0</v>
          </cell>
          <cell r="J64">
            <v>26</v>
          </cell>
          <cell r="K64">
            <v>0</v>
          </cell>
          <cell r="N64">
            <v>0</v>
          </cell>
          <cell r="O64">
            <v>0</v>
          </cell>
          <cell r="P64">
            <v>0</v>
          </cell>
          <cell r="R64">
            <v>26</v>
          </cell>
          <cell r="S64">
            <v>0</v>
          </cell>
          <cell r="T64">
            <v>8</v>
          </cell>
          <cell r="U64">
            <v>46229</v>
          </cell>
          <cell r="V64">
            <v>1500000</v>
          </cell>
          <cell r="X64">
            <v>0</v>
          </cell>
          <cell r="AA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</row>
        <row r="65">
          <cell r="C65" t="str">
            <v>Cù Thị Tường Vy</v>
          </cell>
          <cell r="D65" t="str">
            <v>CHT</v>
          </cell>
          <cell r="E65">
            <v>270.95</v>
          </cell>
          <cell r="F65">
            <v>37.049999999999997</v>
          </cell>
          <cell r="G65">
            <v>270.95</v>
          </cell>
          <cell r="H65">
            <v>37.049999999999997</v>
          </cell>
          <cell r="J65">
            <v>23</v>
          </cell>
          <cell r="K65">
            <v>5</v>
          </cell>
          <cell r="N65">
            <v>0</v>
          </cell>
          <cell r="O65">
            <v>0</v>
          </cell>
          <cell r="P65">
            <v>0</v>
          </cell>
          <cell r="R65">
            <v>23</v>
          </cell>
          <cell r="S65">
            <v>0</v>
          </cell>
          <cell r="T65">
            <v>0</v>
          </cell>
          <cell r="V65">
            <v>1500000</v>
          </cell>
          <cell r="X65">
            <v>0</v>
          </cell>
          <cell r="AA65">
            <v>16000</v>
          </cell>
          <cell r="AB65">
            <v>150000</v>
          </cell>
          <cell r="AD65">
            <v>0</v>
          </cell>
          <cell r="AE65">
            <v>0</v>
          </cell>
          <cell r="AF65">
            <v>1971700</v>
          </cell>
          <cell r="AG65">
            <v>245560</v>
          </cell>
          <cell r="AH65">
            <v>0</v>
          </cell>
          <cell r="AI65">
            <v>260000</v>
          </cell>
          <cell r="AJ65">
            <v>100950</v>
          </cell>
          <cell r="AK65">
            <v>100950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</row>
        <row r="66">
          <cell r="C66" t="str">
            <v>Huỳnh Thị Huệ Hiền</v>
          </cell>
          <cell r="D66" t="str">
            <v>DSCD</v>
          </cell>
          <cell r="E66">
            <v>22.95</v>
          </cell>
          <cell r="F66">
            <v>237.53</v>
          </cell>
          <cell r="G66">
            <v>6.95</v>
          </cell>
          <cell r="H66">
            <v>237.53</v>
          </cell>
          <cell r="I66">
            <v>16</v>
          </cell>
          <cell r="J66">
            <v>30</v>
          </cell>
          <cell r="K66">
            <v>30</v>
          </cell>
          <cell r="N66">
            <v>0</v>
          </cell>
          <cell r="O66">
            <v>0</v>
          </cell>
          <cell r="P66">
            <v>0</v>
          </cell>
          <cell r="R66">
            <v>30</v>
          </cell>
          <cell r="S66">
            <v>0</v>
          </cell>
          <cell r="T66">
            <v>0</v>
          </cell>
          <cell r="X66">
            <v>1500000</v>
          </cell>
          <cell r="AA66">
            <v>0</v>
          </cell>
          <cell r="AD66">
            <v>1000000</v>
          </cell>
          <cell r="AE66">
            <v>0</v>
          </cell>
          <cell r="AF66">
            <v>2084000</v>
          </cell>
          <cell r="AG66">
            <v>0</v>
          </cell>
          <cell r="AH66">
            <v>0</v>
          </cell>
          <cell r="AJ66">
            <v>100950</v>
          </cell>
          <cell r="AK66">
            <v>100950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</row>
        <row r="67">
          <cell r="C67" t="str">
            <v>Đỗ Thị Kim Tiến</v>
          </cell>
          <cell r="D67" t="str">
            <v>DSTV</v>
          </cell>
          <cell r="E67">
            <v>25.68</v>
          </cell>
          <cell r="F67">
            <v>16.149999999999999</v>
          </cell>
          <cell r="G67">
            <v>25.68</v>
          </cell>
          <cell r="H67">
            <v>16.149999999999999</v>
          </cell>
          <cell r="J67">
            <v>5</v>
          </cell>
          <cell r="K67">
            <v>2</v>
          </cell>
          <cell r="N67">
            <v>0</v>
          </cell>
          <cell r="O67">
            <v>0</v>
          </cell>
          <cell r="P67">
            <v>0</v>
          </cell>
          <cell r="R67">
            <v>5</v>
          </cell>
          <cell r="S67">
            <v>0</v>
          </cell>
          <cell r="T67">
            <v>0</v>
          </cell>
          <cell r="X67">
            <v>451613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</row>
        <row r="68">
          <cell r="C68" t="str">
            <v>Nguyễn Mẫn Tiệp</v>
          </cell>
          <cell r="D68" t="str">
            <v>DSTV</v>
          </cell>
          <cell r="E68">
            <v>49.63</v>
          </cell>
          <cell r="F68">
            <v>7.93</v>
          </cell>
          <cell r="G68">
            <v>49.63</v>
          </cell>
          <cell r="H68">
            <v>7.93</v>
          </cell>
          <cell r="J68">
            <v>6</v>
          </cell>
          <cell r="K68">
            <v>1</v>
          </cell>
          <cell r="N68">
            <v>0</v>
          </cell>
          <cell r="O68">
            <v>0</v>
          </cell>
          <cell r="P68">
            <v>0</v>
          </cell>
          <cell r="R68">
            <v>6</v>
          </cell>
          <cell r="S68">
            <v>0</v>
          </cell>
          <cell r="T68">
            <v>0</v>
          </cell>
          <cell r="X68">
            <v>0</v>
          </cell>
          <cell r="AA68">
            <v>0</v>
          </cell>
          <cell r="AE68">
            <v>0</v>
          </cell>
          <cell r="AF68">
            <v>166600</v>
          </cell>
          <cell r="AG68">
            <v>1140</v>
          </cell>
          <cell r="AH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</row>
        <row r="69">
          <cell r="C69" t="str">
            <v>Nguyễn Thị Phúc Lộc</v>
          </cell>
          <cell r="D69" t="str">
            <v>DSTV</v>
          </cell>
          <cell r="E69">
            <v>26.95</v>
          </cell>
          <cell r="F69">
            <v>24.05</v>
          </cell>
          <cell r="G69">
            <v>24.45</v>
          </cell>
          <cell r="H69">
            <v>24.05</v>
          </cell>
          <cell r="J69">
            <v>6</v>
          </cell>
          <cell r="K69">
            <v>3</v>
          </cell>
          <cell r="N69">
            <v>0</v>
          </cell>
          <cell r="O69">
            <v>0</v>
          </cell>
          <cell r="P69">
            <v>0</v>
          </cell>
          <cell r="R69">
            <v>6</v>
          </cell>
          <cell r="S69">
            <v>2.5</v>
          </cell>
          <cell r="T69">
            <v>0</v>
          </cell>
          <cell r="X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</row>
        <row r="70">
          <cell r="C70" t="str">
            <v>Ngô Thị Ngọc Thủy</v>
          </cell>
          <cell r="D70" t="str">
            <v>DSTV</v>
          </cell>
          <cell r="E70">
            <v>143.77000000000001</v>
          </cell>
          <cell r="F70">
            <v>40.17</v>
          </cell>
          <cell r="G70">
            <v>143.77000000000001</v>
          </cell>
          <cell r="H70">
            <v>40.17</v>
          </cell>
          <cell r="J70">
            <v>22</v>
          </cell>
          <cell r="K70">
            <v>5</v>
          </cell>
          <cell r="N70">
            <v>0</v>
          </cell>
          <cell r="O70">
            <v>0</v>
          </cell>
          <cell r="P70">
            <v>0</v>
          </cell>
          <cell r="R70">
            <v>22</v>
          </cell>
          <cell r="S70">
            <v>0</v>
          </cell>
          <cell r="T70">
            <v>0</v>
          </cell>
          <cell r="X70">
            <v>0</v>
          </cell>
          <cell r="AA70">
            <v>0</v>
          </cell>
          <cell r="AD70">
            <v>967742</v>
          </cell>
          <cell r="AE70">
            <v>0</v>
          </cell>
          <cell r="AF70">
            <v>636950</v>
          </cell>
          <cell r="AG70">
            <v>17980</v>
          </cell>
          <cell r="AH70">
            <v>0</v>
          </cell>
          <cell r="AJ70">
            <v>500000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500000</v>
          </cell>
          <cell r="AP70" t="str">
            <v>Cấn trừ chi phí đồng phục</v>
          </cell>
        </row>
        <row r="71">
          <cell r="C71" t="str">
            <v>Phạm Nguyễn Ngọc Quyền Trân</v>
          </cell>
          <cell r="D71" t="str">
            <v>DSTV</v>
          </cell>
          <cell r="E71">
            <v>231.35</v>
          </cell>
          <cell r="F71">
            <v>2</v>
          </cell>
          <cell r="G71">
            <v>231.35</v>
          </cell>
          <cell r="H71">
            <v>2</v>
          </cell>
          <cell r="J71">
            <v>26</v>
          </cell>
          <cell r="K71">
            <v>0</v>
          </cell>
          <cell r="N71">
            <v>0</v>
          </cell>
          <cell r="O71">
            <v>0</v>
          </cell>
          <cell r="P71">
            <v>0</v>
          </cell>
          <cell r="R71">
            <v>26</v>
          </cell>
          <cell r="S71">
            <v>0</v>
          </cell>
          <cell r="T71">
            <v>0</v>
          </cell>
          <cell r="X71">
            <v>0</v>
          </cell>
          <cell r="AA71">
            <v>0</v>
          </cell>
          <cell r="AD71">
            <v>0</v>
          </cell>
          <cell r="AE71">
            <v>0</v>
          </cell>
          <cell r="AF71">
            <v>1034050</v>
          </cell>
          <cell r="AG71">
            <v>8100</v>
          </cell>
          <cell r="AH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</row>
        <row r="72">
          <cell r="C72" t="str">
            <v>Trần Gia Tiến</v>
          </cell>
          <cell r="D72" t="str">
            <v>DSTV</v>
          </cell>
          <cell r="E72">
            <v>55</v>
          </cell>
          <cell r="F72">
            <v>0</v>
          </cell>
          <cell r="G72">
            <v>48</v>
          </cell>
          <cell r="H72">
            <v>0</v>
          </cell>
          <cell r="J72">
            <v>6</v>
          </cell>
          <cell r="K72">
            <v>0</v>
          </cell>
          <cell r="N72">
            <v>0</v>
          </cell>
          <cell r="O72">
            <v>0</v>
          </cell>
          <cell r="P72">
            <v>0</v>
          </cell>
          <cell r="R72">
            <v>6</v>
          </cell>
          <cell r="S72">
            <v>7</v>
          </cell>
          <cell r="T72">
            <v>0</v>
          </cell>
          <cell r="X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</row>
        <row r="73">
          <cell r="C73" t="str">
            <v>Đinh Hoài Bảo</v>
          </cell>
          <cell r="D73" t="str">
            <v>DSTV</v>
          </cell>
          <cell r="E73">
            <v>7.0000000000000007E-2</v>
          </cell>
          <cell r="F73">
            <v>32.270000000000003</v>
          </cell>
          <cell r="G73">
            <v>7.0000000000000007E-2</v>
          </cell>
          <cell r="H73">
            <v>32.270000000000003</v>
          </cell>
          <cell r="J73">
            <v>5</v>
          </cell>
          <cell r="K73">
            <v>4</v>
          </cell>
          <cell r="N73">
            <v>0</v>
          </cell>
          <cell r="O73">
            <v>0</v>
          </cell>
          <cell r="P73">
            <v>0</v>
          </cell>
          <cell r="R73">
            <v>4</v>
          </cell>
          <cell r="S73">
            <v>0</v>
          </cell>
          <cell r="T73">
            <v>0</v>
          </cell>
          <cell r="X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</row>
        <row r="74">
          <cell r="C74" t="str">
            <v>Hứa Thị Kim Thoa</v>
          </cell>
          <cell r="D74" t="str">
            <v>CHT</v>
          </cell>
          <cell r="E74">
            <v>160.52000000000001</v>
          </cell>
          <cell r="F74">
            <v>93.18</v>
          </cell>
          <cell r="G74">
            <v>160.52000000000001</v>
          </cell>
          <cell r="H74">
            <v>93.18</v>
          </cell>
          <cell r="J74">
            <v>30</v>
          </cell>
          <cell r="K74">
            <v>12</v>
          </cell>
          <cell r="N74">
            <v>0</v>
          </cell>
          <cell r="O74">
            <v>0</v>
          </cell>
          <cell r="P74">
            <v>0</v>
          </cell>
          <cell r="R74">
            <v>28</v>
          </cell>
          <cell r="S74">
            <v>0</v>
          </cell>
          <cell r="T74">
            <v>0</v>
          </cell>
          <cell r="V74">
            <v>1500000</v>
          </cell>
          <cell r="X74">
            <v>0</v>
          </cell>
          <cell r="AA74">
            <v>0</v>
          </cell>
          <cell r="AD74">
            <v>0</v>
          </cell>
          <cell r="AE74">
            <v>0</v>
          </cell>
          <cell r="AF74">
            <v>1149900</v>
          </cell>
          <cell r="AG74">
            <v>13685</v>
          </cell>
          <cell r="AH74">
            <v>0</v>
          </cell>
          <cell r="AJ74">
            <v>90120</v>
          </cell>
          <cell r="AK74">
            <v>90120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</row>
        <row r="75">
          <cell r="C75" t="str">
            <v>Lê Thị Soạn</v>
          </cell>
          <cell r="D75" t="str">
            <v>DSCD</v>
          </cell>
          <cell r="E75">
            <v>22.72</v>
          </cell>
          <cell r="F75">
            <v>248.18</v>
          </cell>
          <cell r="G75">
            <v>6.72</v>
          </cell>
          <cell r="H75">
            <v>248.18</v>
          </cell>
          <cell r="I75">
            <v>16</v>
          </cell>
          <cell r="J75">
            <v>31</v>
          </cell>
          <cell r="K75">
            <v>31</v>
          </cell>
          <cell r="N75">
            <v>0</v>
          </cell>
          <cell r="O75">
            <v>0</v>
          </cell>
          <cell r="P75">
            <v>0</v>
          </cell>
          <cell r="R75">
            <v>31</v>
          </cell>
          <cell r="S75">
            <v>0</v>
          </cell>
          <cell r="T75">
            <v>0</v>
          </cell>
          <cell r="X75">
            <v>1500000</v>
          </cell>
          <cell r="AA75">
            <v>0</v>
          </cell>
          <cell r="AD75">
            <v>2000000</v>
          </cell>
          <cell r="AE75">
            <v>1857659</v>
          </cell>
          <cell r="AF75">
            <v>6259950</v>
          </cell>
          <cell r="AG75">
            <v>11115</v>
          </cell>
          <cell r="AH75">
            <v>0</v>
          </cell>
          <cell r="AJ75">
            <v>227120</v>
          </cell>
          <cell r="AK75">
            <v>90120</v>
          </cell>
          <cell r="AL75">
            <v>0</v>
          </cell>
          <cell r="AM75">
            <v>137000</v>
          </cell>
          <cell r="AN75">
            <v>0</v>
          </cell>
          <cell r="AO75">
            <v>0</v>
          </cell>
          <cell r="AP75" t="str">
            <v>Sai doanh thu HD.7X6WNOMV : 137.000đ</v>
          </cell>
        </row>
        <row r="76">
          <cell r="C76" t="str">
            <v>Nguyễn Thị Mai Duyên</v>
          </cell>
          <cell r="D76" t="str">
            <v>DSBC</v>
          </cell>
          <cell r="E76">
            <v>184.28</v>
          </cell>
          <cell r="F76">
            <v>79.45</v>
          </cell>
          <cell r="G76">
            <v>184.28</v>
          </cell>
          <cell r="H76">
            <v>79.45</v>
          </cell>
          <cell r="J76">
            <v>27</v>
          </cell>
          <cell r="K76">
            <v>10</v>
          </cell>
          <cell r="N76">
            <v>0</v>
          </cell>
          <cell r="O76">
            <v>0</v>
          </cell>
          <cell r="P76">
            <v>0</v>
          </cell>
          <cell r="R76">
            <v>27</v>
          </cell>
          <cell r="S76">
            <v>0</v>
          </cell>
          <cell r="T76">
            <v>0</v>
          </cell>
          <cell r="X76">
            <v>0</v>
          </cell>
          <cell r="AA76">
            <v>0</v>
          </cell>
          <cell r="AD76">
            <v>500000</v>
          </cell>
          <cell r="AE76">
            <v>1913795</v>
          </cell>
          <cell r="AF76">
            <v>4663500</v>
          </cell>
          <cell r="AG76">
            <v>85048</v>
          </cell>
          <cell r="AH76">
            <v>0</v>
          </cell>
          <cell r="AJ76">
            <v>90120</v>
          </cell>
          <cell r="AK76">
            <v>90120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</row>
        <row r="77">
          <cell r="C77" t="str">
            <v>Nguyễn Thị Tâm</v>
          </cell>
          <cell r="D77" t="str">
            <v>DSBC</v>
          </cell>
          <cell r="E77">
            <v>220.43</v>
          </cell>
          <cell r="F77">
            <v>35.380000000000003</v>
          </cell>
          <cell r="G77">
            <v>220.43</v>
          </cell>
          <cell r="H77">
            <v>35.380000000000003</v>
          </cell>
          <cell r="J77">
            <v>27</v>
          </cell>
          <cell r="K77">
            <v>4</v>
          </cell>
          <cell r="N77">
            <v>0</v>
          </cell>
          <cell r="O77">
            <v>0</v>
          </cell>
          <cell r="P77">
            <v>0</v>
          </cell>
          <cell r="R77">
            <v>27</v>
          </cell>
          <cell r="S77">
            <v>0</v>
          </cell>
          <cell r="T77">
            <v>0</v>
          </cell>
          <cell r="X77">
            <v>0</v>
          </cell>
          <cell r="AA77">
            <v>0</v>
          </cell>
          <cell r="AD77">
            <v>500000</v>
          </cell>
          <cell r="AE77">
            <v>1972045</v>
          </cell>
          <cell r="AF77">
            <v>3424600</v>
          </cell>
          <cell r="AG77">
            <v>69340</v>
          </cell>
          <cell r="AH77">
            <v>0</v>
          </cell>
          <cell r="AJ77">
            <v>90120</v>
          </cell>
          <cell r="AK77">
            <v>90120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</row>
        <row r="78">
          <cell r="C78" t="str">
            <v>Trần Ngọc Dung</v>
          </cell>
          <cell r="D78" t="str">
            <v>DSBC</v>
          </cell>
          <cell r="E78">
            <v>108.63</v>
          </cell>
          <cell r="F78">
            <v>168.62</v>
          </cell>
          <cell r="G78">
            <v>108.63</v>
          </cell>
          <cell r="H78">
            <v>168.62</v>
          </cell>
          <cell r="J78">
            <v>28</v>
          </cell>
          <cell r="K78">
            <v>21</v>
          </cell>
          <cell r="N78">
            <v>0</v>
          </cell>
          <cell r="O78">
            <v>0</v>
          </cell>
          <cell r="P78">
            <v>0</v>
          </cell>
          <cell r="R78">
            <v>28</v>
          </cell>
          <cell r="S78">
            <v>0</v>
          </cell>
          <cell r="T78">
            <v>0</v>
          </cell>
          <cell r="X78">
            <v>1125000</v>
          </cell>
          <cell r="AA78">
            <v>0</v>
          </cell>
          <cell r="AD78">
            <v>0</v>
          </cell>
          <cell r="AE78">
            <v>1601783</v>
          </cell>
          <cell r="AF78">
            <v>3256350</v>
          </cell>
          <cell r="AG78">
            <v>66380</v>
          </cell>
          <cell r="AH78">
            <v>0</v>
          </cell>
          <cell r="AJ78">
            <v>209120</v>
          </cell>
          <cell r="AK78">
            <v>90120</v>
          </cell>
          <cell r="AL78">
            <v>0</v>
          </cell>
          <cell r="AM78">
            <v>119000</v>
          </cell>
          <cell r="AN78">
            <v>0</v>
          </cell>
          <cell r="AO78">
            <v>0</v>
          </cell>
          <cell r="AP78" t="str">
            <v>Sai doanh thu HD.VQWXD95V : 119.000Đ</v>
          </cell>
        </row>
        <row r="79">
          <cell r="C79" t="str">
            <v>Nguyễn Mạnh Tuấn</v>
          </cell>
          <cell r="D79" t="str">
            <v>DSBC</v>
          </cell>
          <cell r="E79">
            <v>2</v>
          </cell>
          <cell r="F79">
            <v>211.85</v>
          </cell>
          <cell r="G79">
            <v>2</v>
          </cell>
          <cell r="H79">
            <v>211.85</v>
          </cell>
          <cell r="J79">
            <v>27</v>
          </cell>
          <cell r="K79">
            <v>27</v>
          </cell>
          <cell r="N79">
            <v>0</v>
          </cell>
          <cell r="O79">
            <v>0</v>
          </cell>
          <cell r="P79">
            <v>0</v>
          </cell>
          <cell r="R79">
            <v>27</v>
          </cell>
          <cell r="S79">
            <v>0</v>
          </cell>
          <cell r="T79">
            <v>0</v>
          </cell>
          <cell r="X79">
            <v>1446429</v>
          </cell>
          <cell r="AA79">
            <v>0</v>
          </cell>
          <cell r="AD79">
            <v>500000</v>
          </cell>
          <cell r="AE79">
            <v>0</v>
          </cell>
          <cell r="AF79">
            <v>4024800</v>
          </cell>
          <cell r="AG79">
            <v>31282</v>
          </cell>
          <cell r="AH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</row>
        <row r="80">
          <cell r="C80" t="str">
            <v>Nguyễn Thị Mai Duyên</v>
          </cell>
          <cell r="D80" t="str">
            <v>DSBC</v>
          </cell>
          <cell r="E80">
            <v>24</v>
          </cell>
          <cell r="F80">
            <v>44.52</v>
          </cell>
          <cell r="G80">
            <v>0</v>
          </cell>
          <cell r="H80">
            <v>44.52</v>
          </cell>
          <cell r="J80">
            <v>7</v>
          </cell>
          <cell r="K80">
            <v>7</v>
          </cell>
          <cell r="N80">
            <v>0</v>
          </cell>
          <cell r="O80">
            <v>0</v>
          </cell>
          <cell r="P80">
            <v>0</v>
          </cell>
          <cell r="R80">
            <v>7</v>
          </cell>
          <cell r="S80">
            <v>0</v>
          </cell>
          <cell r="T80">
            <v>24</v>
          </cell>
          <cell r="U80" t="str">
            <v>18/07/2026 &amp; 21/07/2026 &amp; 25/07/2026</v>
          </cell>
          <cell r="X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</row>
        <row r="81">
          <cell r="C81" t="str">
            <v>Vũ Thanh Hằng</v>
          </cell>
          <cell r="D81" t="str">
            <v>DSBC</v>
          </cell>
          <cell r="E81">
            <v>205.92</v>
          </cell>
          <cell r="F81">
            <v>34.72</v>
          </cell>
          <cell r="G81">
            <v>205.92</v>
          </cell>
          <cell r="H81">
            <v>34.72</v>
          </cell>
          <cell r="J81">
            <v>28</v>
          </cell>
          <cell r="K81">
            <v>4</v>
          </cell>
          <cell r="N81">
            <v>0</v>
          </cell>
          <cell r="O81">
            <v>0</v>
          </cell>
          <cell r="P81">
            <v>0</v>
          </cell>
          <cell r="R81">
            <v>27</v>
          </cell>
          <cell r="S81">
            <v>0</v>
          </cell>
          <cell r="T81">
            <v>0</v>
          </cell>
          <cell r="X81">
            <v>0</v>
          </cell>
          <cell r="AA81">
            <v>0</v>
          </cell>
          <cell r="AD81">
            <v>2000000</v>
          </cell>
          <cell r="AE81">
            <v>4582244</v>
          </cell>
          <cell r="AF81">
            <v>7329000</v>
          </cell>
          <cell r="AG81">
            <v>125525</v>
          </cell>
          <cell r="AH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</row>
        <row r="82">
          <cell r="C82" t="str">
            <v>Đinh Thị Khánh Ly</v>
          </cell>
          <cell r="D82" t="str">
            <v>DSBC</v>
          </cell>
          <cell r="E82">
            <v>215.38</v>
          </cell>
          <cell r="F82">
            <v>26.6</v>
          </cell>
          <cell r="G82">
            <v>215.38</v>
          </cell>
          <cell r="H82">
            <v>26.6</v>
          </cell>
          <cell r="J82">
            <v>28</v>
          </cell>
          <cell r="K82">
            <v>3</v>
          </cell>
          <cell r="N82">
            <v>0</v>
          </cell>
          <cell r="O82">
            <v>0</v>
          </cell>
          <cell r="P82">
            <v>0</v>
          </cell>
          <cell r="R82">
            <v>28</v>
          </cell>
          <cell r="S82">
            <v>0</v>
          </cell>
          <cell r="T82">
            <v>0</v>
          </cell>
          <cell r="X82">
            <v>0</v>
          </cell>
          <cell r="AA82">
            <v>0</v>
          </cell>
          <cell r="AC82">
            <v>288825</v>
          </cell>
          <cell r="AD82">
            <v>1200000</v>
          </cell>
          <cell r="AE82">
            <v>3510304</v>
          </cell>
          <cell r="AF82">
            <v>6452400</v>
          </cell>
          <cell r="AG82">
            <v>61430</v>
          </cell>
          <cell r="AH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</row>
        <row r="83">
          <cell r="C83" t="str">
            <v>Đinh Thị Lan Anh</v>
          </cell>
          <cell r="D83" t="str">
            <v>DSBC</v>
          </cell>
          <cell r="E83">
            <v>263.92</v>
          </cell>
          <cell r="F83">
            <v>18.420000000000002</v>
          </cell>
          <cell r="G83">
            <v>247.92</v>
          </cell>
          <cell r="H83">
            <v>18.420000000000002</v>
          </cell>
          <cell r="I83">
            <v>16</v>
          </cell>
          <cell r="J83">
            <v>30</v>
          </cell>
          <cell r="K83">
            <v>2</v>
          </cell>
          <cell r="N83">
            <v>0</v>
          </cell>
          <cell r="O83">
            <v>0</v>
          </cell>
          <cell r="P83">
            <v>0</v>
          </cell>
          <cell r="R83">
            <v>30</v>
          </cell>
          <cell r="S83">
            <v>0</v>
          </cell>
          <cell r="T83">
            <v>0</v>
          </cell>
          <cell r="V83">
            <v>500000</v>
          </cell>
          <cell r="X83">
            <v>0</v>
          </cell>
          <cell r="AA83">
            <v>0</v>
          </cell>
          <cell r="AD83">
            <v>2000000</v>
          </cell>
          <cell r="AE83">
            <v>4059232</v>
          </cell>
          <cell r="AF83">
            <v>6782000</v>
          </cell>
          <cell r="AG83">
            <v>94530</v>
          </cell>
          <cell r="AH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</row>
        <row r="85">
          <cell r="D85" t="str">
            <v>Tổng</v>
          </cell>
          <cell r="E85">
            <v>8266</v>
          </cell>
          <cell r="F85">
            <v>5036</v>
          </cell>
          <cell r="G85">
            <v>7760</v>
          </cell>
          <cell r="H85">
            <v>5036</v>
          </cell>
          <cell r="I85">
            <v>256</v>
          </cell>
          <cell r="J85">
            <v>1463</v>
          </cell>
          <cell r="K85">
            <v>633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1454</v>
          </cell>
          <cell r="S85">
            <v>51</v>
          </cell>
          <cell r="T85">
            <v>200</v>
          </cell>
          <cell r="U85">
            <v>92438</v>
          </cell>
          <cell r="V85">
            <v>15323810</v>
          </cell>
          <cell r="W85">
            <v>0</v>
          </cell>
          <cell r="X85">
            <v>23651498</v>
          </cell>
          <cell r="Y85">
            <v>1000000</v>
          </cell>
          <cell r="Z85">
            <v>2000000</v>
          </cell>
          <cell r="AA85">
            <v>66000</v>
          </cell>
          <cell r="AB85">
            <v>450000</v>
          </cell>
          <cell r="AC85">
            <v>9632517</v>
          </cell>
          <cell r="AD85">
            <v>30174194</v>
          </cell>
          <cell r="AE85">
            <v>26480239</v>
          </cell>
          <cell r="AF85">
            <v>82837360</v>
          </cell>
          <cell r="AG85">
            <v>1501358</v>
          </cell>
          <cell r="AH85">
            <v>0</v>
          </cell>
          <cell r="AI85">
            <v>7707040</v>
          </cell>
          <cell r="AJ85">
            <v>7997500</v>
          </cell>
          <cell r="AK85">
            <v>741500</v>
          </cell>
          <cell r="AL85">
            <v>0</v>
          </cell>
          <cell r="AM85">
            <v>356000</v>
          </cell>
          <cell r="AN85">
            <v>0</v>
          </cell>
          <cell r="AO85">
            <v>6900000</v>
          </cell>
        </row>
        <row r="87">
          <cell r="E87" t="str">
            <v>Chi nhánh</v>
          </cell>
        </row>
        <row r="88">
          <cell r="E88" t="str">
            <v>24H</v>
          </cell>
          <cell r="G88">
            <v>750.63</v>
          </cell>
          <cell r="H88">
            <v>551.38</v>
          </cell>
          <cell r="I88">
            <v>1302.02</v>
          </cell>
        </row>
        <row r="89">
          <cell r="E89" t="str">
            <v>Đỗ Quang Đẩu</v>
          </cell>
          <cell r="G89">
            <v>970.4</v>
          </cell>
          <cell r="H89">
            <v>477.18</v>
          </cell>
          <cell r="I89">
            <v>1447.58</v>
          </cell>
        </row>
        <row r="90">
          <cell r="E90" t="str">
            <v>Nam Hòa</v>
          </cell>
          <cell r="G90">
            <v>745.67</v>
          </cell>
          <cell r="H90">
            <v>447.43</v>
          </cell>
          <cell r="I90">
            <v>1193.0999999999999</v>
          </cell>
        </row>
        <row r="91">
          <cell r="E91" t="str">
            <v>Minh Châu</v>
          </cell>
          <cell r="G91">
            <v>820.42</v>
          </cell>
          <cell r="H91">
            <v>451.5</v>
          </cell>
          <cell r="I91">
            <v>1271.92</v>
          </cell>
        </row>
        <row r="92">
          <cell r="E92" t="str">
            <v>Lê Bình</v>
          </cell>
          <cell r="G92">
            <v>364.88</v>
          </cell>
          <cell r="H92">
            <v>233.83</v>
          </cell>
          <cell r="I92">
            <v>598.72</v>
          </cell>
        </row>
        <row r="93">
          <cell r="E93" t="str">
            <v>Nguyễn Chí Thanh</v>
          </cell>
          <cell r="G93">
            <v>651.9</v>
          </cell>
          <cell r="H93">
            <v>499.98</v>
          </cell>
          <cell r="I93">
            <v>1151.8800000000001</v>
          </cell>
        </row>
        <row r="94">
          <cell r="E94" t="str">
            <v>Nguyễn Thị Thập</v>
          </cell>
          <cell r="G94">
            <v>796.62</v>
          </cell>
          <cell r="H94">
            <v>533.5</v>
          </cell>
          <cell r="I94">
            <v>1330.12</v>
          </cell>
        </row>
        <row r="95">
          <cell r="E95" t="str">
            <v>Nguyễn Văn Quá</v>
          </cell>
          <cell r="G95">
            <v>506.77</v>
          </cell>
          <cell r="H95">
            <v>483.28</v>
          </cell>
          <cell r="I95">
            <v>990.05</v>
          </cell>
        </row>
        <row r="96">
          <cell r="E96" t="str">
            <v>Rạch Bùng Binh</v>
          </cell>
          <cell r="G96">
            <v>800.85</v>
          </cell>
          <cell r="H96">
            <v>397.15</v>
          </cell>
          <cell r="I96">
            <v>1198</v>
          </cell>
        </row>
        <row r="97">
          <cell r="E97" t="str">
            <v>Đường Láng</v>
          </cell>
          <cell r="G97">
            <v>680.58</v>
          </cell>
          <cell r="H97">
            <v>624.82000000000005</v>
          </cell>
          <cell r="I97">
            <v>1305.4000000000001</v>
          </cell>
        </row>
        <row r="98">
          <cell r="E98" t="str">
            <v>Hàng Bông</v>
          </cell>
          <cell r="G98">
            <v>671.22</v>
          </cell>
          <cell r="H98">
            <v>336.1</v>
          </cell>
          <cell r="I98">
            <v>1007.32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d Service"/>
      <sheetName val="TTCK nha thuoc"/>
      <sheetName val="PL MDG"/>
      <sheetName val="Bản sao của PL MDG"/>
      <sheetName val="PL MED"/>
      <sheetName val="PL CNT"/>
      <sheetName val="TT CK LƯƠNG"/>
      <sheetName val="TT CK CNT"/>
      <sheetName val="CTVKHO - Bảng lương chi tiết"/>
    </sheetNames>
    <sheetDataSet>
      <sheetData sheetId="0" refreshError="1">
        <row r="11">
          <cell r="D11" t="str">
            <v>Hồ Thị Minh Hòa</v>
          </cell>
          <cell r="E11" t="str">
            <v>HĐLĐ</v>
          </cell>
          <cell r="F11" t="str">
            <v>24H</v>
          </cell>
          <cell r="G11" t="str">
            <v>DSBC</v>
          </cell>
          <cell r="H11">
            <v>45352</v>
          </cell>
          <cell r="I11" t="str">
            <v>0051000542226</v>
          </cell>
          <cell r="J11" t="str">
            <v>Vietcombank</v>
          </cell>
          <cell r="K11">
            <v>28</v>
          </cell>
          <cell r="L11">
            <v>24</v>
          </cell>
          <cell r="M11">
            <v>168.6</v>
          </cell>
          <cell r="N11">
            <v>79.016666666666694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5310000</v>
          </cell>
          <cell r="T11">
            <v>428571.42857142899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6000000</v>
          </cell>
          <cell r="AB11">
            <v>0</v>
          </cell>
          <cell r="AC11">
            <v>0</v>
          </cell>
          <cell r="AD11">
            <v>0</v>
          </cell>
          <cell r="AE11">
            <v>4516071.42857143</v>
          </cell>
          <cell r="AF11">
            <v>3174776.7857142901</v>
          </cell>
          <cell r="AG11">
            <v>0</v>
          </cell>
          <cell r="AH11">
            <v>0</v>
          </cell>
          <cell r="AI11">
            <v>0</v>
          </cell>
          <cell r="AJ11">
            <v>500000</v>
          </cell>
          <cell r="AK11">
            <v>0</v>
          </cell>
          <cell r="AL11">
            <v>0</v>
          </cell>
          <cell r="AM11">
            <v>0</v>
          </cell>
          <cell r="AN11">
            <v>1049040</v>
          </cell>
          <cell r="AO11">
            <v>300</v>
          </cell>
          <cell r="AP11">
            <v>0</v>
          </cell>
          <cell r="AQ11">
            <v>500000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10168759.642857101</v>
          </cell>
          <cell r="BF11">
            <v>929250</v>
          </cell>
          <cell r="BG11">
            <v>159300</v>
          </cell>
          <cell r="BH11">
            <v>53100</v>
          </cell>
          <cell r="BI11">
            <v>0</v>
          </cell>
          <cell r="BJ11">
            <v>1141650</v>
          </cell>
          <cell r="BK11">
            <v>424800</v>
          </cell>
          <cell r="BL11">
            <v>79650</v>
          </cell>
          <cell r="BM11">
            <v>53100</v>
          </cell>
          <cell r="BN11">
            <v>0</v>
          </cell>
          <cell r="BO11">
            <v>557550</v>
          </cell>
          <cell r="BP11">
            <v>428571.42857142899</v>
          </cell>
          <cell r="BQ11">
            <v>9740188.2142857108</v>
          </cell>
          <cell r="BR11">
            <v>15500000</v>
          </cell>
          <cell r="BS11">
            <v>0</v>
          </cell>
          <cell r="BT11">
            <v>0</v>
          </cell>
          <cell r="BU11">
            <v>557550</v>
          </cell>
          <cell r="BV11">
            <v>16057550</v>
          </cell>
          <cell r="BW11">
            <v>0</v>
          </cell>
          <cell r="BX11">
            <v>0</v>
          </cell>
          <cell r="BY11">
            <v>9611210</v>
          </cell>
          <cell r="BZ11">
            <v>0</v>
          </cell>
          <cell r="CA11">
            <v>0</v>
          </cell>
          <cell r="CB11">
            <v>9611210</v>
          </cell>
          <cell r="CC11">
            <v>0</v>
          </cell>
          <cell r="CD11">
            <v>9611210</v>
          </cell>
          <cell r="CE11">
            <v>0</v>
          </cell>
          <cell r="CF11" t="str">
            <v>medigo.hoa.ho@gmail.com</v>
          </cell>
          <cell r="CG11" t="str">
            <v/>
          </cell>
          <cell r="CH11">
            <v>11</v>
          </cell>
          <cell r="CI11">
            <v>4.5</v>
          </cell>
          <cell r="CJ11">
            <v>1</v>
          </cell>
          <cell r="CK11">
            <v>3</v>
          </cell>
          <cell r="CL11">
            <v>2024</v>
          </cell>
          <cell r="CM11">
            <v>0</v>
          </cell>
          <cell r="CN11">
            <v>-23135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6000000</v>
          </cell>
          <cell r="CW11">
            <v>0</v>
          </cell>
          <cell r="CX11">
            <v>0</v>
          </cell>
          <cell r="CY11" t="str">
            <v>;</v>
          </cell>
          <cell r="CZ11">
            <v>0</v>
          </cell>
          <cell r="DA11" t="str">
            <v>Hồ Thị Minh Hòa</v>
          </cell>
          <cell r="DB11">
            <v>24</v>
          </cell>
          <cell r="DC11">
            <v>149.35</v>
          </cell>
          <cell r="DD11">
            <v>100.916666666667</v>
          </cell>
          <cell r="DE11">
            <v>4333816.9642857099</v>
          </cell>
          <cell r="DF11">
            <v>4392578.125</v>
          </cell>
          <cell r="DG11">
            <v>10646757</v>
          </cell>
          <cell r="DH11">
            <v>1035547</v>
          </cell>
          <cell r="DI11">
            <v>1035547</v>
          </cell>
        </row>
        <row r="12">
          <cell r="D12" t="str">
            <v>Trần Thị Kim Khánh</v>
          </cell>
          <cell r="E12" t="str">
            <v>HĐLĐ</v>
          </cell>
          <cell r="F12" t="str">
            <v>24H</v>
          </cell>
          <cell r="G12" t="str">
            <v>DSBC</v>
          </cell>
          <cell r="H12">
            <v>45099</v>
          </cell>
          <cell r="I12" t="str">
            <v>69110000565904</v>
          </cell>
          <cell r="J12" t="str">
            <v>BIDV</v>
          </cell>
          <cell r="K12">
            <v>28</v>
          </cell>
          <cell r="L12">
            <v>29</v>
          </cell>
          <cell r="M12">
            <v>305.05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5310000</v>
          </cell>
          <cell r="T12">
            <v>500000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6000000</v>
          </cell>
          <cell r="AB12">
            <v>0</v>
          </cell>
          <cell r="AC12">
            <v>0</v>
          </cell>
          <cell r="AD12">
            <v>0</v>
          </cell>
          <cell r="AE12">
            <v>8170982.1428571399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1000000</v>
          </cell>
          <cell r="AM12">
            <v>0</v>
          </cell>
          <cell r="AN12">
            <v>2121400</v>
          </cell>
          <cell r="AO12">
            <v>43850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11836232.142857101</v>
          </cell>
          <cell r="BF12">
            <v>929250</v>
          </cell>
          <cell r="BG12">
            <v>159300</v>
          </cell>
          <cell r="BH12">
            <v>53100</v>
          </cell>
          <cell r="BI12">
            <v>0</v>
          </cell>
          <cell r="BJ12">
            <v>1141650</v>
          </cell>
          <cell r="BK12">
            <v>424800</v>
          </cell>
          <cell r="BL12">
            <v>79650</v>
          </cell>
          <cell r="BM12">
            <v>53100</v>
          </cell>
          <cell r="BN12">
            <v>0</v>
          </cell>
          <cell r="BO12">
            <v>557550</v>
          </cell>
          <cell r="BP12">
            <v>500000</v>
          </cell>
          <cell r="BQ12">
            <v>11336232.142857101</v>
          </cell>
          <cell r="BR12">
            <v>15500000</v>
          </cell>
          <cell r="BS12">
            <v>0</v>
          </cell>
          <cell r="BT12">
            <v>0</v>
          </cell>
          <cell r="BU12">
            <v>557550</v>
          </cell>
          <cell r="BV12">
            <v>16057550</v>
          </cell>
          <cell r="BW12">
            <v>0</v>
          </cell>
          <cell r="BX12">
            <v>0</v>
          </cell>
          <cell r="BY12">
            <v>11278682</v>
          </cell>
          <cell r="BZ12">
            <v>0</v>
          </cell>
          <cell r="CA12">
            <v>0</v>
          </cell>
          <cell r="CB12">
            <v>11278682</v>
          </cell>
          <cell r="CC12">
            <v>0</v>
          </cell>
          <cell r="CD12">
            <v>11278682</v>
          </cell>
          <cell r="CE12">
            <v>0</v>
          </cell>
          <cell r="CF12" t="str">
            <v>medigo.khanh.tran@gmail.com</v>
          </cell>
          <cell r="CG12" t="str">
            <v/>
          </cell>
          <cell r="CH12">
            <v>8</v>
          </cell>
          <cell r="CI12">
            <v>2.5</v>
          </cell>
          <cell r="CJ12">
            <v>22</v>
          </cell>
          <cell r="CK12">
            <v>6</v>
          </cell>
          <cell r="CL12">
            <v>2023</v>
          </cell>
          <cell r="CM12">
            <v>0</v>
          </cell>
          <cell r="CN12">
            <v>-23126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6000000</v>
          </cell>
          <cell r="CW12">
            <v>0</v>
          </cell>
          <cell r="CX12">
            <v>0</v>
          </cell>
          <cell r="CY12" t="str">
            <v>;</v>
          </cell>
          <cell r="CZ12">
            <v>0</v>
          </cell>
          <cell r="DA12" t="str">
            <v>Trần Thị Kim Khánh</v>
          </cell>
          <cell r="DB12">
            <v>29</v>
          </cell>
          <cell r="DC12">
            <v>305.05</v>
          </cell>
          <cell r="DD12">
            <v>0</v>
          </cell>
          <cell r="DE12">
            <v>8851897.3214285709</v>
          </cell>
          <cell r="DF12">
            <v>0</v>
          </cell>
          <cell r="DG12">
            <v>11959597</v>
          </cell>
          <cell r="DH12">
            <v>0</v>
          </cell>
          <cell r="DI12">
            <v>0</v>
          </cell>
        </row>
        <row r="13">
          <cell r="D13" t="str">
            <v>Huỳnh Ngọc Liểu</v>
          </cell>
          <cell r="E13" t="str">
            <v>HĐLĐ</v>
          </cell>
          <cell r="F13" t="str">
            <v>24H</v>
          </cell>
          <cell r="G13" t="str">
            <v>DSBC</v>
          </cell>
          <cell r="H13">
            <v>45278</v>
          </cell>
          <cell r="I13" t="str">
            <v>0111000173413</v>
          </cell>
          <cell r="J13" t="str">
            <v>Vietcombank CN Cần Thơ</v>
          </cell>
          <cell r="K13">
            <v>28</v>
          </cell>
          <cell r="L13">
            <v>28</v>
          </cell>
          <cell r="M13">
            <v>2.5</v>
          </cell>
          <cell r="N13">
            <v>272.58333333333297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5310000</v>
          </cell>
          <cell r="T13">
            <v>500000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6000000</v>
          </cell>
          <cell r="AB13">
            <v>0</v>
          </cell>
          <cell r="AC13">
            <v>0</v>
          </cell>
          <cell r="AD13">
            <v>0</v>
          </cell>
          <cell r="AE13">
            <v>66964.285714285696</v>
          </cell>
          <cell r="AF13">
            <v>10952008.928571399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1622500</v>
          </cell>
          <cell r="AO13">
            <v>2600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13144073.2142857</v>
          </cell>
          <cell r="BF13">
            <v>929250</v>
          </cell>
          <cell r="BG13">
            <v>159300</v>
          </cell>
          <cell r="BH13">
            <v>53100</v>
          </cell>
          <cell r="BI13">
            <v>0</v>
          </cell>
          <cell r="BJ13">
            <v>1141650</v>
          </cell>
          <cell r="BK13">
            <v>424800</v>
          </cell>
          <cell r="BL13">
            <v>79650</v>
          </cell>
          <cell r="BM13">
            <v>53100</v>
          </cell>
          <cell r="BN13">
            <v>0</v>
          </cell>
          <cell r="BO13">
            <v>557550</v>
          </cell>
          <cell r="BP13">
            <v>500000</v>
          </cell>
          <cell r="BQ13">
            <v>12644073.2142857</v>
          </cell>
          <cell r="BR13">
            <v>15500000</v>
          </cell>
          <cell r="BS13">
            <v>0</v>
          </cell>
          <cell r="BT13">
            <v>0</v>
          </cell>
          <cell r="BU13">
            <v>557550</v>
          </cell>
          <cell r="BV13">
            <v>16057550</v>
          </cell>
          <cell r="BW13">
            <v>0</v>
          </cell>
          <cell r="BX13">
            <v>0</v>
          </cell>
          <cell r="BY13">
            <v>12586523</v>
          </cell>
          <cell r="BZ13">
            <v>0</v>
          </cell>
          <cell r="CA13">
            <v>0</v>
          </cell>
          <cell r="CB13">
            <v>12586523</v>
          </cell>
          <cell r="CC13">
            <v>0</v>
          </cell>
          <cell r="CD13">
            <v>12586523</v>
          </cell>
          <cell r="CE13">
            <v>0</v>
          </cell>
          <cell r="CF13" t="str">
            <v>huynhlieu1708@gmail.com</v>
          </cell>
          <cell r="CG13" t="str">
            <v/>
          </cell>
          <cell r="CH13">
            <v>8</v>
          </cell>
          <cell r="CI13" t="e">
            <v>#N/A</v>
          </cell>
          <cell r="CJ13">
            <v>18</v>
          </cell>
          <cell r="CK13">
            <v>12</v>
          </cell>
          <cell r="CL13">
            <v>2023</v>
          </cell>
          <cell r="CM13">
            <v>0</v>
          </cell>
          <cell r="CN13">
            <v>-23132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6000000</v>
          </cell>
          <cell r="CW13">
            <v>0</v>
          </cell>
          <cell r="CX13">
            <v>0</v>
          </cell>
          <cell r="CY13" t="str">
            <v>;</v>
          </cell>
          <cell r="CZ13">
            <v>0</v>
          </cell>
          <cell r="DA13" t="str">
            <v>Huỳnh Ngọc Liểu</v>
          </cell>
          <cell r="DB13">
            <v>28</v>
          </cell>
          <cell r="DC13">
            <v>2.5</v>
          </cell>
          <cell r="DD13">
            <v>272.58333333333297</v>
          </cell>
          <cell r="DE13">
            <v>72544.642857142899</v>
          </cell>
          <cell r="DF13">
            <v>11864676.3392857</v>
          </cell>
          <cell r="DG13">
            <v>13504771</v>
          </cell>
          <cell r="DH13">
            <v>918248</v>
          </cell>
          <cell r="DI13">
            <v>918248</v>
          </cell>
        </row>
        <row r="14">
          <cell r="D14" t="str">
            <v>Phạm Nguyễn Ngọc Quý</v>
          </cell>
          <cell r="E14" t="str">
            <v>HĐLĐ</v>
          </cell>
          <cell r="F14" t="str">
            <v>24H</v>
          </cell>
          <cell r="G14" t="str">
            <v>DSBC</v>
          </cell>
          <cell r="H14" t="str">
            <v>01/11/2024</v>
          </cell>
          <cell r="I14" t="str">
            <v>1026764251</v>
          </cell>
          <cell r="J14" t="str">
            <v>Vietcombank</v>
          </cell>
          <cell r="K14">
            <v>28</v>
          </cell>
          <cell r="L14">
            <v>29</v>
          </cell>
          <cell r="M14">
            <v>251.5</v>
          </cell>
          <cell r="N14">
            <v>56.266666666666701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5310000</v>
          </cell>
          <cell r="T14">
            <v>500000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6000000</v>
          </cell>
          <cell r="AB14">
            <v>0</v>
          </cell>
          <cell r="AC14">
            <v>0</v>
          </cell>
          <cell r="AD14">
            <v>0</v>
          </cell>
          <cell r="AE14">
            <v>6736607.1428571399</v>
          </cell>
          <cell r="AF14">
            <v>2260714.2857142901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1474320</v>
          </cell>
          <cell r="AO14">
            <v>16360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10988001.428571399</v>
          </cell>
          <cell r="BF14">
            <v>929250</v>
          </cell>
          <cell r="BG14">
            <v>159300</v>
          </cell>
          <cell r="BH14">
            <v>53100</v>
          </cell>
          <cell r="BI14">
            <v>0</v>
          </cell>
          <cell r="BJ14">
            <v>1141650</v>
          </cell>
          <cell r="BK14">
            <v>424800</v>
          </cell>
          <cell r="BL14">
            <v>79650</v>
          </cell>
          <cell r="BM14">
            <v>53100</v>
          </cell>
          <cell r="BN14">
            <v>0</v>
          </cell>
          <cell r="BO14">
            <v>557550</v>
          </cell>
          <cell r="BP14">
            <v>500000</v>
          </cell>
          <cell r="BQ14">
            <v>10488001.428571399</v>
          </cell>
          <cell r="BR14">
            <v>15500000</v>
          </cell>
          <cell r="BS14">
            <v>0</v>
          </cell>
          <cell r="BT14">
            <v>0</v>
          </cell>
          <cell r="BU14">
            <v>557550</v>
          </cell>
          <cell r="BV14">
            <v>16057550</v>
          </cell>
          <cell r="BW14">
            <v>0</v>
          </cell>
          <cell r="BX14">
            <v>0</v>
          </cell>
          <cell r="BY14">
            <v>10430451</v>
          </cell>
          <cell r="BZ14">
            <v>0</v>
          </cell>
          <cell r="CA14">
            <v>0</v>
          </cell>
          <cell r="CB14">
            <v>10430451</v>
          </cell>
          <cell r="CC14">
            <v>0</v>
          </cell>
          <cell r="CD14">
            <v>10430451</v>
          </cell>
          <cell r="CE14">
            <v>0</v>
          </cell>
          <cell r="CF14" t="str">
            <v>medigo.quy.pham@gmail.com</v>
          </cell>
          <cell r="CG14" t="str">
            <v/>
          </cell>
          <cell r="CH14">
            <v>6</v>
          </cell>
          <cell r="CI14">
            <v>0</v>
          </cell>
          <cell r="CJ14">
            <v>1</v>
          </cell>
          <cell r="CK14">
            <v>11</v>
          </cell>
          <cell r="CL14">
            <v>2024</v>
          </cell>
          <cell r="CM14">
            <v>0</v>
          </cell>
          <cell r="CN14">
            <v>-23143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6000000</v>
          </cell>
          <cell r="CW14">
            <v>0</v>
          </cell>
          <cell r="CX14">
            <v>0</v>
          </cell>
          <cell r="CY14" t="str">
            <v>;</v>
          </cell>
          <cell r="CZ14">
            <v>0</v>
          </cell>
          <cell r="DA14" t="str">
            <v>Phạm Nguyễn Ngọc Quý</v>
          </cell>
          <cell r="DB14">
            <v>29</v>
          </cell>
          <cell r="DC14">
            <v>251.5</v>
          </cell>
          <cell r="DD14">
            <v>56.266666666666701</v>
          </cell>
          <cell r="DE14">
            <v>6736607.1428571399</v>
          </cell>
          <cell r="DF14">
            <v>2260714.2857142901</v>
          </cell>
          <cell r="DG14">
            <v>10430451</v>
          </cell>
          <cell r="DH14">
            <v>0</v>
          </cell>
          <cell r="DI14">
            <v>0</v>
          </cell>
        </row>
        <row r="15">
          <cell r="D15" t="str">
            <v>Ngô Trần Tuyết Vy</v>
          </cell>
          <cell r="E15" t="str">
            <v>HĐLĐ</v>
          </cell>
          <cell r="F15" t="str">
            <v>24H</v>
          </cell>
          <cell r="G15" t="str">
            <v>DSBC</v>
          </cell>
          <cell r="H15">
            <v>44743</v>
          </cell>
          <cell r="I15" t="str">
            <v>060260188766</v>
          </cell>
          <cell r="J15" t="str">
            <v>Sacombank</v>
          </cell>
          <cell r="K15">
            <v>28</v>
          </cell>
          <cell r="L15">
            <v>26</v>
          </cell>
          <cell r="M15">
            <v>145.55000000000001</v>
          </cell>
          <cell r="N15">
            <v>80.783333333333303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5310000</v>
          </cell>
          <cell r="T15">
            <v>464285.71428571403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6000000</v>
          </cell>
          <cell r="AB15">
            <v>0</v>
          </cell>
          <cell r="AC15">
            <v>0</v>
          </cell>
          <cell r="AD15">
            <v>0</v>
          </cell>
          <cell r="AE15">
            <v>3898660.7142857099</v>
          </cell>
          <cell r="AF15">
            <v>3245758.92857143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1457700</v>
          </cell>
          <cell r="AO15">
            <v>1300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9067705.3571428601</v>
          </cell>
          <cell r="BF15">
            <v>929250</v>
          </cell>
          <cell r="BG15">
            <v>159300</v>
          </cell>
          <cell r="BH15">
            <v>53100</v>
          </cell>
          <cell r="BI15">
            <v>0</v>
          </cell>
          <cell r="BJ15">
            <v>1141650</v>
          </cell>
          <cell r="BK15">
            <v>424800</v>
          </cell>
          <cell r="BL15">
            <v>79650</v>
          </cell>
          <cell r="BM15">
            <v>53100</v>
          </cell>
          <cell r="BN15">
            <v>0</v>
          </cell>
          <cell r="BO15">
            <v>557550</v>
          </cell>
          <cell r="BP15">
            <v>464285.71428571403</v>
          </cell>
          <cell r="BQ15">
            <v>8603419.6428571399</v>
          </cell>
          <cell r="BR15">
            <v>15500000</v>
          </cell>
          <cell r="BS15">
            <v>0</v>
          </cell>
          <cell r="BT15">
            <v>0</v>
          </cell>
          <cell r="BU15">
            <v>557550</v>
          </cell>
          <cell r="BV15">
            <v>16057550</v>
          </cell>
          <cell r="BW15">
            <v>0</v>
          </cell>
          <cell r="BX15">
            <v>0</v>
          </cell>
          <cell r="BY15">
            <v>8510155</v>
          </cell>
          <cell r="BZ15">
            <v>0</v>
          </cell>
          <cell r="CA15">
            <v>0</v>
          </cell>
          <cell r="CB15">
            <v>8510155</v>
          </cell>
          <cell r="CC15">
            <v>0</v>
          </cell>
          <cell r="CD15">
            <v>8510155</v>
          </cell>
          <cell r="CE15">
            <v>0</v>
          </cell>
          <cell r="CF15" t="str">
            <v>vy.ngo@medigoapp.com</v>
          </cell>
          <cell r="CG15" t="str">
            <v/>
          </cell>
          <cell r="CH15">
            <v>3</v>
          </cell>
          <cell r="CI15">
            <v>2.5</v>
          </cell>
          <cell r="CJ15">
            <v>14</v>
          </cell>
          <cell r="CK15">
            <v>2</v>
          </cell>
          <cell r="CL15">
            <v>2021</v>
          </cell>
          <cell r="CM15">
            <v>0</v>
          </cell>
          <cell r="CN15">
            <v>-23098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6000000</v>
          </cell>
          <cell r="CW15">
            <v>0</v>
          </cell>
          <cell r="CX15">
            <v>0</v>
          </cell>
          <cell r="CY15" t="str">
            <v>;</v>
          </cell>
          <cell r="CZ15">
            <v>0</v>
          </cell>
          <cell r="DA15" t="str">
            <v>Ngô Trần Tuyết Vy</v>
          </cell>
          <cell r="DB15">
            <v>26</v>
          </cell>
          <cell r="DC15">
            <v>145.55000000000001</v>
          </cell>
          <cell r="DD15">
            <v>80.783333333333303</v>
          </cell>
          <cell r="DE15">
            <v>5425803.8031249996</v>
          </cell>
          <cell r="DF15">
            <v>4517154.0765624996</v>
          </cell>
          <cell r="DG15">
            <v>11308694</v>
          </cell>
          <cell r="DH15">
            <v>0</v>
          </cell>
          <cell r="DI15">
            <v>0</v>
          </cell>
        </row>
        <row r="16">
          <cell r="D16" t="str">
            <v>Hạ Ngân Khánh</v>
          </cell>
          <cell r="E16" t="str">
            <v>HĐLĐ</v>
          </cell>
          <cell r="F16" t="str">
            <v>24H</v>
          </cell>
          <cell r="G16" t="str">
            <v>DSBC</v>
          </cell>
          <cell r="H16" t="str">
            <v>23/06/2025</v>
          </cell>
          <cell r="I16" t="str">
            <v>109873777758</v>
          </cell>
          <cell r="J16" t="str">
            <v>VietinBank</v>
          </cell>
          <cell r="K16">
            <v>28</v>
          </cell>
          <cell r="L16">
            <v>9</v>
          </cell>
          <cell r="M16">
            <v>7.8666666666666698</v>
          </cell>
          <cell r="N16">
            <v>59.533333333333303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160714.285714286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6000000</v>
          </cell>
          <cell r="AB16">
            <v>0</v>
          </cell>
          <cell r="AC16">
            <v>0</v>
          </cell>
          <cell r="AD16">
            <v>0</v>
          </cell>
          <cell r="AE16">
            <v>210714.285714286</v>
          </cell>
          <cell r="AF16">
            <v>2391964.2857142901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2763392.8571428601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160714.285714286</v>
          </cell>
          <cell r="BQ16">
            <v>2602678.57142857</v>
          </cell>
          <cell r="BR16">
            <v>15500000</v>
          </cell>
          <cell r="BS16">
            <v>0</v>
          </cell>
          <cell r="BT16">
            <v>0</v>
          </cell>
          <cell r="BU16">
            <v>0</v>
          </cell>
          <cell r="BV16">
            <v>15500000</v>
          </cell>
          <cell r="BW16">
            <v>0</v>
          </cell>
          <cell r="BX16">
            <v>0</v>
          </cell>
          <cell r="BY16">
            <v>2763393</v>
          </cell>
          <cell r="BZ16">
            <v>0</v>
          </cell>
          <cell r="CA16">
            <v>0</v>
          </cell>
          <cell r="CB16">
            <v>2763393</v>
          </cell>
          <cell r="CC16">
            <v>0</v>
          </cell>
          <cell r="CD16">
            <v>2763393</v>
          </cell>
          <cell r="CE16">
            <v>0</v>
          </cell>
          <cell r="CF16" t="str">
            <v>medigo.ngankhanh.ha@gmail.com</v>
          </cell>
          <cell r="CG16" t="str">
            <v/>
          </cell>
          <cell r="CH16">
            <v>9</v>
          </cell>
          <cell r="CI16">
            <v>0</v>
          </cell>
          <cell r="CJ16">
            <v>23</v>
          </cell>
          <cell r="CK16">
            <v>6</v>
          </cell>
          <cell r="CL16">
            <v>2025</v>
          </cell>
          <cell r="CM16">
            <v>0</v>
          </cell>
          <cell r="CN16">
            <v>-23150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6000000</v>
          </cell>
          <cell r="CW16">
            <v>0</v>
          </cell>
          <cell r="CX16">
            <v>0</v>
          </cell>
          <cell r="CY16" t="str">
            <v>;</v>
          </cell>
          <cell r="CZ16">
            <v>0</v>
          </cell>
          <cell r="DA16" t="str">
            <v>Hạ Ngân Khánh</v>
          </cell>
          <cell r="DB16">
            <v>9</v>
          </cell>
          <cell r="DC16">
            <v>7.8666666666666698</v>
          </cell>
          <cell r="DD16">
            <v>59.533333333333303</v>
          </cell>
          <cell r="DE16">
            <v>210714.285714286</v>
          </cell>
          <cell r="DF16">
            <v>2391964.2857142901</v>
          </cell>
          <cell r="DG16">
            <v>2763393</v>
          </cell>
          <cell r="DH16">
            <v>0</v>
          </cell>
          <cell r="DI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168</v>
          </cell>
          <cell r="L17">
            <v>145</v>
          </cell>
          <cell r="M17">
            <v>881.06666666666695</v>
          </cell>
          <cell r="N17">
            <v>548.18333333333305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26550000</v>
          </cell>
          <cell r="T17">
            <v>2553571.42857143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36000000</v>
          </cell>
          <cell r="AB17">
            <v>0</v>
          </cell>
          <cell r="AC17">
            <v>0</v>
          </cell>
          <cell r="AD17">
            <v>0</v>
          </cell>
          <cell r="AE17">
            <v>23600000</v>
          </cell>
          <cell r="AF17">
            <v>22025223.214285702</v>
          </cell>
          <cell r="AG17">
            <v>0</v>
          </cell>
          <cell r="AH17">
            <v>0</v>
          </cell>
          <cell r="AI17">
            <v>0</v>
          </cell>
          <cell r="AJ17">
            <v>500000</v>
          </cell>
          <cell r="AK17">
            <v>0</v>
          </cell>
          <cell r="AL17">
            <v>1000000</v>
          </cell>
          <cell r="AM17">
            <v>0</v>
          </cell>
          <cell r="AN17">
            <v>7724960</v>
          </cell>
          <cell r="AO17">
            <v>64410</v>
          </cell>
          <cell r="AP17">
            <v>0</v>
          </cell>
          <cell r="AQ17">
            <v>500000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57968164.642857097</v>
          </cell>
          <cell r="BF17">
            <v>4646250</v>
          </cell>
          <cell r="BG17">
            <v>796500</v>
          </cell>
          <cell r="BH17">
            <v>265500</v>
          </cell>
          <cell r="BI17">
            <v>0</v>
          </cell>
          <cell r="BJ17">
            <v>5708250</v>
          </cell>
          <cell r="BK17">
            <v>2124000</v>
          </cell>
          <cell r="BL17">
            <v>398250</v>
          </cell>
          <cell r="BM17">
            <v>265500</v>
          </cell>
          <cell r="BN17">
            <v>0</v>
          </cell>
          <cell r="BO17">
            <v>2787750</v>
          </cell>
          <cell r="BP17">
            <v>2553571.42857143</v>
          </cell>
          <cell r="BQ17">
            <v>55414593.214285702</v>
          </cell>
          <cell r="BR17">
            <v>93000000</v>
          </cell>
          <cell r="BS17">
            <v>0</v>
          </cell>
          <cell r="BT17">
            <v>0</v>
          </cell>
          <cell r="BU17">
            <v>2787750</v>
          </cell>
          <cell r="BV17">
            <v>95787750</v>
          </cell>
          <cell r="BW17">
            <v>0</v>
          </cell>
          <cell r="BX17">
            <v>0</v>
          </cell>
          <cell r="BY17">
            <v>55180414</v>
          </cell>
          <cell r="BZ17">
            <v>0</v>
          </cell>
          <cell r="CA17">
            <v>0</v>
          </cell>
          <cell r="CB17">
            <v>55180414</v>
          </cell>
          <cell r="CC17">
            <v>0</v>
          </cell>
          <cell r="CD17">
            <v>55180414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 t="e">
            <v>#N/A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 t="e">
            <v>#N/A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</row>
        <row r="18">
          <cell r="D18" t="str">
            <v>Phạm Thị Nghĩa Hương</v>
          </cell>
          <cell r="E18" t="str">
            <v>HĐLĐ</v>
          </cell>
          <cell r="F18" t="str">
            <v>Đỗ Quang Đẩu</v>
          </cell>
          <cell r="G18" t="str">
            <v>DSBC</v>
          </cell>
          <cell r="H18">
            <v>45575</v>
          </cell>
          <cell r="I18" t="str">
            <v>0968249073</v>
          </cell>
          <cell r="J18" t="str">
            <v>Mb bank</v>
          </cell>
          <cell r="K18">
            <v>28</v>
          </cell>
          <cell r="L18">
            <v>15</v>
          </cell>
          <cell r="M18">
            <v>106.466666666667</v>
          </cell>
          <cell r="N18">
            <v>40.0833333333333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5310000</v>
          </cell>
          <cell r="T18">
            <v>267857.14285714302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6000000</v>
          </cell>
          <cell r="AB18">
            <v>0</v>
          </cell>
          <cell r="AC18">
            <v>0</v>
          </cell>
          <cell r="AD18">
            <v>0</v>
          </cell>
          <cell r="AE18">
            <v>2851785.7142857099</v>
          </cell>
          <cell r="AF18">
            <v>1610491.07142857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46000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200000</v>
          </cell>
          <cell r="BA18">
            <v>0</v>
          </cell>
          <cell r="BB18">
            <v>300000</v>
          </cell>
          <cell r="BC18">
            <v>0</v>
          </cell>
          <cell r="BD18">
            <v>0</v>
          </cell>
          <cell r="BE18">
            <v>4276133.92857143</v>
          </cell>
          <cell r="BF18">
            <v>929250</v>
          </cell>
          <cell r="BG18">
            <v>46875</v>
          </cell>
          <cell r="BH18">
            <v>8035.7142857142899</v>
          </cell>
          <cell r="BI18">
            <v>0</v>
          </cell>
          <cell r="BJ18">
            <v>0</v>
          </cell>
          <cell r="BK18">
            <v>54910.714285714297</v>
          </cell>
          <cell r="BL18">
            <v>21428.571428571398</v>
          </cell>
          <cell r="BM18">
            <v>4017.8571428571399</v>
          </cell>
          <cell r="BN18">
            <v>0</v>
          </cell>
          <cell r="BO18">
            <v>80357.142857142899</v>
          </cell>
          <cell r="BP18">
            <v>105803.571428571</v>
          </cell>
          <cell r="BQ18">
            <v>4170330.3571428601</v>
          </cell>
          <cell r="BR18">
            <v>15500000</v>
          </cell>
          <cell r="BS18">
            <v>0</v>
          </cell>
          <cell r="BT18">
            <v>0</v>
          </cell>
          <cell r="BU18">
            <v>80357.142857142899</v>
          </cell>
          <cell r="BV18">
            <v>15580357.142857101</v>
          </cell>
          <cell r="BW18">
            <v>0</v>
          </cell>
          <cell r="BX18">
            <v>0</v>
          </cell>
          <cell r="BY18">
            <v>4195777</v>
          </cell>
          <cell r="BZ18">
            <v>0</v>
          </cell>
          <cell r="CA18">
            <v>0</v>
          </cell>
          <cell r="CB18">
            <v>4195777</v>
          </cell>
          <cell r="CC18">
            <v>0</v>
          </cell>
          <cell r="CD18">
            <v>4195777</v>
          </cell>
          <cell r="CE18">
            <v>0</v>
          </cell>
          <cell r="CF18" t="str">
            <v>medigo.huong.pham@gmail.com</v>
          </cell>
          <cell r="CG18" t="str">
            <v>Không báo cáo tiền lấy két chạy hàng ca 3- 03/04/2026: 100.000đ
Xuất HD1031338 quá thời gian : 100.000đ</v>
          </cell>
          <cell r="CH18">
            <v>10</v>
          </cell>
          <cell r="CI18">
            <v>2.5</v>
          </cell>
          <cell r="CJ18">
            <v>10</v>
          </cell>
          <cell r="CK18">
            <v>10</v>
          </cell>
          <cell r="CL18">
            <v>2024</v>
          </cell>
          <cell r="CM18">
            <v>0</v>
          </cell>
          <cell r="CN18">
            <v>17</v>
          </cell>
          <cell r="CO18">
            <v>0</v>
          </cell>
          <cell r="CP18">
            <v>0</v>
          </cell>
          <cell r="CQ18">
            <v>1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6000000</v>
          </cell>
          <cell r="CW18">
            <v>0</v>
          </cell>
          <cell r="CX18" t="str">
            <v>Không báo cáo tiền lấy két chạy hàng ca 3- 03/04/2026: 100.000đ
Xuất HD1031338 quá thời gian : 100.000đ</v>
          </cell>
          <cell r="CY18" t="str">
            <v>; Không báo cáo tiền lấy két chạy hàng ca 3- 03/04/2026: 100.000đ
Xuất HD1031338 quá thời gian : 100.000đ</v>
          </cell>
          <cell r="CZ18">
            <v>0</v>
          </cell>
          <cell r="DA18" t="str">
            <v>Phạm Thị Nghĩa Hương</v>
          </cell>
          <cell r="DB18">
            <v>15</v>
          </cell>
          <cell r="DC18">
            <v>106.466666666667</v>
          </cell>
          <cell r="DD18">
            <v>40.0833333333333</v>
          </cell>
          <cell r="DE18">
            <v>2851785.7142857099</v>
          </cell>
          <cell r="DF18">
            <v>1610491.07142857</v>
          </cell>
          <cell r="DG18">
            <v>4195777</v>
          </cell>
          <cell r="DH18">
            <v>0</v>
          </cell>
          <cell r="DI18">
            <v>0</v>
          </cell>
        </row>
        <row r="19">
          <cell r="D19" t="str">
            <v>Huỳnh Thị Kim Ngân</v>
          </cell>
          <cell r="E19" t="str">
            <v>HĐLĐ</v>
          </cell>
          <cell r="F19" t="str">
            <v>Đỗ Quang Đẩu</v>
          </cell>
          <cell r="G19" t="str">
            <v>DSBC</v>
          </cell>
          <cell r="H19" t="str">
            <v>4/9/2024</v>
          </cell>
          <cell r="I19" t="str">
            <v>00199839396666</v>
          </cell>
          <cell r="J19" t="str">
            <v>MB Bank</v>
          </cell>
          <cell r="K19">
            <v>28</v>
          </cell>
          <cell r="L19">
            <v>14</v>
          </cell>
          <cell r="M19">
            <v>75.45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5310000</v>
          </cell>
          <cell r="T19">
            <v>250000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6000000</v>
          </cell>
          <cell r="AB19">
            <v>0</v>
          </cell>
          <cell r="AC19">
            <v>0</v>
          </cell>
          <cell r="AD19">
            <v>0</v>
          </cell>
          <cell r="AE19">
            <v>2020982.1428571399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188400</v>
          </cell>
          <cell r="AO19">
            <v>11565</v>
          </cell>
          <cell r="AP19">
            <v>0</v>
          </cell>
          <cell r="AQ19">
            <v>316780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2787727.1428571399</v>
          </cell>
          <cell r="BF19">
            <v>929250</v>
          </cell>
          <cell r="BG19">
            <v>159300</v>
          </cell>
          <cell r="BH19">
            <v>53100</v>
          </cell>
          <cell r="BI19">
            <v>0</v>
          </cell>
          <cell r="BJ19">
            <v>1141650</v>
          </cell>
          <cell r="BK19">
            <v>424800</v>
          </cell>
          <cell r="BL19">
            <v>79650</v>
          </cell>
          <cell r="BM19">
            <v>53100</v>
          </cell>
          <cell r="BN19">
            <v>0</v>
          </cell>
          <cell r="BO19">
            <v>557550</v>
          </cell>
          <cell r="BP19">
            <v>250000</v>
          </cell>
          <cell r="BQ19">
            <v>2537727.1428571399</v>
          </cell>
          <cell r="BR19">
            <v>15500000</v>
          </cell>
          <cell r="BS19">
            <v>0</v>
          </cell>
          <cell r="BT19">
            <v>0</v>
          </cell>
          <cell r="BU19">
            <v>557550</v>
          </cell>
          <cell r="BV19">
            <v>16057550</v>
          </cell>
          <cell r="BW19">
            <v>0</v>
          </cell>
          <cell r="BX19">
            <v>0</v>
          </cell>
          <cell r="BY19">
            <v>2230177</v>
          </cell>
          <cell r="BZ19">
            <v>0</v>
          </cell>
          <cell r="CA19">
            <v>0</v>
          </cell>
          <cell r="CB19">
            <v>2230177</v>
          </cell>
          <cell r="CC19">
            <v>0</v>
          </cell>
          <cell r="CD19">
            <v>2230177</v>
          </cell>
          <cell r="CE19">
            <v>0</v>
          </cell>
          <cell r="CF19" t="str">
            <v>medigo.ngan.huynh@gmail.com</v>
          </cell>
          <cell r="CG19" t="str">
            <v>.</v>
          </cell>
          <cell r="CH19">
            <v>7</v>
          </cell>
          <cell r="CI19">
            <v>0</v>
          </cell>
          <cell r="CJ19">
            <v>4</v>
          </cell>
          <cell r="CK19">
            <v>9</v>
          </cell>
          <cell r="CL19">
            <v>2024</v>
          </cell>
          <cell r="CM19">
            <v>0</v>
          </cell>
          <cell r="CN19">
            <v>-23141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6000000</v>
          </cell>
          <cell r="CW19">
            <v>0</v>
          </cell>
          <cell r="CX19" t="str">
            <v>.</v>
          </cell>
          <cell r="CY19" t="str">
            <v>; .</v>
          </cell>
          <cell r="CZ19">
            <v>0</v>
          </cell>
          <cell r="DA19" t="str">
            <v>Huỳnh Thị Kim Ngân</v>
          </cell>
          <cell r="DB19">
            <v>9</v>
          </cell>
          <cell r="DC19">
            <v>75.45</v>
          </cell>
          <cell r="DD19">
            <v>0</v>
          </cell>
          <cell r="DE19">
            <v>2020982.1428571399</v>
          </cell>
          <cell r="DF19">
            <v>0</v>
          </cell>
          <cell r="DG19">
            <v>2140891</v>
          </cell>
          <cell r="DH19">
            <v>89286</v>
          </cell>
          <cell r="DI19">
            <v>89286</v>
          </cell>
        </row>
        <row r="20">
          <cell r="D20" t="str">
            <v>Trần Thiên Phát</v>
          </cell>
          <cell r="E20" t="str">
            <v>HĐLĐ</v>
          </cell>
          <cell r="F20" t="str">
            <v>Đỗ Quang Đẩu</v>
          </cell>
          <cell r="G20" t="str">
            <v>DSBC</v>
          </cell>
          <cell r="H20" t="str">
            <v>21/07/2025</v>
          </cell>
          <cell r="I20" t="str">
            <v>0345611564</v>
          </cell>
          <cell r="J20" t="str">
            <v>Mbbank</v>
          </cell>
          <cell r="K20">
            <v>28</v>
          </cell>
          <cell r="L20">
            <v>30</v>
          </cell>
          <cell r="M20">
            <v>16</v>
          </cell>
          <cell r="N20">
            <v>280.89999999999998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5310000</v>
          </cell>
          <cell r="T20">
            <v>500000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6000000</v>
          </cell>
          <cell r="AB20">
            <v>0</v>
          </cell>
          <cell r="AC20">
            <v>0</v>
          </cell>
          <cell r="AD20">
            <v>0</v>
          </cell>
          <cell r="AE20">
            <v>428571.42857142899</v>
          </cell>
          <cell r="AF20">
            <v>11286160.7142857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568400</v>
          </cell>
          <cell r="AO20">
            <v>17225</v>
          </cell>
          <cell r="AP20">
            <v>0</v>
          </cell>
          <cell r="AQ20">
            <v>571068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127200</v>
          </cell>
          <cell r="BB20">
            <v>0</v>
          </cell>
          <cell r="BC20">
            <v>0</v>
          </cell>
          <cell r="BD20">
            <v>0</v>
          </cell>
          <cell r="BE20">
            <v>13244225.142857101</v>
          </cell>
          <cell r="BF20">
            <v>929250</v>
          </cell>
          <cell r="BG20">
            <v>159300</v>
          </cell>
          <cell r="BH20">
            <v>53100</v>
          </cell>
          <cell r="BI20">
            <v>0</v>
          </cell>
          <cell r="BJ20">
            <v>1141650</v>
          </cell>
          <cell r="BK20">
            <v>424800</v>
          </cell>
          <cell r="BL20">
            <v>79650</v>
          </cell>
          <cell r="BM20">
            <v>53100</v>
          </cell>
          <cell r="BN20">
            <v>0</v>
          </cell>
          <cell r="BO20">
            <v>557550</v>
          </cell>
          <cell r="BP20">
            <v>500000</v>
          </cell>
          <cell r="BQ20">
            <v>12744225.142857101</v>
          </cell>
          <cell r="BR20">
            <v>15500000</v>
          </cell>
          <cell r="BS20">
            <v>0</v>
          </cell>
          <cell r="BT20">
            <v>0</v>
          </cell>
          <cell r="BU20">
            <v>557550</v>
          </cell>
          <cell r="BV20">
            <v>16057550</v>
          </cell>
          <cell r="BW20">
            <v>0</v>
          </cell>
          <cell r="BX20">
            <v>0</v>
          </cell>
          <cell r="BY20">
            <v>12686675</v>
          </cell>
          <cell r="BZ20">
            <v>0</v>
          </cell>
          <cell r="CA20">
            <v>0</v>
          </cell>
          <cell r="CB20">
            <v>12686675</v>
          </cell>
          <cell r="CC20">
            <v>0</v>
          </cell>
          <cell r="CD20">
            <v>12686675</v>
          </cell>
          <cell r="CE20">
            <v>0</v>
          </cell>
          <cell r="CF20" t="str">
            <v>medigo.thienphat.tran@gmail.com</v>
          </cell>
          <cell r="CG20" t="str">
            <v>quên nhập mã giảm giá 2,000d- 76M185OV : 127.200</v>
          </cell>
          <cell r="CH20">
            <v>8</v>
          </cell>
          <cell r="CI20">
            <v>0</v>
          </cell>
          <cell r="CJ20">
            <v>21</v>
          </cell>
          <cell r="CK20">
            <v>7</v>
          </cell>
          <cell r="CL20">
            <v>2025</v>
          </cell>
          <cell r="CM20">
            <v>0</v>
          </cell>
          <cell r="CN20">
            <v>-23151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6000000</v>
          </cell>
          <cell r="CW20">
            <v>0</v>
          </cell>
          <cell r="CX20" t="str">
            <v>quên nhập mã giảm giá 2,000d- 76M185OV : 127.200</v>
          </cell>
          <cell r="CY20" t="str">
            <v>; quên nhập mã giảm giá 2,000d- 76M185OV : 127.200</v>
          </cell>
          <cell r="CZ20">
            <v>0</v>
          </cell>
          <cell r="DA20" t="str">
            <v>Trần Thiên Phát</v>
          </cell>
          <cell r="DB20">
            <v>30</v>
          </cell>
          <cell r="DC20">
            <v>16</v>
          </cell>
          <cell r="DD20">
            <v>280.89999999999998</v>
          </cell>
          <cell r="DE20">
            <v>428571.42857142899</v>
          </cell>
          <cell r="DF20">
            <v>11286160.7142857</v>
          </cell>
          <cell r="DG20">
            <v>12686675</v>
          </cell>
          <cell r="DH20">
            <v>0</v>
          </cell>
          <cell r="DI20">
            <v>0</v>
          </cell>
        </row>
        <row r="21">
          <cell r="D21" t="str">
            <v>Ngô Thị Thanh Thắm</v>
          </cell>
          <cell r="E21" t="str">
            <v>HĐLĐ</v>
          </cell>
          <cell r="F21" t="str">
            <v>Đỗ Quang Đẩu</v>
          </cell>
          <cell r="G21" t="str">
            <v>CHT</v>
          </cell>
          <cell r="H21">
            <v>45524</v>
          </cell>
          <cell r="I21" t="str">
            <v>0431000219840</v>
          </cell>
          <cell r="J21" t="str">
            <v>Vietcombank</v>
          </cell>
          <cell r="K21">
            <v>28</v>
          </cell>
          <cell r="L21">
            <v>29</v>
          </cell>
          <cell r="M21">
            <v>286.89999999999998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5310000</v>
          </cell>
          <cell r="T21">
            <v>500000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6000000</v>
          </cell>
          <cell r="AB21">
            <v>0</v>
          </cell>
          <cell r="AC21">
            <v>0</v>
          </cell>
          <cell r="AD21">
            <v>0</v>
          </cell>
          <cell r="AE21">
            <v>7684821.42857143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1000000</v>
          </cell>
          <cell r="AK21">
            <v>0</v>
          </cell>
          <cell r="AL21">
            <v>0</v>
          </cell>
          <cell r="AM21">
            <v>0</v>
          </cell>
          <cell r="AN21">
            <v>579200</v>
          </cell>
          <cell r="AO21">
            <v>4730</v>
          </cell>
          <cell r="AP21">
            <v>0</v>
          </cell>
          <cell r="AQ21">
            <v>2153520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11922271.428571399</v>
          </cell>
          <cell r="BF21">
            <v>929250</v>
          </cell>
          <cell r="BG21">
            <v>159300</v>
          </cell>
          <cell r="BH21">
            <v>53100</v>
          </cell>
          <cell r="BI21">
            <v>0</v>
          </cell>
          <cell r="BJ21">
            <v>1141650</v>
          </cell>
          <cell r="BK21">
            <v>424800</v>
          </cell>
          <cell r="BL21">
            <v>79650</v>
          </cell>
          <cell r="BM21">
            <v>53100</v>
          </cell>
          <cell r="BN21">
            <v>0</v>
          </cell>
          <cell r="BO21">
            <v>557550</v>
          </cell>
          <cell r="BP21">
            <v>500000</v>
          </cell>
          <cell r="BQ21">
            <v>11422271.428571399</v>
          </cell>
          <cell r="BR21">
            <v>15500000</v>
          </cell>
          <cell r="BS21">
            <v>0</v>
          </cell>
          <cell r="BT21">
            <v>0</v>
          </cell>
          <cell r="BU21">
            <v>557550</v>
          </cell>
          <cell r="BV21">
            <v>16057550</v>
          </cell>
          <cell r="BW21">
            <v>0</v>
          </cell>
          <cell r="BX21">
            <v>0</v>
          </cell>
          <cell r="BY21">
            <v>11364721</v>
          </cell>
          <cell r="BZ21">
            <v>0</v>
          </cell>
          <cell r="CA21">
            <v>0</v>
          </cell>
          <cell r="CB21">
            <v>11364721</v>
          </cell>
          <cell r="CC21">
            <v>0</v>
          </cell>
          <cell r="CD21">
            <v>11364721</v>
          </cell>
          <cell r="CE21">
            <v>0</v>
          </cell>
          <cell r="CF21" t="str">
            <v>medigo.tham.ngo@gmail.com</v>
          </cell>
          <cell r="CG21" t="str">
            <v/>
          </cell>
          <cell r="CH21">
            <v>12</v>
          </cell>
          <cell r="CI21">
            <v>0</v>
          </cell>
          <cell r="CJ21">
            <v>20</v>
          </cell>
          <cell r="CK21">
            <v>8</v>
          </cell>
          <cell r="CL21">
            <v>2024</v>
          </cell>
          <cell r="CM21">
            <v>0</v>
          </cell>
          <cell r="CN21">
            <v>-23140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6000000</v>
          </cell>
          <cell r="CW21">
            <v>0</v>
          </cell>
          <cell r="CX21" t="str">
            <v/>
          </cell>
          <cell r="CY21" t="str">
            <v>;</v>
          </cell>
          <cell r="CZ21">
            <v>0</v>
          </cell>
          <cell r="DA21" t="str">
            <v>Ngô Thị Thanh Thắm</v>
          </cell>
          <cell r="DB21">
            <v>29</v>
          </cell>
          <cell r="DC21">
            <v>286.89999999999998</v>
          </cell>
          <cell r="DD21">
            <v>0</v>
          </cell>
          <cell r="DE21">
            <v>7684821.42857143</v>
          </cell>
          <cell r="DF21">
            <v>0</v>
          </cell>
          <cell r="DG21">
            <v>11364721</v>
          </cell>
          <cell r="DH21">
            <v>0</v>
          </cell>
          <cell r="DI21">
            <v>0</v>
          </cell>
        </row>
        <row r="22">
          <cell r="D22" t="str">
            <v>Hoàng Thanh Thủy</v>
          </cell>
          <cell r="E22" t="str">
            <v>HĐLĐ</v>
          </cell>
          <cell r="F22" t="str">
            <v>Đỗ Quang Đẩu</v>
          </cell>
          <cell r="G22" t="str">
            <v>DSBC</v>
          </cell>
          <cell r="H22" t="str">
            <v>27/10/2025</v>
          </cell>
          <cell r="I22" t="str">
            <v>615704060127761</v>
          </cell>
          <cell r="J22" t="str">
            <v>VIB</v>
          </cell>
          <cell r="K22">
            <v>28</v>
          </cell>
          <cell r="L22">
            <v>28</v>
          </cell>
          <cell r="M22">
            <v>277.3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5310000</v>
          </cell>
          <cell r="T22">
            <v>500000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6000000</v>
          </cell>
          <cell r="AB22">
            <v>0</v>
          </cell>
          <cell r="AC22">
            <v>0</v>
          </cell>
          <cell r="AD22">
            <v>0</v>
          </cell>
          <cell r="AE22">
            <v>7427678.57142857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1009864</v>
          </cell>
          <cell r="AO22">
            <v>13165</v>
          </cell>
          <cell r="AP22">
            <v>0</v>
          </cell>
          <cell r="AQ22">
            <v>3278424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12229131.571428601</v>
          </cell>
          <cell r="BF22">
            <v>929250</v>
          </cell>
          <cell r="BG22">
            <v>159300</v>
          </cell>
          <cell r="BH22">
            <v>53100</v>
          </cell>
          <cell r="BI22">
            <v>0</v>
          </cell>
          <cell r="BJ22">
            <v>1141650</v>
          </cell>
          <cell r="BK22">
            <v>424800</v>
          </cell>
          <cell r="BL22">
            <v>79650</v>
          </cell>
          <cell r="BM22">
            <v>53100</v>
          </cell>
          <cell r="BN22">
            <v>0</v>
          </cell>
          <cell r="BO22">
            <v>557550</v>
          </cell>
          <cell r="BP22">
            <v>500000</v>
          </cell>
          <cell r="BQ22">
            <v>11729131.571428601</v>
          </cell>
          <cell r="BR22">
            <v>15500000</v>
          </cell>
          <cell r="BS22">
            <v>0</v>
          </cell>
          <cell r="BT22">
            <v>0</v>
          </cell>
          <cell r="BU22">
            <v>557550</v>
          </cell>
          <cell r="BV22">
            <v>16057550</v>
          </cell>
          <cell r="BW22">
            <v>0</v>
          </cell>
          <cell r="BX22">
            <v>0</v>
          </cell>
          <cell r="BY22">
            <v>11671582</v>
          </cell>
          <cell r="BZ22">
            <v>0</v>
          </cell>
          <cell r="CA22">
            <v>0</v>
          </cell>
          <cell r="CB22">
            <v>11671582</v>
          </cell>
          <cell r="CC22">
            <v>0</v>
          </cell>
          <cell r="CD22">
            <v>11671582</v>
          </cell>
          <cell r="CE22">
            <v>0</v>
          </cell>
          <cell r="CF22" t="str">
            <v>thuy.hoang@medigoapp.com</v>
          </cell>
          <cell r="CG22" t="str">
            <v/>
          </cell>
          <cell r="CH22">
            <v>3</v>
          </cell>
          <cell r="CI22">
            <v>2.5</v>
          </cell>
          <cell r="CJ22">
            <v>27</v>
          </cell>
          <cell r="CK22">
            <v>10</v>
          </cell>
          <cell r="CL22">
            <v>2025</v>
          </cell>
          <cell r="CM22">
            <v>0</v>
          </cell>
          <cell r="CN22">
            <v>-23154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6000000</v>
          </cell>
          <cell r="CW22">
            <v>0</v>
          </cell>
          <cell r="CX22" t="str">
            <v/>
          </cell>
          <cell r="CY22" t="str">
            <v>;</v>
          </cell>
          <cell r="CZ22">
            <v>0</v>
          </cell>
          <cell r="DA22" t="str">
            <v>Hoàng Thanh Thủy</v>
          </cell>
          <cell r="DB22">
            <v>28</v>
          </cell>
          <cell r="DC22">
            <v>277.3</v>
          </cell>
          <cell r="DD22">
            <v>0</v>
          </cell>
          <cell r="DE22">
            <v>7427678.57142857</v>
          </cell>
          <cell r="DF22">
            <v>0</v>
          </cell>
          <cell r="DG22">
            <v>11671582</v>
          </cell>
          <cell r="DH22">
            <v>0</v>
          </cell>
          <cell r="DI22">
            <v>0</v>
          </cell>
        </row>
        <row r="23">
          <cell r="D23" t="str">
            <v>Lê Thị Huyền Trân</v>
          </cell>
          <cell r="E23" t="str">
            <v>HĐLĐ</v>
          </cell>
          <cell r="F23" t="str">
            <v>Đỗ Quang Đẩu</v>
          </cell>
          <cell r="G23" t="str">
            <v>DSBC</v>
          </cell>
          <cell r="H23">
            <v>45510</v>
          </cell>
          <cell r="I23" t="str">
            <v>03130767201</v>
          </cell>
          <cell r="J23" t="str">
            <v>Tiên Phong Bank</v>
          </cell>
          <cell r="K23">
            <v>28</v>
          </cell>
          <cell r="L23">
            <v>27</v>
          </cell>
          <cell r="M23">
            <v>264.73333333333301</v>
          </cell>
          <cell r="N23">
            <v>8.0833333333333304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5310000</v>
          </cell>
          <cell r="T23">
            <v>482142.85714285698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6000000</v>
          </cell>
          <cell r="AB23">
            <v>0</v>
          </cell>
          <cell r="AC23">
            <v>0</v>
          </cell>
          <cell r="AD23">
            <v>0</v>
          </cell>
          <cell r="AE23">
            <v>7091071.42857143</v>
          </cell>
          <cell r="AF23">
            <v>324776.78571428597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2412739</v>
          </cell>
          <cell r="AN23">
            <v>874300</v>
          </cell>
          <cell r="AO23">
            <v>5640</v>
          </cell>
          <cell r="AP23">
            <v>0</v>
          </cell>
          <cell r="AQ23">
            <v>1835748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13026418.071428601</v>
          </cell>
          <cell r="BF23">
            <v>929250</v>
          </cell>
          <cell r="BG23">
            <v>159300</v>
          </cell>
          <cell r="BH23">
            <v>53100</v>
          </cell>
          <cell r="BI23">
            <v>0</v>
          </cell>
          <cell r="BJ23">
            <v>1141650</v>
          </cell>
          <cell r="BK23">
            <v>424800</v>
          </cell>
          <cell r="BL23">
            <v>79650</v>
          </cell>
          <cell r="BM23">
            <v>53100</v>
          </cell>
          <cell r="BN23">
            <v>0</v>
          </cell>
          <cell r="BO23">
            <v>557550</v>
          </cell>
          <cell r="BP23">
            <v>482142.85714285698</v>
          </cell>
          <cell r="BQ23">
            <v>12544275.2142857</v>
          </cell>
          <cell r="BR23">
            <v>15500000</v>
          </cell>
          <cell r="BS23">
            <v>0</v>
          </cell>
          <cell r="BT23">
            <v>0</v>
          </cell>
          <cell r="BU23">
            <v>557550</v>
          </cell>
          <cell r="BV23">
            <v>16057550</v>
          </cell>
          <cell r="BW23">
            <v>0</v>
          </cell>
          <cell r="BX23">
            <v>0</v>
          </cell>
          <cell r="BY23">
            <v>12468868</v>
          </cell>
          <cell r="BZ23">
            <v>0</v>
          </cell>
          <cell r="CA23">
            <v>0</v>
          </cell>
          <cell r="CB23">
            <v>12468868</v>
          </cell>
          <cell r="CC23">
            <v>0</v>
          </cell>
          <cell r="CD23">
            <v>12468868</v>
          </cell>
          <cell r="CE23">
            <v>0</v>
          </cell>
          <cell r="CF23" t="str">
            <v>medigo.tran.le@gmail.com</v>
          </cell>
          <cell r="CG23" t="str">
            <v/>
          </cell>
          <cell r="CH23">
            <v>1</v>
          </cell>
          <cell r="CI23">
            <v>2.5</v>
          </cell>
          <cell r="CJ23">
            <v>6</v>
          </cell>
          <cell r="CK23">
            <v>8</v>
          </cell>
          <cell r="CL23">
            <v>2024</v>
          </cell>
          <cell r="CM23">
            <v>0</v>
          </cell>
          <cell r="CN23">
            <v>-23140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6000000</v>
          </cell>
          <cell r="CW23">
            <v>0</v>
          </cell>
          <cell r="CX23" t="str">
            <v/>
          </cell>
          <cell r="CY23" t="str">
            <v>;</v>
          </cell>
          <cell r="CZ23">
            <v>0</v>
          </cell>
          <cell r="DA23" t="str">
            <v>Lê Thị Huyền Trân</v>
          </cell>
          <cell r="DB23">
            <v>27</v>
          </cell>
          <cell r="DC23">
            <v>264.73333333333301</v>
          </cell>
          <cell r="DD23">
            <v>8.0833333333333304</v>
          </cell>
          <cell r="DE23">
            <v>7091071.42857143</v>
          </cell>
          <cell r="DF23">
            <v>324776.78571428597</v>
          </cell>
          <cell r="DG23">
            <v>12468868</v>
          </cell>
          <cell r="DH23">
            <v>0</v>
          </cell>
          <cell r="DI23">
            <v>0</v>
          </cell>
        </row>
        <row r="24">
          <cell r="D24" t="str">
            <v>Nguyễn Thị Phương Linh</v>
          </cell>
          <cell r="E24" t="str">
            <v>HĐTV</v>
          </cell>
          <cell r="F24" t="str">
            <v>Đỗ Quang Đẩu</v>
          </cell>
          <cell r="G24" t="str">
            <v>DSTV</v>
          </cell>
          <cell r="H24" t="str">
            <v>16/3/2026</v>
          </cell>
          <cell r="I24" t="str">
            <v>104872776864</v>
          </cell>
          <cell r="J24" t="str">
            <v>VietinBank</v>
          </cell>
          <cell r="K24">
            <v>28</v>
          </cell>
          <cell r="L24">
            <v>10</v>
          </cell>
          <cell r="M24">
            <v>85.15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178571.42857142899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5100000</v>
          </cell>
          <cell r="AB24">
            <v>0</v>
          </cell>
          <cell r="AC24">
            <v>0</v>
          </cell>
          <cell r="AD24">
            <v>0</v>
          </cell>
          <cell r="AE24">
            <v>1938683.0357142901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448100</v>
          </cell>
          <cell r="AO24">
            <v>13365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2578719.4642857099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178571.42857142899</v>
          </cell>
          <cell r="BQ24">
            <v>2400148.0357142901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2400148.0357142901</v>
          </cell>
          <cell r="BX24">
            <v>240014.80357142899</v>
          </cell>
          <cell r="BY24">
            <v>2338705</v>
          </cell>
          <cell r="BZ24">
            <v>0</v>
          </cell>
          <cell r="CA24">
            <v>0</v>
          </cell>
          <cell r="CB24">
            <v>2338705</v>
          </cell>
          <cell r="CC24">
            <v>0</v>
          </cell>
          <cell r="CD24">
            <v>2338705</v>
          </cell>
          <cell r="CE24">
            <v>0</v>
          </cell>
          <cell r="CF24" t="str">
            <v>linh.nguyen@medigoapp.com</v>
          </cell>
          <cell r="CG24" t="str">
            <v/>
          </cell>
          <cell r="CH24">
            <v>10</v>
          </cell>
          <cell r="CI24">
            <v>4.5</v>
          </cell>
          <cell r="CJ24">
            <v>16</v>
          </cell>
          <cell r="CK24">
            <v>3</v>
          </cell>
          <cell r="CL24">
            <v>2026</v>
          </cell>
          <cell r="CM24">
            <v>0</v>
          </cell>
          <cell r="CN24">
            <v>-23159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5100000</v>
          </cell>
          <cell r="CW24">
            <v>0</v>
          </cell>
          <cell r="CX24" t="str">
            <v/>
          </cell>
          <cell r="CY24" t="str">
            <v>;</v>
          </cell>
          <cell r="CZ24">
            <v>0</v>
          </cell>
          <cell r="DA24" t="str">
            <v>Nguyễn Thị Phương Linh</v>
          </cell>
          <cell r="DB24">
            <v>10</v>
          </cell>
          <cell r="DC24">
            <v>85.15</v>
          </cell>
          <cell r="DD24">
            <v>0</v>
          </cell>
          <cell r="DE24">
            <v>1938683.0357142901</v>
          </cell>
          <cell r="DF24">
            <v>0</v>
          </cell>
          <cell r="DG24">
            <v>2338705</v>
          </cell>
          <cell r="DH24">
            <v>0</v>
          </cell>
          <cell r="DI24">
            <v>0</v>
          </cell>
        </row>
        <row r="25">
          <cell r="D25" t="str">
            <v>Tống Xuân Giang</v>
          </cell>
          <cell r="E25" t="str">
            <v>HĐTV</v>
          </cell>
          <cell r="F25" t="str">
            <v>Đỗ Quang Đẩu</v>
          </cell>
          <cell r="G25" t="str">
            <v>DSTV</v>
          </cell>
          <cell r="H25" t="str">
            <v>10/3/2026</v>
          </cell>
          <cell r="I25" t="str">
            <v>0121000876739</v>
          </cell>
          <cell r="J25" t="str">
            <v>Vietcombank</v>
          </cell>
          <cell r="K25">
            <v>28</v>
          </cell>
          <cell r="L25">
            <v>26</v>
          </cell>
          <cell r="M25">
            <v>18.116666666666699</v>
          </cell>
          <cell r="N25">
            <v>240.083333333333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464285.71428571403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5100000</v>
          </cell>
          <cell r="AB25">
            <v>0</v>
          </cell>
          <cell r="AC25">
            <v>0</v>
          </cell>
          <cell r="AD25">
            <v>0</v>
          </cell>
          <cell r="AE25">
            <v>412477.67857142899</v>
          </cell>
          <cell r="AF25">
            <v>8199274.55357143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306800</v>
          </cell>
          <cell r="AO25">
            <v>4020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56200</v>
          </cell>
          <cell r="BB25">
            <v>0</v>
          </cell>
          <cell r="BC25">
            <v>0</v>
          </cell>
          <cell r="BD25">
            <v>0</v>
          </cell>
          <cell r="BE25">
            <v>9330657.9464285709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464285.71428571403</v>
          </cell>
          <cell r="BQ25">
            <v>8866372.2321428601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8866372.2321428601</v>
          </cell>
          <cell r="BX25">
            <v>886637.22321428603</v>
          </cell>
          <cell r="BY25">
            <v>8444021</v>
          </cell>
          <cell r="BZ25">
            <v>0</v>
          </cell>
          <cell r="CA25">
            <v>0</v>
          </cell>
          <cell r="CB25">
            <v>8444021</v>
          </cell>
          <cell r="CC25">
            <v>0</v>
          </cell>
          <cell r="CD25">
            <v>8444021</v>
          </cell>
          <cell r="CE25">
            <v>0</v>
          </cell>
          <cell r="CF25" t="str">
            <v>giang.tong@medigoapp.com</v>
          </cell>
          <cell r="CG25" t="str">
            <v>Lệch doanh thu BJ46O327 : 56.200</v>
          </cell>
          <cell r="CH25">
            <v>8</v>
          </cell>
          <cell r="CI25">
            <v>2</v>
          </cell>
          <cell r="CJ25">
            <v>10</v>
          </cell>
          <cell r="CK25">
            <v>3</v>
          </cell>
          <cell r="CL25">
            <v>2026</v>
          </cell>
          <cell r="CM25">
            <v>0</v>
          </cell>
          <cell r="CN25">
            <v>-23159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5100000</v>
          </cell>
          <cell r="CW25">
            <v>0</v>
          </cell>
          <cell r="CX25" t="str">
            <v>Lệch doanh thu BJ46O327 : 56.200</v>
          </cell>
          <cell r="CY25" t="str">
            <v>; Lệch doanh thu BJ46O327 : 56.200</v>
          </cell>
          <cell r="CZ25">
            <v>0</v>
          </cell>
          <cell r="DA25" t="str">
            <v>Tống Xuân Giang</v>
          </cell>
          <cell r="DB25">
            <v>26</v>
          </cell>
          <cell r="DC25">
            <v>18.116666666666699</v>
          </cell>
          <cell r="DD25">
            <v>240.083333333333</v>
          </cell>
          <cell r="DE25">
            <v>412477.67857142899</v>
          </cell>
          <cell r="DF25">
            <v>8199274.55357143</v>
          </cell>
          <cell r="DG25">
            <v>8444021</v>
          </cell>
          <cell r="DH25">
            <v>0</v>
          </cell>
          <cell r="DI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224</v>
          </cell>
          <cell r="L26">
            <v>179</v>
          </cell>
          <cell r="M26">
            <v>1130.11666666667</v>
          </cell>
          <cell r="N26">
            <v>569.15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31860000</v>
          </cell>
          <cell r="T26">
            <v>3142857.1428571399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46200000</v>
          </cell>
          <cell r="AB26">
            <v>0</v>
          </cell>
          <cell r="AC26">
            <v>0</v>
          </cell>
          <cell r="AD26">
            <v>0</v>
          </cell>
          <cell r="AE26">
            <v>29856071.428571399</v>
          </cell>
          <cell r="AF26">
            <v>21420703.125</v>
          </cell>
          <cell r="AG26">
            <v>0</v>
          </cell>
          <cell r="AH26">
            <v>0</v>
          </cell>
          <cell r="AI26">
            <v>0</v>
          </cell>
          <cell r="AJ26">
            <v>1000000</v>
          </cell>
          <cell r="AK26">
            <v>0</v>
          </cell>
          <cell r="AL26">
            <v>0</v>
          </cell>
          <cell r="AM26">
            <v>2412739</v>
          </cell>
          <cell r="AN26">
            <v>3975064</v>
          </cell>
          <cell r="AO26">
            <v>69710</v>
          </cell>
          <cell r="AP26">
            <v>0</v>
          </cell>
          <cell r="AQ26">
            <v>8201540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200000</v>
          </cell>
          <cell r="BA26">
            <v>183400</v>
          </cell>
          <cell r="BB26">
            <v>300000</v>
          </cell>
          <cell r="BC26">
            <v>0</v>
          </cell>
          <cell r="BD26">
            <v>0</v>
          </cell>
          <cell r="BE26">
            <v>69395284.696428597</v>
          </cell>
          <cell r="BF26">
            <v>5575500</v>
          </cell>
          <cell r="BG26">
            <v>843375</v>
          </cell>
          <cell r="BH26">
            <v>273535.71428571403</v>
          </cell>
          <cell r="BI26">
            <v>0</v>
          </cell>
          <cell r="BJ26">
            <v>5708250</v>
          </cell>
          <cell r="BK26">
            <v>2178910.7142857099</v>
          </cell>
          <cell r="BL26">
            <v>419678.57142857101</v>
          </cell>
          <cell r="BM26">
            <v>269517.85714285698</v>
          </cell>
          <cell r="BN26">
            <v>0</v>
          </cell>
          <cell r="BO26">
            <v>2868107.1428571399</v>
          </cell>
          <cell r="BP26">
            <v>2980803.57142857</v>
          </cell>
          <cell r="BQ26">
            <v>66414481.125</v>
          </cell>
          <cell r="BR26">
            <v>93000000</v>
          </cell>
          <cell r="BS26">
            <v>0</v>
          </cell>
          <cell r="BT26">
            <v>0</v>
          </cell>
          <cell r="BU26">
            <v>2868107.1428571399</v>
          </cell>
          <cell r="BV26">
            <v>95868107.142857105</v>
          </cell>
          <cell r="BW26">
            <v>11266520.267857101</v>
          </cell>
          <cell r="BX26">
            <v>1126652.0267857099</v>
          </cell>
          <cell r="BY26">
            <v>65400526</v>
          </cell>
          <cell r="BZ26">
            <v>0</v>
          </cell>
          <cell r="CA26">
            <v>0</v>
          </cell>
          <cell r="CB26">
            <v>65400526</v>
          </cell>
          <cell r="CC26">
            <v>0</v>
          </cell>
          <cell r="CD26">
            <v>65400526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14</v>
          </cell>
          <cell r="CJ26">
            <v>114</v>
          </cell>
          <cell r="CK26">
            <v>58</v>
          </cell>
          <cell r="CL26">
            <v>16198</v>
          </cell>
          <cell r="CM26">
            <v>0</v>
          </cell>
          <cell r="CN26">
            <v>-162027</v>
          </cell>
          <cell r="CO26">
            <v>0</v>
          </cell>
          <cell r="CP26">
            <v>0</v>
          </cell>
          <cell r="CQ26">
            <v>1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46200000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</row>
        <row r="27">
          <cell r="D27" t="str">
            <v>Trần Lê Quỳnh Hương</v>
          </cell>
          <cell r="E27" t="str">
            <v>HĐCTV</v>
          </cell>
          <cell r="F27" t="str">
            <v>Minh Châu</v>
          </cell>
          <cell r="G27" t="str">
            <v>DSHV</v>
          </cell>
          <cell r="H27" t="str">
            <v>24/11/2025</v>
          </cell>
          <cell r="I27" t="str">
            <v>21731287</v>
          </cell>
          <cell r="J27" t="str">
            <v>ACB</v>
          </cell>
          <cell r="K27">
            <v>28</v>
          </cell>
          <cell r="L27">
            <v>11</v>
          </cell>
          <cell r="M27">
            <v>139.21666666666701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3000000</v>
          </cell>
          <cell r="AB27">
            <v>0</v>
          </cell>
          <cell r="AC27">
            <v>0</v>
          </cell>
          <cell r="AD27">
            <v>0</v>
          </cell>
          <cell r="AE27">
            <v>1864508.92857143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1864508.92857143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1864508.92857143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1864508.92857143</v>
          </cell>
          <cell r="BX27">
            <v>0</v>
          </cell>
          <cell r="BY27">
            <v>1864509</v>
          </cell>
          <cell r="BZ27">
            <v>0</v>
          </cell>
          <cell r="CA27">
            <v>0</v>
          </cell>
          <cell r="CB27">
            <v>1864509</v>
          </cell>
          <cell r="CC27">
            <v>0</v>
          </cell>
          <cell r="CD27">
            <v>1864509</v>
          </cell>
          <cell r="CE27">
            <v>0</v>
          </cell>
          <cell r="CF27" t="str">
            <v>huong.tran@medigoapp.com</v>
          </cell>
          <cell r="CG27" t="str">
            <v/>
          </cell>
          <cell r="CH27">
            <v>8</v>
          </cell>
          <cell r="CI27">
            <v>0</v>
          </cell>
          <cell r="CJ27">
            <v>24</v>
          </cell>
          <cell r="CK27">
            <v>11</v>
          </cell>
          <cell r="CL27">
            <v>2025</v>
          </cell>
          <cell r="CM27">
            <v>0</v>
          </cell>
          <cell r="CN27">
            <v>-23155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3000000</v>
          </cell>
          <cell r="CW27">
            <v>0</v>
          </cell>
          <cell r="CX27" t="str">
            <v/>
          </cell>
          <cell r="CY27" t="str">
            <v>;</v>
          </cell>
          <cell r="CZ27">
            <v>0</v>
          </cell>
          <cell r="DA27" t="str">
            <v>Trần Lê Quỳnh Hương</v>
          </cell>
          <cell r="DB27">
            <v>11</v>
          </cell>
          <cell r="DC27">
            <v>122.98333333333299</v>
          </cell>
          <cell r="DD27">
            <v>0</v>
          </cell>
          <cell r="DE27">
            <v>1647098.2142857099</v>
          </cell>
          <cell r="DF27">
            <v>0</v>
          </cell>
          <cell r="DG27">
            <v>1647098</v>
          </cell>
          <cell r="DH27">
            <v>217411</v>
          </cell>
          <cell r="DI27">
            <v>217411</v>
          </cell>
        </row>
        <row r="28">
          <cell r="D28" t="str">
            <v>Thái Thùy Linh</v>
          </cell>
          <cell r="E28" t="str">
            <v>HĐLĐ</v>
          </cell>
          <cell r="F28" t="str">
            <v>Minh Châu</v>
          </cell>
          <cell r="G28" t="str">
            <v>CHT</v>
          </cell>
          <cell r="H28">
            <v>44644</v>
          </cell>
          <cell r="I28" t="str">
            <v>070077077837</v>
          </cell>
          <cell r="J28" t="str">
            <v>Sacombank</v>
          </cell>
          <cell r="K28">
            <v>28</v>
          </cell>
          <cell r="L28">
            <v>27</v>
          </cell>
          <cell r="M28">
            <v>206.666666666667</v>
          </cell>
          <cell r="N28">
            <v>64.6666666666667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5310000</v>
          </cell>
          <cell r="T28">
            <v>482142.85714285698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6000000</v>
          </cell>
          <cell r="AB28">
            <v>0</v>
          </cell>
          <cell r="AC28">
            <v>0</v>
          </cell>
          <cell r="AD28">
            <v>0</v>
          </cell>
          <cell r="AE28">
            <v>5535714.2857142901</v>
          </cell>
          <cell r="AF28">
            <v>2598214.2857142901</v>
          </cell>
          <cell r="AG28">
            <v>0</v>
          </cell>
          <cell r="AH28">
            <v>0</v>
          </cell>
          <cell r="AI28">
            <v>0</v>
          </cell>
          <cell r="AJ28">
            <v>1000000</v>
          </cell>
          <cell r="AK28">
            <v>0</v>
          </cell>
          <cell r="AL28">
            <v>0</v>
          </cell>
          <cell r="AM28">
            <v>1666195</v>
          </cell>
          <cell r="AN28">
            <v>861300</v>
          </cell>
          <cell r="AO28">
            <v>14540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135000</v>
          </cell>
          <cell r="BB28">
            <v>100000</v>
          </cell>
          <cell r="BC28">
            <v>0</v>
          </cell>
          <cell r="BD28">
            <v>0</v>
          </cell>
          <cell r="BE28">
            <v>11923106.428571399</v>
          </cell>
          <cell r="BF28">
            <v>929250</v>
          </cell>
          <cell r="BG28">
            <v>159300</v>
          </cell>
          <cell r="BH28">
            <v>53100</v>
          </cell>
          <cell r="BI28">
            <v>0</v>
          </cell>
          <cell r="BJ28">
            <v>1141650</v>
          </cell>
          <cell r="BK28">
            <v>424800</v>
          </cell>
          <cell r="BL28">
            <v>79650</v>
          </cell>
          <cell r="BM28">
            <v>53100</v>
          </cell>
          <cell r="BN28">
            <v>0</v>
          </cell>
          <cell r="BO28">
            <v>557550</v>
          </cell>
          <cell r="BP28">
            <v>482142.85714285698</v>
          </cell>
          <cell r="BQ28">
            <v>11440963.571428601</v>
          </cell>
          <cell r="BR28">
            <v>15500000</v>
          </cell>
          <cell r="BS28">
            <v>0</v>
          </cell>
          <cell r="BT28">
            <v>0</v>
          </cell>
          <cell r="BU28">
            <v>557550</v>
          </cell>
          <cell r="BV28">
            <v>16057550</v>
          </cell>
          <cell r="BW28">
            <v>0</v>
          </cell>
          <cell r="BX28">
            <v>0</v>
          </cell>
          <cell r="BY28">
            <v>11365556</v>
          </cell>
          <cell r="BZ28">
            <v>0</v>
          </cell>
          <cell r="CA28">
            <v>0</v>
          </cell>
          <cell r="CB28">
            <v>11365556</v>
          </cell>
          <cell r="CC28">
            <v>0</v>
          </cell>
          <cell r="CD28">
            <v>11365556</v>
          </cell>
          <cell r="CE28">
            <v>0</v>
          </cell>
          <cell r="CF28" t="str">
            <v>medigo.linh.thai@gmail.com</v>
          </cell>
          <cell r="CG28" t="str">
            <v>Lệch doanh thu 7MRXYPKV : 135.000</v>
          </cell>
          <cell r="CH28">
            <v>12</v>
          </cell>
          <cell r="CI28">
            <v>2.5</v>
          </cell>
          <cell r="CJ28">
            <v>24</v>
          </cell>
          <cell r="CK28">
            <v>3</v>
          </cell>
          <cell r="CL28">
            <v>2022</v>
          </cell>
          <cell r="CM28">
            <v>0</v>
          </cell>
          <cell r="CN28">
            <v>-23111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6000000</v>
          </cell>
          <cell r="CW28">
            <v>0</v>
          </cell>
          <cell r="CX28" t="str">
            <v>Lệch doanh thu 7MRXYPKV : 135.000</v>
          </cell>
          <cell r="CY28" t="str">
            <v>; Lệch doanh thu 7MRXYPKV : 135.000</v>
          </cell>
          <cell r="CZ28">
            <v>0</v>
          </cell>
          <cell r="DA28" t="str">
            <v>Thái Thùy Linh</v>
          </cell>
          <cell r="DB28">
            <v>27</v>
          </cell>
          <cell r="DC28">
            <v>184.51666666666699</v>
          </cell>
          <cell r="DD28">
            <v>88.816666666666706</v>
          </cell>
          <cell r="DE28">
            <v>6482301.1458333302</v>
          </cell>
          <cell r="DF28">
            <v>4680360.78125</v>
          </cell>
          <cell r="DG28">
            <v>14394290</v>
          </cell>
          <cell r="DH28">
            <v>3028734</v>
          </cell>
          <cell r="DI28">
            <v>3028734</v>
          </cell>
        </row>
        <row r="29">
          <cell r="D29" t="str">
            <v>Trịnh Thị Phượng</v>
          </cell>
          <cell r="E29" t="str">
            <v>HĐLĐ</v>
          </cell>
          <cell r="F29" t="str">
            <v>Minh Châu</v>
          </cell>
          <cell r="G29" t="str">
            <v>DSBC</v>
          </cell>
          <cell r="H29">
            <v>45096</v>
          </cell>
          <cell r="I29" t="str">
            <v>10200014211025</v>
          </cell>
          <cell r="J29" t="str">
            <v>Đông Nam Á (Seabank)</v>
          </cell>
          <cell r="K29">
            <v>28</v>
          </cell>
          <cell r="L29">
            <v>21</v>
          </cell>
          <cell r="M29">
            <v>0</v>
          </cell>
          <cell r="N29">
            <v>216.03333333333299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5310000</v>
          </cell>
          <cell r="T29">
            <v>375000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6000000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8679910.7142857108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1600000</v>
          </cell>
          <cell r="AM29">
            <v>0</v>
          </cell>
          <cell r="AN29">
            <v>2224000</v>
          </cell>
          <cell r="AO29">
            <v>5200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100000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12984110.7142857</v>
          </cell>
          <cell r="BF29">
            <v>929250</v>
          </cell>
          <cell r="BG29">
            <v>159300</v>
          </cell>
          <cell r="BH29">
            <v>53100</v>
          </cell>
          <cell r="BI29">
            <v>0</v>
          </cell>
          <cell r="BJ29">
            <v>1141650</v>
          </cell>
          <cell r="BK29">
            <v>424800</v>
          </cell>
          <cell r="BL29">
            <v>79650</v>
          </cell>
          <cell r="BM29">
            <v>53100</v>
          </cell>
          <cell r="BN29">
            <v>0</v>
          </cell>
          <cell r="BO29">
            <v>557550</v>
          </cell>
          <cell r="BP29">
            <v>375000</v>
          </cell>
          <cell r="BQ29">
            <v>12609110.7142857</v>
          </cell>
          <cell r="BR29">
            <v>15500000</v>
          </cell>
          <cell r="BS29">
            <v>1</v>
          </cell>
          <cell r="BT29">
            <v>6200000</v>
          </cell>
          <cell r="BU29">
            <v>557550</v>
          </cell>
          <cell r="BV29">
            <v>22257550</v>
          </cell>
          <cell r="BW29">
            <v>0</v>
          </cell>
          <cell r="BX29">
            <v>0</v>
          </cell>
          <cell r="BY29">
            <v>12426561</v>
          </cell>
          <cell r="BZ29">
            <v>0</v>
          </cell>
          <cell r="CA29">
            <v>0</v>
          </cell>
          <cell r="CB29">
            <v>12426561</v>
          </cell>
          <cell r="CC29">
            <v>0</v>
          </cell>
          <cell r="CD29">
            <v>12426561</v>
          </cell>
          <cell r="CE29">
            <v>0</v>
          </cell>
          <cell r="CF29" t="str">
            <v>medigo.phuong.trinh@gmail.com</v>
          </cell>
          <cell r="CG29" t="str">
            <v/>
          </cell>
          <cell r="CH29">
            <v>4</v>
          </cell>
          <cell r="CI29">
            <v>0</v>
          </cell>
          <cell r="CJ29">
            <v>19</v>
          </cell>
          <cell r="CK29">
            <v>6</v>
          </cell>
          <cell r="CL29">
            <v>2023</v>
          </cell>
          <cell r="CM29">
            <v>0</v>
          </cell>
          <cell r="CN29">
            <v>-23126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6000000</v>
          </cell>
          <cell r="CW29">
            <v>0</v>
          </cell>
          <cell r="CX29" t="str">
            <v/>
          </cell>
          <cell r="CY29" t="str">
            <v>;</v>
          </cell>
          <cell r="CZ29">
            <v>0</v>
          </cell>
          <cell r="DA29" t="str">
            <v>Trịnh Thị Phượng</v>
          </cell>
          <cell r="DB29">
            <v>21</v>
          </cell>
          <cell r="DC29">
            <v>0</v>
          </cell>
          <cell r="DD29">
            <v>216.03333333333299</v>
          </cell>
          <cell r="DE29">
            <v>0</v>
          </cell>
          <cell r="DF29">
            <v>9403236.6071428601</v>
          </cell>
          <cell r="DG29">
            <v>13149887</v>
          </cell>
          <cell r="DH29">
            <v>0</v>
          </cell>
          <cell r="DI29">
            <v>0</v>
          </cell>
        </row>
        <row r="30">
          <cell r="D30" t="str">
            <v>Phan Công Vũ Tài</v>
          </cell>
          <cell r="E30" t="str">
            <v>HĐLĐ</v>
          </cell>
          <cell r="F30" t="str">
            <v>Minh Châu</v>
          </cell>
          <cell r="G30" t="str">
            <v>DSBC</v>
          </cell>
          <cell r="H30" t="str">
            <v>26/01/2026</v>
          </cell>
          <cell r="I30" t="str">
            <v>02446989901</v>
          </cell>
          <cell r="J30" t="str">
            <v>Tp Bank</v>
          </cell>
          <cell r="K30">
            <v>28</v>
          </cell>
          <cell r="L30">
            <v>10</v>
          </cell>
          <cell r="M30">
            <v>104.95</v>
          </cell>
          <cell r="N30">
            <v>0.58333333333333304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5310000</v>
          </cell>
          <cell r="T30">
            <v>178571.42857142899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5310000</v>
          </cell>
          <cell r="AB30">
            <v>0</v>
          </cell>
          <cell r="AC30">
            <v>0</v>
          </cell>
          <cell r="AD30">
            <v>0</v>
          </cell>
          <cell r="AE30">
            <v>2487877.2321428601</v>
          </cell>
          <cell r="AF30">
            <v>20742.1875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510800</v>
          </cell>
          <cell r="AO30">
            <v>36550</v>
          </cell>
          <cell r="AP30">
            <v>0</v>
          </cell>
          <cell r="AQ30">
            <v>35714.285714285703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100000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3370255.13392857</v>
          </cell>
          <cell r="BF30">
            <v>929250</v>
          </cell>
          <cell r="BG30">
            <v>159300</v>
          </cell>
          <cell r="BH30">
            <v>53100</v>
          </cell>
          <cell r="BI30">
            <v>0</v>
          </cell>
          <cell r="BJ30">
            <v>1141650</v>
          </cell>
          <cell r="BK30">
            <v>424800</v>
          </cell>
          <cell r="BL30">
            <v>79650</v>
          </cell>
          <cell r="BM30">
            <v>53100</v>
          </cell>
          <cell r="BN30">
            <v>0</v>
          </cell>
          <cell r="BO30">
            <v>557550</v>
          </cell>
          <cell r="BP30">
            <v>178571.42857142899</v>
          </cell>
          <cell r="BQ30">
            <v>3191683.7053571399</v>
          </cell>
          <cell r="BR30">
            <v>15500000</v>
          </cell>
          <cell r="BS30">
            <v>0</v>
          </cell>
          <cell r="BT30">
            <v>0</v>
          </cell>
          <cell r="BU30">
            <v>557550</v>
          </cell>
          <cell r="BV30">
            <v>16057550</v>
          </cell>
          <cell r="BW30">
            <v>0</v>
          </cell>
          <cell r="BX30">
            <v>0</v>
          </cell>
          <cell r="BY30">
            <v>2812705</v>
          </cell>
          <cell r="BZ30">
            <v>0</v>
          </cell>
          <cell r="CA30">
            <v>0</v>
          </cell>
          <cell r="CB30">
            <v>2812705</v>
          </cell>
          <cell r="CC30">
            <v>0</v>
          </cell>
          <cell r="CD30">
            <v>2812705</v>
          </cell>
          <cell r="CE30">
            <v>0</v>
          </cell>
          <cell r="CF30" t="str">
            <v>tai.phan@medigoapp.com</v>
          </cell>
          <cell r="CG30" t="str">
            <v/>
          </cell>
          <cell r="CH30">
            <v>4</v>
          </cell>
          <cell r="CI30">
            <v>4.5</v>
          </cell>
          <cell r="CJ30">
            <v>26</v>
          </cell>
          <cell r="CK30">
            <v>1</v>
          </cell>
          <cell r="CL30">
            <v>2026</v>
          </cell>
          <cell r="CM30">
            <v>0</v>
          </cell>
          <cell r="CN30">
            <v>-23157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5310000</v>
          </cell>
          <cell r="CW30">
            <v>0</v>
          </cell>
          <cell r="CX30" t="str">
            <v/>
          </cell>
          <cell r="CY30" t="str">
            <v>;</v>
          </cell>
          <cell r="CZ30">
            <v>0</v>
          </cell>
          <cell r="DA30" t="str">
            <v>Phan Công Vũ Tài</v>
          </cell>
          <cell r="DB30">
            <v>10</v>
          </cell>
          <cell r="DC30">
            <v>104.95</v>
          </cell>
          <cell r="DD30">
            <v>0.58333333333333304</v>
          </cell>
          <cell r="DE30">
            <v>2487877.2321428601</v>
          </cell>
          <cell r="DF30">
            <v>20742.1875</v>
          </cell>
          <cell r="DG30">
            <v>2812705</v>
          </cell>
          <cell r="DH30">
            <v>0</v>
          </cell>
          <cell r="DI30">
            <v>0</v>
          </cell>
        </row>
        <row r="31">
          <cell r="D31" t="str">
            <v>Đoàn Quốc Tâm</v>
          </cell>
          <cell r="E31" t="str">
            <v>HĐLĐ</v>
          </cell>
          <cell r="F31" t="str">
            <v>Minh Châu</v>
          </cell>
          <cell r="G31" t="str">
            <v>DSBC</v>
          </cell>
          <cell r="H31" t="str">
            <v>25/3/2024</v>
          </cell>
          <cell r="I31" t="str">
            <v>23241857</v>
          </cell>
          <cell r="J31" t="str">
            <v>ACB</v>
          </cell>
          <cell r="K31">
            <v>28</v>
          </cell>
          <cell r="L31">
            <v>27</v>
          </cell>
          <cell r="M31">
            <v>287.23333333333301</v>
          </cell>
          <cell r="N31">
            <v>8.5500000000000007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5310000</v>
          </cell>
          <cell r="T31">
            <v>482142.85714285698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6000000</v>
          </cell>
          <cell r="AB31">
            <v>0</v>
          </cell>
          <cell r="AC31">
            <v>0</v>
          </cell>
          <cell r="AD31">
            <v>0</v>
          </cell>
          <cell r="AE31">
            <v>7693750</v>
          </cell>
          <cell r="AF31">
            <v>343526.78571428597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811734</v>
          </cell>
          <cell r="AN31">
            <v>1092000</v>
          </cell>
          <cell r="AO31">
            <v>35850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10459003.642857101</v>
          </cell>
          <cell r="BF31">
            <v>929250</v>
          </cell>
          <cell r="BG31">
            <v>159300</v>
          </cell>
          <cell r="BH31">
            <v>53100</v>
          </cell>
          <cell r="BI31">
            <v>0</v>
          </cell>
          <cell r="BJ31">
            <v>1141650</v>
          </cell>
          <cell r="BK31">
            <v>424800</v>
          </cell>
          <cell r="BL31">
            <v>79650</v>
          </cell>
          <cell r="BM31">
            <v>53100</v>
          </cell>
          <cell r="BN31">
            <v>0</v>
          </cell>
          <cell r="BO31">
            <v>557550</v>
          </cell>
          <cell r="BP31">
            <v>482142.85714285698</v>
          </cell>
          <cell r="BQ31">
            <v>9976860.7857142892</v>
          </cell>
          <cell r="BR31">
            <v>15500000</v>
          </cell>
          <cell r="BS31">
            <v>0</v>
          </cell>
          <cell r="BT31">
            <v>0</v>
          </cell>
          <cell r="BU31">
            <v>557550</v>
          </cell>
          <cell r="BV31">
            <v>16057550</v>
          </cell>
          <cell r="BW31">
            <v>0</v>
          </cell>
          <cell r="BX31">
            <v>0</v>
          </cell>
          <cell r="BY31">
            <v>9901454</v>
          </cell>
          <cell r="BZ31">
            <v>0</v>
          </cell>
          <cell r="CA31">
            <v>0</v>
          </cell>
          <cell r="CB31">
            <v>9901454</v>
          </cell>
          <cell r="CC31">
            <v>0</v>
          </cell>
          <cell r="CD31">
            <v>9901454</v>
          </cell>
          <cell r="CE31">
            <v>0</v>
          </cell>
          <cell r="CF31" t="str">
            <v>medigo.tam.doan@gmail.com</v>
          </cell>
          <cell r="CG31" t="str">
            <v/>
          </cell>
          <cell r="CH31">
            <v>11</v>
          </cell>
          <cell r="CI31">
            <v>2.5</v>
          </cell>
          <cell r="CJ31">
            <v>25</v>
          </cell>
          <cell r="CK31">
            <v>3</v>
          </cell>
          <cell r="CL31">
            <v>2024</v>
          </cell>
          <cell r="CM31">
            <v>0</v>
          </cell>
          <cell r="CN31">
            <v>-23135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6000000</v>
          </cell>
          <cell r="CW31">
            <v>0</v>
          </cell>
          <cell r="CX31" t="str">
            <v/>
          </cell>
          <cell r="CY31" t="str">
            <v>;</v>
          </cell>
          <cell r="CZ31">
            <v>0</v>
          </cell>
          <cell r="DA31" t="str">
            <v>Đoàn Quốc Tâm</v>
          </cell>
          <cell r="DB31">
            <v>27</v>
          </cell>
          <cell r="DC31">
            <v>287.23333333333301</v>
          </cell>
          <cell r="DD31">
            <v>8.5500000000000007</v>
          </cell>
          <cell r="DE31">
            <v>8334895.8333333302</v>
          </cell>
          <cell r="DF31">
            <v>372154.01785714302</v>
          </cell>
          <cell r="DG31">
            <v>10571227</v>
          </cell>
          <cell r="DH31">
            <v>0</v>
          </cell>
          <cell r="DI31">
            <v>0</v>
          </cell>
        </row>
        <row r="32">
          <cell r="D32" t="str">
            <v>Nguyễn Trí Nghĩa</v>
          </cell>
          <cell r="E32" t="str">
            <v>HĐLĐ</v>
          </cell>
          <cell r="F32" t="str">
            <v>Minh Châu</v>
          </cell>
          <cell r="G32" t="str">
            <v>DSBC</v>
          </cell>
          <cell r="H32">
            <v>45439</v>
          </cell>
          <cell r="I32" t="str">
            <v>0251002787705</v>
          </cell>
          <cell r="J32" t="str">
            <v>Vietcombank</v>
          </cell>
          <cell r="K32">
            <v>28</v>
          </cell>
          <cell r="L32">
            <v>25</v>
          </cell>
          <cell r="M32">
            <v>4.9666666666666703</v>
          </cell>
          <cell r="N32">
            <v>193.416666666667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5310000</v>
          </cell>
          <cell r="T32">
            <v>446428.57142857101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6000000</v>
          </cell>
          <cell r="AB32">
            <v>0</v>
          </cell>
          <cell r="AC32">
            <v>0</v>
          </cell>
          <cell r="AD32">
            <v>0</v>
          </cell>
          <cell r="AE32">
            <v>133035.714285714</v>
          </cell>
          <cell r="AF32">
            <v>7771205.3571428601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835077</v>
          </cell>
          <cell r="AN32">
            <v>1300500</v>
          </cell>
          <cell r="AO32">
            <v>9250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100000</v>
          </cell>
          <cell r="BA32">
            <v>0</v>
          </cell>
          <cell r="BB32">
            <v>0</v>
          </cell>
          <cell r="BC32">
            <v>3864060</v>
          </cell>
          <cell r="BD32">
            <v>0</v>
          </cell>
          <cell r="BE32">
            <v>6531436.6428571399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446428.57142857101</v>
          </cell>
          <cell r="BQ32">
            <v>6085008.07142857</v>
          </cell>
          <cell r="BR32">
            <v>15500000</v>
          </cell>
          <cell r="BS32">
            <v>0</v>
          </cell>
          <cell r="BT32">
            <v>0</v>
          </cell>
          <cell r="BU32">
            <v>0</v>
          </cell>
          <cell r="BV32">
            <v>15500000</v>
          </cell>
          <cell r="BW32">
            <v>0</v>
          </cell>
          <cell r="BX32">
            <v>0</v>
          </cell>
          <cell r="BY32">
            <v>6531437</v>
          </cell>
          <cell r="BZ32">
            <v>0</v>
          </cell>
          <cell r="CA32">
            <v>6531437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str">
            <v>medigo.nghia.nguyen@gmail.com</v>
          </cell>
          <cell r="CG32" t="str">
            <v>Hoàn trả như cam kết, thiếu của tháng 3:1.265.53
Đèn bù chênh lệch kiểm kê tháng 4.2026: 2.601.525
Nhập sai thao tác HD1054195 bán hàng: 100.000</v>
          </cell>
          <cell r="CH32">
            <v>5</v>
          </cell>
          <cell r="CI32">
            <v>2.5</v>
          </cell>
          <cell r="CJ32">
            <v>27</v>
          </cell>
          <cell r="CK32">
            <v>5</v>
          </cell>
          <cell r="CL32">
            <v>2024</v>
          </cell>
          <cell r="CM32">
            <v>0</v>
          </cell>
          <cell r="CN32">
            <v>-23137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6000000</v>
          </cell>
          <cell r="CW32">
            <v>0</v>
          </cell>
          <cell r="CX32" t="str">
            <v>Hoàn trả như cam kết, thiếu của tháng 3:1.265.53
Đèn bù chênh lệch kiểm kê tháng 4.2026: 2.601.525
Nhập sai thao tác HD1054195 bán hàng: 100.000</v>
          </cell>
          <cell r="CY32" t="str">
            <v>; Hoàn trả như cam kết, thiếu của tháng 3:1.265.53
Đèn bù chênh lệch kiểm kê tháng 4.2026: 2.601.525
Nhập sai thao tác HD1054195 bán hàng: 100.000</v>
          </cell>
          <cell r="CZ32">
            <v>0</v>
          </cell>
          <cell r="DA32" t="str">
            <v>Nguyễn Trí Nghĩa</v>
          </cell>
          <cell r="DB32">
            <v>25</v>
          </cell>
          <cell r="DC32">
            <v>4.9666666666666703</v>
          </cell>
          <cell r="DD32">
            <v>193.416666666667</v>
          </cell>
          <cell r="DE32">
            <v>133035.714285714</v>
          </cell>
          <cell r="DF32">
            <v>7771205.3571428601</v>
          </cell>
          <cell r="DG32">
            <v>0</v>
          </cell>
          <cell r="DH32">
            <v>0</v>
          </cell>
          <cell r="DI32">
            <v>0</v>
          </cell>
        </row>
        <row r="33">
          <cell r="D33" t="str">
            <v>Nguyễn Trúc Linh</v>
          </cell>
          <cell r="E33" t="str">
            <v>HĐLĐ</v>
          </cell>
          <cell r="F33" t="str">
            <v>Minh Châu</v>
          </cell>
          <cell r="G33" t="str">
            <v>DSBC</v>
          </cell>
          <cell r="H33" t="str">
            <v>26/04/2025</v>
          </cell>
          <cell r="I33" t="str">
            <v>109006916698</v>
          </cell>
          <cell r="J33" t="str">
            <v>Vietinbank</v>
          </cell>
          <cell r="K33">
            <v>28</v>
          </cell>
          <cell r="L33">
            <v>17</v>
          </cell>
          <cell r="M33">
            <v>180.316666666667</v>
          </cell>
          <cell r="N33">
            <v>0.7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5310000</v>
          </cell>
          <cell r="T33">
            <v>303571.42857142899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6000000</v>
          </cell>
          <cell r="AB33">
            <v>0</v>
          </cell>
          <cell r="AC33">
            <v>0</v>
          </cell>
          <cell r="AD33">
            <v>0</v>
          </cell>
          <cell r="AE33">
            <v>4829910.7142857201</v>
          </cell>
          <cell r="AF33">
            <v>28125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904700</v>
          </cell>
          <cell r="AO33">
            <v>323000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38000</v>
          </cell>
          <cell r="AZ33">
            <v>100000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6251307.1428571399</v>
          </cell>
          <cell r="BF33">
            <v>929250</v>
          </cell>
          <cell r="BG33">
            <v>159300</v>
          </cell>
          <cell r="BH33">
            <v>53100</v>
          </cell>
          <cell r="BI33">
            <v>0</v>
          </cell>
          <cell r="BJ33">
            <v>1141650</v>
          </cell>
          <cell r="BK33">
            <v>424800</v>
          </cell>
          <cell r="BL33">
            <v>79650</v>
          </cell>
          <cell r="BM33">
            <v>53100</v>
          </cell>
          <cell r="BN33">
            <v>0</v>
          </cell>
          <cell r="BO33">
            <v>557550</v>
          </cell>
          <cell r="BP33">
            <v>303571.42857142899</v>
          </cell>
          <cell r="BQ33">
            <v>5947735.7142857201</v>
          </cell>
          <cell r="BR33">
            <v>15500000</v>
          </cell>
          <cell r="BS33">
            <v>0</v>
          </cell>
          <cell r="BT33">
            <v>0</v>
          </cell>
          <cell r="BU33">
            <v>557550</v>
          </cell>
          <cell r="BV33">
            <v>16057550</v>
          </cell>
          <cell r="BW33">
            <v>0</v>
          </cell>
          <cell r="BX33">
            <v>0</v>
          </cell>
          <cell r="BY33">
            <v>5693757</v>
          </cell>
          <cell r="BZ33">
            <v>0</v>
          </cell>
          <cell r="CA33">
            <v>0</v>
          </cell>
          <cell r="CB33">
            <v>5693757</v>
          </cell>
          <cell r="CC33">
            <v>0</v>
          </cell>
          <cell r="CD33">
            <v>5693757</v>
          </cell>
          <cell r="CE33">
            <v>0</v>
          </cell>
          <cell r="CF33" t="str">
            <v>medigo.truclinh.nguyen@gmail.com</v>
          </cell>
          <cell r="CG33" t="str">
            <v>Không báo cáo tiền lấy két chạy hàng ca 3- 03/04/2026: 100.000đ</v>
          </cell>
          <cell r="CH33">
            <v>12</v>
          </cell>
          <cell r="CI33">
            <v>2.5</v>
          </cell>
          <cell r="CJ33">
            <v>26</v>
          </cell>
          <cell r="CK33">
            <v>4</v>
          </cell>
          <cell r="CL33">
            <v>2025</v>
          </cell>
          <cell r="CM33">
            <v>0</v>
          </cell>
          <cell r="CN33">
            <v>11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6000000</v>
          </cell>
          <cell r="CW33">
            <v>0</v>
          </cell>
          <cell r="CX33" t="str">
            <v>Không báo cáo tiền lấy két chạy hàng ca 3- 03/04/2026: 100.000đ</v>
          </cell>
          <cell r="CY33" t="str">
            <v>; Không báo cáo tiền lấy két chạy hàng ca 3- 03/04/2026: 100.000đ</v>
          </cell>
          <cell r="CZ33">
            <v>0</v>
          </cell>
          <cell r="DA33" t="str">
            <v>Nguyễn Trúc Linh</v>
          </cell>
          <cell r="DB33">
            <v>17</v>
          </cell>
          <cell r="DC33">
            <v>158.76666666666699</v>
          </cell>
          <cell r="DD33">
            <v>0.7</v>
          </cell>
          <cell r="DE33">
            <v>4252678.57142857</v>
          </cell>
          <cell r="DF33">
            <v>28125</v>
          </cell>
          <cell r="DG33">
            <v>5116525</v>
          </cell>
          <cell r="DH33">
            <v>577232</v>
          </cell>
          <cell r="DI33">
            <v>577232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196</v>
          </cell>
          <cell r="L34">
            <v>138</v>
          </cell>
          <cell r="M34">
            <v>923.35</v>
          </cell>
          <cell r="N34">
            <v>483.95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31860000</v>
          </cell>
          <cell r="T34">
            <v>2267857.1428571399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38310000</v>
          </cell>
          <cell r="AB34">
            <v>0</v>
          </cell>
          <cell r="AC34">
            <v>0</v>
          </cell>
          <cell r="AD34">
            <v>0</v>
          </cell>
          <cell r="AE34">
            <v>22544796.875</v>
          </cell>
          <cell r="AF34">
            <v>19441724.330357101</v>
          </cell>
          <cell r="AG34">
            <v>0</v>
          </cell>
          <cell r="AH34">
            <v>0</v>
          </cell>
          <cell r="AI34">
            <v>0</v>
          </cell>
          <cell r="AJ34">
            <v>1000000</v>
          </cell>
          <cell r="AK34">
            <v>0</v>
          </cell>
          <cell r="AL34">
            <v>1600000</v>
          </cell>
          <cell r="AM34">
            <v>3313006</v>
          </cell>
          <cell r="AN34">
            <v>6893300</v>
          </cell>
          <cell r="AO34">
            <v>424390</v>
          </cell>
          <cell r="AP34">
            <v>0</v>
          </cell>
          <cell r="AQ34">
            <v>35714.285714285703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200000</v>
          </cell>
          <cell r="AX34">
            <v>0</v>
          </cell>
          <cell r="AY34">
            <v>38000</v>
          </cell>
          <cell r="AZ34">
            <v>200000</v>
          </cell>
          <cell r="BA34">
            <v>135000</v>
          </cell>
          <cell r="BB34">
            <v>100000</v>
          </cell>
          <cell r="BC34">
            <v>3864060</v>
          </cell>
          <cell r="BD34">
            <v>0</v>
          </cell>
          <cell r="BE34">
            <v>53383728.633928597</v>
          </cell>
          <cell r="BF34">
            <v>4646250</v>
          </cell>
          <cell r="BG34">
            <v>796500</v>
          </cell>
          <cell r="BH34">
            <v>265500</v>
          </cell>
          <cell r="BI34">
            <v>0</v>
          </cell>
          <cell r="BJ34">
            <v>5708250</v>
          </cell>
          <cell r="BK34">
            <v>2124000</v>
          </cell>
          <cell r="BL34">
            <v>398250</v>
          </cell>
          <cell r="BM34">
            <v>265500</v>
          </cell>
          <cell r="BN34">
            <v>0</v>
          </cell>
          <cell r="BO34">
            <v>2787750</v>
          </cell>
          <cell r="BP34">
            <v>2267857.1428571399</v>
          </cell>
          <cell r="BQ34">
            <v>51115871.491071403</v>
          </cell>
          <cell r="BR34">
            <v>93000000</v>
          </cell>
          <cell r="BS34">
            <v>1</v>
          </cell>
          <cell r="BT34">
            <v>6200000</v>
          </cell>
          <cell r="BU34">
            <v>2787750</v>
          </cell>
          <cell r="BV34">
            <v>101987750</v>
          </cell>
          <cell r="BW34">
            <v>1864508.92857143</v>
          </cell>
          <cell r="BX34">
            <v>0</v>
          </cell>
          <cell r="BY34">
            <v>50595979</v>
          </cell>
          <cell r="BZ34">
            <v>0</v>
          </cell>
          <cell r="CA34">
            <v>6531437</v>
          </cell>
          <cell r="CB34">
            <v>44064542</v>
          </cell>
          <cell r="CC34">
            <v>0</v>
          </cell>
          <cell r="CD34">
            <v>44064542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14.5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-138810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38310000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</row>
        <row r="35">
          <cell r="D35" t="str">
            <v>PHẠM VĂN LONG</v>
          </cell>
          <cell r="E35" t="str">
            <v>HĐTV</v>
          </cell>
          <cell r="F35" t="str">
            <v>Nam Hòa</v>
          </cell>
          <cell r="G35" t="str">
            <v>DSTV</v>
          </cell>
          <cell r="H35" t="str">
            <v>03/4/2026</v>
          </cell>
          <cell r="I35" t="str">
            <v>7351192058</v>
          </cell>
          <cell r="J35" t="str">
            <v>BIDV</v>
          </cell>
          <cell r="K35">
            <v>28</v>
          </cell>
          <cell r="L35">
            <v>13</v>
          </cell>
          <cell r="M35">
            <v>140.433333333333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232142.85714285701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5100000</v>
          </cell>
          <cell r="AB35">
            <v>0</v>
          </cell>
          <cell r="AC35">
            <v>0</v>
          </cell>
          <cell r="AD35">
            <v>0</v>
          </cell>
          <cell r="AE35">
            <v>3197366.07142857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500000</v>
          </cell>
          <cell r="AK35">
            <v>0</v>
          </cell>
          <cell r="AL35">
            <v>0</v>
          </cell>
          <cell r="AM35">
            <v>0</v>
          </cell>
          <cell r="AN35">
            <v>59400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20000</v>
          </cell>
          <cell r="BA35">
            <v>0</v>
          </cell>
          <cell r="BB35">
            <v>100000</v>
          </cell>
          <cell r="BC35">
            <v>0</v>
          </cell>
          <cell r="BD35">
            <v>0</v>
          </cell>
          <cell r="BE35">
            <v>3868908.92857143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232142.85714285701</v>
          </cell>
          <cell r="BQ35">
            <v>3636766.07142857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3636766.07142857</v>
          </cell>
          <cell r="BX35">
            <v>363676.60714285698</v>
          </cell>
          <cell r="BY35">
            <v>3505232</v>
          </cell>
          <cell r="BZ35">
            <v>0</v>
          </cell>
          <cell r="CA35">
            <v>0</v>
          </cell>
          <cell r="CB35">
            <v>3505232</v>
          </cell>
          <cell r="CC35">
            <v>0</v>
          </cell>
          <cell r="CD35">
            <v>3505232</v>
          </cell>
          <cell r="CE35">
            <v>0</v>
          </cell>
          <cell r="CF35" t="str">
            <v>long.pham@medigoapp.com</v>
          </cell>
          <cell r="CG35" t="str">
            <v>Vào ca trễ 18-19/04/2026: 10.000
Đi trễ về sớm        25/04/2026 : 10.000</v>
          </cell>
          <cell r="CH35">
            <v>2</v>
          </cell>
          <cell r="CI35">
            <v>8.75</v>
          </cell>
          <cell r="CJ35">
            <v>13</v>
          </cell>
          <cell r="CK35">
            <v>3</v>
          </cell>
          <cell r="CL35">
            <v>2026</v>
          </cell>
          <cell r="CM35">
            <v>0</v>
          </cell>
          <cell r="CN35">
            <v>-23159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5100000</v>
          </cell>
          <cell r="CW35">
            <v>0</v>
          </cell>
          <cell r="CX35" t="str">
            <v>Vào ca trễ 18-19/04/2026: 10.000
Đi trễ về sớm        25/04/2026 : 10.000</v>
          </cell>
          <cell r="CY35" t="str">
            <v>; Vào ca trễ 18-19/04/2026: 10.000
Đi trễ về sớm        25/04/2026 : 10.000</v>
          </cell>
          <cell r="CZ35">
            <v>0</v>
          </cell>
          <cell r="DA35" t="str">
            <v>PHẠM VĂN LONG</v>
          </cell>
          <cell r="DB35">
            <v>13</v>
          </cell>
          <cell r="DC35">
            <v>140.433333333333</v>
          </cell>
          <cell r="DD35">
            <v>0</v>
          </cell>
          <cell r="DE35">
            <v>3197366.07142857</v>
          </cell>
          <cell r="DF35">
            <v>0</v>
          </cell>
          <cell r="DG35">
            <v>3505232</v>
          </cell>
          <cell r="DH35">
            <v>0</v>
          </cell>
          <cell r="DI35">
            <v>0</v>
          </cell>
        </row>
        <row r="36">
          <cell r="D36" t="str">
            <v>Phạm Thị Kiều Diễm</v>
          </cell>
          <cell r="E36" t="str">
            <v>HĐLĐ</v>
          </cell>
          <cell r="F36" t="str">
            <v>Nam Hòa</v>
          </cell>
          <cell r="G36" t="str">
            <v>DSBC</v>
          </cell>
          <cell r="H36" t="str">
            <v>01/04/2025</v>
          </cell>
          <cell r="I36" t="str">
            <v>0110137819</v>
          </cell>
          <cell r="J36" t="str">
            <v>Vikkibank (dongabank)</v>
          </cell>
          <cell r="K36">
            <v>28</v>
          </cell>
          <cell r="L36">
            <v>13</v>
          </cell>
          <cell r="M36">
            <v>76.5</v>
          </cell>
          <cell r="N36">
            <v>29.816666666666698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5310000</v>
          </cell>
          <cell r="T36">
            <v>232142.85714285701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6000000</v>
          </cell>
          <cell r="AB36">
            <v>0</v>
          </cell>
          <cell r="AC36">
            <v>0</v>
          </cell>
          <cell r="AD36">
            <v>0</v>
          </cell>
          <cell r="AE36">
            <v>2049107.1428571399</v>
          </cell>
          <cell r="AF36">
            <v>1197991.07142857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274842</v>
          </cell>
          <cell r="AO36">
            <v>630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555933</v>
          </cell>
          <cell r="AZ36">
            <v>20000</v>
          </cell>
          <cell r="BA36">
            <v>0</v>
          </cell>
          <cell r="BB36">
            <v>100000</v>
          </cell>
          <cell r="BC36">
            <v>0</v>
          </cell>
          <cell r="BD36">
            <v>0</v>
          </cell>
          <cell r="BE36">
            <v>3078780.07142857</v>
          </cell>
          <cell r="BF36">
            <v>929250</v>
          </cell>
          <cell r="BG36">
            <v>159300</v>
          </cell>
          <cell r="BH36">
            <v>53100</v>
          </cell>
          <cell r="BI36">
            <v>0</v>
          </cell>
          <cell r="BJ36">
            <v>1141650</v>
          </cell>
          <cell r="BK36">
            <v>424800</v>
          </cell>
          <cell r="BL36">
            <v>79650</v>
          </cell>
          <cell r="BM36">
            <v>53100</v>
          </cell>
          <cell r="BN36">
            <v>0</v>
          </cell>
          <cell r="BO36">
            <v>557550</v>
          </cell>
          <cell r="BP36">
            <v>232142.85714285701</v>
          </cell>
          <cell r="BQ36">
            <v>2846637.2142857099</v>
          </cell>
          <cell r="BR36">
            <v>15500000</v>
          </cell>
          <cell r="BS36">
            <v>0</v>
          </cell>
          <cell r="BT36">
            <v>0</v>
          </cell>
          <cell r="BU36">
            <v>557550</v>
          </cell>
          <cell r="BV36">
            <v>16057550</v>
          </cell>
          <cell r="BW36">
            <v>0</v>
          </cell>
          <cell r="BX36">
            <v>0</v>
          </cell>
          <cell r="BY36">
            <v>2521230</v>
          </cell>
          <cell r="BZ36">
            <v>0</v>
          </cell>
          <cell r="CA36">
            <v>0</v>
          </cell>
          <cell r="CB36">
            <v>2521230</v>
          </cell>
          <cell r="CC36">
            <v>0</v>
          </cell>
          <cell r="CD36">
            <v>2521230</v>
          </cell>
          <cell r="CE36">
            <v>0</v>
          </cell>
          <cell r="CF36" t="str">
            <v>diemdzuidze@gmail.com</v>
          </cell>
          <cell r="CG36" t="str">
            <v>Vào ca trễ 11/04/2026: 10.000
Vào ca trễ 18-19/04/2026: 10.000</v>
          </cell>
          <cell r="CH36">
            <v>3</v>
          </cell>
          <cell r="CI36">
            <v>0</v>
          </cell>
          <cell r="CJ36">
            <v>1</v>
          </cell>
          <cell r="CK36">
            <v>4</v>
          </cell>
          <cell r="CL36">
            <v>2025</v>
          </cell>
          <cell r="CM36">
            <v>0</v>
          </cell>
          <cell r="CN36">
            <v>-23148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6000000</v>
          </cell>
          <cell r="CW36">
            <v>0</v>
          </cell>
          <cell r="CX36" t="str">
            <v>Vào ca trễ 11/04/2026: 10.000
Vào ca trễ 18-19/04/2026: 10.000</v>
          </cell>
          <cell r="CY36" t="str">
            <v>; Vào ca trễ 11/04/2026: 10.000
Vào ca trễ 18-19/04/2026: 10.000</v>
          </cell>
          <cell r="CZ36">
            <v>0</v>
          </cell>
          <cell r="DA36" t="str">
            <v>Phạm Thị Kiều Diễm</v>
          </cell>
          <cell r="DB36">
            <v>13</v>
          </cell>
          <cell r="DC36">
            <v>76.5</v>
          </cell>
          <cell r="DD36">
            <v>29.816666666666698</v>
          </cell>
          <cell r="DE36">
            <v>2049107.1428571399</v>
          </cell>
          <cell r="DF36">
            <v>1197991.07142857</v>
          </cell>
          <cell r="DG36">
            <v>2521230</v>
          </cell>
          <cell r="DH36">
            <v>0</v>
          </cell>
          <cell r="DI36">
            <v>0</v>
          </cell>
        </row>
        <row r="37">
          <cell r="D37" t="str">
            <v>Đỗ Thị Thu Hương</v>
          </cell>
          <cell r="E37" t="str">
            <v>HĐLĐ</v>
          </cell>
          <cell r="F37" t="str">
            <v>Nam Hòa</v>
          </cell>
          <cell r="G37" t="str">
            <v>DSBC</v>
          </cell>
          <cell r="H37" t="str">
            <v>19/08/2025</v>
          </cell>
          <cell r="I37" t="str">
            <v>9903670079</v>
          </cell>
          <cell r="J37" t="str">
            <v>Vietcombank</v>
          </cell>
          <cell r="K37">
            <v>28</v>
          </cell>
          <cell r="L37">
            <v>28</v>
          </cell>
          <cell r="M37">
            <v>10.216666666666701</v>
          </cell>
          <cell r="N37">
            <v>265.75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5310000</v>
          </cell>
          <cell r="T37">
            <v>500000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6000000</v>
          </cell>
          <cell r="AB37">
            <v>0</v>
          </cell>
          <cell r="AC37">
            <v>0</v>
          </cell>
          <cell r="AD37">
            <v>0</v>
          </cell>
          <cell r="AE37">
            <v>273660.71428571502</v>
          </cell>
          <cell r="AF37">
            <v>10677455.357142899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1309500</v>
          </cell>
          <cell r="AO37">
            <v>300</v>
          </cell>
          <cell r="AP37">
            <v>0</v>
          </cell>
          <cell r="AQ37">
            <v>280000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555933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12484983.071428601</v>
          </cell>
          <cell r="BF37">
            <v>929250</v>
          </cell>
          <cell r="BG37">
            <v>159300</v>
          </cell>
          <cell r="BH37">
            <v>53100</v>
          </cell>
          <cell r="BI37">
            <v>0</v>
          </cell>
          <cell r="BJ37">
            <v>1141650</v>
          </cell>
          <cell r="BK37">
            <v>424800</v>
          </cell>
          <cell r="BL37">
            <v>79650</v>
          </cell>
          <cell r="BM37">
            <v>53100</v>
          </cell>
          <cell r="BN37">
            <v>0</v>
          </cell>
          <cell r="BO37">
            <v>557550</v>
          </cell>
          <cell r="BP37">
            <v>500000</v>
          </cell>
          <cell r="BQ37">
            <v>11984983.071428601</v>
          </cell>
          <cell r="BR37">
            <v>15500000</v>
          </cell>
          <cell r="BS37">
            <v>0</v>
          </cell>
          <cell r="BT37">
            <v>0</v>
          </cell>
          <cell r="BU37">
            <v>557550</v>
          </cell>
          <cell r="BV37">
            <v>16057550</v>
          </cell>
          <cell r="BW37">
            <v>0</v>
          </cell>
          <cell r="BX37">
            <v>0</v>
          </cell>
          <cell r="BY37">
            <v>11927433</v>
          </cell>
          <cell r="BZ37">
            <v>0</v>
          </cell>
          <cell r="CA37">
            <v>0</v>
          </cell>
          <cell r="CB37">
            <v>11927433</v>
          </cell>
          <cell r="CC37">
            <v>0</v>
          </cell>
          <cell r="CD37">
            <v>11927433</v>
          </cell>
          <cell r="CE37">
            <v>0</v>
          </cell>
          <cell r="CF37" t="str">
            <v>huong.do@medigoapp.com</v>
          </cell>
          <cell r="CG37" t="str">
            <v/>
          </cell>
          <cell r="CH37">
            <v>7</v>
          </cell>
          <cell r="CI37">
            <v>0</v>
          </cell>
          <cell r="CJ37">
            <v>19</v>
          </cell>
          <cell r="CK37">
            <v>8</v>
          </cell>
          <cell r="CL37">
            <v>2025</v>
          </cell>
          <cell r="CM37">
            <v>0</v>
          </cell>
          <cell r="CN37">
            <v>-23152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6000000</v>
          </cell>
          <cell r="CW37">
            <v>0</v>
          </cell>
          <cell r="CX37" t="str">
            <v/>
          </cell>
          <cell r="CY37" t="str">
            <v>;</v>
          </cell>
          <cell r="CZ37">
            <v>0</v>
          </cell>
          <cell r="DA37" t="str">
            <v>Đỗ Thị Thu Hương</v>
          </cell>
          <cell r="DB37">
            <v>28</v>
          </cell>
          <cell r="DC37">
            <v>6.5166666666666799</v>
          </cell>
          <cell r="DD37">
            <v>241.55</v>
          </cell>
          <cell r="DE37">
            <v>174553.571428572</v>
          </cell>
          <cell r="DF37">
            <v>9705133.9285714291</v>
          </cell>
          <cell r="DG37">
            <v>10856005</v>
          </cell>
          <cell r="DH37">
            <v>1071428</v>
          </cell>
          <cell r="DI37">
            <v>1071428</v>
          </cell>
        </row>
        <row r="38">
          <cell r="D38" t="str">
            <v>Mai Ngọc Oanh</v>
          </cell>
          <cell r="E38" t="str">
            <v>HĐLĐ</v>
          </cell>
          <cell r="F38" t="str">
            <v>Nam Hòa</v>
          </cell>
          <cell r="G38" t="str">
            <v>DSBC</v>
          </cell>
          <cell r="H38" t="str">
            <v>23/06/2025</v>
          </cell>
          <cell r="I38" t="str">
            <v>90373224900</v>
          </cell>
          <cell r="J38" t="str">
            <v>MB bank</v>
          </cell>
          <cell r="K38">
            <v>28</v>
          </cell>
          <cell r="L38">
            <v>24</v>
          </cell>
          <cell r="M38">
            <v>247.7</v>
          </cell>
          <cell r="N38">
            <v>0.43333333333333302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5310000</v>
          </cell>
          <cell r="T38">
            <v>428571.42857142899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6000000</v>
          </cell>
          <cell r="AB38">
            <v>0</v>
          </cell>
          <cell r="AC38">
            <v>0</v>
          </cell>
          <cell r="AD38">
            <v>0</v>
          </cell>
          <cell r="AE38">
            <v>6634821.42857143</v>
          </cell>
          <cell r="AF38">
            <v>17410.714285714301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461400</v>
          </cell>
          <cell r="AO38">
            <v>1210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555933</v>
          </cell>
          <cell r="AZ38">
            <v>0</v>
          </cell>
          <cell r="BA38">
            <v>0</v>
          </cell>
          <cell r="BB38">
            <v>100000</v>
          </cell>
          <cell r="BC38">
            <v>0</v>
          </cell>
          <cell r="BD38">
            <v>0</v>
          </cell>
          <cell r="BE38">
            <v>6887480.57142857</v>
          </cell>
          <cell r="BF38">
            <v>929250</v>
          </cell>
          <cell r="BG38">
            <v>159300</v>
          </cell>
          <cell r="BH38">
            <v>53100</v>
          </cell>
          <cell r="BI38">
            <v>0</v>
          </cell>
          <cell r="BJ38">
            <v>1141650</v>
          </cell>
          <cell r="BK38">
            <v>424800</v>
          </cell>
          <cell r="BL38">
            <v>79650</v>
          </cell>
          <cell r="BM38">
            <v>53100</v>
          </cell>
          <cell r="BN38">
            <v>0</v>
          </cell>
          <cell r="BO38">
            <v>557550</v>
          </cell>
          <cell r="BP38">
            <v>428571.42857142899</v>
          </cell>
          <cell r="BQ38">
            <v>6458909.1428571399</v>
          </cell>
          <cell r="BR38">
            <v>15500000</v>
          </cell>
          <cell r="BS38">
            <v>0</v>
          </cell>
          <cell r="BT38">
            <v>0</v>
          </cell>
          <cell r="BU38">
            <v>557550</v>
          </cell>
          <cell r="BV38">
            <v>16057550</v>
          </cell>
          <cell r="BW38">
            <v>0</v>
          </cell>
          <cell r="BX38">
            <v>0</v>
          </cell>
          <cell r="BY38">
            <v>6329931</v>
          </cell>
          <cell r="BZ38">
            <v>0</v>
          </cell>
          <cell r="CA38">
            <v>0</v>
          </cell>
          <cell r="CB38">
            <v>6329931</v>
          </cell>
          <cell r="CC38">
            <v>0</v>
          </cell>
          <cell r="CD38">
            <v>6329931</v>
          </cell>
          <cell r="CE38">
            <v>0</v>
          </cell>
          <cell r="CF38" t="str">
            <v>medigo.oanh.mai@gmail.com</v>
          </cell>
          <cell r="CG38" t="str">
            <v/>
          </cell>
          <cell r="CH38">
            <v>8</v>
          </cell>
          <cell r="CI38">
            <v>0</v>
          </cell>
          <cell r="CJ38">
            <v>23</v>
          </cell>
          <cell r="CK38">
            <v>6</v>
          </cell>
          <cell r="CL38">
            <v>2025</v>
          </cell>
          <cell r="CM38">
            <v>0</v>
          </cell>
          <cell r="CN38">
            <v>-23150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6000000</v>
          </cell>
          <cell r="CW38">
            <v>0</v>
          </cell>
          <cell r="CX38" t="str">
            <v/>
          </cell>
          <cell r="CY38" t="str">
            <v>;</v>
          </cell>
          <cell r="CZ38">
            <v>0</v>
          </cell>
          <cell r="DA38" t="str">
            <v>Mai Ngọc Oanh</v>
          </cell>
          <cell r="DB38">
            <v>24</v>
          </cell>
          <cell r="DC38">
            <v>247.7</v>
          </cell>
          <cell r="DD38">
            <v>0.43333333333333302</v>
          </cell>
          <cell r="DE38">
            <v>6634821.42857143</v>
          </cell>
          <cell r="DF38">
            <v>17410.714285714301</v>
          </cell>
          <cell r="DG38">
            <v>6329931</v>
          </cell>
          <cell r="DH38">
            <v>0</v>
          </cell>
          <cell r="DI38">
            <v>0</v>
          </cell>
        </row>
        <row r="39">
          <cell r="D39" t="str">
            <v>Hạ Ngân Khánh</v>
          </cell>
          <cell r="E39" t="str">
            <v>HĐLĐ</v>
          </cell>
          <cell r="F39" t="str">
            <v>Nam Hòa</v>
          </cell>
          <cell r="G39" t="str">
            <v>DSBC</v>
          </cell>
          <cell r="H39" t="str">
            <v>23/06/2025</v>
          </cell>
          <cell r="I39" t="str">
            <v>109873777758</v>
          </cell>
          <cell r="J39" t="str">
            <v>VietinBank</v>
          </cell>
          <cell r="K39">
            <v>28</v>
          </cell>
          <cell r="L39">
            <v>13</v>
          </cell>
          <cell r="M39">
            <v>132.96666666666701</v>
          </cell>
          <cell r="N39">
            <v>1.8333333333333299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5310000</v>
          </cell>
          <cell r="T39">
            <v>232142.85714285701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6000000</v>
          </cell>
          <cell r="AB39">
            <v>0</v>
          </cell>
          <cell r="AC39">
            <v>0</v>
          </cell>
          <cell r="AD39">
            <v>0</v>
          </cell>
          <cell r="AE39">
            <v>3561607.1428571399</v>
          </cell>
          <cell r="AF39">
            <v>73660.714285714304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526800</v>
          </cell>
          <cell r="AO39">
            <v>37800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4432010.7142857099</v>
          </cell>
          <cell r="BF39">
            <v>929250</v>
          </cell>
          <cell r="BG39">
            <v>159300</v>
          </cell>
          <cell r="BH39">
            <v>53100</v>
          </cell>
          <cell r="BI39">
            <v>0</v>
          </cell>
          <cell r="BJ39">
            <v>1141650</v>
          </cell>
          <cell r="BK39">
            <v>424800</v>
          </cell>
          <cell r="BL39">
            <v>79650</v>
          </cell>
          <cell r="BM39">
            <v>53100</v>
          </cell>
          <cell r="BN39">
            <v>0</v>
          </cell>
          <cell r="BO39">
            <v>557550</v>
          </cell>
          <cell r="BP39">
            <v>232142.85714285701</v>
          </cell>
          <cell r="BQ39">
            <v>4199867.8571428601</v>
          </cell>
          <cell r="BR39">
            <v>15500000</v>
          </cell>
          <cell r="BS39">
            <v>0</v>
          </cell>
          <cell r="BT39">
            <v>0</v>
          </cell>
          <cell r="BU39">
            <v>557550</v>
          </cell>
          <cell r="BV39">
            <v>16057550</v>
          </cell>
          <cell r="BW39">
            <v>0</v>
          </cell>
          <cell r="BX39">
            <v>0</v>
          </cell>
          <cell r="BY39">
            <v>3874461</v>
          </cell>
          <cell r="BZ39">
            <v>0</v>
          </cell>
          <cell r="CA39">
            <v>0</v>
          </cell>
          <cell r="CB39">
            <v>3874461</v>
          </cell>
          <cell r="CC39">
            <v>0</v>
          </cell>
          <cell r="CD39">
            <v>3874461</v>
          </cell>
          <cell r="CE39">
            <v>0</v>
          </cell>
          <cell r="CF39" t="str">
            <v>medigo.ngankhanh.ha@gmail.com</v>
          </cell>
          <cell r="CG39" t="str">
            <v/>
          </cell>
          <cell r="CH39">
            <v>9</v>
          </cell>
          <cell r="CI39">
            <v>0</v>
          </cell>
          <cell r="CJ39">
            <v>23</v>
          </cell>
          <cell r="CK39">
            <v>6</v>
          </cell>
          <cell r="CL39">
            <v>2025</v>
          </cell>
          <cell r="CM39">
            <v>0</v>
          </cell>
          <cell r="CN39">
            <v>-23150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6000000</v>
          </cell>
          <cell r="CW39">
            <v>0</v>
          </cell>
          <cell r="CX39" t="str">
            <v/>
          </cell>
          <cell r="CY39" t="str">
            <v>;</v>
          </cell>
          <cell r="CZ39">
            <v>0</v>
          </cell>
          <cell r="DA39" t="str">
            <v>Hạ Ngân Khánh</v>
          </cell>
          <cell r="DB39">
            <v>9</v>
          </cell>
          <cell r="DC39">
            <v>7.8666666666666698</v>
          </cell>
          <cell r="DD39">
            <v>59.533333333333303</v>
          </cell>
          <cell r="DE39">
            <v>210714.285714286</v>
          </cell>
          <cell r="DF39">
            <v>2391964.2857142901</v>
          </cell>
          <cell r="DG39">
            <v>2763393</v>
          </cell>
          <cell r="DH39">
            <v>0</v>
          </cell>
          <cell r="DI39">
            <v>0</v>
          </cell>
        </row>
        <row r="40">
          <cell r="D40" t="str">
            <v>Phan Công Vũ Tài</v>
          </cell>
          <cell r="E40" t="str">
            <v>HĐLĐ</v>
          </cell>
          <cell r="F40" t="str">
            <v>Nam Hòa</v>
          </cell>
          <cell r="G40" t="str">
            <v>DSBC</v>
          </cell>
          <cell r="H40" t="str">
            <v>26/01/2026</v>
          </cell>
          <cell r="I40" t="str">
            <v>02446989901</v>
          </cell>
          <cell r="J40" t="str">
            <v>Tp Bank</v>
          </cell>
          <cell r="K40">
            <v>28</v>
          </cell>
          <cell r="L40">
            <v>2</v>
          </cell>
          <cell r="M40">
            <v>4.8499999999999996</v>
          </cell>
          <cell r="N40">
            <v>25.533333333333299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35714.285714285703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5310000</v>
          </cell>
          <cell r="AB40">
            <v>0</v>
          </cell>
          <cell r="AC40">
            <v>0</v>
          </cell>
          <cell r="AD40">
            <v>0</v>
          </cell>
          <cell r="AE40">
            <v>114970.982142857</v>
          </cell>
          <cell r="AF40">
            <v>907915.17857142899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1058600.44642857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35714.285714285703</v>
          </cell>
          <cell r="BQ40">
            <v>1022886.16071429</v>
          </cell>
          <cell r="BR40">
            <v>15500000</v>
          </cell>
          <cell r="BS40">
            <v>0</v>
          </cell>
          <cell r="BT40">
            <v>0</v>
          </cell>
          <cell r="BU40">
            <v>0</v>
          </cell>
          <cell r="BV40">
            <v>15500000</v>
          </cell>
          <cell r="BW40">
            <v>0</v>
          </cell>
          <cell r="BX40">
            <v>0</v>
          </cell>
          <cell r="BY40">
            <v>1058600</v>
          </cell>
          <cell r="BZ40">
            <v>0</v>
          </cell>
          <cell r="CA40">
            <v>0</v>
          </cell>
          <cell r="CB40">
            <v>1058600</v>
          </cell>
          <cell r="CC40">
            <v>0</v>
          </cell>
          <cell r="CD40">
            <v>1058600</v>
          </cell>
          <cell r="CE40">
            <v>0</v>
          </cell>
          <cell r="CF40" t="str">
            <v>tai.phan@medigoapp.com</v>
          </cell>
          <cell r="CG40" t="str">
            <v/>
          </cell>
          <cell r="CH40">
            <v>4</v>
          </cell>
          <cell r="CI40">
            <v>0</v>
          </cell>
          <cell r="CJ40">
            <v>26</v>
          </cell>
          <cell r="CK40">
            <v>1</v>
          </cell>
          <cell r="CL40">
            <v>2026</v>
          </cell>
          <cell r="CM40">
            <v>0</v>
          </cell>
          <cell r="CN40">
            <v>-23157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5310000</v>
          </cell>
          <cell r="CW40">
            <v>0</v>
          </cell>
          <cell r="CX40" t="str">
            <v/>
          </cell>
          <cell r="CY40" t="str">
            <v>;</v>
          </cell>
          <cell r="CZ40">
            <v>0</v>
          </cell>
          <cell r="DA40" t="str">
            <v>Phan Công Vũ Tài</v>
          </cell>
          <cell r="DB40">
            <v>10</v>
          </cell>
          <cell r="DC40">
            <v>104.95</v>
          </cell>
          <cell r="DD40">
            <v>0.58333333333333304</v>
          </cell>
          <cell r="DE40">
            <v>2487877.2321428601</v>
          </cell>
          <cell r="DF40">
            <v>20742.1875</v>
          </cell>
          <cell r="DG40">
            <v>2812705</v>
          </cell>
          <cell r="DH40">
            <v>0</v>
          </cell>
          <cell r="DI40">
            <v>0</v>
          </cell>
        </row>
        <row r="41">
          <cell r="D41" t="str">
            <v>Trần Thị Ánh Nguyệt</v>
          </cell>
          <cell r="E41" t="str">
            <v>HĐTV</v>
          </cell>
          <cell r="F41" t="str">
            <v>Nam Hòa</v>
          </cell>
          <cell r="G41" t="str">
            <v>DSTV</v>
          </cell>
          <cell r="H41" t="str">
            <v>13/3/2026</v>
          </cell>
          <cell r="I41" t="str">
            <v>19035042801010</v>
          </cell>
          <cell r="J41" t="str">
            <v>techcombank - chi nhánh Bình Đăng</v>
          </cell>
          <cell r="K41">
            <v>28</v>
          </cell>
          <cell r="L41">
            <v>28</v>
          </cell>
          <cell r="M41">
            <v>32.1666666666667</v>
          </cell>
          <cell r="N41">
            <v>259.38333333333298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500000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5100000</v>
          </cell>
          <cell r="AB41">
            <v>0</v>
          </cell>
          <cell r="AC41">
            <v>0</v>
          </cell>
          <cell r="AD41">
            <v>0</v>
          </cell>
          <cell r="AE41">
            <v>732366.07142857101</v>
          </cell>
          <cell r="AF41">
            <v>8858404.0178571399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826400</v>
          </cell>
          <cell r="AO41">
            <v>6220</v>
          </cell>
          <cell r="AP41">
            <v>0</v>
          </cell>
          <cell r="AQ41">
            <v>60000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10983390.0892857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500000</v>
          </cell>
          <cell r="BQ41">
            <v>10483390.0892857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10483390.0892857</v>
          </cell>
          <cell r="BX41">
            <v>1048339.00892857</v>
          </cell>
          <cell r="BY41">
            <v>9935051</v>
          </cell>
          <cell r="BZ41">
            <v>0</v>
          </cell>
          <cell r="CA41">
            <v>0</v>
          </cell>
          <cell r="CB41">
            <v>9935051</v>
          </cell>
          <cell r="CC41">
            <v>0</v>
          </cell>
          <cell r="CD41">
            <v>9935051</v>
          </cell>
          <cell r="CE41">
            <v>0</v>
          </cell>
          <cell r="CF41" t="str">
            <v>nguyet.tran@medigoapp.com</v>
          </cell>
          <cell r="CG41" t="str">
            <v/>
          </cell>
          <cell r="CH41">
            <v>2</v>
          </cell>
          <cell r="CI41">
            <v>4.5</v>
          </cell>
          <cell r="CJ41">
            <v>13</v>
          </cell>
          <cell r="CK41">
            <v>3</v>
          </cell>
          <cell r="CL41">
            <v>2026</v>
          </cell>
          <cell r="CM41">
            <v>0</v>
          </cell>
          <cell r="CN41">
            <v>-23159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5100000</v>
          </cell>
          <cell r="CW41">
            <v>0</v>
          </cell>
          <cell r="CX41" t="str">
            <v/>
          </cell>
          <cell r="CY41" t="str">
            <v>;</v>
          </cell>
          <cell r="CZ41">
            <v>0</v>
          </cell>
          <cell r="DA41" t="str">
            <v>Trần Thị Ánh Nguyệt</v>
          </cell>
          <cell r="DB41">
            <v>28</v>
          </cell>
          <cell r="DC41">
            <v>32.1666666666667</v>
          </cell>
          <cell r="DD41">
            <v>259.38333333333298</v>
          </cell>
          <cell r="DE41">
            <v>732366.07142857101</v>
          </cell>
          <cell r="DF41">
            <v>8858404.0178571399</v>
          </cell>
          <cell r="DG41">
            <v>9935051</v>
          </cell>
          <cell r="DH41">
            <v>0</v>
          </cell>
          <cell r="DI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196</v>
          </cell>
          <cell r="L42">
            <v>121</v>
          </cell>
          <cell r="M42">
            <v>644.83333333333303</v>
          </cell>
          <cell r="N42">
            <v>582.75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21240000</v>
          </cell>
          <cell r="T42">
            <v>2160714.2857142901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39510000</v>
          </cell>
          <cell r="AB42">
            <v>0</v>
          </cell>
          <cell r="AC42">
            <v>0</v>
          </cell>
          <cell r="AD42">
            <v>0</v>
          </cell>
          <cell r="AE42">
            <v>16563899.553571399</v>
          </cell>
          <cell r="AF42">
            <v>21732837.053571399</v>
          </cell>
          <cell r="AG42">
            <v>0</v>
          </cell>
          <cell r="AH42">
            <v>0</v>
          </cell>
          <cell r="AI42">
            <v>0</v>
          </cell>
          <cell r="AJ42">
            <v>500000</v>
          </cell>
          <cell r="AK42">
            <v>0</v>
          </cell>
          <cell r="AL42">
            <v>0</v>
          </cell>
          <cell r="AM42">
            <v>0</v>
          </cell>
          <cell r="AN42">
            <v>3458342</v>
          </cell>
          <cell r="AO42">
            <v>46160</v>
          </cell>
          <cell r="AP42">
            <v>0</v>
          </cell>
          <cell r="AQ42">
            <v>340000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1667799</v>
          </cell>
          <cell r="AZ42">
            <v>40000</v>
          </cell>
          <cell r="BA42">
            <v>0</v>
          </cell>
          <cell r="BB42">
            <v>300000</v>
          </cell>
          <cell r="BC42">
            <v>0</v>
          </cell>
          <cell r="BD42">
            <v>0</v>
          </cell>
          <cell r="BE42">
            <v>42794153.892857097</v>
          </cell>
          <cell r="BF42">
            <v>3717000</v>
          </cell>
          <cell r="BG42">
            <v>637200</v>
          </cell>
          <cell r="BH42">
            <v>212400</v>
          </cell>
          <cell r="BI42">
            <v>0</v>
          </cell>
          <cell r="BJ42">
            <v>4566600</v>
          </cell>
          <cell r="BK42">
            <v>1699200</v>
          </cell>
          <cell r="BL42">
            <v>318600</v>
          </cell>
          <cell r="BM42">
            <v>212400</v>
          </cell>
          <cell r="BN42">
            <v>0</v>
          </cell>
          <cell r="BO42">
            <v>2230200</v>
          </cell>
          <cell r="BP42">
            <v>2160714.2857142901</v>
          </cell>
          <cell r="BQ42">
            <v>40633439.607142903</v>
          </cell>
          <cell r="BR42">
            <v>77500000</v>
          </cell>
          <cell r="BS42">
            <v>0</v>
          </cell>
          <cell r="BT42">
            <v>0</v>
          </cell>
          <cell r="BU42">
            <v>2230200</v>
          </cell>
          <cell r="BV42">
            <v>79730200</v>
          </cell>
          <cell r="BW42">
            <v>14120156.1607143</v>
          </cell>
          <cell r="BX42">
            <v>1412015.61607143</v>
          </cell>
          <cell r="BY42">
            <v>39151938</v>
          </cell>
          <cell r="BZ42">
            <v>0</v>
          </cell>
          <cell r="CA42">
            <v>0</v>
          </cell>
          <cell r="CB42">
            <v>39151938</v>
          </cell>
          <cell r="CC42">
            <v>0</v>
          </cell>
          <cell r="CD42">
            <v>39151938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13.25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-162075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39510000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</row>
        <row r="43">
          <cell r="D43" t="str">
            <v>Nguyễn Thị Hồng Hạnh</v>
          </cell>
          <cell r="E43" t="str">
            <v>HĐLĐ</v>
          </cell>
          <cell r="F43" t="str">
            <v>Nguyễn Chí Thanh</v>
          </cell>
          <cell r="G43" t="str">
            <v>DSBC</v>
          </cell>
          <cell r="H43">
            <v>45502</v>
          </cell>
          <cell r="I43" t="str">
            <v>19036469088011</v>
          </cell>
          <cell r="J43" t="str">
            <v>Techcombank</v>
          </cell>
          <cell r="K43">
            <v>28</v>
          </cell>
          <cell r="L43">
            <v>30</v>
          </cell>
          <cell r="M43">
            <v>16</v>
          </cell>
          <cell r="N43">
            <v>283.683333333333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5310000</v>
          </cell>
          <cell r="T43">
            <v>500000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6000000</v>
          </cell>
          <cell r="AB43">
            <v>0</v>
          </cell>
          <cell r="AC43">
            <v>0</v>
          </cell>
          <cell r="AD43">
            <v>0</v>
          </cell>
          <cell r="AE43">
            <v>428571.42857142899</v>
          </cell>
          <cell r="AF43">
            <v>11397991.071428601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491200</v>
          </cell>
          <cell r="AM43">
            <v>0</v>
          </cell>
          <cell r="AN43">
            <v>1498100</v>
          </cell>
          <cell r="AO43">
            <v>15555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26500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14304917.5</v>
          </cell>
          <cell r="BF43">
            <v>929250</v>
          </cell>
          <cell r="BG43">
            <v>159300</v>
          </cell>
          <cell r="BH43">
            <v>53100</v>
          </cell>
          <cell r="BI43">
            <v>0</v>
          </cell>
          <cell r="BJ43">
            <v>1141650</v>
          </cell>
          <cell r="BK43">
            <v>424800</v>
          </cell>
          <cell r="BL43">
            <v>79650</v>
          </cell>
          <cell r="BM43">
            <v>53100</v>
          </cell>
          <cell r="BN43">
            <v>0</v>
          </cell>
          <cell r="BO43">
            <v>557550</v>
          </cell>
          <cell r="BP43">
            <v>500000</v>
          </cell>
          <cell r="BQ43">
            <v>13804917.5</v>
          </cell>
          <cell r="BR43">
            <v>15500000</v>
          </cell>
          <cell r="BS43">
            <v>0</v>
          </cell>
          <cell r="BT43">
            <v>0</v>
          </cell>
          <cell r="BU43">
            <v>557550</v>
          </cell>
          <cell r="BV43">
            <v>16057550</v>
          </cell>
          <cell r="BW43">
            <v>0</v>
          </cell>
          <cell r="BX43">
            <v>0</v>
          </cell>
          <cell r="BY43">
            <v>13747368</v>
          </cell>
          <cell r="BZ43">
            <v>0</v>
          </cell>
          <cell r="CA43">
            <v>0</v>
          </cell>
          <cell r="CB43">
            <v>13747368</v>
          </cell>
          <cell r="CC43">
            <v>0</v>
          </cell>
          <cell r="CD43">
            <v>13747368</v>
          </cell>
          <cell r="CE43">
            <v>0</v>
          </cell>
          <cell r="CF43" t="str">
            <v>medigo.honghanh.nguyen@gmail.com</v>
          </cell>
          <cell r="CG43" t="str">
            <v/>
          </cell>
          <cell r="CH43">
            <v>2</v>
          </cell>
          <cell r="CI43">
            <v>0</v>
          </cell>
          <cell r="CJ43">
            <v>29</v>
          </cell>
          <cell r="CK43">
            <v>7</v>
          </cell>
          <cell r="CL43">
            <v>2024</v>
          </cell>
          <cell r="CM43">
            <v>0</v>
          </cell>
          <cell r="CN43">
            <v>-23139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6000000</v>
          </cell>
          <cell r="CW43">
            <v>0</v>
          </cell>
          <cell r="CX43" t="str">
            <v/>
          </cell>
          <cell r="CY43" t="str">
            <v>;</v>
          </cell>
          <cell r="CZ43">
            <v>0</v>
          </cell>
          <cell r="DA43" t="str">
            <v>Nguyễn Thị Hồng Hạnh</v>
          </cell>
          <cell r="DB43">
            <v>30</v>
          </cell>
          <cell r="DC43">
            <v>16</v>
          </cell>
          <cell r="DD43">
            <v>283.683333333333</v>
          </cell>
          <cell r="DE43">
            <v>428571.42857142899</v>
          </cell>
          <cell r="DF43">
            <v>11397991.071428601</v>
          </cell>
          <cell r="DG43">
            <v>13747368</v>
          </cell>
          <cell r="DH43">
            <v>0</v>
          </cell>
          <cell r="DI43">
            <v>0</v>
          </cell>
        </row>
        <row r="44">
          <cell r="D44" t="str">
            <v>Nguyễn Trúc Linh</v>
          </cell>
          <cell r="E44" t="str">
            <v>HĐLĐ</v>
          </cell>
          <cell r="F44" t="str">
            <v>Nguyễn Chí Thanh</v>
          </cell>
          <cell r="G44" t="str">
            <v>DSBC</v>
          </cell>
          <cell r="H44" t="str">
            <v>26/04/2025</v>
          </cell>
          <cell r="I44" t="str">
            <v>109006916698</v>
          </cell>
          <cell r="J44" t="str">
            <v>Vietinbank</v>
          </cell>
          <cell r="K44">
            <v>28</v>
          </cell>
          <cell r="L44">
            <v>1</v>
          </cell>
          <cell r="M44">
            <v>0</v>
          </cell>
          <cell r="N44">
            <v>8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17857.142857142899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6000000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321428.57142857101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339285.71428571403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17857.142857142899</v>
          </cell>
          <cell r="BQ44">
            <v>321428.57142857101</v>
          </cell>
          <cell r="BR44">
            <v>15500000</v>
          </cell>
          <cell r="BS44">
            <v>0</v>
          </cell>
          <cell r="BT44">
            <v>0</v>
          </cell>
          <cell r="BU44">
            <v>0</v>
          </cell>
          <cell r="BV44">
            <v>15500000</v>
          </cell>
          <cell r="BW44">
            <v>0</v>
          </cell>
          <cell r="BX44">
            <v>0</v>
          </cell>
          <cell r="BY44">
            <v>339286</v>
          </cell>
          <cell r="BZ44">
            <v>0</v>
          </cell>
          <cell r="CA44">
            <v>0</v>
          </cell>
          <cell r="CB44">
            <v>339286</v>
          </cell>
          <cell r="CC44">
            <v>0</v>
          </cell>
          <cell r="CD44">
            <v>339286</v>
          </cell>
          <cell r="CE44">
            <v>0</v>
          </cell>
          <cell r="CF44" t="str">
            <v>medigo.truclinh.nguyen@gmail.com</v>
          </cell>
          <cell r="CG44">
            <v>0</v>
          </cell>
          <cell r="CH44">
            <v>12</v>
          </cell>
          <cell r="CI44">
            <v>0</v>
          </cell>
          <cell r="CJ44">
            <v>26</v>
          </cell>
          <cell r="CK44">
            <v>4</v>
          </cell>
          <cell r="CL44">
            <v>2025</v>
          </cell>
          <cell r="CM44">
            <v>0</v>
          </cell>
          <cell r="CN44">
            <v>11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6000000</v>
          </cell>
          <cell r="CW44">
            <v>0</v>
          </cell>
          <cell r="CX44">
            <v>0</v>
          </cell>
          <cell r="CY44" t="str">
            <v>; 0</v>
          </cell>
          <cell r="CZ44">
            <v>0</v>
          </cell>
          <cell r="DA44" t="str">
            <v>Nguyễn Trúc Linh</v>
          </cell>
          <cell r="DB44">
            <v>17</v>
          </cell>
          <cell r="DC44">
            <v>0</v>
          </cell>
          <cell r="DD44">
            <v>8</v>
          </cell>
          <cell r="DE44">
            <v>0</v>
          </cell>
          <cell r="DF44">
            <v>321428.57142857101</v>
          </cell>
          <cell r="DG44">
            <v>339286</v>
          </cell>
          <cell r="DH44">
            <v>0</v>
          </cell>
          <cell r="DI44">
            <v>0</v>
          </cell>
        </row>
        <row r="45">
          <cell r="D45" t="str">
            <v>Đỗ Thị Phương Thảo</v>
          </cell>
          <cell r="E45" t="str">
            <v>HĐLĐ</v>
          </cell>
          <cell r="F45" t="str">
            <v>Nguyễn Chí Thanh</v>
          </cell>
          <cell r="G45" t="str">
            <v>DSBC</v>
          </cell>
          <cell r="H45" t="str">
            <v>19/04/2025</v>
          </cell>
          <cell r="I45" t="str">
            <v>0561000503731</v>
          </cell>
          <cell r="J45" t="str">
            <v>Vietcombank</v>
          </cell>
          <cell r="K45">
            <v>28</v>
          </cell>
          <cell r="L45">
            <v>25</v>
          </cell>
          <cell r="M45">
            <v>254.2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5310000</v>
          </cell>
          <cell r="T45">
            <v>446428.57142857101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6000000</v>
          </cell>
          <cell r="AB45">
            <v>0</v>
          </cell>
          <cell r="AC45">
            <v>0</v>
          </cell>
          <cell r="AD45">
            <v>0</v>
          </cell>
          <cell r="AE45">
            <v>6808928.57142857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471300</v>
          </cell>
          <cell r="AO45">
            <v>232110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26500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7932267.1428571399</v>
          </cell>
          <cell r="BF45">
            <v>929250</v>
          </cell>
          <cell r="BG45">
            <v>159300</v>
          </cell>
          <cell r="BH45">
            <v>53100</v>
          </cell>
          <cell r="BI45">
            <v>0</v>
          </cell>
          <cell r="BJ45">
            <v>1141650</v>
          </cell>
          <cell r="BK45">
            <v>424800</v>
          </cell>
          <cell r="BL45">
            <v>79650</v>
          </cell>
          <cell r="BM45">
            <v>53100</v>
          </cell>
          <cell r="BN45">
            <v>0</v>
          </cell>
          <cell r="BO45">
            <v>557550</v>
          </cell>
          <cell r="BP45">
            <v>446428.57142857101</v>
          </cell>
          <cell r="BQ45">
            <v>7485838.57142857</v>
          </cell>
          <cell r="BR45">
            <v>15500000</v>
          </cell>
          <cell r="BS45">
            <v>0</v>
          </cell>
          <cell r="BT45">
            <v>0</v>
          </cell>
          <cell r="BU45">
            <v>557550</v>
          </cell>
          <cell r="BV45">
            <v>16057550</v>
          </cell>
          <cell r="BW45">
            <v>0</v>
          </cell>
          <cell r="BX45">
            <v>0</v>
          </cell>
          <cell r="BY45">
            <v>7374717</v>
          </cell>
          <cell r="BZ45">
            <v>0</v>
          </cell>
          <cell r="CA45">
            <v>0</v>
          </cell>
          <cell r="CB45">
            <v>7374717</v>
          </cell>
          <cell r="CC45">
            <v>0</v>
          </cell>
          <cell r="CD45">
            <v>7374717</v>
          </cell>
          <cell r="CE45">
            <v>0</v>
          </cell>
          <cell r="CF45" t="str">
            <v>medigo.thao.do@gmail.com</v>
          </cell>
          <cell r="CG45" t="str">
            <v/>
          </cell>
          <cell r="CH45">
            <v>8</v>
          </cell>
          <cell r="CI45">
            <v>2.5</v>
          </cell>
          <cell r="CJ45">
            <v>19</v>
          </cell>
          <cell r="CK45">
            <v>4</v>
          </cell>
          <cell r="CL45">
            <v>2025</v>
          </cell>
          <cell r="CM45">
            <v>0</v>
          </cell>
          <cell r="CN45">
            <v>-23148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6000000</v>
          </cell>
          <cell r="CW45">
            <v>0</v>
          </cell>
          <cell r="CX45" t="str">
            <v/>
          </cell>
          <cell r="CY45" t="str">
            <v>;</v>
          </cell>
          <cell r="CZ45">
            <v>0</v>
          </cell>
          <cell r="DA45" t="str">
            <v>Đỗ Thị Phương Thảo</v>
          </cell>
          <cell r="DB45">
            <v>25</v>
          </cell>
          <cell r="DC45">
            <v>254.2</v>
          </cell>
          <cell r="DD45">
            <v>0</v>
          </cell>
          <cell r="DE45">
            <v>6808928.57142857</v>
          </cell>
          <cell r="DF45">
            <v>0</v>
          </cell>
          <cell r="DG45">
            <v>7374717</v>
          </cell>
          <cell r="DH45">
            <v>0</v>
          </cell>
          <cell r="DI45">
            <v>0</v>
          </cell>
        </row>
        <row r="46">
          <cell r="D46" t="str">
            <v>Lê Thị Quỳnh Trâm</v>
          </cell>
          <cell r="E46" t="str">
            <v>HĐLĐ</v>
          </cell>
          <cell r="F46" t="str">
            <v>Nguyễn Chí Thanh</v>
          </cell>
          <cell r="G46" t="str">
            <v>CHT</v>
          </cell>
          <cell r="H46" t="str">
            <v>18/08/2025</v>
          </cell>
          <cell r="I46" t="str">
            <v>6321205302943</v>
          </cell>
          <cell r="J46" t="str">
            <v>AGRIBANK</v>
          </cell>
          <cell r="K46">
            <v>28</v>
          </cell>
          <cell r="L46">
            <v>28</v>
          </cell>
          <cell r="M46">
            <v>288.05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5310000</v>
          </cell>
          <cell r="T46">
            <v>500000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6000000</v>
          </cell>
          <cell r="AB46">
            <v>0</v>
          </cell>
          <cell r="AC46">
            <v>0</v>
          </cell>
          <cell r="AD46">
            <v>0</v>
          </cell>
          <cell r="AE46">
            <v>7715625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1000000</v>
          </cell>
          <cell r="AK46">
            <v>0</v>
          </cell>
          <cell r="AL46">
            <v>0</v>
          </cell>
          <cell r="AM46">
            <v>0</v>
          </cell>
          <cell r="AN46">
            <v>555100</v>
          </cell>
          <cell r="AO46">
            <v>53545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26500</v>
          </cell>
          <cell r="AZ46">
            <v>0</v>
          </cell>
          <cell r="BA46">
            <v>0</v>
          </cell>
          <cell r="BB46">
            <v>100000</v>
          </cell>
          <cell r="BC46">
            <v>0</v>
          </cell>
          <cell r="BD46">
            <v>0</v>
          </cell>
          <cell r="BE46">
            <v>9697770</v>
          </cell>
          <cell r="BF46">
            <v>929250</v>
          </cell>
          <cell r="BG46">
            <v>159300</v>
          </cell>
          <cell r="BH46">
            <v>53100</v>
          </cell>
          <cell r="BI46">
            <v>0</v>
          </cell>
          <cell r="BJ46">
            <v>1141650</v>
          </cell>
          <cell r="BK46">
            <v>424800</v>
          </cell>
          <cell r="BL46">
            <v>79650</v>
          </cell>
          <cell r="BM46">
            <v>53100</v>
          </cell>
          <cell r="BN46">
            <v>0</v>
          </cell>
          <cell r="BO46">
            <v>557550</v>
          </cell>
          <cell r="BP46">
            <v>500000</v>
          </cell>
          <cell r="BQ46">
            <v>9197770</v>
          </cell>
          <cell r="BR46">
            <v>15500000</v>
          </cell>
          <cell r="BS46">
            <v>0</v>
          </cell>
          <cell r="BT46">
            <v>0</v>
          </cell>
          <cell r="BU46">
            <v>557550</v>
          </cell>
          <cell r="BV46">
            <v>16057550</v>
          </cell>
          <cell r="BW46">
            <v>0</v>
          </cell>
          <cell r="BX46">
            <v>0</v>
          </cell>
          <cell r="BY46">
            <v>9140220</v>
          </cell>
          <cell r="BZ46">
            <v>0</v>
          </cell>
          <cell r="CA46">
            <v>0</v>
          </cell>
          <cell r="CB46">
            <v>9140220</v>
          </cell>
          <cell r="CC46">
            <v>0</v>
          </cell>
          <cell r="CD46">
            <v>9140220</v>
          </cell>
          <cell r="CE46">
            <v>0</v>
          </cell>
          <cell r="CF46" t="str">
            <v>tram.le@medigoapp.com</v>
          </cell>
          <cell r="CG46" t="str">
            <v/>
          </cell>
          <cell r="CH46">
            <v>11</v>
          </cell>
          <cell r="CI46">
            <v>2.5</v>
          </cell>
          <cell r="CJ46">
            <v>18</v>
          </cell>
          <cell r="CK46">
            <v>8</v>
          </cell>
          <cell r="CL46">
            <v>2025</v>
          </cell>
          <cell r="CM46">
            <v>0</v>
          </cell>
          <cell r="CN46">
            <v>-23152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6000000</v>
          </cell>
          <cell r="CW46">
            <v>0</v>
          </cell>
          <cell r="CX46" t="str">
            <v/>
          </cell>
          <cell r="CY46" t="str">
            <v>;</v>
          </cell>
          <cell r="CZ46">
            <v>0</v>
          </cell>
          <cell r="DA46" t="str">
            <v>Lê Thị Quỳnh Trâm</v>
          </cell>
          <cell r="DB46">
            <v>28</v>
          </cell>
          <cell r="DC46">
            <v>288.05</v>
          </cell>
          <cell r="DD46">
            <v>0</v>
          </cell>
          <cell r="DE46">
            <v>7715625</v>
          </cell>
          <cell r="DF46">
            <v>0</v>
          </cell>
          <cell r="DG46">
            <v>9140220</v>
          </cell>
          <cell r="DH46">
            <v>0</v>
          </cell>
          <cell r="DI46">
            <v>0</v>
          </cell>
        </row>
        <row r="47">
          <cell r="D47" t="str">
            <v>Hồ Tấn Nguyên</v>
          </cell>
          <cell r="E47" t="str">
            <v>HĐTV</v>
          </cell>
          <cell r="F47" t="str">
            <v>Nguyễn Chí Thanh</v>
          </cell>
          <cell r="G47" t="str">
            <v>DSTV</v>
          </cell>
          <cell r="H47" t="str">
            <v>20/3/2026</v>
          </cell>
          <cell r="I47" t="str">
            <v>1303032027</v>
          </cell>
          <cell r="J47" t="str">
            <v>BIDV</v>
          </cell>
          <cell r="K47">
            <v>28</v>
          </cell>
          <cell r="L47">
            <v>25</v>
          </cell>
          <cell r="M47">
            <v>2.75</v>
          </cell>
          <cell r="N47">
            <v>224.98333333333301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446428.57142857101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5100000</v>
          </cell>
          <cell r="AB47">
            <v>0</v>
          </cell>
          <cell r="AC47">
            <v>0</v>
          </cell>
          <cell r="AD47">
            <v>0</v>
          </cell>
          <cell r="AE47">
            <v>62611.607142857101</v>
          </cell>
          <cell r="AF47">
            <v>7683582.5892857099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483100</v>
          </cell>
          <cell r="AO47">
            <v>4100</v>
          </cell>
          <cell r="AP47">
            <v>0</v>
          </cell>
          <cell r="AQ47">
            <v>0</v>
          </cell>
          <cell r="AR47">
            <v>695672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100000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9475494.7678571399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446428.57142857101</v>
          </cell>
          <cell r="BQ47">
            <v>9029066.1964285709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9029066.1964285709</v>
          </cell>
          <cell r="BX47">
            <v>902906.619642857</v>
          </cell>
          <cell r="BY47">
            <v>8572588</v>
          </cell>
          <cell r="BZ47">
            <v>0</v>
          </cell>
          <cell r="CA47">
            <v>0</v>
          </cell>
          <cell r="CB47">
            <v>8572588</v>
          </cell>
          <cell r="CC47">
            <v>0</v>
          </cell>
          <cell r="CD47">
            <v>8572588</v>
          </cell>
          <cell r="CE47">
            <v>0</v>
          </cell>
          <cell r="CF47" t="str">
            <v>nguyen.ho@medigoapp.com</v>
          </cell>
          <cell r="CG47" t="str">
            <v/>
          </cell>
          <cell r="CH47">
            <v>4</v>
          </cell>
          <cell r="CI47">
            <v>2.5</v>
          </cell>
          <cell r="CJ47">
            <v>20</v>
          </cell>
          <cell r="CK47">
            <v>3</v>
          </cell>
          <cell r="CL47">
            <v>2026</v>
          </cell>
          <cell r="CM47">
            <v>0</v>
          </cell>
          <cell r="CN47">
            <v>-23159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5100000</v>
          </cell>
          <cell r="CW47">
            <v>0</v>
          </cell>
          <cell r="CX47" t="str">
            <v/>
          </cell>
          <cell r="CY47" t="str">
            <v>;</v>
          </cell>
          <cell r="CZ47">
            <v>0</v>
          </cell>
          <cell r="DA47" t="str">
            <v>Hồ Tấn Nguyên</v>
          </cell>
          <cell r="DB47">
            <v>25</v>
          </cell>
          <cell r="DC47">
            <v>2.75</v>
          </cell>
          <cell r="DD47">
            <v>224.98333333333301</v>
          </cell>
          <cell r="DE47">
            <v>62611.607142857101</v>
          </cell>
          <cell r="DF47">
            <v>7683582.5892857099</v>
          </cell>
          <cell r="DG47">
            <v>7946483</v>
          </cell>
          <cell r="DH47">
            <v>0</v>
          </cell>
          <cell r="DI47">
            <v>0</v>
          </cell>
        </row>
        <row r="48">
          <cell r="D48" t="str">
            <v>Hạ Ngân Khánh</v>
          </cell>
          <cell r="E48" t="str">
            <v>HĐLĐ</v>
          </cell>
          <cell r="F48" t="str">
            <v>Nguyễn Chí Thanh</v>
          </cell>
          <cell r="G48" t="str">
            <v>DSBC</v>
          </cell>
          <cell r="H48" t="str">
            <v>23/06/2025</v>
          </cell>
          <cell r="I48" t="str">
            <v>109873777758</v>
          </cell>
          <cell r="J48" t="str">
            <v>VietinBank</v>
          </cell>
          <cell r="K48">
            <v>28</v>
          </cell>
          <cell r="L48">
            <v>1</v>
          </cell>
          <cell r="M48">
            <v>10.3333333333333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17857.142857142899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6000000</v>
          </cell>
          <cell r="AB48">
            <v>0</v>
          </cell>
          <cell r="AC48">
            <v>0</v>
          </cell>
          <cell r="AD48">
            <v>0</v>
          </cell>
          <cell r="AE48">
            <v>276785.71428571403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873214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40000</v>
          </cell>
          <cell r="BA48">
            <v>0</v>
          </cell>
          <cell r="BB48">
            <v>100000</v>
          </cell>
          <cell r="BC48">
            <v>0</v>
          </cell>
          <cell r="BD48">
            <v>0</v>
          </cell>
          <cell r="BE48">
            <v>1027856.85714286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17857.142857142899</v>
          </cell>
          <cell r="BQ48">
            <v>1009999.71428571</v>
          </cell>
          <cell r="BR48">
            <v>15500000</v>
          </cell>
          <cell r="BS48">
            <v>0</v>
          </cell>
          <cell r="BT48">
            <v>0</v>
          </cell>
          <cell r="BU48">
            <v>0</v>
          </cell>
          <cell r="BV48">
            <v>15500000</v>
          </cell>
          <cell r="BW48">
            <v>0</v>
          </cell>
          <cell r="BX48">
            <v>0</v>
          </cell>
          <cell r="BY48">
            <v>1027857</v>
          </cell>
          <cell r="BZ48">
            <v>0</v>
          </cell>
          <cell r="CA48">
            <v>0</v>
          </cell>
          <cell r="CB48">
            <v>1027857</v>
          </cell>
          <cell r="CC48">
            <v>0</v>
          </cell>
          <cell r="CD48">
            <v>1027857</v>
          </cell>
          <cell r="CE48">
            <v>0</v>
          </cell>
          <cell r="CF48" t="str">
            <v>medigo.ngankhanh.ha@gmail.com</v>
          </cell>
          <cell r="CG48" t="str">
            <v/>
          </cell>
          <cell r="CH48">
            <v>9</v>
          </cell>
          <cell r="CI48">
            <v>2.5</v>
          </cell>
          <cell r="CJ48">
            <v>23</v>
          </cell>
          <cell r="CK48">
            <v>6</v>
          </cell>
          <cell r="CL48">
            <v>2025</v>
          </cell>
          <cell r="CM48">
            <v>0</v>
          </cell>
          <cell r="CN48">
            <v>-23150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6000000</v>
          </cell>
          <cell r="CW48">
            <v>0</v>
          </cell>
          <cell r="CX48" t="str">
            <v/>
          </cell>
          <cell r="CY48" t="str">
            <v>;</v>
          </cell>
          <cell r="CZ48">
            <v>0</v>
          </cell>
          <cell r="DA48" t="str">
            <v>Hạ Ngân Khánh</v>
          </cell>
          <cell r="DB48">
            <v>9</v>
          </cell>
          <cell r="DC48">
            <v>7.8666666666666698</v>
          </cell>
          <cell r="DD48">
            <v>59.533333333333303</v>
          </cell>
          <cell r="DE48">
            <v>210714.285714286</v>
          </cell>
          <cell r="DF48">
            <v>2391964.2857142901</v>
          </cell>
          <cell r="DG48">
            <v>2763393</v>
          </cell>
          <cell r="DH48">
            <v>0</v>
          </cell>
          <cell r="DI48">
            <v>0</v>
          </cell>
        </row>
        <row r="49">
          <cell r="D49" t="str">
            <v>Nguyễn Trí Nghĩa</v>
          </cell>
          <cell r="E49" t="str">
            <v>HĐLĐ</v>
          </cell>
          <cell r="F49" t="str">
            <v>Nguyễn Chí Thanh</v>
          </cell>
          <cell r="G49" t="str">
            <v>DSBC</v>
          </cell>
          <cell r="H49">
            <v>45439</v>
          </cell>
          <cell r="I49" t="str">
            <v>0251002787705</v>
          </cell>
          <cell r="J49" t="str">
            <v>Vietcombank</v>
          </cell>
          <cell r="K49">
            <v>28</v>
          </cell>
          <cell r="L49">
            <v>3</v>
          </cell>
          <cell r="M49">
            <v>41.95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53571.428571428602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6000000</v>
          </cell>
          <cell r="AB49">
            <v>0</v>
          </cell>
          <cell r="AC49">
            <v>0</v>
          </cell>
          <cell r="AD49">
            <v>0</v>
          </cell>
          <cell r="AE49">
            <v>1123660.7142857099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1177232.1428571399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53571.428571428602</v>
          </cell>
          <cell r="BQ49">
            <v>1123660.7142857099</v>
          </cell>
          <cell r="BR49">
            <v>15500000</v>
          </cell>
          <cell r="BS49">
            <v>0</v>
          </cell>
          <cell r="BT49">
            <v>0</v>
          </cell>
          <cell r="BU49">
            <v>0</v>
          </cell>
          <cell r="BV49">
            <v>15500000</v>
          </cell>
          <cell r="BW49">
            <v>0</v>
          </cell>
          <cell r="BX49">
            <v>0</v>
          </cell>
          <cell r="BY49">
            <v>1177232</v>
          </cell>
          <cell r="BZ49">
            <v>0</v>
          </cell>
          <cell r="CA49">
            <v>1177232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str">
            <v>medigo.nghia.nguyen@gmail.com</v>
          </cell>
          <cell r="CG49">
            <v>0</v>
          </cell>
          <cell r="CH49">
            <v>5</v>
          </cell>
          <cell r="CI49">
            <v>0</v>
          </cell>
          <cell r="CJ49">
            <v>27</v>
          </cell>
          <cell r="CK49">
            <v>5</v>
          </cell>
          <cell r="CL49">
            <v>2024</v>
          </cell>
          <cell r="CM49">
            <v>0</v>
          </cell>
          <cell r="CN49">
            <v>22</v>
          </cell>
          <cell r="CO49">
            <v>0</v>
          </cell>
          <cell r="CP49">
            <v>0</v>
          </cell>
          <cell r="CQ49">
            <v>1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6000000</v>
          </cell>
          <cell r="CW49">
            <v>0</v>
          </cell>
          <cell r="CX49">
            <v>0</v>
          </cell>
          <cell r="CY49" t="str">
            <v>; 0</v>
          </cell>
          <cell r="CZ49">
            <v>0</v>
          </cell>
          <cell r="DA49" t="str">
            <v>Nguyễn Trí Nghĩa</v>
          </cell>
          <cell r="DB49">
            <v>25</v>
          </cell>
          <cell r="DC49">
            <v>4.9666666666666703</v>
          </cell>
          <cell r="DD49">
            <v>193.416666666667</v>
          </cell>
          <cell r="DE49">
            <v>133035.714285714</v>
          </cell>
          <cell r="DF49">
            <v>7771205.3571428601</v>
          </cell>
          <cell r="DG49">
            <v>0</v>
          </cell>
          <cell r="DH49">
            <v>0</v>
          </cell>
          <cell r="DI49">
            <v>0</v>
          </cell>
        </row>
        <row r="50">
          <cell r="D50" t="str">
            <v>Phạm Thị Nghĩa Hương</v>
          </cell>
          <cell r="E50" t="str">
            <v>HĐLĐ</v>
          </cell>
          <cell r="F50" t="str">
            <v>Nguyễn Chí Thanh</v>
          </cell>
          <cell r="G50" t="str">
            <v>DSBC</v>
          </cell>
          <cell r="H50">
            <v>45575</v>
          </cell>
          <cell r="I50" t="str">
            <v>0968249073</v>
          </cell>
          <cell r="J50" t="str">
            <v>Mb bank</v>
          </cell>
          <cell r="K50">
            <v>28</v>
          </cell>
          <cell r="L50">
            <v>1</v>
          </cell>
          <cell r="M50">
            <v>0</v>
          </cell>
          <cell r="N50">
            <v>8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17857.142857142899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6000000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321428.57142857101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339285.71428571403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17857.142857142899</v>
          </cell>
          <cell r="BQ50">
            <v>321428.57142857101</v>
          </cell>
          <cell r="BR50">
            <v>15500000</v>
          </cell>
          <cell r="BS50">
            <v>0</v>
          </cell>
          <cell r="BT50">
            <v>0</v>
          </cell>
          <cell r="BU50">
            <v>0</v>
          </cell>
          <cell r="BV50">
            <v>15500000</v>
          </cell>
          <cell r="BW50">
            <v>0</v>
          </cell>
          <cell r="BX50">
            <v>0</v>
          </cell>
          <cell r="BY50">
            <v>339286</v>
          </cell>
          <cell r="BZ50">
            <v>0</v>
          </cell>
          <cell r="CA50">
            <v>0</v>
          </cell>
          <cell r="CB50">
            <v>339286</v>
          </cell>
          <cell r="CC50">
            <v>0</v>
          </cell>
          <cell r="CD50">
            <v>339286</v>
          </cell>
          <cell r="CE50">
            <v>0</v>
          </cell>
          <cell r="CF50" t="str">
            <v>medigo.huong.pham@gmail.com</v>
          </cell>
          <cell r="CG50">
            <v>0</v>
          </cell>
          <cell r="CH50">
            <v>10</v>
          </cell>
          <cell r="CI50">
            <v>0</v>
          </cell>
          <cell r="CJ50">
            <v>10</v>
          </cell>
          <cell r="CK50">
            <v>10</v>
          </cell>
          <cell r="CL50">
            <v>2024</v>
          </cell>
          <cell r="CM50">
            <v>0</v>
          </cell>
          <cell r="CN50">
            <v>17</v>
          </cell>
          <cell r="CO50">
            <v>0</v>
          </cell>
          <cell r="CP50">
            <v>0</v>
          </cell>
          <cell r="CQ50">
            <v>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6000000</v>
          </cell>
          <cell r="CW50">
            <v>0</v>
          </cell>
          <cell r="CX50">
            <v>0</v>
          </cell>
          <cell r="CY50" t="str">
            <v>; 0</v>
          </cell>
          <cell r="CZ50">
            <v>0</v>
          </cell>
          <cell r="DA50" t="str">
            <v>Phạm Thị Nghĩa Hương</v>
          </cell>
          <cell r="DB50">
            <v>15</v>
          </cell>
          <cell r="DC50">
            <v>106.466666666667</v>
          </cell>
          <cell r="DD50">
            <v>40.0833333333333</v>
          </cell>
          <cell r="DE50">
            <v>2851785.7142857099</v>
          </cell>
          <cell r="DF50">
            <v>1610491.07142857</v>
          </cell>
          <cell r="DG50">
            <v>4195777</v>
          </cell>
          <cell r="DH50">
            <v>0</v>
          </cell>
          <cell r="DI50">
            <v>0</v>
          </cell>
        </row>
        <row r="51">
          <cell r="D51" t="str">
            <v>Trần Hoàng Khánh</v>
          </cell>
          <cell r="E51" t="str">
            <v>HĐLĐ</v>
          </cell>
          <cell r="F51" t="str">
            <v>Nguyễn Chí Thanh</v>
          </cell>
          <cell r="G51" t="str">
            <v>DSBC</v>
          </cell>
          <cell r="H51" t="str">
            <v>02/06/2025</v>
          </cell>
          <cell r="I51" t="str">
            <v>0985967065</v>
          </cell>
          <cell r="J51" t="str">
            <v>Tp Bank</v>
          </cell>
          <cell r="K51">
            <v>28</v>
          </cell>
          <cell r="L51">
            <v>17</v>
          </cell>
          <cell r="M51">
            <v>121.366666666667</v>
          </cell>
          <cell r="N51">
            <v>48.266666666666701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5310000</v>
          </cell>
          <cell r="T51">
            <v>303571.42857142899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6000000</v>
          </cell>
          <cell r="AB51">
            <v>0</v>
          </cell>
          <cell r="AC51">
            <v>0</v>
          </cell>
          <cell r="AD51">
            <v>0</v>
          </cell>
          <cell r="AE51">
            <v>3250892.8571428601</v>
          </cell>
          <cell r="AF51">
            <v>1939285.7142857099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45390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26500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5512640</v>
          </cell>
          <cell r="BF51">
            <v>929250</v>
          </cell>
          <cell r="BG51">
            <v>159300</v>
          </cell>
          <cell r="BH51">
            <v>53100</v>
          </cell>
          <cell r="BI51">
            <v>0</v>
          </cell>
          <cell r="BJ51">
            <v>1141650</v>
          </cell>
          <cell r="BK51">
            <v>424800</v>
          </cell>
          <cell r="BL51">
            <v>79650</v>
          </cell>
          <cell r="BM51">
            <v>53100</v>
          </cell>
          <cell r="BN51">
            <v>0</v>
          </cell>
          <cell r="BO51">
            <v>557550</v>
          </cell>
          <cell r="BP51">
            <v>303571.42857142899</v>
          </cell>
          <cell r="BQ51">
            <v>5209068.57142857</v>
          </cell>
          <cell r="BR51">
            <v>15500000</v>
          </cell>
          <cell r="BS51">
            <v>0</v>
          </cell>
          <cell r="BT51">
            <v>0</v>
          </cell>
          <cell r="BU51">
            <v>557550</v>
          </cell>
          <cell r="BV51">
            <v>16057550</v>
          </cell>
          <cell r="BW51">
            <v>0</v>
          </cell>
          <cell r="BX51">
            <v>0</v>
          </cell>
          <cell r="BY51">
            <v>4955090</v>
          </cell>
          <cell r="BZ51">
            <v>0</v>
          </cell>
          <cell r="CA51">
            <v>0</v>
          </cell>
          <cell r="CB51">
            <v>4955090</v>
          </cell>
          <cell r="CC51">
            <v>0</v>
          </cell>
          <cell r="CD51">
            <v>4955090</v>
          </cell>
          <cell r="CE51">
            <v>0</v>
          </cell>
          <cell r="CF51" t="str">
            <v>medigo.hoangkhanh.tran@gmail.com</v>
          </cell>
          <cell r="CG51" t="str">
            <v/>
          </cell>
          <cell r="CH51">
            <v>9</v>
          </cell>
          <cell r="CI51">
            <v>2.5</v>
          </cell>
          <cell r="CJ51">
            <v>2</v>
          </cell>
          <cell r="CK51">
            <v>6</v>
          </cell>
          <cell r="CL51">
            <v>2025</v>
          </cell>
          <cell r="CM51">
            <v>0</v>
          </cell>
          <cell r="CN51">
            <v>9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6000000</v>
          </cell>
          <cell r="CW51">
            <v>0</v>
          </cell>
          <cell r="CX51" t="str">
            <v/>
          </cell>
          <cell r="CY51" t="str">
            <v>;</v>
          </cell>
          <cell r="CZ51">
            <v>0</v>
          </cell>
          <cell r="DA51" t="str">
            <v>Trần Hoàng Khánh</v>
          </cell>
          <cell r="DB51">
            <v>17</v>
          </cell>
          <cell r="DC51">
            <v>121.366666666667</v>
          </cell>
          <cell r="DD51">
            <v>48.266666666666701</v>
          </cell>
          <cell r="DE51">
            <v>3250892.8571428601</v>
          </cell>
          <cell r="DF51">
            <v>1939285.7142857099</v>
          </cell>
          <cell r="DG51">
            <v>4955090</v>
          </cell>
          <cell r="DH51">
            <v>0</v>
          </cell>
          <cell r="DI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252</v>
          </cell>
          <cell r="L52">
            <v>131</v>
          </cell>
          <cell r="M52">
            <v>734.65</v>
          </cell>
          <cell r="N52">
            <v>572.93333333333305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21240000</v>
          </cell>
          <cell r="T52">
            <v>2303571.42857143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53100000</v>
          </cell>
          <cell r="AB52">
            <v>0</v>
          </cell>
          <cell r="AC52">
            <v>0</v>
          </cell>
          <cell r="AD52">
            <v>0</v>
          </cell>
          <cell r="AE52">
            <v>19667075.892857101</v>
          </cell>
          <cell r="AF52">
            <v>21663716.517857101</v>
          </cell>
          <cell r="AG52">
            <v>0</v>
          </cell>
          <cell r="AH52">
            <v>0</v>
          </cell>
          <cell r="AI52">
            <v>0</v>
          </cell>
          <cell r="AJ52">
            <v>1000000</v>
          </cell>
          <cell r="AK52">
            <v>0</v>
          </cell>
          <cell r="AL52">
            <v>491200</v>
          </cell>
          <cell r="AM52">
            <v>0</v>
          </cell>
          <cell r="AN52">
            <v>3007600</v>
          </cell>
          <cell r="AO52">
            <v>350700</v>
          </cell>
          <cell r="AP52">
            <v>0</v>
          </cell>
          <cell r="AQ52">
            <v>0</v>
          </cell>
          <cell r="AR52">
            <v>1568886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100000</v>
          </cell>
          <cell r="AX52">
            <v>0</v>
          </cell>
          <cell r="AY52">
            <v>106000</v>
          </cell>
          <cell r="AZ52">
            <v>40000</v>
          </cell>
          <cell r="BA52">
            <v>0</v>
          </cell>
          <cell r="BB52">
            <v>200000</v>
          </cell>
          <cell r="BC52">
            <v>0</v>
          </cell>
          <cell r="BD52">
            <v>0</v>
          </cell>
          <cell r="BE52">
            <v>49806749.839285702</v>
          </cell>
          <cell r="BF52">
            <v>3717000</v>
          </cell>
          <cell r="BG52">
            <v>637200</v>
          </cell>
          <cell r="BH52">
            <v>212400</v>
          </cell>
          <cell r="BI52">
            <v>0</v>
          </cell>
          <cell r="BJ52">
            <v>4566600</v>
          </cell>
          <cell r="BK52">
            <v>1699200</v>
          </cell>
          <cell r="BL52">
            <v>318600</v>
          </cell>
          <cell r="BM52">
            <v>212400</v>
          </cell>
          <cell r="BN52">
            <v>0</v>
          </cell>
          <cell r="BO52">
            <v>2230200</v>
          </cell>
          <cell r="BP52">
            <v>2303571.42857143</v>
          </cell>
          <cell r="BQ52">
            <v>47503178.410714298</v>
          </cell>
          <cell r="BR52">
            <v>124000000</v>
          </cell>
          <cell r="BS52">
            <v>0</v>
          </cell>
          <cell r="BT52">
            <v>0</v>
          </cell>
          <cell r="BU52">
            <v>2230200</v>
          </cell>
          <cell r="BV52">
            <v>126230200</v>
          </cell>
          <cell r="BW52">
            <v>9029066.1964285709</v>
          </cell>
          <cell r="BX52">
            <v>902906.619642857</v>
          </cell>
          <cell r="BY52">
            <v>46673644</v>
          </cell>
          <cell r="BZ52">
            <v>0</v>
          </cell>
          <cell r="CA52">
            <v>1177232</v>
          </cell>
          <cell r="CB52">
            <v>45496412</v>
          </cell>
          <cell r="CC52">
            <v>0</v>
          </cell>
          <cell r="CD52">
            <v>45496412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12.5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-115689</v>
          </cell>
          <cell r="CO52">
            <v>0</v>
          </cell>
          <cell r="CP52">
            <v>0</v>
          </cell>
          <cell r="CQ52">
            <v>2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53100000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</row>
        <row r="53">
          <cell r="D53" t="str">
            <v>Trần Thành Đạt</v>
          </cell>
          <cell r="E53" t="str">
            <v>HĐLĐ</v>
          </cell>
          <cell r="F53" t="str">
            <v>Nguyễn Thị Thập</v>
          </cell>
          <cell r="G53" t="str">
            <v>DSBC</v>
          </cell>
          <cell r="H53" t="str">
            <v>21/07/2025</v>
          </cell>
          <cell r="I53" t="str">
            <v>0621000445313</v>
          </cell>
          <cell r="J53" t="str">
            <v>Vietcombank</v>
          </cell>
          <cell r="K53">
            <v>28</v>
          </cell>
          <cell r="L53">
            <v>29</v>
          </cell>
          <cell r="M53">
            <v>14.683333333333399</v>
          </cell>
          <cell r="N53">
            <v>306.96666666666698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5310000</v>
          </cell>
          <cell r="T53">
            <v>500000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6000000</v>
          </cell>
          <cell r="AB53">
            <v>0</v>
          </cell>
          <cell r="AC53">
            <v>0</v>
          </cell>
          <cell r="AD53">
            <v>0</v>
          </cell>
          <cell r="AE53">
            <v>393303.571428572</v>
          </cell>
          <cell r="AF53">
            <v>12333482.142857101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716100</v>
          </cell>
          <cell r="AO53">
            <v>36725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2500000</v>
          </cell>
          <cell r="AY53">
            <v>61466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16418144.7142857</v>
          </cell>
          <cell r="BF53">
            <v>929250</v>
          </cell>
          <cell r="BG53">
            <v>159300</v>
          </cell>
          <cell r="BH53">
            <v>53100</v>
          </cell>
          <cell r="BI53">
            <v>0</v>
          </cell>
          <cell r="BJ53">
            <v>1141650</v>
          </cell>
          <cell r="BK53">
            <v>424800</v>
          </cell>
          <cell r="BL53">
            <v>79650</v>
          </cell>
          <cell r="BM53">
            <v>53100</v>
          </cell>
          <cell r="BN53">
            <v>0</v>
          </cell>
          <cell r="BO53">
            <v>557550</v>
          </cell>
          <cell r="BP53">
            <v>500000</v>
          </cell>
          <cell r="BQ53">
            <v>15918144.7142857</v>
          </cell>
          <cell r="BR53">
            <v>15500000</v>
          </cell>
          <cell r="BS53">
            <v>0</v>
          </cell>
          <cell r="BT53">
            <v>0</v>
          </cell>
          <cell r="BU53">
            <v>557550</v>
          </cell>
          <cell r="BV53">
            <v>16057550</v>
          </cell>
          <cell r="BW53">
            <v>0</v>
          </cell>
          <cell r="BX53">
            <v>0</v>
          </cell>
          <cell r="BY53">
            <v>15860595</v>
          </cell>
          <cell r="BZ53">
            <v>0</v>
          </cell>
          <cell r="CA53">
            <v>0</v>
          </cell>
          <cell r="CB53">
            <v>15860595</v>
          </cell>
          <cell r="CC53">
            <v>0</v>
          </cell>
          <cell r="CD53">
            <v>15860595</v>
          </cell>
          <cell r="CE53">
            <v>0</v>
          </cell>
          <cell r="CF53" t="str">
            <v>medigo.thanhdat.tran@gmail.com</v>
          </cell>
          <cell r="CG53" t="str">
            <v/>
          </cell>
          <cell r="CH53">
            <v>9</v>
          </cell>
          <cell r="CI53">
            <v>2.5</v>
          </cell>
          <cell r="CJ53">
            <v>21</v>
          </cell>
          <cell r="CK53">
            <v>7</v>
          </cell>
          <cell r="CL53">
            <v>2025</v>
          </cell>
          <cell r="CM53">
            <v>0</v>
          </cell>
          <cell r="CN53">
            <v>-23151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6000000</v>
          </cell>
          <cell r="CW53">
            <v>0</v>
          </cell>
          <cell r="CX53" t="str">
            <v/>
          </cell>
          <cell r="CY53" t="str">
            <v>;</v>
          </cell>
          <cell r="CZ53">
            <v>0</v>
          </cell>
          <cell r="DA53" t="str">
            <v>Trần Thành Đạt</v>
          </cell>
          <cell r="DB53">
            <v>29</v>
          </cell>
          <cell r="DC53">
            <v>14.683333333333399</v>
          </cell>
          <cell r="DD53">
            <v>306.96666666666698</v>
          </cell>
          <cell r="DE53">
            <v>393303.571428572</v>
          </cell>
          <cell r="DF53">
            <v>12333482.142857101</v>
          </cell>
          <cell r="DG53">
            <v>15860595</v>
          </cell>
          <cell r="DH53">
            <v>0</v>
          </cell>
          <cell r="DI53">
            <v>0</v>
          </cell>
        </row>
        <row r="54">
          <cell r="D54" t="str">
            <v>Triệu Thị Ngọc Lý</v>
          </cell>
          <cell r="E54" t="str">
            <v>HĐLĐ</v>
          </cell>
          <cell r="F54" t="str">
            <v>Nguyễn Thị Thập</v>
          </cell>
          <cell r="G54" t="str">
            <v>CHT</v>
          </cell>
          <cell r="H54">
            <v>45194</v>
          </cell>
          <cell r="I54" t="str">
            <v>0989442883</v>
          </cell>
          <cell r="J54" t="str">
            <v>MB BANK</v>
          </cell>
          <cell r="K54">
            <v>28</v>
          </cell>
          <cell r="L54">
            <v>27</v>
          </cell>
          <cell r="M54">
            <v>308.51666666666699</v>
          </cell>
          <cell r="N54">
            <v>5.5833333333333304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5310000</v>
          </cell>
          <cell r="T54">
            <v>482142.85714285698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6000000</v>
          </cell>
          <cell r="AB54">
            <v>0</v>
          </cell>
          <cell r="AC54">
            <v>0</v>
          </cell>
          <cell r="AD54">
            <v>0</v>
          </cell>
          <cell r="AE54">
            <v>8263839.2857142901</v>
          </cell>
          <cell r="AF54">
            <v>224330.35714285701</v>
          </cell>
          <cell r="AG54">
            <v>0</v>
          </cell>
          <cell r="AH54">
            <v>0</v>
          </cell>
          <cell r="AI54">
            <v>0</v>
          </cell>
          <cell r="AJ54">
            <v>1000000</v>
          </cell>
          <cell r="AK54">
            <v>0</v>
          </cell>
          <cell r="AL54">
            <v>0</v>
          </cell>
          <cell r="AM54">
            <v>0</v>
          </cell>
          <cell r="AN54">
            <v>862000</v>
          </cell>
          <cell r="AO54">
            <v>33035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61466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10803881.5</v>
          </cell>
          <cell r="BF54">
            <v>929250</v>
          </cell>
          <cell r="BG54">
            <v>159300</v>
          </cell>
          <cell r="BH54">
            <v>53100</v>
          </cell>
          <cell r="BI54">
            <v>0</v>
          </cell>
          <cell r="BJ54">
            <v>1141650</v>
          </cell>
          <cell r="BK54">
            <v>424800</v>
          </cell>
          <cell r="BL54">
            <v>79650</v>
          </cell>
          <cell r="BM54">
            <v>53100</v>
          </cell>
          <cell r="BN54">
            <v>0</v>
          </cell>
          <cell r="BO54">
            <v>557550</v>
          </cell>
          <cell r="BP54">
            <v>482142.85714285698</v>
          </cell>
          <cell r="BQ54">
            <v>10321738.642857101</v>
          </cell>
          <cell r="BR54">
            <v>15500000</v>
          </cell>
          <cell r="BS54">
            <v>0</v>
          </cell>
          <cell r="BT54">
            <v>0</v>
          </cell>
          <cell r="BU54">
            <v>557550</v>
          </cell>
          <cell r="BV54">
            <v>16057550</v>
          </cell>
          <cell r="BW54">
            <v>0</v>
          </cell>
          <cell r="BX54">
            <v>0</v>
          </cell>
          <cell r="BY54">
            <v>10246332</v>
          </cell>
          <cell r="BZ54">
            <v>0</v>
          </cell>
          <cell r="CA54">
            <v>0</v>
          </cell>
          <cell r="CB54">
            <v>10246332</v>
          </cell>
          <cell r="CC54">
            <v>0</v>
          </cell>
          <cell r="CD54">
            <v>10246332</v>
          </cell>
          <cell r="CE54">
            <v>0</v>
          </cell>
          <cell r="CF54" t="str">
            <v>medigo.ly.trieu@gmail.com</v>
          </cell>
          <cell r="CG54" t="str">
            <v/>
          </cell>
          <cell r="CH54">
            <v>5</v>
          </cell>
          <cell r="CI54">
            <v>0</v>
          </cell>
          <cell r="CJ54">
            <v>25</v>
          </cell>
          <cell r="CK54">
            <v>9</v>
          </cell>
          <cell r="CL54">
            <v>2023</v>
          </cell>
          <cell r="CM54">
            <v>0</v>
          </cell>
          <cell r="CN54">
            <v>-23129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6000000</v>
          </cell>
          <cell r="CW54">
            <v>0</v>
          </cell>
          <cell r="CX54" t="str">
            <v/>
          </cell>
          <cell r="CY54" t="str">
            <v>;</v>
          </cell>
          <cell r="CZ54">
            <v>0</v>
          </cell>
          <cell r="DA54" t="str">
            <v>Triệu Thị Ngọc Lý</v>
          </cell>
          <cell r="DB54">
            <v>27</v>
          </cell>
          <cell r="DC54">
            <v>308.51666666666699</v>
          </cell>
          <cell r="DD54">
            <v>5.5833333333333304</v>
          </cell>
          <cell r="DE54">
            <v>8952492.5595238097</v>
          </cell>
          <cell r="DF54">
            <v>243024.55357142899</v>
          </cell>
          <cell r="DG54">
            <v>10953679</v>
          </cell>
          <cell r="DH54">
            <v>0</v>
          </cell>
          <cell r="DI54">
            <v>0</v>
          </cell>
        </row>
        <row r="55">
          <cell r="D55" t="str">
            <v>Cao Trọng Nhân</v>
          </cell>
          <cell r="E55" t="str">
            <v>HĐLĐ</v>
          </cell>
          <cell r="F55" t="str">
            <v>Nguyễn Thị Thập</v>
          </cell>
          <cell r="G55" t="str">
            <v>DSBC</v>
          </cell>
          <cell r="H55" t="str">
            <v>18/12/2025</v>
          </cell>
          <cell r="I55" t="str">
            <v>109868265987</v>
          </cell>
          <cell r="J55" t="str">
            <v>Vietinbank</v>
          </cell>
          <cell r="K55">
            <v>28</v>
          </cell>
          <cell r="L55">
            <v>30</v>
          </cell>
          <cell r="M55">
            <v>41.983333333333299</v>
          </cell>
          <cell r="N55">
            <v>288.566666666667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5310000</v>
          </cell>
          <cell r="T55">
            <v>500000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6000000</v>
          </cell>
          <cell r="AB55">
            <v>0</v>
          </cell>
          <cell r="AC55">
            <v>0</v>
          </cell>
          <cell r="AD55">
            <v>0</v>
          </cell>
          <cell r="AE55">
            <v>1124553.57142857</v>
          </cell>
          <cell r="AF55">
            <v>11594196.428571399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1000000</v>
          </cell>
          <cell r="AM55">
            <v>1063565</v>
          </cell>
          <cell r="AN55">
            <v>1798800</v>
          </cell>
          <cell r="AO55">
            <v>2900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143600</v>
          </cell>
          <cell r="BB55">
            <v>0</v>
          </cell>
          <cell r="BC55">
            <v>0</v>
          </cell>
          <cell r="BD55">
            <v>0</v>
          </cell>
          <cell r="BE55">
            <v>16940415</v>
          </cell>
          <cell r="BF55">
            <v>929250</v>
          </cell>
          <cell r="BG55">
            <v>159300</v>
          </cell>
          <cell r="BH55">
            <v>53100</v>
          </cell>
          <cell r="BI55">
            <v>0</v>
          </cell>
          <cell r="BJ55">
            <v>1141650</v>
          </cell>
          <cell r="BK55">
            <v>424800</v>
          </cell>
          <cell r="BL55">
            <v>79650</v>
          </cell>
          <cell r="BM55">
            <v>53100</v>
          </cell>
          <cell r="BN55">
            <v>0</v>
          </cell>
          <cell r="BO55">
            <v>557550</v>
          </cell>
          <cell r="BP55">
            <v>500000</v>
          </cell>
          <cell r="BQ55">
            <v>16440415</v>
          </cell>
          <cell r="BR55">
            <v>15500000</v>
          </cell>
          <cell r="BS55">
            <v>0</v>
          </cell>
          <cell r="BT55">
            <v>0</v>
          </cell>
          <cell r="BU55">
            <v>557550</v>
          </cell>
          <cell r="BV55">
            <v>16057550</v>
          </cell>
          <cell r="BW55">
            <v>382865</v>
          </cell>
          <cell r="BX55">
            <v>19143</v>
          </cell>
          <cell r="BY55">
            <v>16363722</v>
          </cell>
          <cell r="BZ55">
            <v>0</v>
          </cell>
          <cell r="CA55">
            <v>0</v>
          </cell>
          <cell r="CB55">
            <v>16363722</v>
          </cell>
          <cell r="CC55">
            <v>0</v>
          </cell>
          <cell r="CD55">
            <v>16363722</v>
          </cell>
          <cell r="CE55">
            <v>0</v>
          </cell>
          <cell r="CF55" t="str">
            <v>nhan.cao@medigoapp.com</v>
          </cell>
          <cell r="CG55" t="str">
            <v>Lệch tiền HD 7X6X6RMV : 143.600</v>
          </cell>
          <cell r="CH55">
            <v>8</v>
          </cell>
          <cell r="CI55">
            <v>2.5</v>
          </cell>
          <cell r="CJ55">
            <v>18</v>
          </cell>
          <cell r="CK55">
            <v>12</v>
          </cell>
          <cell r="CL55">
            <v>2025</v>
          </cell>
          <cell r="CM55">
            <v>0</v>
          </cell>
          <cell r="CN55">
            <v>-23156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6000000</v>
          </cell>
          <cell r="CW55">
            <v>0</v>
          </cell>
          <cell r="CX55" t="str">
            <v>Lệch tiền HD 7X6X6RMV : 143.600</v>
          </cell>
          <cell r="CY55" t="str">
            <v>; Lệch tiền HD 7X6X6RMV : 143.600</v>
          </cell>
          <cell r="CZ55">
            <v>0</v>
          </cell>
          <cell r="DA55" t="str">
            <v>Cao Trọng Nhân</v>
          </cell>
          <cell r="DB55">
            <v>30</v>
          </cell>
          <cell r="DC55">
            <v>41.983333333333299</v>
          </cell>
          <cell r="DD55">
            <v>288.566666666667</v>
          </cell>
          <cell r="DE55">
            <v>1124553.57142857</v>
          </cell>
          <cell r="DF55">
            <v>11594196.428571399</v>
          </cell>
          <cell r="DG55">
            <v>16363722</v>
          </cell>
          <cell r="DH55">
            <v>0</v>
          </cell>
          <cell r="DI55">
            <v>0</v>
          </cell>
        </row>
        <row r="56">
          <cell r="D56" t="str">
            <v>Nguyễn Cao Huyền Thanh</v>
          </cell>
          <cell r="E56" t="str">
            <v>HĐTV</v>
          </cell>
          <cell r="F56" t="str">
            <v>Nguyễn Thị Thập</v>
          </cell>
          <cell r="G56" t="str">
            <v>DSTV</v>
          </cell>
          <cell r="H56" t="str">
            <v>12/12/2025</v>
          </cell>
          <cell r="I56" t="str">
            <v>9942733393</v>
          </cell>
          <cell r="J56" t="str">
            <v>Vietcombank</v>
          </cell>
          <cell r="K56">
            <v>28</v>
          </cell>
          <cell r="L56">
            <v>24</v>
          </cell>
          <cell r="M56">
            <v>226.55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428571.42857142899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5100000</v>
          </cell>
          <cell r="AB56">
            <v>0</v>
          </cell>
          <cell r="AC56">
            <v>0</v>
          </cell>
          <cell r="AD56">
            <v>0</v>
          </cell>
          <cell r="AE56">
            <v>5158058.0357142901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5586629.4642857099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428571.42857142899</v>
          </cell>
          <cell r="BQ56">
            <v>5158058.0357142901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5158058.0357142901</v>
          </cell>
          <cell r="BX56">
            <v>515805.80357142899</v>
          </cell>
          <cell r="BY56">
            <v>5070824</v>
          </cell>
          <cell r="BZ56">
            <v>0</v>
          </cell>
          <cell r="CA56">
            <v>0</v>
          </cell>
          <cell r="CB56">
            <v>5070824</v>
          </cell>
          <cell r="CC56">
            <v>0</v>
          </cell>
          <cell r="CD56">
            <v>5070824</v>
          </cell>
          <cell r="CE56">
            <v>0</v>
          </cell>
          <cell r="CF56" t="str">
            <v>nguyencaohuyenthanh.blc@gmail.com</v>
          </cell>
          <cell r="CG56" t="str">
            <v/>
          </cell>
          <cell r="CH56">
            <v>11</v>
          </cell>
          <cell r="CI56">
            <v>2.5</v>
          </cell>
          <cell r="CJ56">
            <v>12</v>
          </cell>
          <cell r="CK56">
            <v>12</v>
          </cell>
          <cell r="CL56">
            <v>2025</v>
          </cell>
          <cell r="CM56">
            <v>0</v>
          </cell>
          <cell r="CN56">
            <v>-23156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5100000</v>
          </cell>
          <cell r="CW56">
            <v>0</v>
          </cell>
          <cell r="CX56" t="str">
            <v/>
          </cell>
          <cell r="CY56" t="str">
            <v>;</v>
          </cell>
          <cell r="CZ56">
            <v>0</v>
          </cell>
          <cell r="DA56" t="str">
            <v>Nguyễn Cao Huyền Thanh</v>
          </cell>
          <cell r="DB56">
            <v>24</v>
          </cell>
          <cell r="DC56">
            <v>226.55</v>
          </cell>
          <cell r="DD56">
            <v>0</v>
          </cell>
          <cell r="DE56">
            <v>3034151.7857142901</v>
          </cell>
          <cell r="DF56">
            <v>0</v>
          </cell>
          <cell r="DG56">
            <v>2730737</v>
          </cell>
          <cell r="DH56">
            <v>2340087</v>
          </cell>
          <cell r="DI56">
            <v>2340087</v>
          </cell>
        </row>
        <row r="57">
          <cell r="D57" t="str">
            <v>Nguyễn Kim Xuân</v>
          </cell>
          <cell r="E57" t="str">
            <v>HĐLĐ</v>
          </cell>
          <cell r="F57" t="str">
            <v>Nguyễn Thị Thập</v>
          </cell>
          <cell r="G57" t="str">
            <v>DSBC</v>
          </cell>
          <cell r="H57">
            <v>45131</v>
          </cell>
          <cell r="I57" t="str">
            <v>03831562501</v>
          </cell>
          <cell r="J57" t="str">
            <v>TP Bank</v>
          </cell>
          <cell r="K57">
            <v>28</v>
          </cell>
          <cell r="L57">
            <v>25</v>
          </cell>
          <cell r="M57">
            <v>243.95</v>
          </cell>
          <cell r="N57">
            <v>7.8333333333333304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5310000</v>
          </cell>
          <cell r="T57">
            <v>446428.57142857101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6000000</v>
          </cell>
          <cell r="AB57">
            <v>0</v>
          </cell>
          <cell r="AC57">
            <v>0</v>
          </cell>
          <cell r="AD57">
            <v>0</v>
          </cell>
          <cell r="AE57">
            <v>6534375</v>
          </cell>
          <cell r="AF57">
            <v>314732.14285714302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567300</v>
          </cell>
          <cell r="AO57">
            <v>2200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61466</v>
          </cell>
          <cell r="AZ57">
            <v>10000</v>
          </cell>
          <cell r="BA57">
            <v>0</v>
          </cell>
          <cell r="BB57">
            <v>100000</v>
          </cell>
          <cell r="BC57">
            <v>0</v>
          </cell>
          <cell r="BD57">
            <v>0</v>
          </cell>
          <cell r="BE57">
            <v>7693569.7142857099</v>
          </cell>
          <cell r="BF57">
            <v>929250</v>
          </cell>
          <cell r="BG57">
            <v>159300</v>
          </cell>
          <cell r="BH57">
            <v>53100</v>
          </cell>
          <cell r="BI57">
            <v>0</v>
          </cell>
          <cell r="BJ57">
            <v>1141650</v>
          </cell>
          <cell r="BK57">
            <v>424800</v>
          </cell>
          <cell r="BL57">
            <v>79650</v>
          </cell>
          <cell r="BM57">
            <v>53100</v>
          </cell>
          <cell r="BN57">
            <v>0</v>
          </cell>
          <cell r="BO57">
            <v>557550</v>
          </cell>
          <cell r="BP57">
            <v>446428.57142857101</v>
          </cell>
          <cell r="BQ57">
            <v>7247141.1428571399</v>
          </cell>
          <cell r="BR57">
            <v>15500000</v>
          </cell>
          <cell r="BS57">
            <v>0</v>
          </cell>
          <cell r="BT57">
            <v>0</v>
          </cell>
          <cell r="BU57">
            <v>557550</v>
          </cell>
          <cell r="BV57">
            <v>16057550</v>
          </cell>
          <cell r="BW57">
            <v>0</v>
          </cell>
          <cell r="BX57">
            <v>0</v>
          </cell>
          <cell r="BY57">
            <v>7136020</v>
          </cell>
          <cell r="BZ57">
            <v>0</v>
          </cell>
          <cell r="CA57">
            <v>3000000</v>
          </cell>
          <cell r="CB57">
            <v>4136020</v>
          </cell>
          <cell r="CC57">
            <v>0</v>
          </cell>
          <cell r="CD57">
            <v>4136020</v>
          </cell>
          <cell r="CE57">
            <v>0</v>
          </cell>
          <cell r="CF57" t="str">
            <v>medigo.xuan.nguyen@gmail.com</v>
          </cell>
          <cell r="CG57" t="str">
            <v>Vào ca trễ 12/04/2026: 10.000</v>
          </cell>
          <cell r="CH57">
            <v>6</v>
          </cell>
          <cell r="CI57">
            <v>0</v>
          </cell>
          <cell r="CJ57">
            <v>24</v>
          </cell>
          <cell r="CK57">
            <v>7</v>
          </cell>
          <cell r="CL57">
            <v>2023</v>
          </cell>
          <cell r="CM57">
            <v>0</v>
          </cell>
          <cell r="CN57">
            <v>-23127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6000000</v>
          </cell>
          <cell r="CW57">
            <v>0</v>
          </cell>
          <cell r="CX57" t="str">
            <v>Vào ca trễ 12/04/2026: 10.000</v>
          </cell>
          <cell r="CY57" t="str">
            <v>; Vào ca trễ 12/04/2026: 10.000</v>
          </cell>
          <cell r="CZ57">
            <v>0</v>
          </cell>
          <cell r="DA57" t="str">
            <v>Nguyễn Kim Xuân</v>
          </cell>
          <cell r="DB57">
            <v>25</v>
          </cell>
          <cell r="DC57">
            <v>243.95</v>
          </cell>
          <cell r="DD57">
            <v>7.8333333333333304</v>
          </cell>
          <cell r="DE57">
            <v>7078906.25</v>
          </cell>
          <cell r="DF57">
            <v>340959.82142857101</v>
          </cell>
          <cell r="DG57">
            <v>4706779</v>
          </cell>
          <cell r="DH57">
            <v>0</v>
          </cell>
          <cell r="DI57">
            <v>0</v>
          </cell>
        </row>
        <row r="58">
          <cell r="D58" t="str">
            <v>Nguyễn Trí Nghĩa</v>
          </cell>
          <cell r="E58" t="str">
            <v>HĐLĐ</v>
          </cell>
          <cell r="F58" t="str">
            <v>Nguyễn Thị Thập</v>
          </cell>
          <cell r="G58" t="str">
            <v>DSBC</v>
          </cell>
          <cell r="H58">
            <v>45439</v>
          </cell>
          <cell r="I58" t="str">
            <v>0251002787705</v>
          </cell>
          <cell r="J58" t="str">
            <v>Vietcombank</v>
          </cell>
          <cell r="K58">
            <v>28</v>
          </cell>
          <cell r="L58">
            <v>1</v>
          </cell>
          <cell r="M58">
            <v>4.0333333333333297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6000000</v>
          </cell>
          <cell r="AB58">
            <v>0</v>
          </cell>
          <cell r="AC58">
            <v>0</v>
          </cell>
          <cell r="AD58">
            <v>0</v>
          </cell>
          <cell r="AE58">
            <v>108035.714285714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108035.714285714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108035.714285714</v>
          </cell>
          <cell r="BR58">
            <v>15500000</v>
          </cell>
          <cell r="BS58">
            <v>0</v>
          </cell>
          <cell r="BT58">
            <v>0</v>
          </cell>
          <cell r="BU58">
            <v>0</v>
          </cell>
          <cell r="BV58">
            <v>15500000</v>
          </cell>
          <cell r="BW58">
            <v>0</v>
          </cell>
          <cell r="BX58">
            <v>0</v>
          </cell>
          <cell r="BY58">
            <v>108036</v>
          </cell>
          <cell r="BZ58">
            <v>0</v>
          </cell>
          <cell r="CA58">
            <v>108036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 t="str">
            <v>medigo.nghia.nguyen@gmail.com</v>
          </cell>
          <cell r="CG58">
            <v>0</v>
          </cell>
          <cell r="CH58">
            <v>5</v>
          </cell>
          <cell r="CI58">
            <v>0</v>
          </cell>
          <cell r="CJ58">
            <v>27</v>
          </cell>
          <cell r="CK58">
            <v>5</v>
          </cell>
          <cell r="CL58">
            <v>2024</v>
          </cell>
          <cell r="CM58">
            <v>0</v>
          </cell>
          <cell r="CN58">
            <v>22</v>
          </cell>
          <cell r="CO58">
            <v>0</v>
          </cell>
          <cell r="CP58">
            <v>0</v>
          </cell>
          <cell r="CQ58">
            <v>1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6000000</v>
          </cell>
          <cell r="CW58">
            <v>0</v>
          </cell>
          <cell r="CX58">
            <v>0</v>
          </cell>
          <cell r="CY58" t="str">
            <v>; 0</v>
          </cell>
          <cell r="CZ58">
            <v>0</v>
          </cell>
          <cell r="DA58" t="str">
            <v>Nguyễn Trí Nghĩa</v>
          </cell>
          <cell r="DB58">
            <v>25</v>
          </cell>
          <cell r="DC58">
            <v>4.9666666666666703</v>
          </cell>
          <cell r="DD58">
            <v>193.416666666667</v>
          </cell>
          <cell r="DE58">
            <v>133035.714285714</v>
          </cell>
          <cell r="DF58">
            <v>7771205.3571428601</v>
          </cell>
          <cell r="DG58">
            <v>0</v>
          </cell>
          <cell r="DH58">
            <v>0</v>
          </cell>
          <cell r="DI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168</v>
          </cell>
          <cell r="L59">
            <v>136</v>
          </cell>
          <cell r="M59">
            <v>839.71666666666704</v>
          </cell>
          <cell r="N59">
            <v>608.95000000000005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21240000</v>
          </cell>
          <cell r="T59">
            <v>2357142.8571428601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35100000</v>
          </cell>
          <cell r="AB59">
            <v>0</v>
          </cell>
          <cell r="AC59">
            <v>0</v>
          </cell>
          <cell r="AD59">
            <v>0</v>
          </cell>
          <cell r="AE59">
            <v>21582165.178571399</v>
          </cell>
          <cell r="AF59">
            <v>24466741.071428601</v>
          </cell>
          <cell r="AG59">
            <v>0</v>
          </cell>
          <cell r="AH59">
            <v>0</v>
          </cell>
          <cell r="AI59">
            <v>0</v>
          </cell>
          <cell r="AJ59">
            <v>1000000</v>
          </cell>
          <cell r="AK59">
            <v>0</v>
          </cell>
          <cell r="AL59">
            <v>1000000</v>
          </cell>
          <cell r="AM59">
            <v>1063565</v>
          </cell>
          <cell r="AN59">
            <v>3944200</v>
          </cell>
          <cell r="AO59">
            <v>74860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2500000</v>
          </cell>
          <cell r="AY59">
            <v>184398</v>
          </cell>
          <cell r="AZ59">
            <v>10000</v>
          </cell>
          <cell r="BA59">
            <v>143600</v>
          </cell>
          <cell r="BB59">
            <v>100000</v>
          </cell>
          <cell r="BC59">
            <v>0</v>
          </cell>
          <cell r="BD59">
            <v>0</v>
          </cell>
          <cell r="BE59">
            <v>57550676.107142903</v>
          </cell>
          <cell r="BF59">
            <v>3717000</v>
          </cell>
          <cell r="BG59">
            <v>637200</v>
          </cell>
          <cell r="BH59">
            <v>212400</v>
          </cell>
          <cell r="BI59">
            <v>0</v>
          </cell>
          <cell r="BJ59">
            <v>4566600</v>
          </cell>
          <cell r="BK59">
            <v>1699200</v>
          </cell>
          <cell r="BL59">
            <v>318600</v>
          </cell>
          <cell r="BM59">
            <v>212400</v>
          </cell>
          <cell r="BN59">
            <v>0</v>
          </cell>
          <cell r="BO59">
            <v>2230200</v>
          </cell>
          <cell r="BP59">
            <v>2357142.8571428601</v>
          </cell>
          <cell r="BQ59">
            <v>55193533.25</v>
          </cell>
          <cell r="BR59">
            <v>77500000</v>
          </cell>
          <cell r="BS59">
            <v>0</v>
          </cell>
          <cell r="BT59">
            <v>0</v>
          </cell>
          <cell r="BU59">
            <v>2230200</v>
          </cell>
          <cell r="BV59">
            <v>79730200</v>
          </cell>
          <cell r="BW59">
            <v>5540923.0357142901</v>
          </cell>
          <cell r="BX59">
            <v>534948.80357142899</v>
          </cell>
          <cell r="BY59">
            <v>54785529</v>
          </cell>
          <cell r="BZ59">
            <v>0</v>
          </cell>
          <cell r="CA59">
            <v>3108036</v>
          </cell>
          <cell r="CB59">
            <v>51677493</v>
          </cell>
          <cell r="CC59">
            <v>0</v>
          </cell>
          <cell r="CD59">
            <v>51677493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7.5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-115697</v>
          </cell>
          <cell r="CO59">
            <v>0</v>
          </cell>
          <cell r="CP59">
            <v>0</v>
          </cell>
          <cell r="CQ59">
            <v>1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35100000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</row>
        <row r="60">
          <cell r="D60" t="str">
            <v>Nguyễn Thị Hương Giang</v>
          </cell>
          <cell r="E60" t="str">
            <v>HĐLĐ</v>
          </cell>
          <cell r="F60" t="str">
            <v>Nguyễn Văn Quá</v>
          </cell>
          <cell r="G60" t="str">
            <v>DSBC</v>
          </cell>
          <cell r="H60">
            <v>45544</v>
          </cell>
          <cell r="I60" t="str">
            <v>1028255437</v>
          </cell>
          <cell r="J60" t="str">
            <v>Vietcombank</v>
          </cell>
          <cell r="K60">
            <v>28</v>
          </cell>
          <cell r="L60">
            <v>29</v>
          </cell>
          <cell r="M60">
            <v>273.60000000000002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5310000</v>
          </cell>
          <cell r="T60">
            <v>500000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6000000</v>
          </cell>
          <cell r="AB60">
            <v>0</v>
          </cell>
          <cell r="AC60">
            <v>0</v>
          </cell>
          <cell r="AD60">
            <v>0</v>
          </cell>
          <cell r="AE60">
            <v>7328571.42857143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654000</v>
          </cell>
          <cell r="AM60">
            <v>0</v>
          </cell>
          <cell r="AN60">
            <v>1427100</v>
          </cell>
          <cell r="AO60">
            <v>1200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100000</v>
          </cell>
          <cell r="BC60">
            <v>0</v>
          </cell>
          <cell r="BD60">
            <v>0</v>
          </cell>
          <cell r="BE60">
            <v>9810871.4285714291</v>
          </cell>
          <cell r="BF60">
            <v>929250</v>
          </cell>
          <cell r="BG60">
            <v>159300</v>
          </cell>
          <cell r="BH60">
            <v>53100</v>
          </cell>
          <cell r="BI60">
            <v>0</v>
          </cell>
          <cell r="BJ60">
            <v>1141650</v>
          </cell>
          <cell r="BK60">
            <v>424800</v>
          </cell>
          <cell r="BL60">
            <v>79650</v>
          </cell>
          <cell r="BM60">
            <v>53100</v>
          </cell>
          <cell r="BN60">
            <v>0</v>
          </cell>
          <cell r="BO60">
            <v>557550</v>
          </cell>
          <cell r="BP60">
            <v>500000</v>
          </cell>
          <cell r="BQ60">
            <v>9310871.4285714291</v>
          </cell>
          <cell r="BR60">
            <v>15500000</v>
          </cell>
          <cell r="BS60">
            <v>0</v>
          </cell>
          <cell r="BT60">
            <v>0</v>
          </cell>
          <cell r="BU60">
            <v>557550</v>
          </cell>
          <cell r="BV60">
            <v>16057550</v>
          </cell>
          <cell r="BW60">
            <v>0</v>
          </cell>
          <cell r="BX60">
            <v>0</v>
          </cell>
          <cell r="BY60">
            <v>9253321</v>
          </cell>
          <cell r="BZ60">
            <v>0</v>
          </cell>
          <cell r="CA60">
            <v>0</v>
          </cell>
          <cell r="CB60">
            <v>9253321</v>
          </cell>
          <cell r="CC60">
            <v>0</v>
          </cell>
          <cell r="CD60">
            <v>9253321</v>
          </cell>
          <cell r="CE60">
            <v>0</v>
          </cell>
          <cell r="CF60" t="str">
            <v>medigo.giang.nguyen@gmail.com</v>
          </cell>
          <cell r="CG60" t="str">
            <v/>
          </cell>
          <cell r="CH60">
            <v>11</v>
          </cell>
          <cell r="CI60">
            <v>2.5</v>
          </cell>
          <cell r="CJ60">
            <v>9</v>
          </cell>
          <cell r="CK60">
            <v>9</v>
          </cell>
          <cell r="CL60">
            <v>2024</v>
          </cell>
          <cell r="CM60">
            <v>0</v>
          </cell>
          <cell r="CN60">
            <v>-23141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6000000</v>
          </cell>
          <cell r="CW60">
            <v>0</v>
          </cell>
          <cell r="CX60" t="str">
            <v/>
          </cell>
          <cell r="CY60" t="str">
            <v>;</v>
          </cell>
          <cell r="CZ60">
            <v>0</v>
          </cell>
          <cell r="DA60" t="str">
            <v>Nguyễn Thị Hương Giang</v>
          </cell>
          <cell r="DB60">
            <v>29</v>
          </cell>
          <cell r="DC60">
            <v>273.60000000000002</v>
          </cell>
          <cell r="DD60">
            <v>0</v>
          </cell>
          <cell r="DE60">
            <v>7328571.42857143</v>
          </cell>
          <cell r="DF60">
            <v>0</v>
          </cell>
          <cell r="DG60">
            <v>9253321</v>
          </cell>
          <cell r="DH60">
            <v>0</v>
          </cell>
          <cell r="DI60">
            <v>0</v>
          </cell>
        </row>
        <row r="61">
          <cell r="D61" t="str">
            <v>Nguyễn Thị Thu Huyền</v>
          </cell>
          <cell r="E61" t="str">
            <v>HĐLĐ</v>
          </cell>
          <cell r="F61" t="str">
            <v>Nguyễn Văn Quá</v>
          </cell>
          <cell r="G61" t="str">
            <v>DSBC</v>
          </cell>
          <cell r="H61" t="str">
            <v>24/06/2025</v>
          </cell>
          <cell r="I61" t="str">
            <v>0964455650</v>
          </cell>
          <cell r="J61" t="str">
            <v>Sacombank</v>
          </cell>
          <cell r="K61">
            <v>28</v>
          </cell>
          <cell r="L61">
            <v>26</v>
          </cell>
          <cell r="M61">
            <v>25.483333333333299</v>
          </cell>
          <cell r="N61">
            <v>267.08333333333297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5310000</v>
          </cell>
          <cell r="T61">
            <v>464285.71428571403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6000000</v>
          </cell>
          <cell r="AB61">
            <v>0</v>
          </cell>
          <cell r="AC61">
            <v>0</v>
          </cell>
          <cell r="AD61">
            <v>0</v>
          </cell>
          <cell r="AE61">
            <v>682589.28571428498</v>
          </cell>
          <cell r="AF61">
            <v>10731026.7857143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1000000</v>
          </cell>
          <cell r="AM61">
            <v>0</v>
          </cell>
          <cell r="AN61">
            <v>1181700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14059601.7857143</v>
          </cell>
          <cell r="BF61">
            <v>929250</v>
          </cell>
          <cell r="BG61">
            <v>159300</v>
          </cell>
          <cell r="BH61">
            <v>53100</v>
          </cell>
          <cell r="BI61">
            <v>0</v>
          </cell>
          <cell r="BJ61">
            <v>1141650</v>
          </cell>
          <cell r="BK61">
            <v>424800</v>
          </cell>
          <cell r="BL61">
            <v>79650</v>
          </cell>
          <cell r="BM61">
            <v>53100</v>
          </cell>
          <cell r="BN61">
            <v>0</v>
          </cell>
          <cell r="BO61">
            <v>557550</v>
          </cell>
          <cell r="BP61">
            <v>464285.71428571403</v>
          </cell>
          <cell r="BQ61">
            <v>13595316.071428601</v>
          </cell>
          <cell r="BR61">
            <v>15500000</v>
          </cell>
          <cell r="BS61">
            <v>0</v>
          </cell>
          <cell r="BT61">
            <v>0</v>
          </cell>
          <cell r="BU61">
            <v>557550</v>
          </cell>
          <cell r="BV61">
            <v>16057550</v>
          </cell>
          <cell r="BW61">
            <v>0</v>
          </cell>
          <cell r="BX61">
            <v>0</v>
          </cell>
          <cell r="BY61">
            <v>13502052</v>
          </cell>
          <cell r="BZ61">
            <v>0</v>
          </cell>
          <cell r="CA61">
            <v>0</v>
          </cell>
          <cell r="CB61">
            <v>13502052</v>
          </cell>
          <cell r="CC61">
            <v>0</v>
          </cell>
          <cell r="CD61">
            <v>13502052</v>
          </cell>
          <cell r="CE61">
            <v>0</v>
          </cell>
          <cell r="CF61" t="str">
            <v>medigo.thuhuyen.nguyen@gmail.com</v>
          </cell>
          <cell r="CG61" t="str">
            <v/>
          </cell>
          <cell r="CH61">
            <v>6</v>
          </cell>
          <cell r="CI61">
            <v>2.5</v>
          </cell>
          <cell r="CJ61">
            <v>24</v>
          </cell>
          <cell r="CK61">
            <v>6</v>
          </cell>
          <cell r="CL61">
            <v>2025</v>
          </cell>
          <cell r="CM61">
            <v>0</v>
          </cell>
          <cell r="CN61">
            <v>-23150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6000000</v>
          </cell>
          <cell r="CW61">
            <v>0</v>
          </cell>
          <cell r="CX61" t="str">
            <v/>
          </cell>
          <cell r="CY61" t="str">
            <v>;</v>
          </cell>
          <cell r="CZ61">
            <v>0</v>
          </cell>
          <cell r="DA61" t="str">
            <v>Nguyễn Thị Thu Huyền</v>
          </cell>
          <cell r="DB61">
            <v>26</v>
          </cell>
          <cell r="DC61">
            <v>25.483333333333299</v>
          </cell>
          <cell r="DD61">
            <v>267.08333333333297</v>
          </cell>
          <cell r="DE61">
            <v>682589.28571428498</v>
          </cell>
          <cell r="DF61">
            <v>10731026.7857143</v>
          </cell>
          <cell r="DG61">
            <v>13502052</v>
          </cell>
          <cell r="DH61">
            <v>0</v>
          </cell>
          <cell r="DI61">
            <v>0</v>
          </cell>
        </row>
        <row r="62">
          <cell r="D62" t="str">
            <v>Hồ Ngọc Lý</v>
          </cell>
          <cell r="E62" t="str">
            <v>HĐLĐ</v>
          </cell>
          <cell r="F62" t="str">
            <v>Nguyễn Văn Quá</v>
          </cell>
          <cell r="G62" t="str">
            <v>DSBC</v>
          </cell>
          <cell r="H62" t="str">
            <v>08/07/2024</v>
          </cell>
          <cell r="I62" t="str">
            <v>0081765868686</v>
          </cell>
          <cell r="J62" t="str">
            <v>MB bank</v>
          </cell>
          <cell r="K62">
            <v>28</v>
          </cell>
          <cell r="L62">
            <v>27</v>
          </cell>
          <cell r="M62">
            <v>10.3166666666667</v>
          </cell>
          <cell r="N62">
            <v>273.11666666666702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5310000</v>
          </cell>
          <cell r="T62">
            <v>482142.85714285698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6000000</v>
          </cell>
          <cell r="AB62">
            <v>0</v>
          </cell>
          <cell r="AC62">
            <v>0</v>
          </cell>
          <cell r="AD62">
            <v>0</v>
          </cell>
          <cell r="AE62">
            <v>276339.28571428597</v>
          </cell>
          <cell r="AF62">
            <v>10973437.5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1000000</v>
          </cell>
          <cell r="AM62">
            <v>0</v>
          </cell>
          <cell r="AN62">
            <v>1326800</v>
          </cell>
          <cell r="AO62">
            <v>7550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10000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14056269.642857101</v>
          </cell>
          <cell r="BF62">
            <v>929250</v>
          </cell>
          <cell r="BG62">
            <v>159300</v>
          </cell>
          <cell r="BH62">
            <v>53100</v>
          </cell>
          <cell r="BI62">
            <v>0</v>
          </cell>
          <cell r="BJ62">
            <v>1141650</v>
          </cell>
          <cell r="BK62">
            <v>424800</v>
          </cell>
          <cell r="BL62">
            <v>79650</v>
          </cell>
          <cell r="BM62">
            <v>53100</v>
          </cell>
          <cell r="BN62">
            <v>0</v>
          </cell>
          <cell r="BO62">
            <v>557550</v>
          </cell>
          <cell r="BP62">
            <v>482142.85714285698</v>
          </cell>
          <cell r="BQ62">
            <v>13574126.7857143</v>
          </cell>
          <cell r="BR62">
            <v>15500000</v>
          </cell>
          <cell r="BS62">
            <v>0</v>
          </cell>
          <cell r="BT62">
            <v>0</v>
          </cell>
          <cell r="BU62">
            <v>557550</v>
          </cell>
          <cell r="BV62">
            <v>16057550</v>
          </cell>
          <cell r="BW62">
            <v>0</v>
          </cell>
          <cell r="BX62">
            <v>0</v>
          </cell>
          <cell r="BY62">
            <v>13498720</v>
          </cell>
          <cell r="BZ62">
            <v>0</v>
          </cell>
          <cell r="CA62">
            <v>0</v>
          </cell>
          <cell r="CB62">
            <v>13498720</v>
          </cell>
          <cell r="CC62">
            <v>0</v>
          </cell>
          <cell r="CD62">
            <v>13498720</v>
          </cell>
          <cell r="CE62">
            <v>0</v>
          </cell>
          <cell r="CF62" t="str">
            <v>medigo.ly.ho@gmail.com</v>
          </cell>
          <cell r="CG62" t="str">
            <v>Không đạt chấm điểm Checklist 28/04/2026: 10.000</v>
          </cell>
          <cell r="CH62">
            <v>12</v>
          </cell>
          <cell r="CI62">
            <v>2.5</v>
          </cell>
          <cell r="CJ62">
            <v>8</v>
          </cell>
          <cell r="CK62">
            <v>7</v>
          </cell>
          <cell r="CL62">
            <v>2024</v>
          </cell>
          <cell r="CM62">
            <v>0</v>
          </cell>
          <cell r="CN62">
            <v>-23139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6000000</v>
          </cell>
          <cell r="CW62">
            <v>0</v>
          </cell>
          <cell r="CX62" t="str">
            <v>Không đạt chấm điểm Checklist 28/04/2026: 10.000</v>
          </cell>
          <cell r="CY62" t="str">
            <v>; Không đạt chấm điểm Checklist 28/04/2026: 10.000</v>
          </cell>
          <cell r="CZ62">
            <v>0</v>
          </cell>
          <cell r="DA62" t="str">
            <v>Hồ Ngọc Lý</v>
          </cell>
          <cell r="DB62">
            <v>27</v>
          </cell>
          <cell r="DC62">
            <v>10.3166666666667</v>
          </cell>
          <cell r="DD62">
            <v>273.11666666666702</v>
          </cell>
          <cell r="DE62">
            <v>276339.28571428597</v>
          </cell>
          <cell r="DF62">
            <v>10973437.5</v>
          </cell>
          <cell r="DG62">
            <v>13498720</v>
          </cell>
          <cell r="DH62">
            <v>0</v>
          </cell>
          <cell r="DI62">
            <v>0</v>
          </cell>
        </row>
        <row r="63">
          <cell r="D63" t="str">
            <v>Võ Ngọc Giàu Sang</v>
          </cell>
          <cell r="E63" t="str">
            <v>HĐLĐ</v>
          </cell>
          <cell r="F63" t="str">
            <v>Nguyễn Văn Quá</v>
          </cell>
          <cell r="G63" t="str">
            <v>CHT</v>
          </cell>
          <cell r="H63" t="str">
            <v>08/07/2024</v>
          </cell>
          <cell r="I63" t="str">
            <v>04015933001</v>
          </cell>
          <cell r="J63" t="str">
            <v>TP bank</v>
          </cell>
          <cell r="K63">
            <v>28</v>
          </cell>
          <cell r="L63">
            <v>27</v>
          </cell>
          <cell r="M63">
            <v>262.683333333333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5310000</v>
          </cell>
          <cell r="T63">
            <v>482142.85714285698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6000000</v>
          </cell>
          <cell r="AB63">
            <v>0</v>
          </cell>
          <cell r="AC63">
            <v>0</v>
          </cell>
          <cell r="AD63">
            <v>0</v>
          </cell>
          <cell r="AE63">
            <v>7036160.7142857099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1000000</v>
          </cell>
          <cell r="AK63">
            <v>0</v>
          </cell>
          <cell r="AL63">
            <v>0</v>
          </cell>
          <cell r="AM63">
            <v>0</v>
          </cell>
          <cell r="AN63">
            <v>1034000</v>
          </cell>
          <cell r="AO63">
            <v>935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20000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9533238.5714285709</v>
          </cell>
          <cell r="BF63">
            <v>929250</v>
          </cell>
          <cell r="BG63">
            <v>159300</v>
          </cell>
          <cell r="BH63">
            <v>53100</v>
          </cell>
          <cell r="BI63">
            <v>0</v>
          </cell>
          <cell r="BJ63">
            <v>1141650</v>
          </cell>
          <cell r="BK63">
            <v>424800</v>
          </cell>
          <cell r="BL63">
            <v>79650</v>
          </cell>
          <cell r="BM63">
            <v>53100</v>
          </cell>
          <cell r="BN63">
            <v>0</v>
          </cell>
          <cell r="BO63">
            <v>557550</v>
          </cell>
          <cell r="BP63">
            <v>482142.85714285698</v>
          </cell>
          <cell r="BQ63">
            <v>9051095.7142857108</v>
          </cell>
          <cell r="BR63">
            <v>15500000</v>
          </cell>
          <cell r="BS63">
            <v>0</v>
          </cell>
          <cell r="BT63">
            <v>0</v>
          </cell>
          <cell r="BU63">
            <v>557550</v>
          </cell>
          <cell r="BV63">
            <v>16057550</v>
          </cell>
          <cell r="BW63">
            <v>0</v>
          </cell>
          <cell r="BX63">
            <v>0</v>
          </cell>
          <cell r="BY63">
            <v>8975689</v>
          </cell>
          <cell r="BZ63">
            <v>0</v>
          </cell>
          <cell r="CA63">
            <v>0</v>
          </cell>
          <cell r="CB63">
            <v>8975689</v>
          </cell>
          <cell r="CC63">
            <v>0</v>
          </cell>
          <cell r="CD63">
            <v>8975689</v>
          </cell>
          <cell r="CE63">
            <v>0</v>
          </cell>
          <cell r="CF63" t="str">
            <v>medigo.sang.vo@gmail.com</v>
          </cell>
          <cell r="CG63" t="str">
            <v>Không đạt chấm điểm Checklist 25/04/2026 : 10.000
Đi trễ về sớm        25/04/2026 : 10.000</v>
          </cell>
          <cell r="CH63">
            <v>11</v>
          </cell>
          <cell r="CI63">
            <v>0</v>
          </cell>
          <cell r="CJ63">
            <v>8</v>
          </cell>
          <cell r="CK63">
            <v>7</v>
          </cell>
          <cell r="CL63">
            <v>2024</v>
          </cell>
          <cell r="CM63">
            <v>0</v>
          </cell>
          <cell r="CN63">
            <v>-23139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6000000</v>
          </cell>
          <cell r="CW63">
            <v>0</v>
          </cell>
          <cell r="CX63" t="str">
            <v>Không đạt chấm điểm Checklist 25/04/2026 : 10.000
Đi trễ về sớm        25/04/2026 : 10.000</v>
          </cell>
          <cell r="CY63" t="str">
            <v>; Không đạt chấm điểm Checklist 25/04/2026 : 10.000
Đi trễ về sớm        25/04/2026 : 10.000</v>
          </cell>
          <cell r="CZ63">
            <v>0</v>
          </cell>
          <cell r="DA63" t="str">
            <v>Võ Ngọc Giàu Sang</v>
          </cell>
          <cell r="DB63">
            <v>27</v>
          </cell>
          <cell r="DC63">
            <v>262.683333333333</v>
          </cell>
          <cell r="DD63">
            <v>0</v>
          </cell>
          <cell r="DE63">
            <v>7036160.7142857099</v>
          </cell>
          <cell r="DF63">
            <v>0</v>
          </cell>
          <cell r="DG63">
            <v>8975689</v>
          </cell>
          <cell r="DH63">
            <v>0</v>
          </cell>
          <cell r="DI63">
            <v>0</v>
          </cell>
        </row>
        <row r="64">
          <cell r="D64" t="str">
            <v>Văn Minh Trí</v>
          </cell>
          <cell r="E64" t="str">
            <v>HĐCTV</v>
          </cell>
          <cell r="F64" t="str">
            <v>Nguyễn Văn Quá</v>
          </cell>
          <cell r="G64" t="str">
            <v>DSHV</v>
          </cell>
          <cell r="H64" t="str">
            <v>19/01/2026</v>
          </cell>
          <cell r="I64" t="str">
            <v>0843630854</v>
          </cell>
          <cell r="J64" t="str">
            <v>Mb bank</v>
          </cell>
          <cell r="K64">
            <v>28</v>
          </cell>
          <cell r="L64">
            <v>14</v>
          </cell>
          <cell r="M64">
            <v>112.316666666667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3000000</v>
          </cell>
          <cell r="AB64">
            <v>0</v>
          </cell>
          <cell r="AC64">
            <v>0</v>
          </cell>
          <cell r="AD64">
            <v>0</v>
          </cell>
          <cell r="AE64">
            <v>1504241.07142857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1504241.07142857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1504241.07142857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1504241.07142857</v>
          </cell>
          <cell r="BX64">
            <v>0</v>
          </cell>
          <cell r="BY64">
            <v>1504241</v>
          </cell>
          <cell r="BZ64">
            <v>0</v>
          </cell>
          <cell r="CA64">
            <v>0</v>
          </cell>
          <cell r="CB64">
            <v>1504241</v>
          </cell>
          <cell r="CC64">
            <v>0</v>
          </cell>
          <cell r="CD64">
            <v>1504241</v>
          </cell>
          <cell r="CE64">
            <v>0</v>
          </cell>
          <cell r="CF64" t="str">
            <v>tri.van@medigoapp.com</v>
          </cell>
          <cell r="CG64" t="str">
            <v/>
          </cell>
          <cell r="CH64">
            <v>1</v>
          </cell>
          <cell r="CI64">
            <v>0</v>
          </cell>
          <cell r="CJ64">
            <v>19</v>
          </cell>
          <cell r="CK64">
            <v>1</v>
          </cell>
          <cell r="CL64">
            <v>2026</v>
          </cell>
          <cell r="CM64">
            <v>0</v>
          </cell>
          <cell r="CN64">
            <v>-23157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3000000</v>
          </cell>
          <cell r="CW64">
            <v>0</v>
          </cell>
          <cell r="CX64" t="str">
            <v/>
          </cell>
          <cell r="CY64" t="str">
            <v>;</v>
          </cell>
          <cell r="CZ64">
            <v>0</v>
          </cell>
          <cell r="DA64" t="str">
            <v>Văn Minh Trí</v>
          </cell>
          <cell r="DB64">
            <v>14</v>
          </cell>
          <cell r="DC64">
            <v>112.316666666667</v>
          </cell>
          <cell r="DD64">
            <v>0</v>
          </cell>
          <cell r="DE64">
            <v>1504241.07142857</v>
          </cell>
          <cell r="DF64">
            <v>0</v>
          </cell>
          <cell r="DG64">
            <v>1504241</v>
          </cell>
          <cell r="DH64">
            <v>0</v>
          </cell>
          <cell r="DI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140</v>
          </cell>
          <cell r="L65">
            <v>123</v>
          </cell>
          <cell r="M65">
            <v>684.4</v>
          </cell>
          <cell r="N65">
            <v>540.20000000000005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21240000</v>
          </cell>
          <cell r="T65">
            <v>1928571.42857143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27000000</v>
          </cell>
          <cell r="AB65">
            <v>0</v>
          </cell>
          <cell r="AC65">
            <v>0</v>
          </cell>
          <cell r="AD65">
            <v>0</v>
          </cell>
          <cell r="AE65">
            <v>16827901.785714298</v>
          </cell>
          <cell r="AF65">
            <v>21704464.285714298</v>
          </cell>
          <cell r="AG65">
            <v>0</v>
          </cell>
          <cell r="AH65">
            <v>0</v>
          </cell>
          <cell r="AI65">
            <v>0</v>
          </cell>
          <cell r="AJ65">
            <v>1000000</v>
          </cell>
          <cell r="AK65">
            <v>0</v>
          </cell>
          <cell r="AL65">
            <v>2654000</v>
          </cell>
          <cell r="AM65">
            <v>0</v>
          </cell>
          <cell r="AN65">
            <v>4969600</v>
          </cell>
          <cell r="AO65">
            <v>9685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30000</v>
          </cell>
          <cell r="BA65">
            <v>0</v>
          </cell>
          <cell r="BB65">
            <v>100000</v>
          </cell>
          <cell r="BC65">
            <v>0</v>
          </cell>
          <cell r="BD65">
            <v>0</v>
          </cell>
          <cell r="BE65">
            <v>48964222.5</v>
          </cell>
          <cell r="BF65">
            <v>3717000</v>
          </cell>
          <cell r="BG65">
            <v>637200</v>
          </cell>
          <cell r="BH65">
            <v>212400</v>
          </cell>
          <cell r="BI65">
            <v>0</v>
          </cell>
          <cell r="BJ65">
            <v>4566600</v>
          </cell>
          <cell r="BK65">
            <v>1699200</v>
          </cell>
          <cell r="BL65">
            <v>318600</v>
          </cell>
          <cell r="BM65">
            <v>212400</v>
          </cell>
          <cell r="BN65">
            <v>0</v>
          </cell>
          <cell r="BO65">
            <v>2230200</v>
          </cell>
          <cell r="BP65">
            <v>1928571.42857143</v>
          </cell>
          <cell r="BQ65">
            <v>47035651.071428597</v>
          </cell>
          <cell r="BR65">
            <v>62000000</v>
          </cell>
          <cell r="BS65">
            <v>0</v>
          </cell>
          <cell r="BT65">
            <v>0</v>
          </cell>
          <cell r="BU65">
            <v>2230200</v>
          </cell>
          <cell r="BV65">
            <v>64230200</v>
          </cell>
          <cell r="BW65">
            <v>1504241.07142857</v>
          </cell>
          <cell r="BX65">
            <v>0</v>
          </cell>
          <cell r="BY65">
            <v>46734023</v>
          </cell>
          <cell r="BZ65">
            <v>0</v>
          </cell>
          <cell r="CA65">
            <v>0</v>
          </cell>
          <cell r="CB65">
            <v>46734023</v>
          </cell>
          <cell r="CC65">
            <v>0</v>
          </cell>
          <cell r="CD65">
            <v>46734023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7.5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-115726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27000000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</row>
        <row r="66">
          <cell r="D66" t="str">
            <v>Cù Thị Tường Vy</v>
          </cell>
          <cell r="E66" t="str">
            <v>HĐTV</v>
          </cell>
          <cell r="F66" t="str">
            <v>Rạch Bùng Binh</v>
          </cell>
          <cell r="G66" t="str">
            <v>Q.CHT</v>
          </cell>
          <cell r="H66" t="str">
            <v>16/3/2026</v>
          </cell>
          <cell r="I66" t="str">
            <v>0071000937911</v>
          </cell>
          <cell r="J66" t="str">
            <v>Vietcombank</v>
          </cell>
          <cell r="K66">
            <v>28</v>
          </cell>
          <cell r="L66">
            <v>24</v>
          </cell>
          <cell r="M66">
            <v>157.5</v>
          </cell>
          <cell r="N66">
            <v>89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428571.42857142899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6000000</v>
          </cell>
          <cell r="AB66">
            <v>0</v>
          </cell>
          <cell r="AC66">
            <v>0</v>
          </cell>
          <cell r="AD66">
            <v>0</v>
          </cell>
          <cell r="AE66">
            <v>4218750</v>
          </cell>
          <cell r="AF66">
            <v>3575892.8571428601</v>
          </cell>
          <cell r="AG66">
            <v>0</v>
          </cell>
          <cell r="AH66">
            <v>0</v>
          </cell>
          <cell r="AI66">
            <v>0</v>
          </cell>
          <cell r="AJ66">
            <v>500000</v>
          </cell>
          <cell r="AK66">
            <v>0</v>
          </cell>
          <cell r="AL66">
            <v>0</v>
          </cell>
          <cell r="AM66">
            <v>0</v>
          </cell>
          <cell r="AN66">
            <v>480700</v>
          </cell>
          <cell r="AO66">
            <v>21025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38000</v>
          </cell>
          <cell r="AZ66">
            <v>0</v>
          </cell>
          <cell r="BA66">
            <v>0</v>
          </cell>
          <cell r="BB66">
            <v>150000</v>
          </cell>
          <cell r="BC66">
            <v>0</v>
          </cell>
          <cell r="BD66">
            <v>0</v>
          </cell>
          <cell r="BE66">
            <v>9036939.2857142892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428571.42857142899</v>
          </cell>
          <cell r="BQ66">
            <v>8608367.8571428601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8608367.8571428601</v>
          </cell>
          <cell r="BX66">
            <v>860836.78571428603</v>
          </cell>
          <cell r="BY66">
            <v>8176103</v>
          </cell>
          <cell r="BZ66">
            <v>0</v>
          </cell>
          <cell r="CA66">
            <v>0</v>
          </cell>
          <cell r="CB66">
            <v>8176103</v>
          </cell>
          <cell r="CC66">
            <v>0</v>
          </cell>
          <cell r="CD66">
            <v>8176103</v>
          </cell>
          <cell r="CE66">
            <v>0</v>
          </cell>
          <cell r="CF66" t="str">
            <v>vy.cu@medigoapp.com</v>
          </cell>
          <cell r="CG66" t="str">
            <v/>
          </cell>
          <cell r="CH66">
            <v>10</v>
          </cell>
          <cell r="CI66">
            <v>4.5</v>
          </cell>
          <cell r="CJ66">
            <v>4</v>
          </cell>
          <cell r="CK66">
            <v>9</v>
          </cell>
          <cell r="CL66">
            <v>2024</v>
          </cell>
          <cell r="CM66">
            <v>0</v>
          </cell>
          <cell r="CN66">
            <v>-23141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6000000</v>
          </cell>
          <cell r="CW66">
            <v>0</v>
          </cell>
          <cell r="CX66" t="str">
            <v/>
          </cell>
          <cell r="CY66" t="str">
            <v>;</v>
          </cell>
          <cell r="CZ66">
            <v>0</v>
          </cell>
          <cell r="DA66" t="str">
            <v>Cù Thị Tường Vy</v>
          </cell>
          <cell r="DB66">
            <v>24</v>
          </cell>
          <cell r="DC66">
            <v>157.5</v>
          </cell>
          <cell r="DD66">
            <v>89</v>
          </cell>
          <cell r="DE66">
            <v>4218750</v>
          </cell>
          <cell r="DF66">
            <v>3575892.8571428601</v>
          </cell>
          <cell r="DG66">
            <v>8176103</v>
          </cell>
          <cell r="DH66">
            <v>0</v>
          </cell>
          <cell r="DI66">
            <v>0</v>
          </cell>
        </row>
        <row r="67">
          <cell r="D67" t="str">
            <v>Huỳnh Thị Huệ Hiền</v>
          </cell>
          <cell r="E67" t="str">
            <v>HĐLĐ</v>
          </cell>
          <cell r="F67" t="str">
            <v>Rạch Bùng Binh</v>
          </cell>
          <cell r="G67" t="str">
            <v>DSBC</v>
          </cell>
          <cell r="H67" t="str">
            <v>01/11/2024</v>
          </cell>
          <cell r="I67" t="str">
            <v>0421000443270</v>
          </cell>
          <cell r="J67" t="str">
            <v>VietComBank</v>
          </cell>
          <cell r="K67">
            <v>28</v>
          </cell>
          <cell r="L67">
            <v>30</v>
          </cell>
          <cell r="M67">
            <v>25.1666666666667</v>
          </cell>
          <cell r="N67">
            <v>283.39999999999998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5310000</v>
          </cell>
          <cell r="T67">
            <v>500000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6000000</v>
          </cell>
          <cell r="AB67">
            <v>0</v>
          </cell>
          <cell r="AC67">
            <v>0</v>
          </cell>
          <cell r="AD67">
            <v>0</v>
          </cell>
          <cell r="AE67">
            <v>674107.14285714296</v>
          </cell>
          <cell r="AF67">
            <v>11386607.142857101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1330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38000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12524044.2857143</v>
          </cell>
          <cell r="BF67">
            <v>929250</v>
          </cell>
          <cell r="BG67">
            <v>159300</v>
          </cell>
          <cell r="BH67">
            <v>53100</v>
          </cell>
          <cell r="BI67">
            <v>0</v>
          </cell>
          <cell r="BJ67">
            <v>1141650</v>
          </cell>
          <cell r="BK67">
            <v>424800</v>
          </cell>
          <cell r="BL67">
            <v>79650</v>
          </cell>
          <cell r="BM67">
            <v>53100</v>
          </cell>
          <cell r="BN67">
            <v>0</v>
          </cell>
          <cell r="BO67">
            <v>557550</v>
          </cell>
          <cell r="BP67">
            <v>500000</v>
          </cell>
          <cell r="BQ67">
            <v>12024044.2857143</v>
          </cell>
          <cell r="BR67">
            <v>15500000</v>
          </cell>
          <cell r="BS67">
            <v>0</v>
          </cell>
          <cell r="BT67">
            <v>0</v>
          </cell>
          <cell r="BU67">
            <v>557550</v>
          </cell>
          <cell r="BV67">
            <v>16057550</v>
          </cell>
          <cell r="BW67">
            <v>0</v>
          </cell>
          <cell r="BX67">
            <v>0</v>
          </cell>
          <cell r="BY67">
            <v>11966494</v>
          </cell>
          <cell r="BZ67">
            <v>0</v>
          </cell>
          <cell r="CA67">
            <v>0</v>
          </cell>
          <cell r="CB67">
            <v>11966494</v>
          </cell>
          <cell r="CC67">
            <v>0</v>
          </cell>
          <cell r="CD67">
            <v>11966494</v>
          </cell>
          <cell r="CE67">
            <v>0</v>
          </cell>
          <cell r="CF67" t="str">
            <v>medigo.hien.huynh@gmail.com</v>
          </cell>
          <cell r="CG67" t="str">
            <v/>
          </cell>
          <cell r="CH67">
            <v>5</v>
          </cell>
          <cell r="CI67">
            <v>2.5</v>
          </cell>
          <cell r="CJ67">
            <v>1</v>
          </cell>
          <cell r="CK67">
            <v>11</v>
          </cell>
          <cell r="CL67">
            <v>2024</v>
          </cell>
          <cell r="CM67">
            <v>0</v>
          </cell>
          <cell r="CN67">
            <v>16</v>
          </cell>
          <cell r="CO67">
            <v>0</v>
          </cell>
          <cell r="CP67">
            <v>0</v>
          </cell>
          <cell r="CQ67">
            <v>1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6000000</v>
          </cell>
          <cell r="CW67">
            <v>0</v>
          </cell>
          <cell r="CX67" t="str">
            <v/>
          </cell>
          <cell r="CY67" t="str">
            <v>;</v>
          </cell>
          <cell r="CZ67">
            <v>0</v>
          </cell>
          <cell r="DA67" t="str">
            <v>Huỳnh Thị Huệ Hiền</v>
          </cell>
          <cell r="DB67">
            <v>30</v>
          </cell>
          <cell r="DC67">
            <v>25.1666666666667</v>
          </cell>
          <cell r="DD67">
            <v>283.39999999999998</v>
          </cell>
          <cell r="DE67">
            <v>674107.14285714296</v>
          </cell>
          <cell r="DF67">
            <v>11386607.142857101</v>
          </cell>
          <cell r="DG67">
            <v>11966494</v>
          </cell>
          <cell r="DH67">
            <v>0</v>
          </cell>
          <cell r="DI67">
            <v>0</v>
          </cell>
        </row>
        <row r="68">
          <cell r="D68" t="str">
            <v>Nguyễn Thị Phương Linh</v>
          </cell>
          <cell r="E68" t="str">
            <v>HĐTV</v>
          </cell>
          <cell r="F68" t="str">
            <v>Rạch Bùng Binh</v>
          </cell>
          <cell r="G68" t="str">
            <v>DSTV</v>
          </cell>
          <cell r="H68" t="str">
            <v>16/3/2026</v>
          </cell>
          <cell r="I68" t="str">
            <v>104872776864</v>
          </cell>
          <cell r="J68" t="str">
            <v>VietinBank</v>
          </cell>
          <cell r="K68">
            <v>28</v>
          </cell>
          <cell r="L68">
            <v>17</v>
          </cell>
          <cell r="M68">
            <v>196.833333333333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303571.42857142899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5100000</v>
          </cell>
          <cell r="AB68">
            <v>0</v>
          </cell>
          <cell r="AC68">
            <v>0</v>
          </cell>
          <cell r="AD68">
            <v>0</v>
          </cell>
          <cell r="AE68">
            <v>4481473.2142857099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4785044.6428571399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303571.42857142899</v>
          </cell>
          <cell r="BQ68">
            <v>4481473.2142857099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4481473.2142857099</v>
          </cell>
          <cell r="BX68">
            <v>448147.32142857101</v>
          </cell>
          <cell r="BY68">
            <v>4336897</v>
          </cell>
          <cell r="BZ68">
            <v>0</v>
          </cell>
          <cell r="CA68">
            <v>0</v>
          </cell>
          <cell r="CB68">
            <v>4336897</v>
          </cell>
          <cell r="CC68">
            <v>0</v>
          </cell>
          <cell r="CD68">
            <v>4336897</v>
          </cell>
          <cell r="CE68">
            <v>0</v>
          </cell>
          <cell r="CF68" t="str">
            <v>linh.nguyen@medigoapp.com</v>
          </cell>
          <cell r="CG68" t="str">
            <v/>
          </cell>
          <cell r="CH68">
            <v>10</v>
          </cell>
          <cell r="CI68">
            <v>0</v>
          </cell>
          <cell r="CJ68">
            <v>16</v>
          </cell>
          <cell r="CK68">
            <v>3</v>
          </cell>
          <cell r="CL68">
            <v>2026</v>
          </cell>
          <cell r="CM68">
            <v>0</v>
          </cell>
          <cell r="CN68">
            <v>-23159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5100000</v>
          </cell>
          <cell r="CW68">
            <v>0</v>
          </cell>
          <cell r="CX68" t="str">
            <v/>
          </cell>
          <cell r="CY68" t="str">
            <v>;</v>
          </cell>
          <cell r="CZ68">
            <v>0</v>
          </cell>
          <cell r="DA68" t="str">
            <v>Nguyễn Thị Phương Linh</v>
          </cell>
          <cell r="DB68">
            <v>10</v>
          </cell>
          <cell r="DC68">
            <v>85.15</v>
          </cell>
          <cell r="DD68">
            <v>0</v>
          </cell>
          <cell r="DE68">
            <v>1938683.0357142901</v>
          </cell>
          <cell r="DF68">
            <v>0</v>
          </cell>
          <cell r="DG68">
            <v>2338705</v>
          </cell>
          <cell r="DH68">
            <v>0</v>
          </cell>
          <cell r="DI68">
            <v>0</v>
          </cell>
        </row>
        <row r="69">
          <cell r="D69" t="str">
            <v>Phạm Thị Nghĩa Hương</v>
          </cell>
          <cell r="E69" t="str">
            <v>HĐLĐ</v>
          </cell>
          <cell r="F69" t="str">
            <v>Rạch Bùng Binh</v>
          </cell>
          <cell r="G69" t="str">
            <v>DSBC</v>
          </cell>
          <cell r="H69">
            <v>45575</v>
          </cell>
          <cell r="I69" t="str">
            <v>0968249073</v>
          </cell>
          <cell r="J69" t="str">
            <v>Mb bank</v>
          </cell>
          <cell r="K69">
            <v>28</v>
          </cell>
          <cell r="L69">
            <v>6</v>
          </cell>
          <cell r="M69">
            <v>43.116666666666703</v>
          </cell>
          <cell r="N69">
            <v>7.9833333333333298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107142.857142857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6000000</v>
          </cell>
          <cell r="AB69">
            <v>0</v>
          </cell>
          <cell r="AC69">
            <v>0</v>
          </cell>
          <cell r="AD69">
            <v>0</v>
          </cell>
          <cell r="AE69">
            <v>1154910.7142857099</v>
          </cell>
          <cell r="AF69">
            <v>320758.92857142899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1582812.5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1582812.5</v>
          </cell>
          <cell r="BR69">
            <v>15500000</v>
          </cell>
          <cell r="BS69">
            <v>0</v>
          </cell>
          <cell r="BT69">
            <v>0</v>
          </cell>
          <cell r="BU69">
            <v>0</v>
          </cell>
          <cell r="BV69">
            <v>15500000</v>
          </cell>
          <cell r="BW69">
            <v>0</v>
          </cell>
          <cell r="BX69">
            <v>0</v>
          </cell>
          <cell r="BY69">
            <v>1582813</v>
          </cell>
          <cell r="BZ69">
            <v>0</v>
          </cell>
          <cell r="CA69">
            <v>0</v>
          </cell>
          <cell r="CB69">
            <v>1582813</v>
          </cell>
          <cell r="CC69">
            <v>0</v>
          </cell>
          <cell r="CD69">
            <v>1582813</v>
          </cell>
          <cell r="CE69">
            <v>0</v>
          </cell>
          <cell r="CF69" t="str">
            <v>medigo.huong.pham@gmail.com</v>
          </cell>
          <cell r="CG69">
            <v>0</v>
          </cell>
          <cell r="CH69">
            <v>10</v>
          </cell>
          <cell r="CI69">
            <v>0</v>
          </cell>
          <cell r="CJ69">
            <v>10</v>
          </cell>
          <cell r="CK69">
            <v>10</v>
          </cell>
          <cell r="CL69">
            <v>2024</v>
          </cell>
          <cell r="CM69">
            <v>0</v>
          </cell>
          <cell r="CN69">
            <v>-23142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6000000</v>
          </cell>
          <cell r="CW69">
            <v>0</v>
          </cell>
          <cell r="CX69">
            <v>0</v>
          </cell>
          <cell r="CY69" t="str">
            <v>; 0</v>
          </cell>
          <cell r="CZ69">
            <v>0</v>
          </cell>
          <cell r="DA69" t="str">
            <v>Phạm Thị Nghĩa Hương</v>
          </cell>
          <cell r="DB69">
            <v>15</v>
          </cell>
          <cell r="DC69">
            <v>106.466666666667</v>
          </cell>
          <cell r="DD69">
            <v>40.0833333333333</v>
          </cell>
          <cell r="DE69">
            <v>2851785.7142857099</v>
          </cell>
          <cell r="DF69">
            <v>1610491.07142857</v>
          </cell>
          <cell r="DG69">
            <v>4195777</v>
          </cell>
          <cell r="DH69">
            <v>0</v>
          </cell>
          <cell r="DI69">
            <v>0</v>
          </cell>
        </row>
        <row r="70">
          <cell r="D70" t="str">
            <v>Trần Hoàng Khánh</v>
          </cell>
          <cell r="E70" t="str">
            <v>HĐLĐ</v>
          </cell>
          <cell r="F70" t="str">
            <v>Rạch Bùng Binh</v>
          </cell>
          <cell r="G70" t="str">
            <v>DSBC</v>
          </cell>
          <cell r="H70" t="str">
            <v>02/06/2025</v>
          </cell>
          <cell r="I70" t="str">
            <v>0985967065</v>
          </cell>
          <cell r="J70" t="str">
            <v>Tp Bank</v>
          </cell>
          <cell r="K70">
            <v>28</v>
          </cell>
          <cell r="L70">
            <v>8</v>
          </cell>
          <cell r="M70">
            <v>70.533333333333303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142857.14285714299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6000000</v>
          </cell>
          <cell r="AB70">
            <v>0</v>
          </cell>
          <cell r="AC70">
            <v>0</v>
          </cell>
          <cell r="AD70">
            <v>0</v>
          </cell>
          <cell r="AE70">
            <v>1889285.7142857099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2032142.8571428601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142857.14285714299</v>
          </cell>
          <cell r="BQ70">
            <v>1889285.7142857099</v>
          </cell>
          <cell r="BR70">
            <v>15500000</v>
          </cell>
          <cell r="BS70">
            <v>0</v>
          </cell>
          <cell r="BT70">
            <v>0</v>
          </cell>
          <cell r="BU70">
            <v>0</v>
          </cell>
          <cell r="BV70">
            <v>15500000</v>
          </cell>
          <cell r="BW70">
            <v>0</v>
          </cell>
          <cell r="BX70">
            <v>0</v>
          </cell>
          <cell r="BY70">
            <v>2032143</v>
          </cell>
          <cell r="BZ70">
            <v>0</v>
          </cell>
          <cell r="CA70">
            <v>0</v>
          </cell>
          <cell r="CB70">
            <v>2032143</v>
          </cell>
          <cell r="CC70">
            <v>0</v>
          </cell>
          <cell r="CD70">
            <v>2032143</v>
          </cell>
          <cell r="CE70">
            <v>0</v>
          </cell>
          <cell r="CF70" t="str">
            <v>medigo.hoangkhanh.tran@gmail.com</v>
          </cell>
          <cell r="CG70" t="str">
            <v/>
          </cell>
          <cell r="CH70">
            <v>9</v>
          </cell>
          <cell r="CI70">
            <v>0</v>
          </cell>
          <cell r="CJ70">
            <v>2</v>
          </cell>
          <cell r="CK70">
            <v>6</v>
          </cell>
          <cell r="CL70">
            <v>2025</v>
          </cell>
          <cell r="CM70">
            <v>0</v>
          </cell>
          <cell r="CN70">
            <v>-23150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6000000</v>
          </cell>
          <cell r="CW70">
            <v>0</v>
          </cell>
          <cell r="CX70" t="str">
            <v/>
          </cell>
          <cell r="CY70" t="str">
            <v>;</v>
          </cell>
          <cell r="CZ70">
            <v>0</v>
          </cell>
          <cell r="DA70" t="str">
            <v>Trần Hoàng Khánh</v>
          </cell>
          <cell r="DB70">
            <v>17</v>
          </cell>
          <cell r="DC70">
            <v>121.366666666667</v>
          </cell>
          <cell r="DD70">
            <v>48.266666666666701</v>
          </cell>
          <cell r="DE70">
            <v>3250892.8571428601</v>
          </cell>
          <cell r="DF70">
            <v>1939285.7142857099</v>
          </cell>
          <cell r="DG70">
            <v>4955090</v>
          </cell>
          <cell r="DH70">
            <v>0</v>
          </cell>
          <cell r="DI70">
            <v>0</v>
          </cell>
        </row>
        <row r="71">
          <cell r="D71" t="str">
            <v>Hạ Ngân Khánh</v>
          </cell>
          <cell r="E71" t="str">
            <v>HĐLĐ</v>
          </cell>
          <cell r="F71" t="str">
            <v>Rạch Bùng Binh</v>
          </cell>
          <cell r="G71" t="str">
            <v>DSBC</v>
          </cell>
          <cell r="H71" t="str">
            <v>23/06/2025</v>
          </cell>
          <cell r="I71" t="str">
            <v>109873777758</v>
          </cell>
          <cell r="J71" t="str">
            <v>VietinBank</v>
          </cell>
          <cell r="K71">
            <v>28</v>
          </cell>
          <cell r="L71">
            <v>7</v>
          </cell>
          <cell r="M71">
            <v>0</v>
          </cell>
          <cell r="N71">
            <v>53.15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89286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6000000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2135491.07142857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3000000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5224777.07142857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89286</v>
          </cell>
          <cell r="BQ71">
            <v>5135491.07142857</v>
          </cell>
          <cell r="BR71">
            <v>15500000</v>
          </cell>
          <cell r="BS71">
            <v>0</v>
          </cell>
          <cell r="BT71">
            <v>0</v>
          </cell>
          <cell r="BU71">
            <v>0</v>
          </cell>
          <cell r="BV71">
            <v>15500000</v>
          </cell>
          <cell r="BW71">
            <v>0</v>
          </cell>
          <cell r="BX71">
            <v>0</v>
          </cell>
          <cell r="BY71">
            <v>5224777</v>
          </cell>
          <cell r="BZ71">
            <v>0</v>
          </cell>
          <cell r="CA71">
            <v>0</v>
          </cell>
          <cell r="CB71">
            <v>5224777</v>
          </cell>
          <cell r="CC71">
            <v>0</v>
          </cell>
          <cell r="CD71">
            <v>5224777</v>
          </cell>
          <cell r="CE71">
            <v>0</v>
          </cell>
          <cell r="CF71" t="str">
            <v>medigo.ngankhanh.ha@gmail.com</v>
          </cell>
          <cell r="CG71" t="str">
            <v/>
          </cell>
          <cell r="CH71">
            <v>9</v>
          </cell>
          <cell r="CI71">
            <v>0</v>
          </cell>
          <cell r="CJ71">
            <v>23</v>
          </cell>
          <cell r="CK71">
            <v>6</v>
          </cell>
          <cell r="CL71">
            <v>2025</v>
          </cell>
          <cell r="CM71">
            <v>0</v>
          </cell>
          <cell r="CN71">
            <v>-23150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6000000</v>
          </cell>
          <cell r="CW71">
            <v>0</v>
          </cell>
          <cell r="CX71" t="str">
            <v/>
          </cell>
          <cell r="CY71" t="str">
            <v>;</v>
          </cell>
          <cell r="CZ71">
            <v>0</v>
          </cell>
          <cell r="DA71" t="str">
            <v>Hạ Ngân Khánh</v>
          </cell>
          <cell r="DB71">
            <v>9</v>
          </cell>
          <cell r="DC71">
            <v>7.8666666666666698</v>
          </cell>
          <cell r="DD71">
            <v>59.533333333333303</v>
          </cell>
          <cell r="DE71">
            <v>210714.285714286</v>
          </cell>
          <cell r="DF71">
            <v>2391964.2857142901</v>
          </cell>
          <cell r="DG71">
            <v>2763393</v>
          </cell>
          <cell r="DH71">
            <v>0</v>
          </cell>
          <cell r="DI71">
            <v>0</v>
          </cell>
        </row>
        <row r="72">
          <cell r="D72" t="str">
            <v>Nguyễn Trúc Linh</v>
          </cell>
          <cell r="E72" t="str">
            <v>HĐLĐ</v>
          </cell>
          <cell r="F72" t="str">
            <v>Rạch Bùng Binh</v>
          </cell>
          <cell r="G72" t="str">
            <v>DSBC</v>
          </cell>
          <cell r="H72" t="str">
            <v>26/04/2025</v>
          </cell>
          <cell r="I72" t="str">
            <v>109006916698</v>
          </cell>
          <cell r="J72" t="str">
            <v>Vietinbank</v>
          </cell>
          <cell r="K72">
            <v>28</v>
          </cell>
          <cell r="L72">
            <v>11</v>
          </cell>
          <cell r="M72">
            <v>96.233333333333306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196428.57142857101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6000000</v>
          </cell>
          <cell r="AB72">
            <v>0</v>
          </cell>
          <cell r="AC72">
            <v>0</v>
          </cell>
          <cell r="AD72">
            <v>0</v>
          </cell>
          <cell r="AE72">
            <v>2577678.57142857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2774107.1428571399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196428.57142857101</v>
          </cell>
          <cell r="BQ72">
            <v>2577678.57142857</v>
          </cell>
          <cell r="BR72">
            <v>15500000</v>
          </cell>
          <cell r="BS72">
            <v>0</v>
          </cell>
          <cell r="BT72">
            <v>0</v>
          </cell>
          <cell r="BU72">
            <v>0</v>
          </cell>
          <cell r="BV72">
            <v>15500000</v>
          </cell>
          <cell r="BW72">
            <v>0</v>
          </cell>
          <cell r="BX72">
            <v>0</v>
          </cell>
          <cell r="BY72">
            <v>2774107</v>
          </cell>
          <cell r="BZ72">
            <v>0</v>
          </cell>
          <cell r="CA72">
            <v>0</v>
          </cell>
          <cell r="CB72">
            <v>2774107</v>
          </cell>
          <cell r="CC72">
            <v>0</v>
          </cell>
          <cell r="CD72">
            <v>2774107</v>
          </cell>
          <cell r="CE72">
            <v>0</v>
          </cell>
          <cell r="CF72" t="str">
            <v>medigo.truclinh.nguyen@gmail.com</v>
          </cell>
          <cell r="CG72">
            <v>0</v>
          </cell>
          <cell r="CH72">
            <v>12</v>
          </cell>
          <cell r="CI72">
            <v>0</v>
          </cell>
          <cell r="CJ72">
            <v>26</v>
          </cell>
          <cell r="CK72">
            <v>4</v>
          </cell>
          <cell r="CL72">
            <v>2025</v>
          </cell>
          <cell r="CM72">
            <v>0</v>
          </cell>
          <cell r="CN72">
            <v>-23148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6000000</v>
          </cell>
          <cell r="CW72">
            <v>0</v>
          </cell>
          <cell r="CX72">
            <v>0</v>
          </cell>
          <cell r="CY72" t="str">
            <v>; 0</v>
          </cell>
          <cell r="CZ72">
            <v>0</v>
          </cell>
          <cell r="DA72" t="str">
            <v>Nguyễn Trúc Linh</v>
          </cell>
          <cell r="DB72">
            <v>17</v>
          </cell>
          <cell r="DC72">
            <v>158.76666666666699</v>
          </cell>
          <cell r="DD72">
            <v>0.7</v>
          </cell>
          <cell r="DE72">
            <v>2577678.57142857</v>
          </cell>
          <cell r="DF72">
            <v>0</v>
          </cell>
          <cell r="DG72">
            <v>2774107</v>
          </cell>
          <cell r="DH72">
            <v>0</v>
          </cell>
          <cell r="DI72">
            <v>0</v>
          </cell>
        </row>
        <row r="73">
          <cell r="D73" t="str">
            <v>Phan Công Vũ Tài</v>
          </cell>
          <cell r="E73" t="str">
            <v>HĐLĐ</v>
          </cell>
          <cell r="F73" t="str">
            <v>Rạch Bùng Binh</v>
          </cell>
          <cell r="G73" t="str">
            <v>DSBC</v>
          </cell>
          <cell r="H73" t="str">
            <v>26/01/2026</v>
          </cell>
          <cell r="I73" t="str">
            <v>02446989901</v>
          </cell>
          <cell r="J73" t="str">
            <v>Tp Bank</v>
          </cell>
          <cell r="K73">
            <v>28</v>
          </cell>
          <cell r="L73">
            <v>12</v>
          </cell>
          <cell r="M73">
            <v>137.416666666667</v>
          </cell>
          <cell r="N73">
            <v>18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214285.714285714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5310000</v>
          </cell>
          <cell r="AB73">
            <v>0</v>
          </cell>
          <cell r="AC73">
            <v>0</v>
          </cell>
          <cell r="AD73">
            <v>0</v>
          </cell>
          <cell r="AE73">
            <v>3257511.1607142901</v>
          </cell>
          <cell r="AF73">
            <v>640044.64285714296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4111841.5178571399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214285.714285714</v>
          </cell>
          <cell r="BQ73">
            <v>3897555.80357143</v>
          </cell>
          <cell r="BR73">
            <v>15500000</v>
          </cell>
          <cell r="BS73">
            <v>0</v>
          </cell>
          <cell r="BT73">
            <v>0</v>
          </cell>
          <cell r="BU73">
            <v>0</v>
          </cell>
          <cell r="BV73">
            <v>15500000</v>
          </cell>
          <cell r="BW73">
            <v>0</v>
          </cell>
          <cell r="BX73">
            <v>0</v>
          </cell>
          <cell r="BY73">
            <v>4111842</v>
          </cell>
          <cell r="BZ73">
            <v>0</v>
          </cell>
          <cell r="CA73">
            <v>0</v>
          </cell>
          <cell r="CB73">
            <v>4111842</v>
          </cell>
          <cell r="CC73">
            <v>0</v>
          </cell>
          <cell r="CD73">
            <v>4111842</v>
          </cell>
          <cell r="CE73">
            <v>0</v>
          </cell>
          <cell r="CF73" t="str">
            <v>tai.phan@medigoapp.com</v>
          </cell>
          <cell r="CG73" t="str">
            <v/>
          </cell>
          <cell r="CH73">
            <v>4</v>
          </cell>
          <cell r="CI73">
            <v>0</v>
          </cell>
          <cell r="CJ73">
            <v>26</v>
          </cell>
          <cell r="CK73">
            <v>1</v>
          </cell>
          <cell r="CL73">
            <v>2026</v>
          </cell>
          <cell r="CM73">
            <v>0</v>
          </cell>
          <cell r="CN73">
            <v>-23157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5310000</v>
          </cell>
          <cell r="CW73">
            <v>0</v>
          </cell>
          <cell r="CX73" t="str">
            <v/>
          </cell>
          <cell r="CY73" t="str">
            <v>;</v>
          </cell>
          <cell r="CZ73">
            <v>0</v>
          </cell>
          <cell r="DA73" t="str">
            <v>Phan Công Vũ Tài</v>
          </cell>
          <cell r="DB73">
            <v>10</v>
          </cell>
          <cell r="DC73">
            <v>104.95</v>
          </cell>
          <cell r="DD73">
            <v>0.58333333333333304</v>
          </cell>
          <cell r="DE73">
            <v>2487877.2321428601</v>
          </cell>
          <cell r="DF73">
            <v>20742.1875</v>
          </cell>
          <cell r="DG73">
            <v>2812705</v>
          </cell>
          <cell r="DH73">
            <v>0</v>
          </cell>
          <cell r="DI73">
            <v>0</v>
          </cell>
        </row>
        <row r="74">
          <cell r="D74" t="str">
            <v>Hồ Tấn Nguyên</v>
          </cell>
          <cell r="E74" t="str">
            <v>HĐTV</v>
          </cell>
          <cell r="F74" t="str">
            <v>Nguyễn Chí Thanh</v>
          </cell>
          <cell r="G74" t="str">
            <v>DSTV</v>
          </cell>
          <cell r="H74" t="str">
            <v>20/3/2026</v>
          </cell>
          <cell r="I74" t="str">
            <v>1303032027</v>
          </cell>
          <cell r="J74" t="str">
            <v>BIDV</v>
          </cell>
          <cell r="K74">
            <v>28</v>
          </cell>
          <cell r="L74">
            <v>3</v>
          </cell>
          <cell r="M74">
            <v>0</v>
          </cell>
          <cell r="N74">
            <v>24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53571.428571428602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5100000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819642.85714285704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873214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1746428.2857142901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53571.428571428602</v>
          </cell>
          <cell r="BQ74">
            <v>1692856.8571428601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1692856.8571428601</v>
          </cell>
          <cell r="BX74">
            <v>0</v>
          </cell>
          <cell r="BY74">
            <v>1746428</v>
          </cell>
          <cell r="BZ74">
            <v>0</v>
          </cell>
          <cell r="CA74">
            <v>0</v>
          </cell>
          <cell r="CB74">
            <v>1746428</v>
          </cell>
          <cell r="CC74">
            <v>0</v>
          </cell>
          <cell r="CD74">
            <v>1746428</v>
          </cell>
          <cell r="CE74">
            <v>0</v>
          </cell>
          <cell r="CF74" t="str">
            <v>nguyen.ho@medigoapp.com</v>
          </cell>
          <cell r="CG74" t="str">
            <v/>
          </cell>
          <cell r="CH74">
            <v>4</v>
          </cell>
          <cell r="CI74">
            <v>2.5</v>
          </cell>
          <cell r="CJ74">
            <v>20</v>
          </cell>
          <cell r="CK74">
            <v>3</v>
          </cell>
          <cell r="CL74">
            <v>2026</v>
          </cell>
          <cell r="CM74">
            <v>0</v>
          </cell>
          <cell r="CN74">
            <v>-23159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5100000</v>
          </cell>
          <cell r="CW74">
            <v>0</v>
          </cell>
          <cell r="CX74" t="str">
            <v/>
          </cell>
          <cell r="CY74" t="str">
            <v>;</v>
          </cell>
          <cell r="CZ74">
            <v>0</v>
          </cell>
          <cell r="DA74" t="str">
            <v>Hồ Tấn Nguyên</v>
          </cell>
          <cell r="DB74">
            <v>25</v>
          </cell>
          <cell r="DC74">
            <v>2.75</v>
          </cell>
          <cell r="DD74">
            <v>224.98333333333301</v>
          </cell>
          <cell r="DE74">
            <v>62611.607142857101</v>
          </cell>
          <cell r="DF74">
            <v>7683582.5892857099</v>
          </cell>
          <cell r="DG74">
            <v>7946483</v>
          </cell>
          <cell r="DH74">
            <v>0</v>
          </cell>
          <cell r="DI74">
            <v>0</v>
          </cell>
        </row>
        <row r="75">
          <cell r="D75" t="str">
            <v>Nguyễn Mẫn Tiệp</v>
          </cell>
          <cell r="E75" t="str">
            <v>HĐCTV</v>
          </cell>
          <cell r="F75" t="str">
            <v>Rạch Bùng Binh</v>
          </cell>
          <cell r="G75" t="str">
            <v>DSHV</v>
          </cell>
          <cell r="H75" t="str">
            <v>10/3/2026</v>
          </cell>
          <cell r="I75" t="str">
            <v>1015496176</v>
          </cell>
          <cell r="J75" t="str">
            <v>Vietcombank</v>
          </cell>
          <cell r="K75">
            <v>28</v>
          </cell>
          <cell r="L75">
            <v>26</v>
          </cell>
          <cell r="M75">
            <v>182.55</v>
          </cell>
          <cell r="N75">
            <v>87.866666666666703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3000000</v>
          </cell>
          <cell r="AB75">
            <v>0</v>
          </cell>
          <cell r="AC75">
            <v>0</v>
          </cell>
          <cell r="AD75">
            <v>0</v>
          </cell>
          <cell r="AE75">
            <v>2444866.07142857</v>
          </cell>
          <cell r="AF75">
            <v>1765178.57142857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4210044.6428571399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4210044.6428571399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4210044.6428571399</v>
          </cell>
          <cell r="BX75">
            <v>421004.46428571403</v>
          </cell>
          <cell r="BY75">
            <v>3789040</v>
          </cell>
          <cell r="BZ75">
            <v>0</v>
          </cell>
          <cell r="CA75">
            <v>0</v>
          </cell>
          <cell r="CB75">
            <v>3789040</v>
          </cell>
          <cell r="CC75">
            <v>0</v>
          </cell>
          <cell r="CD75">
            <v>3789040</v>
          </cell>
          <cell r="CE75">
            <v>0</v>
          </cell>
          <cell r="CF75" t="str">
            <v>tiep.nguyen@medigoapp.com</v>
          </cell>
          <cell r="CG75" t="str">
            <v/>
          </cell>
          <cell r="CH75">
            <v>7</v>
          </cell>
          <cell r="CI75">
            <v>0</v>
          </cell>
          <cell r="CJ75">
            <v>10</v>
          </cell>
          <cell r="CK75">
            <v>3</v>
          </cell>
          <cell r="CL75">
            <v>2026</v>
          </cell>
          <cell r="CM75">
            <v>0</v>
          </cell>
          <cell r="CN75">
            <v>-23159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3000000</v>
          </cell>
          <cell r="CW75">
            <v>0</v>
          </cell>
          <cell r="CX75" t="str">
            <v/>
          </cell>
          <cell r="CY75" t="str">
            <v>;</v>
          </cell>
          <cell r="CZ75">
            <v>0</v>
          </cell>
          <cell r="DA75" t="str">
            <v>Nguyễn Mẫn Tiệp</v>
          </cell>
          <cell r="DB75">
            <v>26</v>
          </cell>
          <cell r="DC75">
            <v>182.55</v>
          </cell>
          <cell r="DD75">
            <v>87.866666666666703</v>
          </cell>
          <cell r="DE75">
            <v>2444866.07142857</v>
          </cell>
          <cell r="DF75">
            <v>1765178.57142857</v>
          </cell>
          <cell r="DG75">
            <v>3789040</v>
          </cell>
          <cell r="DH75">
            <v>0</v>
          </cell>
          <cell r="DI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280</v>
          </cell>
          <cell r="L76">
            <v>144</v>
          </cell>
          <cell r="M76">
            <v>909.35</v>
          </cell>
          <cell r="N76">
            <v>563.4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5310000</v>
          </cell>
          <cell r="T76">
            <v>2035714.57142857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54510000</v>
          </cell>
          <cell r="AB76">
            <v>0</v>
          </cell>
          <cell r="AC76">
            <v>0</v>
          </cell>
          <cell r="AD76">
            <v>0</v>
          </cell>
          <cell r="AE76">
            <v>20698582.589285702</v>
          </cell>
          <cell r="AF76">
            <v>20643616.071428601</v>
          </cell>
          <cell r="AG76">
            <v>0</v>
          </cell>
          <cell r="AH76">
            <v>0</v>
          </cell>
          <cell r="AI76">
            <v>0</v>
          </cell>
          <cell r="AJ76">
            <v>500000</v>
          </cell>
          <cell r="AK76">
            <v>0</v>
          </cell>
          <cell r="AL76">
            <v>0</v>
          </cell>
          <cell r="AM76">
            <v>0</v>
          </cell>
          <cell r="AN76">
            <v>480700</v>
          </cell>
          <cell r="AO76">
            <v>22355</v>
          </cell>
          <cell r="AP76">
            <v>0</v>
          </cell>
          <cell r="AQ76">
            <v>3000000</v>
          </cell>
          <cell r="AR76">
            <v>873214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76000</v>
          </cell>
          <cell r="AZ76">
            <v>0</v>
          </cell>
          <cell r="BA76">
            <v>0</v>
          </cell>
          <cell r="BB76">
            <v>150000</v>
          </cell>
          <cell r="BC76">
            <v>0</v>
          </cell>
          <cell r="BD76">
            <v>0</v>
          </cell>
          <cell r="BE76">
            <v>48028182.232142903</v>
          </cell>
          <cell r="BF76">
            <v>929250</v>
          </cell>
          <cell r="BG76">
            <v>159300</v>
          </cell>
          <cell r="BH76">
            <v>53100</v>
          </cell>
          <cell r="BI76">
            <v>0</v>
          </cell>
          <cell r="BJ76">
            <v>1141650</v>
          </cell>
          <cell r="BK76">
            <v>424800</v>
          </cell>
          <cell r="BL76">
            <v>79650</v>
          </cell>
          <cell r="BM76">
            <v>53100</v>
          </cell>
          <cell r="BN76">
            <v>0</v>
          </cell>
          <cell r="BO76">
            <v>557550</v>
          </cell>
          <cell r="BP76">
            <v>1928571.7142857099</v>
          </cell>
          <cell r="BQ76">
            <v>46099610.517857097</v>
          </cell>
          <cell r="BR76">
            <v>93000000</v>
          </cell>
          <cell r="BS76">
            <v>0</v>
          </cell>
          <cell r="BT76">
            <v>0</v>
          </cell>
          <cell r="BU76">
            <v>557550</v>
          </cell>
          <cell r="BV76">
            <v>93557550</v>
          </cell>
          <cell r="BW76">
            <v>18992742.571428601</v>
          </cell>
          <cell r="BX76">
            <v>1729988.57142857</v>
          </cell>
          <cell r="BY76">
            <v>45740644</v>
          </cell>
          <cell r="BZ76">
            <v>0</v>
          </cell>
          <cell r="CA76">
            <v>0</v>
          </cell>
          <cell r="CB76">
            <v>45740644</v>
          </cell>
          <cell r="CC76">
            <v>0</v>
          </cell>
          <cell r="CD76">
            <v>45740644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9.5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-208349</v>
          </cell>
          <cell r="CO76">
            <v>0</v>
          </cell>
          <cell r="CP76">
            <v>0</v>
          </cell>
          <cell r="CQ76">
            <v>1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54510000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 t="e">
            <v>#N/A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</row>
        <row r="77">
          <cell r="D77" t="str">
            <v>Lê Thị Soạn</v>
          </cell>
          <cell r="E77" t="str">
            <v>HĐLĐ</v>
          </cell>
          <cell r="F77" t="str">
            <v>Đường Láng</v>
          </cell>
          <cell r="G77" t="str">
            <v>DSBC</v>
          </cell>
          <cell r="H77">
            <v>44562</v>
          </cell>
          <cell r="I77" t="str">
            <v>0987524738</v>
          </cell>
          <cell r="J77" t="str">
            <v>Vietinbank</v>
          </cell>
          <cell r="K77">
            <v>28</v>
          </cell>
          <cell r="L77">
            <v>30</v>
          </cell>
          <cell r="M77">
            <v>20.033333333333299</v>
          </cell>
          <cell r="N77">
            <v>286.816666666667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5310000</v>
          </cell>
          <cell r="T77">
            <v>500000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6000000</v>
          </cell>
          <cell r="AB77">
            <v>0</v>
          </cell>
          <cell r="AC77">
            <v>0</v>
          </cell>
          <cell r="AD77">
            <v>0</v>
          </cell>
          <cell r="AE77">
            <v>536607.14285714296</v>
          </cell>
          <cell r="AF77">
            <v>11523883.928571399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1665600</v>
          </cell>
          <cell r="AM77">
            <v>2178543</v>
          </cell>
          <cell r="AN77">
            <v>5357700</v>
          </cell>
          <cell r="AO77">
            <v>24575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6750</v>
          </cell>
          <cell r="AZ77">
            <v>10000</v>
          </cell>
          <cell r="BA77">
            <v>0</v>
          </cell>
          <cell r="BB77">
            <v>100000</v>
          </cell>
          <cell r="BC77">
            <v>0</v>
          </cell>
          <cell r="BD77">
            <v>0</v>
          </cell>
          <cell r="BE77">
            <v>21670159.071428601</v>
          </cell>
          <cell r="BF77">
            <v>929250</v>
          </cell>
          <cell r="BG77">
            <v>159300</v>
          </cell>
          <cell r="BH77">
            <v>53100</v>
          </cell>
          <cell r="BI77">
            <v>0</v>
          </cell>
          <cell r="BJ77">
            <v>1141650</v>
          </cell>
          <cell r="BK77">
            <v>424800</v>
          </cell>
          <cell r="BL77">
            <v>79650</v>
          </cell>
          <cell r="BM77">
            <v>53100</v>
          </cell>
          <cell r="BN77">
            <v>0</v>
          </cell>
          <cell r="BO77">
            <v>557550</v>
          </cell>
          <cell r="BP77">
            <v>500000</v>
          </cell>
          <cell r="BQ77">
            <v>21170159.071428601</v>
          </cell>
          <cell r="BR77">
            <v>15500000</v>
          </cell>
          <cell r="BS77">
            <v>0</v>
          </cell>
          <cell r="BT77">
            <v>0</v>
          </cell>
          <cell r="BU77">
            <v>557550</v>
          </cell>
          <cell r="BV77">
            <v>16057550</v>
          </cell>
          <cell r="BW77">
            <v>5112609.07142857</v>
          </cell>
          <cell r="BX77">
            <v>261261</v>
          </cell>
          <cell r="BY77">
            <v>20851348</v>
          </cell>
          <cell r="BZ77">
            <v>0</v>
          </cell>
          <cell r="CA77">
            <v>0</v>
          </cell>
          <cell r="CB77">
            <v>20851348</v>
          </cell>
          <cell r="CC77">
            <v>0</v>
          </cell>
          <cell r="CD77">
            <v>20851348</v>
          </cell>
          <cell r="CE77">
            <v>0</v>
          </cell>
          <cell r="CF77" t="str">
            <v>medigo.soan.le123@gmail.com</v>
          </cell>
          <cell r="CG77" t="str">
            <v>Vào ca trễ  05/04/2026 : 10.000</v>
          </cell>
          <cell r="CH77">
            <v>2</v>
          </cell>
          <cell r="CI77">
            <v>0</v>
          </cell>
          <cell r="CJ77">
            <v>25</v>
          </cell>
          <cell r="CK77">
            <v>3</v>
          </cell>
          <cell r="CL77">
            <v>2022</v>
          </cell>
          <cell r="CM77">
            <v>0</v>
          </cell>
          <cell r="CN77">
            <v>-23111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6000000</v>
          </cell>
          <cell r="CW77">
            <v>0</v>
          </cell>
          <cell r="CX77" t="str">
            <v>Vào ca trễ  05/04/2026 : 10.000</v>
          </cell>
          <cell r="CY77" t="str">
            <v>; Vào ca trễ  05/04/2026 : 10.000</v>
          </cell>
          <cell r="CZ77">
            <v>0</v>
          </cell>
          <cell r="DA77" t="str">
            <v>Lê Thị Soạn</v>
          </cell>
          <cell r="DB77">
            <v>30</v>
          </cell>
          <cell r="DC77">
            <v>20.033333333333299</v>
          </cell>
          <cell r="DD77">
            <v>286.816666666667</v>
          </cell>
          <cell r="DE77">
            <v>703796.04166666698</v>
          </cell>
          <cell r="DF77">
            <v>15114342.03125</v>
          </cell>
          <cell r="DG77">
            <v>24233230</v>
          </cell>
          <cell r="DH77">
            <v>0</v>
          </cell>
          <cell r="DI77">
            <v>0</v>
          </cell>
        </row>
        <row r="78">
          <cell r="D78" t="str">
            <v>Nguyễn Thị Tâm</v>
          </cell>
          <cell r="E78" t="str">
            <v>HĐLĐ</v>
          </cell>
          <cell r="F78" t="str">
            <v>Đường Láng</v>
          </cell>
          <cell r="G78" t="str">
            <v>DSBC</v>
          </cell>
          <cell r="H78">
            <v>45062</v>
          </cell>
          <cell r="I78" t="str">
            <v>0924479717</v>
          </cell>
          <cell r="J78" t="str">
            <v>Vietinbank</v>
          </cell>
          <cell r="K78">
            <v>28</v>
          </cell>
          <cell r="L78">
            <v>28</v>
          </cell>
          <cell r="M78">
            <v>203.65</v>
          </cell>
          <cell r="N78">
            <v>108.23333333333299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5310000</v>
          </cell>
          <cell r="T78">
            <v>500000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6000000</v>
          </cell>
          <cell r="AB78">
            <v>0</v>
          </cell>
          <cell r="AC78">
            <v>0</v>
          </cell>
          <cell r="AD78">
            <v>0</v>
          </cell>
          <cell r="AE78">
            <v>5454910.7142857099</v>
          </cell>
          <cell r="AF78">
            <v>4348660.7142857099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1138400</v>
          </cell>
          <cell r="AM78">
            <v>0</v>
          </cell>
          <cell r="AN78">
            <v>3437400</v>
          </cell>
          <cell r="AO78">
            <v>11080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100000</v>
          </cell>
          <cell r="AX78">
            <v>0</v>
          </cell>
          <cell r="AY78">
            <v>6750</v>
          </cell>
          <cell r="AZ78">
            <v>0</v>
          </cell>
          <cell r="BA78">
            <v>0</v>
          </cell>
          <cell r="BB78">
            <v>100000</v>
          </cell>
          <cell r="BC78">
            <v>0</v>
          </cell>
          <cell r="BD78">
            <v>0</v>
          </cell>
          <cell r="BE78">
            <v>14883701.428571399</v>
          </cell>
          <cell r="BF78">
            <v>929250</v>
          </cell>
          <cell r="BG78">
            <v>159300</v>
          </cell>
          <cell r="BH78">
            <v>53100</v>
          </cell>
          <cell r="BI78">
            <v>0</v>
          </cell>
          <cell r="BJ78">
            <v>1141650</v>
          </cell>
          <cell r="BK78">
            <v>424800</v>
          </cell>
          <cell r="BL78">
            <v>79650</v>
          </cell>
          <cell r="BM78">
            <v>53100</v>
          </cell>
          <cell r="BN78">
            <v>0</v>
          </cell>
          <cell r="BO78">
            <v>557550</v>
          </cell>
          <cell r="BP78">
            <v>500000</v>
          </cell>
          <cell r="BQ78">
            <v>14383701.428571399</v>
          </cell>
          <cell r="BR78">
            <v>15500000</v>
          </cell>
          <cell r="BS78">
            <v>0</v>
          </cell>
          <cell r="BT78">
            <v>0</v>
          </cell>
          <cell r="BU78">
            <v>557550</v>
          </cell>
          <cell r="BV78">
            <v>16057550</v>
          </cell>
          <cell r="BW78">
            <v>0</v>
          </cell>
          <cell r="BX78">
            <v>0</v>
          </cell>
          <cell r="BY78">
            <v>14326151</v>
          </cell>
          <cell r="BZ78">
            <v>0</v>
          </cell>
          <cell r="CA78">
            <v>0</v>
          </cell>
          <cell r="CB78">
            <v>14326151</v>
          </cell>
          <cell r="CC78">
            <v>0</v>
          </cell>
          <cell r="CD78">
            <v>14326151</v>
          </cell>
          <cell r="CE78">
            <v>0</v>
          </cell>
          <cell r="CF78" t="str">
            <v>medigo.tam.nguyen@gmail.com</v>
          </cell>
          <cell r="CG78" t="str">
            <v/>
          </cell>
          <cell r="CH78">
            <v>4</v>
          </cell>
          <cell r="CI78">
            <v>0</v>
          </cell>
          <cell r="CJ78">
            <v>16</v>
          </cell>
          <cell r="CK78">
            <v>5</v>
          </cell>
          <cell r="CL78">
            <v>2023</v>
          </cell>
          <cell r="CM78">
            <v>0</v>
          </cell>
          <cell r="CN78">
            <v>-23125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6000000</v>
          </cell>
          <cell r="CW78">
            <v>0</v>
          </cell>
          <cell r="CX78" t="str">
            <v/>
          </cell>
          <cell r="CY78" t="str">
            <v>;</v>
          </cell>
          <cell r="CZ78">
            <v>0</v>
          </cell>
          <cell r="DA78" t="str">
            <v>Nguyễn Thị Tâm</v>
          </cell>
          <cell r="DB78">
            <v>28</v>
          </cell>
          <cell r="DC78">
            <v>203.65</v>
          </cell>
          <cell r="DD78">
            <v>108.23333333333299</v>
          </cell>
          <cell r="DE78">
            <v>5909486.6071428601</v>
          </cell>
          <cell r="DF78">
            <v>4711049.1071428601</v>
          </cell>
          <cell r="DG78">
            <v>15143116</v>
          </cell>
          <cell r="DH78">
            <v>0</v>
          </cell>
          <cell r="DI78">
            <v>0</v>
          </cell>
        </row>
        <row r="79">
          <cell r="D79" t="str">
            <v>Hứa Thị Kim Thoa</v>
          </cell>
          <cell r="E79" t="str">
            <v>HĐLĐ</v>
          </cell>
          <cell r="F79" t="str">
            <v>Đường Láng</v>
          </cell>
          <cell r="G79" t="str">
            <v>CHT</v>
          </cell>
          <cell r="H79">
            <v>45008</v>
          </cell>
          <cell r="I79" t="str">
            <v>30961328046</v>
          </cell>
          <cell r="J79" t="str">
            <v>TPbank</v>
          </cell>
          <cell r="K79">
            <v>28</v>
          </cell>
          <cell r="L79">
            <v>28</v>
          </cell>
          <cell r="M79">
            <v>44.6666666666667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5310000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5500000</v>
          </cell>
          <cell r="AB79">
            <v>0</v>
          </cell>
          <cell r="AC79">
            <v>0</v>
          </cell>
          <cell r="AD79">
            <v>5500000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6750</v>
          </cell>
          <cell r="AZ79">
            <v>10000</v>
          </cell>
          <cell r="BA79">
            <v>0</v>
          </cell>
          <cell r="BB79">
            <v>100000</v>
          </cell>
          <cell r="BC79">
            <v>0</v>
          </cell>
          <cell r="BD79">
            <v>0</v>
          </cell>
          <cell r="BE79">
            <v>5383250</v>
          </cell>
          <cell r="BF79">
            <v>929250</v>
          </cell>
          <cell r="BG79">
            <v>159300</v>
          </cell>
          <cell r="BH79">
            <v>53100</v>
          </cell>
          <cell r="BI79">
            <v>0</v>
          </cell>
          <cell r="BJ79">
            <v>1141650</v>
          </cell>
          <cell r="BK79">
            <v>424800</v>
          </cell>
          <cell r="BL79">
            <v>79650</v>
          </cell>
          <cell r="BM79">
            <v>53100</v>
          </cell>
          <cell r="BN79">
            <v>0</v>
          </cell>
          <cell r="BO79">
            <v>557550</v>
          </cell>
          <cell r="BP79">
            <v>0</v>
          </cell>
          <cell r="BQ79">
            <v>5383250</v>
          </cell>
          <cell r="BR79">
            <v>15500000</v>
          </cell>
          <cell r="BS79">
            <v>0</v>
          </cell>
          <cell r="BT79">
            <v>0</v>
          </cell>
          <cell r="BU79">
            <v>557550</v>
          </cell>
          <cell r="BV79">
            <v>16057550</v>
          </cell>
          <cell r="BW79">
            <v>0</v>
          </cell>
          <cell r="BX79">
            <v>0</v>
          </cell>
          <cell r="BY79">
            <v>4825700</v>
          </cell>
          <cell r="BZ79">
            <v>0</v>
          </cell>
          <cell r="CA79">
            <v>0</v>
          </cell>
          <cell r="CB79">
            <v>4825700</v>
          </cell>
          <cell r="CC79">
            <v>0</v>
          </cell>
          <cell r="CD79">
            <v>4825700</v>
          </cell>
          <cell r="CE79">
            <v>0</v>
          </cell>
          <cell r="CF79" t="str">
            <v>medigo.thoa.hua@gmail.com</v>
          </cell>
          <cell r="CG79" t="str">
            <v>Không đạt chấm điểm Checklist 28/04/2026: 10.000</v>
          </cell>
          <cell r="CH79">
            <v>3</v>
          </cell>
          <cell r="CI79">
            <v>0</v>
          </cell>
          <cell r="CJ79">
            <v>23</v>
          </cell>
          <cell r="CK79">
            <v>3</v>
          </cell>
          <cell r="CL79">
            <v>2023</v>
          </cell>
          <cell r="CM79">
            <v>0</v>
          </cell>
          <cell r="CN79">
            <v>-23123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6000000</v>
          </cell>
          <cell r="CW79">
            <v>0</v>
          </cell>
          <cell r="CX79" t="str">
            <v>Không đạt chấm điểm Checklist 28/04/2026: 10.000</v>
          </cell>
          <cell r="CY79" t="str">
            <v>; Không đạt chấm điểm Checklist 28/04/2026: 10.000</v>
          </cell>
          <cell r="CZ79">
            <v>0</v>
          </cell>
          <cell r="DA79" t="str">
            <v>Hứa Thị Kim Thoa</v>
          </cell>
          <cell r="DB79">
            <v>28</v>
          </cell>
          <cell r="DC79">
            <v>44.6666666666667</v>
          </cell>
          <cell r="DD79">
            <v>0</v>
          </cell>
          <cell r="DE79">
            <v>0</v>
          </cell>
          <cell r="DF79">
            <v>0</v>
          </cell>
          <cell r="DG79">
            <v>4825700</v>
          </cell>
          <cell r="DH79">
            <v>0</v>
          </cell>
          <cell r="DI79">
            <v>0</v>
          </cell>
        </row>
        <row r="80">
          <cell r="D80" t="str">
            <v>Nguyễn Thị Mai Duyên</v>
          </cell>
          <cell r="E80" t="str">
            <v>HĐLĐ</v>
          </cell>
          <cell r="F80" t="str">
            <v>Đường Láng</v>
          </cell>
          <cell r="G80" t="str">
            <v>DSBC</v>
          </cell>
          <cell r="H80" t="str">
            <v>21/03/2025</v>
          </cell>
          <cell r="I80" t="str">
            <v>51016102001</v>
          </cell>
          <cell r="J80" t="str">
            <v>VP Bank</v>
          </cell>
          <cell r="K80">
            <v>28</v>
          </cell>
          <cell r="L80">
            <v>27</v>
          </cell>
          <cell r="M80">
            <v>161.066666666667</v>
          </cell>
          <cell r="N80">
            <v>138.61666666666699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5310000</v>
          </cell>
          <cell r="T80">
            <v>482142.85714285698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6000000</v>
          </cell>
          <cell r="AB80">
            <v>0</v>
          </cell>
          <cell r="AC80">
            <v>0</v>
          </cell>
          <cell r="AD80">
            <v>0</v>
          </cell>
          <cell r="AE80">
            <v>4314285.7142857201</v>
          </cell>
          <cell r="AF80">
            <v>5569419.6428571399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1694400</v>
          </cell>
          <cell r="AM80">
            <v>3079438</v>
          </cell>
          <cell r="AN80">
            <v>5105700</v>
          </cell>
          <cell r="AO80">
            <v>21510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6750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20260146.214285702</v>
          </cell>
          <cell r="BF80">
            <v>929250</v>
          </cell>
          <cell r="BG80">
            <v>159300</v>
          </cell>
          <cell r="BH80">
            <v>53100</v>
          </cell>
          <cell r="BI80">
            <v>0</v>
          </cell>
          <cell r="BJ80">
            <v>1141650</v>
          </cell>
          <cell r="BK80">
            <v>424800</v>
          </cell>
          <cell r="BL80">
            <v>79650</v>
          </cell>
          <cell r="BM80">
            <v>53100</v>
          </cell>
          <cell r="BN80">
            <v>0</v>
          </cell>
          <cell r="BO80">
            <v>557550</v>
          </cell>
          <cell r="BP80">
            <v>482142.85714285698</v>
          </cell>
          <cell r="BQ80">
            <v>19778003.357142899</v>
          </cell>
          <cell r="BR80">
            <v>15500000</v>
          </cell>
          <cell r="BS80">
            <v>0</v>
          </cell>
          <cell r="BT80">
            <v>0</v>
          </cell>
          <cell r="BU80">
            <v>557550</v>
          </cell>
          <cell r="BV80">
            <v>16057550</v>
          </cell>
          <cell r="BW80">
            <v>3720453.3571428601</v>
          </cell>
          <cell r="BX80">
            <v>186023</v>
          </cell>
          <cell r="BY80">
            <v>19516573</v>
          </cell>
          <cell r="BZ80">
            <v>0</v>
          </cell>
          <cell r="CA80">
            <v>0</v>
          </cell>
          <cell r="CB80">
            <v>19516573</v>
          </cell>
          <cell r="CC80">
            <v>0</v>
          </cell>
          <cell r="CD80">
            <v>19516573</v>
          </cell>
          <cell r="CE80">
            <v>0</v>
          </cell>
          <cell r="CF80" t="str">
            <v>medigo.maiduyen.nguyen@gmail.com</v>
          </cell>
          <cell r="CG80" t="str">
            <v/>
          </cell>
          <cell r="CH80">
            <v>10</v>
          </cell>
          <cell r="CI80">
            <v>0</v>
          </cell>
          <cell r="CJ80">
            <v>21</v>
          </cell>
          <cell r="CK80">
            <v>3</v>
          </cell>
          <cell r="CL80">
            <v>2025</v>
          </cell>
          <cell r="CM80">
            <v>0</v>
          </cell>
          <cell r="CN80">
            <v>-23147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6000000</v>
          </cell>
          <cell r="CW80">
            <v>0</v>
          </cell>
          <cell r="CX80" t="str">
            <v/>
          </cell>
          <cell r="CY80" t="str">
            <v>;</v>
          </cell>
          <cell r="CZ80">
            <v>0</v>
          </cell>
          <cell r="DA80" t="str">
            <v>Nguyễn Thị Mai Duyên</v>
          </cell>
          <cell r="DB80">
            <v>27</v>
          </cell>
          <cell r="DC80">
            <v>161.066666666667</v>
          </cell>
          <cell r="DD80">
            <v>138.61666666666699</v>
          </cell>
          <cell r="DE80">
            <v>4314285.7142857201</v>
          </cell>
          <cell r="DF80">
            <v>5569419.6428571399</v>
          </cell>
          <cell r="DG80">
            <v>19516573</v>
          </cell>
          <cell r="DH80">
            <v>0</v>
          </cell>
          <cell r="DI80">
            <v>0</v>
          </cell>
        </row>
        <row r="81">
          <cell r="D81" t="str">
            <v>Trần Ngọc Dung</v>
          </cell>
          <cell r="E81" t="str">
            <v>HĐTV</v>
          </cell>
          <cell r="F81" t="str">
            <v>Đường Láng</v>
          </cell>
          <cell r="G81" t="str">
            <v>DSTV</v>
          </cell>
          <cell r="H81" t="str">
            <v>10/3/2026</v>
          </cell>
          <cell r="I81" t="str">
            <v>19036814716010</v>
          </cell>
          <cell r="J81" t="str">
            <v>Techcombank</v>
          </cell>
          <cell r="K81">
            <v>28</v>
          </cell>
          <cell r="L81">
            <v>27</v>
          </cell>
          <cell r="M81">
            <v>225.933333333333</v>
          </cell>
          <cell r="N81">
            <v>90.433333333333294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482142.85714285698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5100000</v>
          </cell>
          <cell r="AB81">
            <v>0</v>
          </cell>
          <cell r="AC81">
            <v>0</v>
          </cell>
          <cell r="AD81">
            <v>0</v>
          </cell>
          <cell r="AE81">
            <v>5144017.8571428601</v>
          </cell>
          <cell r="AF81">
            <v>3088459.82142857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1508300</v>
          </cell>
          <cell r="AO81">
            <v>14210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10237130.5357143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482142.85714285698</v>
          </cell>
          <cell r="BQ81">
            <v>9754987.6785714291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9754987.6785714291</v>
          </cell>
          <cell r="BX81">
            <v>975498.76785714296</v>
          </cell>
          <cell r="BY81">
            <v>9261632</v>
          </cell>
          <cell r="BZ81">
            <v>0</v>
          </cell>
          <cell r="CA81">
            <v>0</v>
          </cell>
          <cell r="CB81">
            <v>9261632</v>
          </cell>
          <cell r="CC81">
            <v>0</v>
          </cell>
          <cell r="CD81">
            <v>9261632</v>
          </cell>
          <cell r="CE81">
            <v>0</v>
          </cell>
          <cell r="CF81" t="str">
            <v>dung.tran@medigoapp.com</v>
          </cell>
          <cell r="CG81" t="str">
            <v/>
          </cell>
          <cell r="CH81">
            <v>10</v>
          </cell>
          <cell r="CI81">
            <v>2</v>
          </cell>
          <cell r="CJ81">
            <v>10</v>
          </cell>
          <cell r="CK81">
            <v>3</v>
          </cell>
          <cell r="CL81">
            <v>2026</v>
          </cell>
          <cell r="CM81">
            <v>0</v>
          </cell>
          <cell r="CN81">
            <v>-23159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5100000</v>
          </cell>
          <cell r="CW81">
            <v>0</v>
          </cell>
          <cell r="CX81" t="str">
            <v/>
          </cell>
          <cell r="CY81" t="str">
            <v>;</v>
          </cell>
          <cell r="CZ81">
            <v>0</v>
          </cell>
          <cell r="DA81" t="str">
            <v>Trần Ngọc Dung</v>
          </cell>
          <cell r="DB81">
            <v>27</v>
          </cell>
          <cell r="DC81">
            <v>225.933333333333</v>
          </cell>
          <cell r="DD81">
            <v>90.433333333333294</v>
          </cell>
          <cell r="DE81">
            <v>5144017.8571428601</v>
          </cell>
          <cell r="DF81">
            <v>3088459.82142857</v>
          </cell>
          <cell r="DG81">
            <v>9261632</v>
          </cell>
          <cell r="DH81">
            <v>0</v>
          </cell>
          <cell r="DI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140</v>
          </cell>
          <cell r="L82">
            <v>140</v>
          </cell>
          <cell r="M82">
            <v>655.35</v>
          </cell>
          <cell r="N82">
            <v>624.1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21240000</v>
          </cell>
          <cell r="T82">
            <v>1964285.7142857099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28600000</v>
          </cell>
          <cell r="AB82">
            <v>0</v>
          </cell>
          <cell r="AC82">
            <v>0</v>
          </cell>
          <cell r="AD82">
            <v>5500000</v>
          </cell>
          <cell r="AE82">
            <v>15449821.428571399</v>
          </cell>
          <cell r="AF82">
            <v>24530424.107142899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4498400</v>
          </cell>
          <cell r="AM82">
            <v>5257981</v>
          </cell>
          <cell r="AN82">
            <v>15409100</v>
          </cell>
          <cell r="AO82">
            <v>71375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100000</v>
          </cell>
          <cell r="AX82">
            <v>0</v>
          </cell>
          <cell r="AY82">
            <v>27000</v>
          </cell>
          <cell r="AZ82">
            <v>20000</v>
          </cell>
          <cell r="BA82">
            <v>0</v>
          </cell>
          <cell r="BB82">
            <v>300000</v>
          </cell>
          <cell r="BC82">
            <v>0</v>
          </cell>
          <cell r="BD82">
            <v>0</v>
          </cell>
          <cell r="BE82">
            <v>72434387.25</v>
          </cell>
          <cell r="BF82">
            <v>3717000</v>
          </cell>
          <cell r="BG82">
            <v>637200</v>
          </cell>
          <cell r="BH82">
            <v>212400</v>
          </cell>
          <cell r="BI82">
            <v>0</v>
          </cell>
          <cell r="BJ82">
            <v>4566600</v>
          </cell>
          <cell r="BK82">
            <v>1699200</v>
          </cell>
          <cell r="BL82">
            <v>318600</v>
          </cell>
          <cell r="BM82">
            <v>212400</v>
          </cell>
          <cell r="BN82">
            <v>0</v>
          </cell>
          <cell r="BO82">
            <v>2230200</v>
          </cell>
          <cell r="BP82">
            <v>1964285.7142857099</v>
          </cell>
          <cell r="BQ82">
            <v>70470101.535714298</v>
          </cell>
          <cell r="BR82">
            <v>62000000</v>
          </cell>
          <cell r="BS82">
            <v>0</v>
          </cell>
          <cell r="BT82">
            <v>0</v>
          </cell>
          <cell r="BU82">
            <v>2230200</v>
          </cell>
          <cell r="BV82">
            <v>64230200</v>
          </cell>
          <cell r="BW82">
            <v>18588050.107142899</v>
          </cell>
          <cell r="BX82">
            <v>1422782.7678571399</v>
          </cell>
          <cell r="BY82">
            <v>68781404</v>
          </cell>
          <cell r="BZ82">
            <v>0</v>
          </cell>
          <cell r="CA82">
            <v>0</v>
          </cell>
          <cell r="CB82">
            <v>68781404</v>
          </cell>
          <cell r="CC82">
            <v>0</v>
          </cell>
          <cell r="CD82">
            <v>68781404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2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-115665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 t="e">
            <v>#N/A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</row>
        <row r="83">
          <cell r="D83" t="str">
            <v>Đinh Thị Lan Anh</v>
          </cell>
          <cell r="E83" t="str">
            <v>HĐLĐ</v>
          </cell>
          <cell r="F83" t="str">
            <v>Hàng Bông</v>
          </cell>
          <cell r="G83" t="str">
            <v>DSBC</v>
          </cell>
          <cell r="H83">
            <v>44674</v>
          </cell>
          <cell r="I83" t="str">
            <v>16010000495222</v>
          </cell>
          <cell r="J83" t="str">
            <v>BIDV</v>
          </cell>
          <cell r="K83">
            <v>28</v>
          </cell>
          <cell r="L83">
            <v>30</v>
          </cell>
          <cell r="M83">
            <v>223.96666666666701</v>
          </cell>
          <cell r="N83">
            <v>96.1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5310000</v>
          </cell>
          <cell r="T83">
            <v>500000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6000000</v>
          </cell>
          <cell r="AB83">
            <v>0</v>
          </cell>
          <cell r="AC83">
            <v>0</v>
          </cell>
          <cell r="AD83">
            <v>0</v>
          </cell>
          <cell r="AE83">
            <v>5999107.1428571399</v>
          </cell>
          <cell r="AF83">
            <v>3861160.7142857099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1786000</v>
          </cell>
          <cell r="AM83">
            <v>4182491</v>
          </cell>
          <cell r="AN83">
            <v>3909700</v>
          </cell>
          <cell r="AO83">
            <v>57172.65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100000</v>
          </cell>
          <cell r="AX83">
            <v>0</v>
          </cell>
          <cell r="AY83">
            <v>39600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20356031.507142901</v>
          </cell>
          <cell r="BF83">
            <v>929250</v>
          </cell>
          <cell r="BG83">
            <v>159300</v>
          </cell>
          <cell r="BH83">
            <v>53100</v>
          </cell>
          <cell r="BI83">
            <v>0</v>
          </cell>
          <cell r="BJ83">
            <v>1141650</v>
          </cell>
          <cell r="BK83">
            <v>424800</v>
          </cell>
          <cell r="BL83">
            <v>79650</v>
          </cell>
          <cell r="BM83">
            <v>53100</v>
          </cell>
          <cell r="BN83">
            <v>0</v>
          </cell>
          <cell r="BO83">
            <v>557550</v>
          </cell>
          <cell r="BP83">
            <v>500000</v>
          </cell>
          <cell r="BQ83">
            <v>19856031.507142901</v>
          </cell>
          <cell r="BR83">
            <v>15500000</v>
          </cell>
          <cell r="BS83">
            <v>0</v>
          </cell>
          <cell r="BT83">
            <v>0</v>
          </cell>
          <cell r="BU83">
            <v>557550</v>
          </cell>
          <cell r="BV83">
            <v>16057550</v>
          </cell>
          <cell r="BW83">
            <v>3798481.50714286</v>
          </cell>
          <cell r="BX83">
            <v>189924</v>
          </cell>
          <cell r="BY83">
            <v>19608558</v>
          </cell>
          <cell r="BZ83">
            <v>0</v>
          </cell>
          <cell r="CA83">
            <v>0</v>
          </cell>
          <cell r="CB83">
            <v>19608558</v>
          </cell>
          <cell r="CC83">
            <v>0</v>
          </cell>
          <cell r="CD83">
            <v>19608558</v>
          </cell>
          <cell r="CE83">
            <v>0</v>
          </cell>
          <cell r="CF83" t="str">
            <v>medigo.anh.dinh@gmail.com</v>
          </cell>
          <cell r="CG83" t="str">
            <v/>
          </cell>
          <cell r="CH83">
            <v>4</v>
          </cell>
          <cell r="CI83">
            <v>0</v>
          </cell>
          <cell r="CJ83">
            <v>23</v>
          </cell>
          <cell r="CK83">
            <v>4</v>
          </cell>
          <cell r="CL83">
            <v>2022</v>
          </cell>
          <cell r="CM83">
            <v>0</v>
          </cell>
          <cell r="CN83">
            <v>-23112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6000000</v>
          </cell>
          <cell r="CW83">
            <v>0</v>
          </cell>
          <cell r="CX83" t="str">
            <v/>
          </cell>
          <cell r="CY83" t="str">
            <v>;</v>
          </cell>
          <cell r="CZ83">
            <v>0</v>
          </cell>
          <cell r="DA83" t="str">
            <v>Đinh Thị Lan Anh</v>
          </cell>
          <cell r="DB83">
            <v>30</v>
          </cell>
          <cell r="DC83">
            <v>223.96666666666701</v>
          </cell>
          <cell r="DD83">
            <v>96.1</v>
          </cell>
          <cell r="DE83">
            <v>7918821.42857143</v>
          </cell>
          <cell r="DF83">
            <v>5096732.1428571399</v>
          </cell>
          <cell r="DG83">
            <v>22508390</v>
          </cell>
          <cell r="DH83">
            <v>0</v>
          </cell>
          <cell r="DI83">
            <v>0</v>
          </cell>
        </row>
        <row r="84">
          <cell r="D84" t="str">
            <v>Lê Ngọc Anh</v>
          </cell>
          <cell r="E84" t="str">
            <v>HĐLĐ</v>
          </cell>
          <cell r="F84" t="str">
            <v>Hàng Bông</v>
          </cell>
          <cell r="G84" t="str">
            <v>CHT</v>
          </cell>
          <cell r="H84" t="str">
            <v>14/07/2025</v>
          </cell>
          <cell r="I84" t="str">
            <v>19035368311013</v>
          </cell>
          <cell r="J84" t="str">
            <v>techcombank</v>
          </cell>
          <cell r="K84">
            <v>28</v>
          </cell>
          <cell r="L84">
            <v>20</v>
          </cell>
          <cell r="M84">
            <v>124.216666666667</v>
          </cell>
          <cell r="N84">
            <v>35.25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5310000</v>
          </cell>
          <cell r="T84">
            <v>357142.85714285698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6000000</v>
          </cell>
          <cell r="AB84">
            <v>0</v>
          </cell>
          <cell r="AC84">
            <v>0</v>
          </cell>
          <cell r="AD84">
            <v>0</v>
          </cell>
          <cell r="AE84">
            <v>3327232.1428571399</v>
          </cell>
          <cell r="AF84">
            <v>1416294.6428571399</v>
          </cell>
          <cell r="AG84">
            <v>0</v>
          </cell>
          <cell r="AH84">
            <v>0</v>
          </cell>
          <cell r="AI84">
            <v>0</v>
          </cell>
          <cell r="AJ84">
            <v>1000000</v>
          </cell>
          <cell r="AK84">
            <v>0</v>
          </cell>
          <cell r="AL84">
            <v>0</v>
          </cell>
          <cell r="AM84">
            <v>4656042</v>
          </cell>
          <cell r="AN84">
            <v>2200</v>
          </cell>
          <cell r="AO84">
            <v>140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39600</v>
          </cell>
          <cell r="AZ84">
            <v>10000</v>
          </cell>
          <cell r="BA84">
            <v>0</v>
          </cell>
          <cell r="BB84">
            <v>150000</v>
          </cell>
          <cell r="BC84">
            <v>0</v>
          </cell>
          <cell r="BD84">
            <v>0</v>
          </cell>
          <cell r="BE84">
            <v>10559451.642857101</v>
          </cell>
          <cell r="BF84">
            <v>929250</v>
          </cell>
          <cell r="BG84">
            <v>159300</v>
          </cell>
          <cell r="BH84">
            <v>53100</v>
          </cell>
          <cell r="BI84">
            <v>0</v>
          </cell>
          <cell r="BJ84">
            <v>1141650</v>
          </cell>
          <cell r="BK84">
            <v>424800</v>
          </cell>
          <cell r="BL84">
            <v>79650</v>
          </cell>
          <cell r="BM84">
            <v>53100</v>
          </cell>
          <cell r="BN84">
            <v>0</v>
          </cell>
          <cell r="BO84">
            <v>557550</v>
          </cell>
          <cell r="BP84">
            <v>357142.85714285698</v>
          </cell>
          <cell r="BQ84">
            <v>10202308.7857143</v>
          </cell>
          <cell r="BR84">
            <v>15500000</v>
          </cell>
          <cell r="BS84">
            <v>0</v>
          </cell>
          <cell r="BT84">
            <v>0</v>
          </cell>
          <cell r="BU84">
            <v>557550</v>
          </cell>
          <cell r="BV84">
            <v>16057550</v>
          </cell>
          <cell r="BW84">
            <v>0</v>
          </cell>
          <cell r="BX84">
            <v>0</v>
          </cell>
          <cell r="BY84">
            <v>10001902</v>
          </cell>
          <cell r="BZ84">
            <v>0</v>
          </cell>
          <cell r="CA84">
            <v>0</v>
          </cell>
          <cell r="CB84">
            <v>10001902</v>
          </cell>
          <cell r="CC84">
            <v>0</v>
          </cell>
          <cell r="CD84">
            <v>10001902</v>
          </cell>
          <cell r="CE84">
            <v>0</v>
          </cell>
          <cell r="CF84" t="str">
            <v>medigo.ngocanh.lehn@gmail.com</v>
          </cell>
          <cell r="CG84" t="str">
            <v>Về sớm  07/04/2026: 10.000</v>
          </cell>
          <cell r="CH84">
            <v>6</v>
          </cell>
          <cell r="CI84">
            <v>0</v>
          </cell>
          <cell r="CJ84">
            <v>14</v>
          </cell>
          <cell r="CK84">
            <v>7</v>
          </cell>
          <cell r="CL84">
            <v>2025</v>
          </cell>
          <cell r="CM84">
            <v>0</v>
          </cell>
          <cell r="CN84">
            <v>-23151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6000000</v>
          </cell>
          <cell r="CW84">
            <v>0</v>
          </cell>
          <cell r="CX84" t="str">
            <v>Về sớm  07/04/2026: 10.000</v>
          </cell>
          <cell r="CY84" t="str">
            <v>; Về sớm  07/04/2026: 10.000</v>
          </cell>
          <cell r="CZ84">
            <v>0</v>
          </cell>
          <cell r="DA84" t="str">
            <v>Lê Ngọc Anh</v>
          </cell>
          <cell r="DB84">
            <v>20</v>
          </cell>
          <cell r="DC84">
            <v>124.216666666667</v>
          </cell>
          <cell r="DD84">
            <v>35.25</v>
          </cell>
          <cell r="DE84">
            <v>3327232.1428571399</v>
          </cell>
          <cell r="DF84">
            <v>1416294.6428571399</v>
          </cell>
          <cell r="DG84">
            <v>10001902</v>
          </cell>
          <cell r="DH84">
            <v>0</v>
          </cell>
          <cell r="DI84">
            <v>0</v>
          </cell>
        </row>
        <row r="85">
          <cell r="D85" t="str">
            <v>Vũ Thanh Hằng</v>
          </cell>
          <cell r="E85" t="str">
            <v>HĐLĐ</v>
          </cell>
          <cell r="F85" t="str">
            <v>Hàng Bông</v>
          </cell>
          <cell r="G85" t="str">
            <v>DSBC</v>
          </cell>
          <cell r="H85" t="str">
            <v>22/9/2025</v>
          </cell>
          <cell r="I85" t="str">
            <v>9993886688</v>
          </cell>
          <cell r="J85" t="str">
            <v>Techcombank</v>
          </cell>
          <cell r="K85">
            <v>28</v>
          </cell>
          <cell r="L85">
            <v>29</v>
          </cell>
          <cell r="M85">
            <v>229.23333333333301</v>
          </cell>
          <cell r="N85">
            <v>71.7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5310000</v>
          </cell>
          <cell r="T85">
            <v>500000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6000000</v>
          </cell>
          <cell r="AB85">
            <v>0</v>
          </cell>
          <cell r="AC85">
            <v>0</v>
          </cell>
          <cell r="AD85">
            <v>0</v>
          </cell>
          <cell r="AE85">
            <v>6140178.57142857</v>
          </cell>
          <cell r="AF85">
            <v>2880803.57142857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4000000</v>
          </cell>
          <cell r="AM85">
            <v>5649660</v>
          </cell>
          <cell r="AN85">
            <v>5900900</v>
          </cell>
          <cell r="AO85">
            <v>9530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39600</v>
          </cell>
          <cell r="AZ85">
            <v>10000</v>
          </cell>
          <cell r="BA85">
            <v>0</v>
          </cell>
          <cell r="BB85">
            <v>100000</v>
          </cell>
          <cell r="BC85">
            <v>0</v>
          </cell>
          <cell r="BD85">
            <v>0</v>
          </cell>
          <cell r="BE85">
            <v>24931472.142857101</v>
          </cell>
          <cell r="BF85">
            <v>26550</v>
          </cell>
          <cell r="BG85">
            <v>0</v>
          </cell>
          <cell r="BH85">
            <v>0</v>
          </cell>
          <cell r="BI85">
            <v>0</v>
          </cell>
          <cell r="BJ85">
            <v>26550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500000</v>
          </cell>
          <cell r="BQ85">
            <v>24431472.142857101</v>
          </cell>
          <cell r="BR85">
            <v>15500000</v>
          </cell>
          <cell r="BS85">
            <v>0</v>
          </cell>
          <cell r="BT85">
            <v>0</v>
          </cell>
          <cell r="BU85">
            <v>0</v>
          </cell>
          <cell r="BV85">
            <v>15500000</v>
          </cell>
          <cell r="BW85">
            <v>8931472.1428571399</v>
          </cell>
          <cell r="BX85">
            <v>643147</v>
          </cell>
          <cell r="BY85">
            <v>24288325</v>
          </cell>
          <cell r="BZ85">
            <v>0</v>
          </cell>
          <cell r="CA85">
            <v>0</v>
          </cell>
          <cell r="CB85">
            <v>24288325</v>
          </cell>
          <cell r="CC85">
            <v>0</v>
          </cell>
          <cell r="CD85">
            <v>24288325</v>
          </cell>
          <cell r="CE85">
            <v>0</v>
          </cell>
          <cell r="CF85" t="str">
            <v>hang.vu@medigoapp.com</v>
          </cell>
          <cell r="CG85" t="str">
            <v>Đi trễ về sớm        25/04/2026 : 10.000</v>
          </cell>
          <cell r="CH85">
            <v>9</v>
          </cell>
          <cell r="CI85">
            <v>0</v>
          </cell>
          <cell r="CJ85">
            <v>22</v>
          </cell>
          <cell r="CK85">
            <v>9</v>
          </cell>
          <cell r="CL85">
            <v>2025</v>
          </cell>
          <cell r="CM85">
            <v>0</v>
          </cell>
          <cell r="CN85">
            <v>-23153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6000000</v>
          </cell>
          <cell r="CW85">
            <v>0</v>
          </cell>
          <cell r="CX85" t="str">
            <v>Đi trễ về sớm        25/04/2026 : 10.000</v>
          </cell>
          <cell r="CY85" t="str">
            <v>; Đi trễ về sớm        25/04/2026 : 10.000</v>
          </cell>
          <cell r="CZ85">
            <v>0</v>
          </cell>
          <cell r="DA85" t="str">
            <v>Vũ Thanh Hằng</v>
          </cell>
          <cell r="DB85">
            <v>29</v>
          </cell>
          <cell r="DC85">
            <v>229.23333333333301</v>
          </cell>
          <cell r="DD85">
            <v>71.7</v>
          </cell>
          <cell r="DE85">
            <v>6140178.57142857</v>
          </cell>
          <cell r="DF85">
            <v>2880803.57142857</v>
          </cell>
          <cell r="DG85">
            <v>24288325</v>
          </cell>
          <cell r="DH85">
            <v>0</v>
          </cell>
          <cell r="DI85">
            <v>0</v>
          </cell>
        </row>
        <row r="86">
          <cell r="D86" t="str">
            <v>Đinh Thị Khánh Ly</v>
          </cell>
          <cell r="E86" t="str">
            <v>HĐLĐ</v>
          </cell>
          <cell r="F86" t="str">
            <v>Hàng Bông</v>
          </cell>
          <cell r="G86" t="str">
            <v>DSBC</v>
          </cell>
          <cell r="H86" t="str">
            <v>03/11/2025</v>
          </cell>
          <cell r="I86" t="str">
            <v>0021000423384</v>
          </cell>
          <cell r="J86" t="str">
            <v>Vietcombank</v>
          </cell>
          <cell r="K86">
            <v>28</v>
          </cell>
          <cell r="L86">
            <v>26</v>
          </cell>
          <cell r="M86">
            <v>179.933333333333</v>
          </cell>
          <cell r="N86">
            <v>80.2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5310000</v>
          </cell>
          <cell r="T86">
            <v>464285.71428571403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6000000</v>
          </cell>
          <cell r="AB86">
            <v>0</v>
          </cell>
          <cell r="AC86">
            <v>0</v>
          </cell>
          <cell r="AD86">
            <v>0</v>
          </cell>
          <cell r="AE86">
            <v>4819642.8571428601</v>
          </cell>
          <cell r="AF86">
            <v>3222321.42857143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1902000</v>
          </cell>
          <cell r="AM86">
            <v>0</v>
          </cell>
          <cell r="AN86">
            <v>4293200</v>
          </cell>
          <cell r="AO86">
            <v>9100</v>
          </cell>
          <cell r="AP86">
            <v>0</v>
          </cell>
          <cell r="AQ86">
            <v>513260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39600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15184210</v>
          </cell>
          <cell r="BF86">
            <v>929250</v>
          </cell>
          <cell r="BG86">
            <v>159300</v>
          </cell>
          <cell r="BH86">
            <v>53100</v>
          </cell>
          <cell r="BI86">
            <v>0</v>
          </cell>
          <cell r="BJ86">
            <v>1141650</v>
          </cell>
          <cell r="BK86">
            <v>424800</v>
          </cell>
          <cell r="BL86">
            <v>79650</v>
          </cell>
          <cell r="BM86">
            <v>53100</v>
          </cell>
          <cell r="BN86">
            <v>0</v>
          </cell>
          <cell r="BO86">
            <v>557550</v>
          </cell>
          <cell r="BP86">
            <v>464285.71428571403</v>
          </cell>
          <cell r="BQ86">
            <v>14719924.2857143</v>
          </cell>
          <cell r="BR86">
            <v>15500000</v>
          </cell>
          <cell r="BS86">
            <v>0</v>
          </cell>
          <cell r="BT86">
            <v>0</v>
          </cell>
          <cell r="BU86">
            <v>557550</v>
          </cell>
          <cell r="BV86">
            <v>16057550</v>
          </cell>
          <cell r="BW86">
            <v>0</v>
          </cell>
          <cell r="BX86">
            <v>0</v>
          </cell>
          <cell r="BY86">
            <v>14626660</v>
          </cell>
          <cell r="BZ86">
            <v>0</v>
          </cell>
          <cell r="CA86">
            <v>0</v>
          </cell>
          <cell r="CB86">
            <v>14626660</v>
          </cell>
          <cell r="CC86">
            <v>0</v>
          </cell>
          <cell r="CD86">
            <v>14626660</v>
          </cell>
          <cell r="CE86">
            <v>0</v>
          </cell>
          <cell r="CF86" t="str">
            <v>ly.dinh@medigoapp.com</v>
          </cell>
          <cell r="CG86" t="str">
            <v/>
          </cell>
          <cell r="CH86">
            <v>12</v>
          </cell>
          <cell r="CI86">
            <v>0</v>
          </cell>
          <cell r="CJ86">
            <v>3</v>
          </cell>
          <cell r="CK86">
            <v>11</v>
          </cell>
          <cell r="CL86">
            <v>2025</v>
          </cell>
          <cell r="CM86">
            <v>0</v>
          </cell>
          <cell r="CN86">
            <v>-23155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6000000</v>
          </cell>
          <cell r="CW86">
            <v>0</v>
          </cell>
          <cell r="CX86" t="str">
            <v/>
          </cell>
          <cell r="CY86" t="str">
            <v>;</v>
          </cell>
          <cell r="CZ86">
            <v>0</v>
          </cell>
          <cell r="DA86" t="str">
            <v>Đinh Thị Khánh Ly</v>
          </cell>
          <cell r="DB86">
            <v>26</v>
          </cell>
          <cell r="DC86">
            <v>179.933333333333</v>
          </cell>
          <cell r="DD86">
            <v>80.2</v>
          </cell>
          <cell r="DE86">
            <v>4819642.8571428601</v>
          </cell>
          <cell r="DF86">
            <v>3222321.42857143</v>
          </cell>
          <cell r="DG86">
            <v>14626660</v>
          </cell>
          <cell r="DH86">
            <v>0</v>
          </cell>
          <cell r="DI86">
            <v>0</v>
          </cell>
        </row>
        <row r="87">
          <cell r="D87" t="str">
            <v>Nguyễn Mạnh Tuấn</v>
          </cell>
          <cell r="E87" t="str">
            <v>HĐLĐ</v>
          </cell>
          <cell r="F87" t="str">
            <v>Hàng Bông</v>
          </cell>
          <cell r="G87" t="str">
            <v>DSBC</v>
          </cell>
          <cell r="H87" t="str">
            <v>29/09/2025</v>
          </cell>
          <cell r="I87" t="str">
            <v>00834502302</v>
          </cell>
          <cell r="J87" t="str">
            <v>TP bank</v>
          </cell>
          <cell r="K87">
            <v>28</v>
          </cell>
          <cell r="L87">
            <v>29</v>
          </cell>
          <cell r="M87">
            <v>168.03333333333299</v>
          </cell>
          <cell r="N87">
            <v>132.19999999999999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5310000</v>
          </cell>
          <cell r="T87">
            <v>500000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6000000</v>
          </cell>
          <cell r="AB87">
            <v>0</v>
          </cell>
          <cell r="AC87">
            <v>0</v>
          </cell>
          <cell r="AD87">
            <v>0</v>
          </cell>
          <cell r="AE87">
            <v>4500892.8571428601</v>
          </cell>
          <cell r="AF87">
            <v>5311607.1428571399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1627000</v>
          </cell>
          <cell r="AM87">
            <v>2939401</v>
          </cell>
          <cell r="AN87">
            <v>3565500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39600</v>
          </cell>
          <cell r="AZ87">
            <v>0</v>
          </cell>
          <cell r="BA87">
            <v>0</v>
          </cell>
          <cell r="BB87">
            <v>200000</v>
          </cell>
          <cell r="BC87">
            <v>0</v>
          </cell>
          <cell r="BD87">
            <v>0</v>
          </cell>
          <cell r="BE87">
            <v>18204801</v>
          </cell>
          <cell r="BF87">
            <v>929250</v>
          </cell>
          <cell r="BG87">
            <v>159300</v>
          </cell>
          <cell r="BH87">
            <v>53100</v>
          </cell>
          <cell r="BI87">
            <v>0</v>
          </cell>
          <cell r="BJ87">
            <v>1141650</v>
          </cell>
          <cell r="BK87">
            <v>424800</v>
          </cell>
          <cell r="BL87">
            <v>79650</v>
          </cell>
          <cell r="BM87">
            <v>53100</v>
          </cell>
          <cell r="BN87">
            <v>0</v>
          </cell>
          <cell r="BO87">
            <v>557550</v>
          </cell>
          <cell r="BP87">
            <v>500000</v>
          </cell>
          <cell r="BQ87">
            <v>17704801</v>
          </cell>
          <cell r="BR87">
            <v>15500000</v>
          </cell>
          <cell r="BS87">
            <v>0</v>
          </cell>
          <cell r="BT87">
            <v>0</v>
          </cell>
          <cell r="BU87">
            <v>557550</v>
          </cell>
          <cell r="BV87">
            <v>16057550</v>
          </cell>
          <cell r="BW87">
            <v>1647251</v>
          </cell>
          <cell r="BX87">
            <v>82363</v>
          </cell>
          <cell r="BY87">
            <v>17564888</v>
          </cell>
          <cell r="BZ87">
            <v>0</v>
          </cell>
          <cell r="CA87">
            <v>0</v>
          </cell>
          <cell r="CB87">
            <v>17564888</v>
          </cell>
          <cell r="CC87">
            <v>0</v>
          </cell>
          <cell r="CD87">
            <v>17564888</v>
          </cell>
          <cell r="CE87">
            <v>0</v>
          </cell>
          <cell r="CF87" t="str">
            <v>tuan.nguyen@medigoapp.com</v>
          </cell>
          <cell r="CG87" t="str">
            <v/>
          </cell>
          <cell r="CH87">
            <v>12</v>
          </cell>
          <cell r="CI87">
            <v>0</v>
          </cell>
          <cell r="CJ87">
            <v>29</v>
          </cell>
          <cell r="CK87">
            <v>9</v>
          </cell>
          <cell r="CL87">
            <v>2025</v>
          </cell>
          <cell r="CM87">
            <v>0</v>
          </cell>
          <cell r="CN87">
            <v>-23153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6000000</v>
          </cell>
          <cell r="CW87">
            <v>0</v>
          </cell>
          <cell r="CX87" t="str">
            <v/>
          </cell>
          <cell r="CY87" t="str">
            <v>;</v>
          </cell>
          <cell r="CZ87">
            <v>0</v>
          </cell>
          <cell r="DA87" t="str">
            <v>Nguyễn Mạnh Tuấn</v>
          </cell>
          <cell r="DB87">
            <v>29</v>
          </cell>
          <cell r="DC87">
            <v>168.03333333333299</v>
          </cell>
          <cell r="DD87">
            <v>132.19999999999999</v>
          </cell>
          <cell r="DE87">
            <v>4500892.8571428601</v>
          </cell>
          <cell r="DF87">
            <v>5311607.1428571399</v>
          </cell>
          <cell r="DG87">
            <v>17564888</v>
          </cell>
          <cell r="DH87">
            <v>0</v>
          </cell>
          <cell r="DI8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ảng đánh giá"/>
      <sheetName val="BẢNG LƯƠNG"/>
      <sheetName val="whatsapp"/>
      <sheetName val="Cận date"/>
      <sheetName val="KPI"/>
      <sheetName val="Thưởng CK"/>
      <sheetName val="Giờ công"/>
      <sheetName val="Ngày công"/>
      <sheetName val="Dự án"/>
      <sheetName val="Tăng ca lễ"/>
      <sheetName val="KPI trừ"/>
      <sheetName val="Công Đào tạo"/>
      <sheetName val="Map"/>
      <sheetName val="Nghỉ phép năm - HR"/>
    </sheetNames>
    <sheetDataSet>
      <sheetData sheetId="0" refreshError="1"/>
      <sheetData sheetId="1" refreshError="1">
        <row r="3">
          <cell r="C3" t="str">
            <v>Hồ Thị Minh Hòa</v>
          </cell>
          <cell r="D3" t="str">
            <v>DSBC</v>
          </cell>
          <cell r="E3">
            <v>219.433333333333</v>
          </cell>
          <cell r="F3">
            <v>103.566666666667</v>
          </cell>
          <cell r="G3">
            <v>171.433333333333</v>
          </cell>
          <cell r="H3">
            <v>103.566666666667</v>
          </cell>
          <cell r="I3">
            <v>16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31</v>
          </cell>
          <cell r="Q3">
            <v>0</v>
          </cell>
          <cell r="R3">
            <v>32</v>
          </cell>
          <cell r="S3">
            <v>4</v>
          </cell>
          <cell r="T3">
            <v>0</v>
          </cell>
          <cell r="U3">
            <v>0</v>
          </cell>
          <cell r="V3">
            <v>1600000</v>
          </cell>
          <cell r="W3">
            <v>0</v>
          </cell>
          <cell r="X3">
            <v>2011650</v>
          </cell>
          <cell r="Y3">
            <v>17395</v>
          </cell>
          <cell r="Z3">
            <v>0</v>
          </cell>
          <cell r="AA3">
            <v>0</v>
          </cell>
          <cell r="AB3">
            <v>25600</v>
          </cell>
          <cell r="AC3">
            <v>25600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 t="str">
            <v/>
          </cell>
        </row>
        <row r="4">
          <cell r="C4" t="str">
            <v>Trần Thị Kim Khánh</v>
          </cell>
          <cell r="D4" t="str">
            <v>DSBC</v>
          </cell>
          <cell r="E4">
            <v>197.11666666666699</v>
          </cell>
          <cell r="F4">
            <v>71.3</v>
          </cell>
          <cell r="G4">
            <v>187.11666666666699</v>
          </cell>
          <cell r="H4">
            <v>71.3</v>
          </cell>
          <cell r="I4">
            <v>8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29</v>
          </cell>
          <cell r="Q4">
            <v>2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2800000</v>
          </cell>
          <cell r="W4">
            <v>1525114</v>
          </cell>
          <cell r="X4">
            <v>3048300</v>
          </cell>
          <cell r="Y4">
            <v>950</v>
          </cell>
          <cell r="Z4">
            <v>0</v>
          </cell>
          <cell r="AA4">
            <v>0</v>
          </cell>
          <cell r="AB4">
            <v>25600</v>
          </cell>
          <cell r="AC4">
            <v>25600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 t="str">
            <v/>
          </cell>
        </row>
        <row r="5">
          <cell r="C5" t="str">
            <v>Huỳnh Ngọc Liểu</v>
          </cell>
          <cell r="D5" t="str">
            <v>DSBC</v>
          </cell>
          <cell r="E5">
            <v>8</v>
          </cell>
          <cell r="F5">
            <v>40.066666666666698</v>
          </cell>
          <cell r="G5">
            <v>0</v>
          </cell>
          <cell r="H5">
            <v>40.066666666666698</v>
          </cell>
          <cell r="I5" t="str">
            <v/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5</v>
          </cell>
          <cell r="Q5">
            <v>0</v>
          </cell>
          <cell r="R5">
            <v>8</v>
          </cell>
          <cell r="S5">
            <v>1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147330</v>
          </cell>
          <cell r="Y5">
            <v>0</v>
          </cell>
          <cell r="Z5">
            <v>0</v>
          </cell>
          <cell r="AA5">
            <v>214285.714285714</v>
          </cell>
          <cell r="AB5">
            <v>25600</v>
          </cell>
          <cell r="AC5">
            <v>25600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 t="str">
            <v/>
          </cell>
        </row>
        <row r="6">
          <cell r="C6" t="str">
            <v>Phạm Nguyễn Ngọc Quý</v>
          </cell>
          <cell r="D6" t="str">
            <v>DSBC</v>
          </cell>
          <cell r="E6">
            <v>153.51666666666699</v>
          </cell>
          <cell r="F6">
            <v>120.05</v>
          </cell>
          <cell r="G6">
            <v>135.51666666666699</v>
          </cell>
          <cell r="H6">
            <v>120.05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30</v>
          </cell>
          <cell r="Q6">
            <v>2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1600000</v>
          </cell>
          <cell r="W6">
            <v>0</v>
          </cell>
          <cell r="X6">
            <v>2027700</v>
          </cell>
          <cell r="Y6">
            <v>4350</v>
          </cell>
          <cell r="Z6">
            <v>0</v>
          </cell>
          <cell r="AA6">
            <v>0</v>
          </cell>
          <cell r="AB6">
            <v>25600</v>
          </cell>
          <cell r="AC6">
            <v>25600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 t="str">
            <v/>
          </cell>
        </row>
        <row r="7">
          <cell r="C7" t="str">
            <v>Ngô Trần Tuyết Vy</v>
          </cell>
          <cell r="D7" t="str">
            <v>DSBC</v>
          </cell>
          <cell r="E7">
            <v>150.03333333333299</v>
          </cell>
          <cell r="F7">
            <v>121.05</v>
          </cell>
          <cell r="G7">
            <v>134.03333333333299</v>
          </cell>
          <cell r="H7">
            <v>121.05</v>
          </cell>
          <cell r="I7">
            <v>16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31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1600000</v>
          </cell>
          <cell r="W7">
            <v>1258046</v>
          </cell>
          <cell r="X7">
            <v>2194050</v>
          </cell>
          <cell r="Y7">
            <v>8100</v>
          </cell>
          <cell r="Z7">
            <v>0</v>
          </cell>
          <cell r="AA7">
            <v>0</v>
          </cell>
          <cell r="AB7">
            <v>25600</v>
          </cell>
          <cell r="AC7">
            <v>25600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 t="str">
            <v/>
          </cell>
        </row>
        <row r="8">
          <cell r="C8" t="str">
            <v>Trần Thị Trà Giang</v>
          </cell>
          <cell r="D8" t="str">
            <v>Q.CHT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 t="str">
            <v/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 t="str">
            <v/>
          </cell>
        </row>
        <row r="9">
          <cell r="C9" t="str">
            <v>Hạ Ngân Khánh</v>
          </cell>
          <cell r="D9" t="str">
            <v>DSBC</v>
          </cell>
          <cell r="E9">
            <v>0</v>
          </cell>
          <cell r="F9">
            <v>23.366666666666699</v>
          </cell>
          <cell r="G9">
            <v>0</v>
          </cell>
          <cell r="H9">
            <v>23.366666666666699</v>
          </cell>
          <cell r="I9" t="str">
            <v/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5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 t="str">
            <v/>
          </cell>
        </row>
        <row r="10">
          <cell r="C10" t="str">
            <v>Phạm Thị Nghĩa Hương</v>
          </cell>
          <cell r="D10" t="str">
            <v>DSBC</v>
          </cell>
          <cell r="E10">
            <v>153.76666666666699</v>
          </cell>
          <cell r="F10">
            <v>64.4166666666667</v>
          </cell>
          <cell r="G10">
            <v>151.76666666666699</v>
          </cell>
          <cell r="H10">
            <v>64.4166666666667</v>
          </cell>
          <cell r="I10" t="str">
            <v/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27</v>
          </cell>
          <cell r="Q10">
            <v>2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441720</v>
          </cell>
          <cell r="Y10">
            <v>300</v>
          </cell>
          <cell r="Z10">
            <v>0</v>
          </cell>
          <cell r="AA10">
            <v>491160</v>
          </cell>
          <cell r="AB10">
            <v>13600</v>
          </cell>
          <cell r="AC10">
            <v>13600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 t="str">
            <v/>
          </cell>
        </row>
        <row r="11">
          <cell r="C11" t="str">
            <v>Trần Thiên Phát</v>
          </cell>
          <cell r="D11" t="str">
            <v>DSBC</v>
          </cell>
          <cell r="E11">
            <v>24</v>
          </cell>
          <cell r="F11">
            <v>194.36666666666699</v>
          </cell>
          <cell r="G11">
            <v>0</v>
          </cell>
          <cell r="H11">
            <v>194.36666666666699</v>
          </cell>
          <cell r="I11" t="str">
            <v/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25</v>
          </cell>
          <cell r="Q11">
            <v>0</v>
          </cell>
          <cell r="R11">
            <v>24</v>
          </cell>
          <cell r="S11">
            <v>3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372800</v>
          </cell>
          <cell r="Y11">
            <v>650</v>
          </cell>
          <cell r="Z11">
            <v>0</v>
          </cell>
          <cell r="AA11">
            <v>1156954.2857142901</v>
          </cell>
          <cell r="AB11">
            <v>13600</v>
          </cell>
          <cell r="AC11">
            <v>13600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/>
          </cell>
        </row>
        <row r="12">
          <cell r="C12" t="str">
            <v>Ngô Thị Thanh Thắm</v>
          </cell>
          <cell r="D12" t="str">
            <v>CHT</v>
          </cell>
          <cell r="E12">
            <v>214.13333333333301</v>
          </cell>
          <cell r="F12">
            <v>0</v>
          </cell>
          <cell r="G12">
            <v>214.13333333333301</v>
          </cell>
          <cell r="H12">
            <v>0</v>
          </cell>
          <cell r="I12" t="str">
            <v/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27</v>
          </cell>
          <cell r="Q12">
            <v>0</v>
          </cell>
          <cell r="R12">
            <v>0</v>
          </cell>
          <cell r="S12">
            <v>0</v>
          </cell>
          <cell r="T12">
            <v>1000000</v>
          </cell>
          <cell r="U12">
            <v>0</v>
          </cell>
          <cell r="V12">
            <v>0</v>
          </cell>
          <cell r="W12">
            <v>0</v>
          </cell>
          <cell r="X12">
            <v>442600</v>
          </cell>
          <cell r="Y12">
            <v>23860</v>
          </cell>
          <cell r="Z12">
            <v>0</v>
          </cell>
          <cell r="AA12">
            <v>2657920</v>
          </cell>
          <cell r="AB12">
            <v>323600</v>
          </cell>
          <cell r="AC12">
            <v>13600</v>
          </cell>
          <cell r="AD12">
            <v>10000</v>
          </cell>
          <cell r="AE12">
            <v>0</v>
          </cell>
          <cell r="AF12">
            <v>300000</v>
          </cell>
          <cell r="AG12">
            <v>0</v>
          </cell>
          <cell r="AH12" t="str">
            <v>Vi phạm chấm điểm checklist  28/05/2026: 10.000đ</v>
          </cell>
        </row>
        <row r="13">
          <cell r="C13" t="str">
            <v>Hoàng Thanh Thủy</v>
          </cell>
          <cell r="D13" t="str">
            <v>DSBC</v>
          </cell>
          <cell r="E13">
            <v>221.21666666666701</v>
          </cell>
          <cell r="F13">
            <v>8.1666666666666696</v>
          </cell>
          <cell r="G13">
            <v>221.21666666666701</v>
          </cell>
          <cell r="H13">
            <v>8.1666666666666696</v>
          </cell>
          <cell r="I13" t="str">
            <v/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400000</v>
          </cell>
          <cell r="W13">
            <v>0</v>
          </cell>
          <cell r="X13">
            <v>1425000</v>
          </cell>
          <cell r="Y13">
            <v>7250</v>
          </cell>
          <cell r="Z13">
            <v>0</v>
          </cell>
          <cell r="AA13">
            <v>2589023.42857143</v>
          </cell>
          <cell r="AB13">
            <v>13600</v>
          </cell>
          <cell r="AC13">
            <v>13600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 t="str">
            <v/>
          </cell>
        </row>
        <row r="14">
          <cell r="C14" t="str">
            <v>Lê Thị Huyền Trân</v>
          </cell>
          <cell r="D14" t="str">
            <v>DSBC</v>
          </cell>
          <cell r="E14">
            <v>214.65</v>
          </cell>
          <cell r="F14">
            <v>0</v>
          </cell>
          <cell r="G14">
            <v>188.65</v>
          </cell>
          <cell r="H14">
            <v>0</v>
          </cell>
          <cell r="I14" t="str">
            <v/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23</v>
          </cell>
          <cell r="Q14">
            <v>2</v>
          </cell>
          <cell r="R14">
            <v>24</v>
          </cell>
          <cell r="S14">
            <v>3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652500</v>
          </cell>
          <cell r="Y14">
            <v>3725</v>
          </cell>
          <cell r="Z14">
            <v>0</v>
          </cell>
          <cell r="AA14">
            <v>1150436</v>
          </cell>
          <cell r="AB14">
            <v>113600</v>
          </cell>
          <cell r="AC14">
            <v>13600</v>
          </cell>
          <cell r="AD14">
            <v>0</v>
          </cell>
          <cell r="AE14">
            <v>0</v>
          </cell>
          <cell r="AF14">
            <v>100000</v>
          </cell>
          <cell r="AG14">
            <v>0</v>
          </cell>
          <cell r="AH14" t="str">
            <v/>
          </cell>
        </row>
        <row r="15">
          <cell r="C15" t="str">
            <v>Tống Xuân Giang</v>
          </cell>
          <cell r="D15" t="str">
            <v>DSTV</v>
          </cell>
          <cell r="E15">
            <v>23.816666666666698</v>
          </cell>
          <cell r="F15">
            <v>219.15</v>
          </cell>
          <cell r="G15">
            <v>15.8166666666667</v>
          </cell>
          <cell r="H15">
            <v>219.15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29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256100</v>
          </cell>
          <cell r="Y15">
            <v>3740</v>
          </cell>
          <cell r="Z15">
            <v>0</v>
          </cell>
          <cell r="AA15">
            <v>1000000</v>
          </cell>
          <cell r="AB15">
            <v>100000</v>
          </cell>
          <cell r="AC15">
            <v>0</v>
          </cell>
          <cell r="AD15">
            <v>0</v>
          </cell>
          <cell r="AE15">
            <v>0</v>
          </cell>
          <cell r="AF15">
            <v>100000</v>
          </cell>
          <cell r="AG15">
            <v>0</v>
          </cell>
          <cell r="AH15" t="str">
            <v/>
          </cell>
        </row>
        <row r="16">
          <cell r="C16" t="str">
            <v>Huỳnh Thị Kim Ngân</v>
          </cell>
          <cell r="D16" t="str">
            <v>DSBC</v>
          </cell>
          <cell r="E16">
            <v>40</v>
          </cell>
          <cell r="F16">
            <v>0</v>
          </cell>
          <cell r="G16">
            <v>0</v>
          </cell>
          <cell r="H16">
            <v>0</v>
          </cell>
          <cell r="I16" t="str">
            <v/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40</v>
          </cell>
          <cell r="S16">
            <v>5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1071428.57142857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 t="str">
            <v/>
          </cell>
        </row>
        <row r="17">
          <cell r="C17" t="str">
            <v>Trần Lê Quỳnh Hương</v>
          </cell>
          <cell r="D17" t="str">
            <v>DSHV</v>
          </cell>
          <cell r="E17">
            <v>244.9</v>
          </cell>
          <cell r="F17">
            <v>4.0166666666666702</v>
          </cell>
          <cell r="G17">
            <v>234.9</v>
          </cell>
          <cell r="H17">
            <v>4.0166666666666702</v>
          </cell>
          <cell r="I17">
            <v>8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29</v>
          </cell>
          <cell r="Q17">
            <v>2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500000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 t="str">
            <v/>
          </cell>
        </row>
        <row r="18">
          <cell r="C18" t="str">
            <v>Thái Thùy Linh</v>
          </cell>
          <cell r="D18" t="str">
            <v>CHT</v>
          </cell>
          <cell r="E18">
            <v>253.13333333333301</v>
          </cell>
          <cell r="F18">
            <v>21.716666666666701</v>
          </cell>
          <cell r="G18">
            <v>243.13333333333301</v>
          </cell>
          <cell r="H18">
            <v>21.716666666666701</v>
          </cell>
          <cell r="I18" t="str">
            <v/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28</v>
          </cell>
          <cell r="Q18">
            <v>2</v>
          </cell>
          <cell r="R18">
            <v>8</v>
          </cell>
          <cell r="S18">
            <v>1</v>
          </cell>
          <cell r="T18">
            <v>1000000</v>
          </cell>
          <cell r="U18">
            <v>0</v>
          </cell>
          <cell r="V18">
            <v>0</v>
          </cell>
          <cell r="W18">
            <v>0</v>
          </cell>
          <cell r="X18">
            <v>974400</v>
          </cell>
          <cell r="Y18">
            <v>8210</v>
          </cell>
          <cell r="Z18">
            <v>0</v>
          </cell>
          <cell r="AA18">
            <v>0</v>
          </cell>
          <cell r="AB18">
            <v>205500</v>
          </cell>
          <cell r="AC18">
            <v>45500</v>
          </cell>
          <cell r="AD18">
            <v>0</v>
          </cell>
          <cell r="AE18">
            <v>60000</v>
          </cell>
          <cell r="AF18">
            <v>100000</v>
          </cell>
          <cell r="AG18">
            <v>0</v>
          </cell>
          <cell r="AH18" t="str">
            <v>Lệch doanh thu HD.BY98NJKV: 60.000đ</v>
          </cell>
        </row>
        <row r="19">
          <cell r="C19" t="str">
            <v>Trịnh Thị Phượng</v>
          </cell>
          <cell r="D19" t="str">
            <v>DSBC</v>
          </cell>
          <cell r="E19">
            <v>5.9499999999999904</v>
          </cell>
          <cell r="F19">
            <v>168.916666666667</v>
          </cell>
          <cell r="G19">
            <v>5.9499999999999904</v>
          </cell>
          <cell r="H19">
            <v>168.916666666667</v>
          </cell>
          <cell r="I19" t="str">
            <v/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400000</v>
          </cell>
          <cell r="W19">
            <v>0</v>
          </cell>
          <cell r="X19">
            <v>1517530</v>
          </cell>
          <cell r="Y19">
            <v>6550</v>
          </cell>
          <cell r="Z19">
            <v>0</v>
          </cell>
          <cell r="AA19">
            <v>0</v>
          </cell>
          <cell r="AB19">
            <v>45500</v>
          </cell>
          <cell r="AC19">
            <v>45500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 t="str">
            <v/>
          </cell>
        </row>
        <row r="20">
          <cell r="C20" t="str">
            <v>Phan Công Vũ Tài</v>
          </cell>
          <cell r="D20" t="str">
            <v>DSBC</v>
          </cell>
          <cell r="E20">
            <v>83.1666666666667</v>
          </cell>
          <cell r="F20">
            <v>124.35</v>
          </cell>
          <cell r="G20">
            <v>81.1666666666667</v>
          </cell>
          <cell r="H20">
            <v>124.35</v>
          </cell>
          <cell r="I20" t="str">
            <v/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24</v>
          </cell>
          <cell r="Q20">
            <v>2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2200000</v>
          </cell>
          <cell r="W20">
            <v>1579666</v>
          </cell>
          <cell r="X20">
            <v>2013800</v>
          </cell>
          <cell r="Y20">
            <v>17300</v>
          </cell>
          <cell r="Z20">
            <v>0</v>
          </cell>
          <cell r="AA20">
            <v>0</v>
          </cell>
          <cell r="AB20">
            <v>100000</v>
          </cell>
          <cell r="AC20">
            <v>0</v>
          </cell>
          <cell r="AD20">
            <v>0</v>
          </cell>
          <cell r="AE20">
            <v>0</v>
          </cell>
          <cell r="AF20">
            <v>100000</v>
          </cell>
          <cell r="AG20">
            <v>0</v>
          </cell>
          <cell r="AH20" t="str">
            <v/>
          </cell>
        </row>
        <row r="21">
          <cell r="C21" t="str">
            <v>Hoàng Lâm Gia Bảo</v>
          </cell>
          <cell r="D21" t="str">
            <v>DSTV</v>
          </cell>
          <cell r="E21">
            <v>40.15</v>
          </cell>
          <cell r="F21">
            <v>0</v>
          </cell>
          <cell r="G21">
            <v>32.15</v>
          </cell>
          <cell r="H21">
            <v>0</v>
          </cell>
          <cell r="I21" t="str">
            <v/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4</v>
          </cell>
          <cell r="Q21">
            <v>8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 t="str">
            <v/>
          </cell>
        </row>
        <row r="22">
          <cell r="C22" t="str">
            <v>Nguyễn Trúc Linh</v>
          </cell>
          <cell r="D22" t="str">
            <v>DSBC</v>
          </cell>
          <cell r="E22">
            <v>193.933333333333</v>
          </cell>
          <cell r="F22">
            <v>17.283333333333299</v>
          </cell>
          <cell r="G22">
            <v>153.933333333333</v>
          </cell>
          <cell r="H22">
            <v>17.283333333333299</v>
          </cell>
          <cell r="I22" t="str">
            <v/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21</v>
          </cell>
          <cell r="Q22">
            <v>0</v>
          </cell>
          <cell r="R22">
            <v>40</v>
          </cell>
          <cell r="S22">
            <v>5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533880</v>
          </cell>
          <cell r="Y22">
            <v>6250</v>
          </cell>
          <cell r="Z22">
            <v>0</v>
          </cell>
          <cell r="AA22">
            <v>0</v>
          </cell>
          <cell r="AB22">
            <v>145500</v>
          </cell>
          <cell r="AC22">
            <v>45500</v>
          </cell>
          <cell r="AD22">
            <v>0</v>
          </cell>
          <cell r="AE22">
            <v>0</v>
          </cell>
          <cell r="AF22">
            <v>100000</v>
          </cell>
          <cell r="AG22">
            <v>0</v>
          </cell>
          <cell r="AH22" t="str">
            <v/>
          </cell>
        </row>
        <row r="23">
          <cell r="C23" t="str">
            <v>Đoàn Quốc Tâm</v>
          </cell>
          <cell r="D23" t="str">
            <v>DSBC</v>
          </cell>
          <cell r="E23">
            <v>42.216666666666697</v>
          </cell>
          <cell r="F23">
            <v>8.1333333333333293</v>
          </cell>
          <cell r="G23">
            <v>42.216666666666697</v>
          </cell>
          <cell r="H23">
            <v>8.1333333333333293</v>
          </cell>
          <cell r="I23" t="str">
            <v/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5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 t="str">
            <v/>
          </cell>
        </row>
        <row r="24">
          <cell r="C24" t="str">
            <v>Đỗ Thị Thu Hương</v>
          </cell>
          <cell r="D24" t="str">
            <v>DSBC</v>
          </cell>
          <cell r="E24">
            <v>26.6666666666667</v>
          </cell>
          <cell r="F24">
            <v>202.35</v>
          </cell>
          <cell r="G24">
            <v>26.6666666666667</v>
          </cell>
          <cell r="H24">
            <v>202.35</v>
          </cell>
          <cell r="I24" t="str">
            <v/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27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1054700</v>
          </cell>
          <cell r="Y24">
            <v>4830</v>
          </cell>
          <cell r="Z24">
            <v>0</v>
          </cell>
          <cell r="AA24">
            <v>270000</v>
          </cell>
          <cell r="AB24">
            <v>1594500</v>
          </cell>
          <cell r="AC24">
            <v>1399500</v>
          </cell>
          <cell r="AD24">
            <v>20000</v>
          </cell>
          <cell r="AE24">
            <v>175000</v>
          </cell>
          <cell r="AF24">
            <v>0</v>
          </cell>
          <cell r="AG24">
            <v>0</v>
          </cell>
          <cell r="AH24" t="str">
            <v>Nghỉ ngơi quá thời gian quy định 21/05/2026: 10.000đ
Vào ca trễ 27/05/2026: 10.000đ
Lệch doanh thu HD.B1G915ZV:175.000đ</v>
          </cell>
        </row>
        <row r="25">
          <cell r="C25" t="str">
            <v>Mai Ngọc Oanh</v>
          </cell>
          <cell r="D25" t="str">
            <v>DSBC</v>
          </cell>
          <cell r="E25">
            <v>135.13333333333301</v>
          </cell>
          <cell r="F25">
            <v>0.483333333333333</v>
          </cell>
          <cell r="G25">
            <v>135.13333333333301</v>
          </cell>
          <cell r="H25">
            <v>0.483333333333333</v>
          </cell>
          <cell r="I25" t="str">
            <v/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17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185940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/>
          </cell>
        </row>
        <row r="26">
          <cell r="C26" t="str">
            <v>Hạ Ngân Khánh</v>
          </cell>
          <cell r="D26" t="str">
            <v>DSBC</v>
          </cell>
          <cell r="E26">
            <v>259.61666666666702</v>
          </cell>
          <cell r="F26">
            <v>5.93333333333333</v>
          </cell>
          <cell r="G26">
            <v>251.61666666666699</v>
          </cell>
          <cell r="H26">
            <v>5.93333333333333</v>
          </cell>
          <cell r="I26">
            <v>8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29</v>
          </cell>
          <cell r="Q26">
            <v>0</v>
          </cell>
          <cell r="R26">
            <v>0</v>
          </cell>
          <cell r="S26">
            <v>0</v>
          </cell>
          <cell r="T26">
            <v>500000</v>
          </cell>
          <cell r="U26">
            <v>0</v>
          </cell>
          <cell r="V26">
            <v>0</v>
          </cell>
          <cell r="W26">
            <v>0</v>
          </cell>
          <cell r="X26">
            <v>591600</v>
          </cell>
          <cell r="Y26">
            <v>16615</v>
          </cell>
          <cell r="Z26">
            <v>0</v>
          </cell>
          <cell r="AA26">
            <v>2035714.2857142901</v>
          </cell>
          <cell r="AB26">
            <v>1509500</v>
          </cell>
          <cell r="AC26">
            <v>1399500</v>
          </cell>
          <cell r="AD26">
            <v>110000</v>
          </cell>
          <cell r="AE26">
            <v>0</v>
          </cell>
          <cell r="AF26">
            <v>0</v>
          </cell>
          <cell r="AG26">
            <v>0</v>
          </cell>
          <cell r="AH26" t="str">
            <v>Không dọn dẹp vệ sinh vào ngày cuối tuần 25/05/2026: 100.000đ
Vi phạm chấm điểm checklist  27/05/2026: 10.000đ</v>
          </cell>
        </row>
        <row r="27">
          <cell r="C27" t="str">
            <v>Phan Công Vũ Tài</v>
          </cell>
          <cell r="D27" t="str">
            <v>DSBC</v>
          </cell>
          <cell r="E27">
            <v>64.566666666666706</v>
          </cell>
          <cell r="F27">
            <v>24.616666666666699</v>
          </cell>
          <cell r="G27">
            <v>64.566666666666706</v>
          </cell>
          <cell r="H27">
            <v>24.616666666666699</v>
          </cell>
          <cell r="I27" t="str">
            <v/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9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1500000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 t="str">
            <v/>
          </cell>
        </row>
        <row r="28">
          <cell r="C28" t="str">
            <v>Trần Thị Ánh Nguyệt</v>
          </cell>
          <cell r="D28" t="str">
            <v>DSTV</v>
          </cell>
          <cell r="E28">
            <v>23.133333333333301</v>
          </cell>
          <cell r="F28">
            <v>234.11666666666699</v>
          </cell>
          <cell r="G28">
            <v>13.133333333333301</v>
          </cell>
          <cell r="H28">
            <v>234.11666666666699</v>
          </cell>
          <cell r="I28">
            <v>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29</v>
          </cell>
          <cell r="Q28">
            <v>2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1176800</v>
          </cell>
          <cell r="Y28">
            <v>8815</v>
          </cell>
          <cell r="Z28">
            <v>0</v>
          </cell>
          <cell r="AA28">
            <v>2000000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 t="str">
            <v/>
          </cell>
        </row>
        <row r="29">
          <cell r="C29" t="str">
            <v>Nguyễn Trí Nghĩa</v>
          </cell>
          <cell r="D29" t="str">
            <v>DSBC</v>
          </cell>
          <cell r="E29">
            <v>27.15</v>
          </cell>
          <cell r="F29">
            <v>6.8833333333333302</v>
          </cell>
          <cell r="G29">
            <v>27.15</v>
          </cell>
          <cell r="H29">
            <v>6.8833333333333302</v>
          </cell>
          <cell r="I29" t="str">
            <v/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5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 t="str">
            <v/>
          </cell>
        </row>
        <row r="30">
          <cell r="C30" t="str">
            <v>Nguyễn Thị Hồng Hạnh</v>
          </cell>
          <cell r="D30" t="str">
            <v>DSBC</v>
          </cell>
          <cell r="E30">
            <v>16</v>
          </cell>
          <cell r="F30">
            <v>204.38333333333301</v>
          </cell>
          <cell r="G30">
            <v>0</v>
          </cell>
          <cell r="H30">
            <v>204.38333333333301</v>
          </cell>
          <cell r="I30" t="str">
            <v/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26</v>
          </cell>
          <cell r="Q30">
            <v>0</v>
          </cell>
          <cell r="R30">
            <v>16</v>
          </cell>
          <cell r="S30">
            <v>2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1030140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 t="str">
            <v/>
          </cell>
        </row>
        <row r="31">
          <cell r="C31" t="str">
            <v>Đỗ Thị Phương Thảo</v>
          </cell>
          <cell r="D31" t="str">
            <v>DSBC</v>
          </cell>
          <cell r="E31">
            <v>254.566666666667</v>
          </cell>
          <cell r="F31">
            <v>0</v>
          </cell>
          <cell r="G31">
            <v>214.566666666667</v>
          </cell>
          <cell r="H31">
            <v>0</v>
          </cell>
          <cell r="I31" t="str">
            <v/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26</v>
          </cell>
          <cell r="Q31">
            <v>0</v>
          </cell>
          <cell r="R31">
            <v>40</v>
          </cell>
          <cell r="S31">
            <v>5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396540</v>
          </cell>
          <cell r="Y31">
            <v>47430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 t="str">
            <v/>
          </cell>
        </row>
        <row r="32">
          <cell r="C32" t="str">
            <v>Lê Thị Quỳnh Trâm</v>
          </cell>
          <cell r="D32" t="str">
            <v>CHT</v>
          </cell>
          <cell r="E32">
            <v>207.933333333333</v>
          </cell>
          <cell r="F32">
            <v>32.4</v>
          </cell>
          <cell r="G32">
            <v>197.933333333333</v>
          </cell>
          <cell r="H32">
            <v>32.4</v>
          </cell>
          <cell r="I32" t="str">
            <v/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27</v>
          </cell>
          <cell r="Q32">
            <v>2</v>
          </cell>
          <cell r="R32">
            <v>8</v>
          </cell>
          <cell r="S32">
            <v>1</v>
          </cell>
          <cell r="T32">
            <v>1000000</v>
          </cell>
          <cell r="U32">
            <v>0</v>
          </cell>
          <cell r="V32">
            <v>0</v>
          </cell>
          <cell r="W32">
            <v>0</v>
          </cell>
          <cell r="X32">
            <v>431800</v>
          </cell>
          <cell r="Y32">
            <v>3130</v>
          </cell>
          <cell r="Z32">
            <v>0</v>
          </cell>
          <cell r="AA32">
            <v>0</v>
          </cell>
          <cell r="AB32">
            <v>150000</v>
          </cell>
          <cell r="AC32">
            <v>0</v>
          </cell>
          <cell r="AD32">
            <v>0</v>
          </cell>
          <cell r="AE32">
            <v>0</v>
          </cell>
          <cell r="AF32">
            <v>150000</v>
          </cell>
          <cell r="AG32">
            <v>0</v>
          </cell>
          <cell r="AH32" t="str">
            <v/>
          </cell>
        </row>
        <row r="33">
          <cell r="C33" t="str">
            <v>Hồ Tấn Nguyên</v>
          </cell>
          <cell r="D33" t="str">
            <v>DSTV</v>
          </cell>
          <cell r="E33">
            <v>0</v>
          </cell>
          <cell r="F33">
            <v>226.15</v>
          </cell>
          <cell r="G33">
            <v>0</v>
          </cell>
          <cell r="H33">
            <v>226.15</v>
          </cell>
          <cell r="I33" t="str">
            <v/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28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341500</v>
          </cell>
          <cell r="Y33">
            <v>0</v>
          </cell>
          <cell r="Z33">
            <v>0</v>
          </cell>
          <cell r="AA33">
            <v>1942781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/>
          </cell>
        </row>
        <row r="34">
          <cell r="C34" t="str">
            <v>Nguyễn Trí Nghĩa</v>
          </cell>
          <cell r="D34" t="str">
            <v>DSBC</v>
          </cell>
          <cell r="E34">
            <v>41.6</v>
          </cell>
          <cell r="F34">
            <v>0</v>
          </cell>
          <cell r="G34">
            <v>41.6</v>
          </cell>
          <cell r="H34">
            <v>0</v>
          </cell>
          <cell r="I34" t="str">
            <v/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 t="str">
            <v/>
          </cell>
        </row>
        <row r="35">
          <cell r="C35" t="str">
            <v>Phạm Thị Hồng Nhi</v>
          </cell>
          <cell r="D35" t="str">
            <v>DSHV</v>
          </cell>
          <cell r="E35">
            <v>32.766666666666701</v>
          </cell>
          <cell r="F35">
            <v>0</v>
          </cell>
          <cell r="G35">
            <v>32.766666666666701</v>
          </cell>
          <cell r="H35">
            <v>0</v>
          </cell>
          <cell r="I35" t="str">
            <v/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4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 t="str">
            <v/>
          </cell>
        </row>
        <row r="36">
          <cell r="C36" t="str">
            <v>Trần Hoàng Khánh</v>
          </cell>
          <cell r="D36" t="str">
            <v>DSBC</v>
          </cell>
          <cell r="E36">
            <v>181.13333333333301</v>
          </cell>
          <cell r="F36">
            <v>32.0833333333333</v>
          </cell>
          <cell r="G36">
            <v>165.13333333333301</v>
          </cell>
          <cell r="H36">
            <v>32.0833333333333</v>
          </cell>
          <cell r="I36" t="str">
            <v/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16</v>
          </cell>
          <cell r="S36">
            <v>2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526400</v>
          </cell>
          <cell r="Y36">
            <v>0</v>
          </cell>
          <cell r="Z36">
            <v>0</v>
          </cell>
          <cell r="AA36">
            <v>738400</v>
          </cell>
          <cell r="AB36">
            <v>100000</v>
          </cell>
          <cell r="AC36">
            <v>0</v>
          </cell>
          <cell r="AD36">
            <v>0</v>
          </cell>
          <cell r="AE36">
            <v>0</v>
          </cell>
          <cell r="AF36">
            <v>100000</v>
          </cell>
          <cell r="AG36">
            <v>0</v>
          </cell>
          <cell r="AH36" t="str">
            <v/>
          </cell>
        </row>
        <row r="37">
          <cell r="C37" t="str">
            <v>Trần Thành Đạt</v>
          </cell>
          <cell r="D37" t="str">
            <v>DSBC</v>
          </cell>
          <cell r="E37">
            <v>18.616666666666699</v>
          </cell>
          <cell r="F37">
            <v>279.88333333333298</v>
          </cell>
          <cell r="G37">
            <v>0.61666666666667402</v>
          </cell>
          <cell r="H37">
            <v>279.88333333333298</v>
          </cell>
          <cell r="I37">
            <v>16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31</v>
          </cell>
          <cell r="Q37">
            <v>2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779300</v>
          </cell>
          <cell r="Y37">
            <v>22215</v>
          </cell>
          <cell r="Z37">
            <v>0</v>
          </cell>
          <cell r="AA37">
            <v>0</v>
          </cell>
          <cell r="AB37">
            <v>45333</v>
          </cell>
          <cell r="AC37">
            <v>45333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/>
          </cell>
        </row>
        <row r="38">
          <cell r="C38" t="str">
            <v>Triệu Thị Ngọc Lý</v>
          </cell>
          <cell r="D38" t="str">
            <v>CHT</v>
          </cell>
          <cell r="E38">
            <v>302.53333333333302</v>
          </cell>
          <cell r="F38">
            <v>11.75</v>
          </cell>
          <cell r="G38">
            <v>276.53333333333302</v>
          </cell>
          <cell r="H38">
            <v>11.75</v>
          </cell>
          <cell r="I38" t="str">
            <v/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28</v>
          </cell>
          <cell r="Q38">
            <v>2</v>
          </cell>
          <cell r="R38">
            <v>24</v>
          </cell>
          <cell r="S38">
            <v>3</v>
          </cell>
          <cell r="T38">
            <v>1000000</v>
          </cell>
          <cell r="U38">
            <v>0</v>
          </cell>
          <cell r="V38">
            <v>1000000</v>
          </cell>
          <cell r="W38">
            <v>0</v>
          </cell>
          <cell r="X38">
            <v>1196200</v>
          </cell>
          <cell r="Y38">
            <v>15880</v>
          </cell>
          <cell r="Z38">
            <v>0</v>
          </cell>
          <cell r="AA38">
            <v>0</v>
          </cell>
          <cell r="AB38">
            <v>65333</v>
          </cell>
          <cell r="AC38">
            <v>45333</v>
          </cell>
          <cell r="AD38">
            <v>20000</v>
          </cell>
          <cell r="AE38">
            <v>0</v>
          </cell>
          <cell r="AF38">
            <v>0</v>
          </cell>
          <cell r="AG38">
            <v>0</v>
          </cell>
          <cell r="AH38" t="str">
            <v>Không đảm bảo vệ sinh khu vực làm việc 21/05/2026: 10.000đ
Vi phạm chấm điểm checklist  27/05/2026: 10.000đ</v>
          </cell>
        </row>
        <row r="39">
          <cell r="C39" t="str">
            <v>Cao Trọng Nhân</v>
          </cell>
          <cell r="D39" t="str">
            <v>DSTV</v>
          </cell>
          <cell r="E39">
            <v>28.066666666666698</v>
          </cell>
          <cell r="F39">
            <v>225.86666666666699</v>
          </cell>
          <cell r="G39">
            <v>26.066666666666698</v>
          </cell>
          <cell r="H39">
            <v>225.86666666666699</v>
          </cell>
          <cell r="I39" t="str">
            <v/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28</v>
          </cell>
          <cell r="Q39">
            <v>2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1000000</v>
          </cell>
          <cell r="W39">
            <v>0</v>
          </cell>
          <cell r="X39">
            <v>1712100</v>
          </cell>
          <cell r="Y39">
            <v>4080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 t="str">
            <v/>
          </cell>
        </row>
        <row r="40">
          <cell r="C40" t="str">
            <v>Nguyễn Minh Trí</v>
          </cell>
          <cell r="D40" t="str">
            <v>DSHV</v>
          </cell>
          <cell r="E40">
            <v>212.6</v>
          </cell>
          <cell r="F40">
            <v>0</v>
          </cell>
          <cell r="G40">
            <v>210.6</v>
          </cell>
          <cell r="H40">
            <v>0</v>
          </cell>
          <cell r="I40" t="str">
            <v/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26</v>
          </cell>
          <cell r="Q40">
            <v>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 t="str">
            <v/>
          </cell>
        </row>
        <row r="41">
          <cell r="C41" t="str">
            <v>Nguyễn Trí Nghĩa</v>
          </cell>
          <cell r="D41" t="str">
            <v>DSBC</v>
          </cell>
          <cell r="E41">
            <v>216.316666666667</v>
          </cell>
          <cell r="F41">
            <v>37.383333333333297</v>
          </cell>
          <cell r="G41">
            <v>216.316666666667</v>
          </cell>
          <cell r="H41">
            <v>37.383333333333297</v>
          </cell>
          <cell r="I41" t="str">
            <v/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536300</v>
          </cell>
          <cell r="Y41">
            <v>4100</v>
          </cell>
          <cell r="Z41">
            <v>0</v>
          </cell>
          <cell r="AA41">
            <v>0</v>
          </cell>
          <cell r="AB41">
            <v>145333</v>
          </cell>
          <cell r="AC41">
            <v>45333</v>
          </cell>
          <cell r="AD41">
            <v>0</v>
          </cell>
          <cell r="AE41">
            <v>0</v>
          </cell>
          <cell r="AF41">
            <v>100000</v>
          </cell>
          <cell r="AG41">
            <v>0</v>
          </cell>
          <cell r="AH41" t="str">
            <v/>
          </cell>
        </row>
        <row r="42">
          <cell r="C42" t="str">
            <v>Lê Hoàng Hải</v>
          </cell>
          <cell r="D42" t="str">
            <v>DSTV</v>
          </cell>
          <cell r="E42">
            <v>12.1</v>
          </cell>
          <cell r="F42">
            <v>0</v>
          </cell>
          <cell r="G42">
            <v>12.1</v>
          </cell>
          <cell r="H42">
            <v>0</v>
          </cell>
          <cell r="I42" t="str">
            <v/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1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/>
          </cell>
        </row>
        <row r="43">
          <cell r="C43" t="str">
            <v>Đào Thị Xuyến</v>
          </cell>
          <cell r="D43" t="str">
            <v>DSTV</v>
          </cell>
          <cell r="E43">
            <v>45.616666666666703</v>
          </cell>
          <cell r="F43">
            <v>0</v>
          </cell>
          <cell r="G43">
            <v>40.116666666666703</v>
          </cell>
          <cell r="H43">
            <v>0</v>
          </cell>
          <cell r="I43" t="str">
            <v/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5</v>
          </cell>
          <cell r="Q43">
            <v>5.5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 t="str">
            <v/>
          </cell>
        </row>
        <row r="44">
          <cell r="C44" t="str">
            <v>Hạ Ngân Khánh</v>
          </cell>
          <cell r="D44" t="str">
            <v>DSBC</v>
          </cell>
          <cell r="E44">
            <v>32.116666666666703</v>
          </cell>
          <cell r="F44">
            <v>0</v>
          </cell>
          <cell r="G44">
            <v>32.116666666666703</v>
          </cell>
          <cell r="H44">
            <v>0</v>
          </cell>
          <cell r="I44" t="str">
            <v/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 t="str">
            <v/>
          </cell>
        </row>
        <row r="45">
          <cell r="C45" t="str">
            <v>Nguyễn Cao Huyền Thanh</v>
          </cell>
          <cell r="D45" t="str">
            <v>DSHV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 t="str">
            <v/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 t="str">
            <v/>
          </cell>
        </row>
        <row r="46">
          <cell r="C46" t="str">
            <v>Nguyễn Thị Hương Giang</v>
          </cell>
          <cell r="D46" t="str">
            <v>DSBC</v>
          </cell>
          <cell r="E46">
            <v>215.316666666667</v>
          </cell>
          <cell r="F46">
            <v>7.95</v>
          </cell>
          <cell r="G46">
            <v>213.316666666667</v>
          </cell>
          <cell r="H46">
            <v>7.95</v>
          </cell>
          <cell r="I46" t="str">
            <v/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28</v>
          </cell>
          <cell r="Q46">
            <v>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1000000</v>
          </cell>
          <cell r="W46">
            <v>0</v>
          </cell>
          <cell r="X46">
            <v>1358400</v>
          </cell>
          <cell r="Y46">
            <v>0</v>
          </cell>
          <cell r="Z46">
            <v>0</v>
          </cell>
          <cell r="AA46">
            <v>0</v>
          </cell>
          <cell r="AB46">
            <v>1150</v>
          </cell>
          <cell r="AC46">
            <v>1150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 t="str">
            <v/>
          </cell>
        </row>
        <row r="47">
          <cell r="C47" t="str">
            <v>Nguyễn Thị Thu Huyền</v>
          </cell>
          <cell r="D47" t="str">
            <v>DSBC</v>
          </cell>
          <cell r="E47">
            <v>75.5</v>
          </cell>
          <cell r="F47">
            <v>207.833333333333</v>
          </cell>
          <cell r="G47">
            <v>59.5</v>
          </cell>
          <cell r="H47">
            <v>207.833333333333</v>
          </cell>
          <cell r="I47">
            <v>16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1000000</v>
          </cell>
          <cell r="W47">
            <v>0</v>
          </cell>
          <cell r="X47">
            <v>1013100</v>
          </cell>
          <cell r="Y47">
            <v>0</v>
          </cell>
          <cell r="Z47">
            <v>0</v>
          </cell>
          <cell r="AA47">
            <v>0</v>
          </cell>
          <cell r="AB47">
            <v>1150</v>
          </cell>
          <cell r="AC47">
            <v>1150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 t="str">
            <v/>
          </cell>
        </row>
        <row r="48">
          <cell r="C48" t="str">
            <v>Hồ Ngọc Lý</v>
          </cell>
          <cell r="D48" t="str">
            <v>DSBC</v>
          </cell>
          <cell r="E48">
            <v>10</v>
          </cell>
          <cell r="F48">
            <v>229.95</v>
          </cell>
          <cell r="G48">
            <v>0</v>
          </cell>
          <cell r="H48">
            <v>229.95</v>
          </cell>
          <cell r="I48">
            <v>8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29</v>
          </cell>
          <cell r="Q48">
            <v>2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1000000</v>
          </cell>
          <cell r="W48">
            <v>0</v>
          </cell>
          <cell r="X48">
            <v>1321400</v>
          </cell>
          <cell r="Y48">
            <v>0</v>
          </cell>
          <cell r="Z48">
            <v>0</v>
          </cell>
          <cell r="AA48">
            <v>0</v>
          </cell>
          <cell r="AB48">
            <v>11150</v>
          </cell>
          <cell r="AC48">
            <v>1150</v>
          </cell>
          <cell r="AD48">
            <v>10000</v>
          </cell>
          <cell r="AE48">
            <v>0</v>
          </cell>
          <cell r="AF48">
            <v>0</v>
          </cell>
          <cell r="AG48">
            <v>0</v>
          </cell>
          <cell r="AH48" t="str">
            <v>Vào ca trễ 28/05/2026: 10.000đ</v>
          </cell>
        </row>
        <row r="49">
          <cell r="C49" t="str">
            <v>Võ Ngọc Giàu Sang</v>
          </cell>
          <cell r="D49" t="str">
            <v>CHT</v>
          </cell>
          <cell r="E49">
            <v>216.76666666666699</v>
          </cell>
          <cell r="F49">
            <v>8.3333333333333304</v>
          </cell>
          <cell r="G49">
            <v>216.76666666666699</v>
          </cell>
          <cell r="H49">
            <v>8.3333333333333304</v>
          </cell>
          <cell r="I49" t="str">
            <v/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27</v>
          </cell>
          <cell r="Q49">
            <v>0</v>
          </cell>
          <cell r="R49">
            <v>0</v>
          </cell>
          <cell r="S49">
            <v>0</v>
          </cell>
          <cell r="T49">
            <v>1000000</v>
          </cell>
          <cell r="U49">
            <v>0</v>
          </cell>
          <cell r="V49">
            <v>1000000</v>
          </cell>
          <cell r="W49">
            <v>1704062</v>
          </cell>
          <cell r="X49">
            <v>1322000</v>
          </cell>
          <cell r="Y49">
            <v>7565</v>
          </cell>
          <cell r="Z49">
            <v>0</v>
          </cell>
          <cell r="AA49">
            <v>0</v>
          </cell>
          <cell r="AB49">
            <v>11150</v>
          </cell>
          <cell r="AC49">
            <v>1150</v>
          </cell>
          <cell r="AD49">
            <v>10000</v>
          </cell>
          <cell r="AE49">
            <v>0</v>
          </cell>
          <cell r="AF49">
            <v>0</v>
          </cell>
          <cell r="AG49">
            <v>0</v>
          </cell>
          <cell r="AH49" t="str">
            <v>Vi phạm chấm điểm checklist  25/05/2026: 10.000đ</v>
          </cell>
        </row>
        <row r="50">
          <cell r="C50" t="str">
            <v>Cù Thị Tường Vy</v>
          </cell>
          <cell r="D50" t="str">
            <v>Q.CHT</v>
          </cell>
          <cell r="E50">
            <v>237.416666666667</v>
          </cell>
          <cell r="F50">
            <v>83.55</v>
          </cell>
          <cell r="G50">
            <v>219.416666666667</v>
          </cell>
          <cell r="H50">
            <v>83.55</v>
          </cell>
          <cell r="I50">
            <v>16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30</v>
          </cell>
          <cell r="Q50">
            <v>2</v>
          </cell>
          <cell r="R50">
            <v>0</v>
          </cell>
          <cell r="S50">
            <v>0</v>
          </cell>
          <cell r="T50">
            <v>500000</v>
          </cell>
          <cell r="U50">
            <v>0</v>
          </cell>
          <cell r="V50">
            <v>1000000</v>
          </cell>
          <cell r="W50">
            <v>1877305</v>
          </cell>
          <cell r="X50">
            <v>1429400</v>
          </cell>
          <cell r="Y50">
            <v>336166.9</v>
          </cell>
          <cell r="Z50">
            <v>0</v>
          </cell>
          <cell r="AA50">
            <v>2000000</v>
          </cell>
          <cell r="AB50">
            <v>35000</v>
          </cell>
          <cell r="AC50">
            <v>25000</v>
          </cell>
          <cell r="AD50">
            <v>10000</v>
          </cell>
          <cell r="AE50">
            <v>0</v>
          </cell>
          <cell r="AF50">
            <v>0</v>
          </cell>
          <cell r="AG50">
            <v>0</v>
          </cell>
          <cell r="AH50" t="str">
            <v>Vi phạm chấm điểm checklist  28/05/2026: 10.000đ</v>
          </cell>
        </row>
        <row r="51">
          <cell r="C51" t="str">
            <v>Huỳnh Thị Huệ Hiền</v>
          </cell>
          <cell r="D51" t="str">
            <v>DSBC</v>
          </cell>
          <cell r="E51">
            <v>21</v>
          </cell>
          <cell r="F51">
            <v>237.166666666667</v>
          </cell>
          <cell r="G51">
            <v>5</v>
          </cell>
          <cell r="H51">
            <v>237.166666666667</v>
          </cell>
          <cell r="I51">
            <v>16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30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320000</v>
          </cell>
          <cell r="W51">
            <v>0</v>
          </cell>
          <cell r="X51">
            <v>1276200</v>
          </cell>
          <cell r="Y51">
            <v>0</v>
          </cell>
          <cell r="Z51">
            <v>0</v>
          </cell>
          <cell r="AA51">
            <v>1434200</v>
          </cell>
          <cell r="AB51">
            <v>25000</v>
          </cell>
          <cell r="AC51">
            <v>25000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 t="str">
            <v/>
          </cell>
        </row>
        <row r="52">
          <cell r="C52" t="str">
            <v>Nguyễn Thị Phương Linh</v>
          </cell>
          <cell r="D52" t="str">
            <v>DSBC</v>
          </cell>
          <cell r="E52">
            <v>166.88333333333301</v>
          </cell>
          <cell r="F52">
            <v>31.45</v>
          </cell>
          <cell r="G52">
            <v>166.88333333333301</v>
          </cell>
          <cell r="H52">
            <v>31.45</v>
          </cell>
          <cell r="I52" t="str">
            <v/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177885</v>
          </cell>
          <cell r="Y52">
            <v>9295</v>
          </cell>
          <cell r="Z52">
            <v>0</v>
          </cell>
          <cell r="AA52">
            <v>2000000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 t="str">
            <v/>
          </cell>
        </row>
        <row r="53">
          <cell r="C53" t="str">
            <v>Hạ Ngân Khánh</v>
          </cell>
          <cell r="D53" t="str">
            <v>DSBC</v>
          </cell>
          <cell r="E53">
            <v>6.4</v>
          </cell>
          <cell r="F53">
            <v>0</v>
          </cell>
          <cell r="G53">
            <v>6.4</v>
          </cell>
          <cell r="H53">
            <v>0</v>
          </cell>
          <cell r="I53" t="str">
            <v/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 t="str">
            <v/>
          </cell>
        </row>
        <row r="54">
          <cell r="C54" t="str">
            <v>Phan Công Vũ Tài</v>
          </cell>
          <cell r="D54" t="str">
            <v>DSBC</v>
          </cell>
          <cell r="E54">
            <v>48.566666666666698</v>
          </cell>
          <cell r="F54">
            <v>0.68333333333333302</v>
          </cell>
          <cell r="G54">
            <v>48.566666666666698</v>
          </cell>
          <cell r="H54">
            <v>0.68333333333333302</v>
          </cell>
          <cell r="I54" t="str">
            <v/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6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 t="str">
            <v/>
          </cell>
        </row>
        <row r="55">
          <cell r="C55" t="str">
            <v>Nguyễn Mẫn Tiệp</v>
          </cell>
          <cell r="D55" t="str">
            <v>DSHV</v>
          </cell>
          <cell r="E55">
            <v>130.13333333333301</v>
          </cell>
          <cell r="F55">
            <v>128.46666666666701</v>
          </cell>
          <cell r="G55">
            <v>128.13333333333301</v>
          </cell>
          <cell r="H55">
            <v>128.46666666666701</v>
          </cell>
          <cell r="I55" t="str">
            <v/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28</v>
          </cell>
          <cell r="Q55">
            <v>2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761050</v>
          </cell>
          <cell r="Y55">
            <v>8280</v>
          </cell>
          <cell r="Z55">
            <v>0</v>
          </cell>
          <cell r="AA55">
            <v>0</v>
          </cell>
          <cell r="AB55">
            <v>178000</v>
          </cell>
          <cell r="AC55">
            <v>0</v>
          </cell>
          <cell r="AD55">
            <v>0</v>
          </cell>
          <cell r="AE55">
            <v>178000</v>
          </cell>
          <cell r="AF55">
            <v>0</v>
          </cell>
          <cell r="AG55">
            <v>0</v>
          </cell>
          <cell r="AH55" t="str">
            <v>Lệch doanh thu HD.V4G99XG7: 105.000đ
Lệch doanh thu HD.B1G9Q3XV: 73.000đ</v>
          </cell>
        </row>
        <row r="56">
          <cell r="C56" t="str">
            <v>Phạm Nguyễn Ngọc Quyền Trân</v>
          </cell>
          <cell r="D56" t="str">
            <v>DSTV</v>
          </cell>
          <cell r="E56">
            <v>32</v>
          </cell>
          <cell r="F56">
            <v>16</v>
          </cell>
          <cell r="G56">
            <v>24</v>
          </cell>
          <cell r="H56">
            <v>16</v>
          </cell>
          <cell r="I56" t="str">
            <v/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5</v>
          </cell>
          <cell r="Q56">
            <v>8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 t="str">
            <v/>
          </cell>
        </row>
        <row r="57">
          <cell r="C57" t="str">
            <v>Lê Thị Soạn</v>
          </cell>
          <cell r="D57" t="str">
            <v>DSBC</v>
          </cell>
          <cell r="E57">
            <v>27.633333333333301</v>
          </cell>
          <cell r="F57">
            <v>241.4</v>
          </cell>
          <cell r="G57">
            <v>11.633333333333301</v>
          </cell>
          <cell r="H57">
            <v>241.4</v>
          </cell>
          <cell r="I57">
            <v>16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31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2000000</v>
          </cell>
          <cell r="W57">
            <v>2446413</v>
          </cell>
          <cell r="X57">
            <v>6259000</v>
          </cell>
          <cell r="Y57">
            <v>13095</v>
          </cell>
          <cell r="Z57">
            <v>0</v>
          </cell>
          <cell r="AA57">
            <v>0</v>
          </cell>
          <cell r="AB57">
            <v>38950</v>
          </cell>
          <cell r="AC57">
            <v>38950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 t="str">
            <v/>
          </cell>
        </row>
        <row r="58">
          <cell r="C58" t="str">
            <v>Nguyễn Thị Tâm</v>
          </cell>
          <cell r="D58" t="str">
            <v>DSBC</v>
          </cell>
          <cell r="E58">
            <v>139.55000000000001</v>
          </cell>
          <cell r="F58">
            <v>125.133333333333</v>
          </cell>
          <cell r="G58">
            <v>131.55000000000001</v>
          </cell>
          <cell r="H58">
            <v>125.133333333333</v>
          </cell>
          <cell r="I58">
            <v>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29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1200000</v>
          </cell>
          <cell r="W58">
            <v>2630846</v>
          </cell>
          <cell r="X58">
            <v>4104800</v>
          </cell>
          <cell r="Y58">
            <v>35615</v>
          </cell>
          <cell r="Z58">
            <v>0</v>
          </cell>
          <cell r="AA58">
            <v>0</v>
          </cell>
          <cell r="AB58">
            <v>38950</v>
          </cell>
          <cell r="AC58">
            <v>38950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 t="str">
            <v/>
          </cell>
        </row>
        <row r="59">
          <cell r="C59" t="str">
            <v>Hứa Thị Kim Thoa</v>
          </cell>
          <cell r="D59" t="str">
            <v>CHT</v>
          </cell>
          <cell r="E59">
            <v>47.966666666666697</v>
          </cell>
          <cell r="F59">
            <v>0</v>
          </cell>
          <cell r="G59">
            <v>47.966666666666697</v>
          </cell>
          <cell r="H59">
            <v>0</v>
          </cell>
          <cell r="I59" t="str">
            <v/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8</v>
          </cell>
          <cell r="Q59">
            <v>0</v>
          </cell>
          <cell r="R59">
            <v>0</v>
          </cell>
          <cell r="S59">
            <v>0</v>
          </cell>
          <cell r="T59">
            <v>2000000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492625</v>
          </cell>
          <cell r="AB59">
            <v>208950</v>
          </cell>
          <cell r="AC59">
            <v>38950</v>
          </cell>
          <cell r="AD59">
            <v>20000</v>
          </cell>
          <cell r="AE59">
            <v>0</v>
          </cell>
          <cell r="AF59">
            <v>150000</v>
          </cell>
          <cell r="AG59">
            <v>0</v>
          </cell>
          <cell r="AH59" t="str">
            <v>Vào ca trễ 08/05/2026: 10.000đ
Vi phạm chấm điểm checklist  29/05/2026: 10.000đ</v>
          </cell>
        </row>
        <row r="60">
          <cell r="C60" t="str">
            <v>Nguyễn Thị Mai Duyên</v>
          </cell>
          <cell r="D60" t="str">
            <v>DSBC</v>
          </cell>
          <cell r="E60">
            <v>167.96666666666701</v>
          </cell>
          <cell r="F60">
            <v>110.783333333333</v>
          </cell>
          <cell r="G60">
            <v>151.96666666666701</v>
          </cell>
          <cell r="H60">
            <v>110.783333333333</v>
          </cell>
          <cell r="I60" t="str">
            <v/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28</v>
          </cell>
          <cell r="Q60">
            <v>0</v>
          </cell>
          <cell r="R60">
            <v>16</v>
          </cell>
          <cell r="S60">
            <v>2</v>
          </cell>
          <cell r="T60">
            <v>0</v>
          </cell>
          <cell r="U60">
            <v>0</v>
          </cell>
          <cell r="V60">
            <v>2000000</v>
          </cell>
          <cell r="W60">
            <v>0</v>
          </cell>
          <cell r="X60">
            <v>4967900</v>
          </cell>
          <cell r="Y60">
            <v>4780</v>
          </cell>
          <cell r="Z60">
            <v>0</v>
          </cell>
          <cell r="AA60">
            <v>0</v>
          </cell>
          <cell r="AB60">
            <v>138950</v>
          </cell>
          <cell r="AC60">
            <v>38950</v>
          </cell>
          <cell r="AD60">
            <v>0</v>
          </cell>
          <cell r="AE60">
            <v>0</v>
          </cell>
          <cell r="AF60">
            <v>100000</v>
          </cell>
          <cell r="AG60">
            <v>0</v>
          </cell>
          <cell r="AH60" t="str">
            <v/>
          </cell>
        </row>
        <row r="61">
          <cell r="C61" t="str">
            <v>Trần Ngọc Dung</v>
          </cell>
          <cell r="D61" t="str">
            <v>DSTV</v>
          </cell>
          <cell r="E61">
            <v>259.35000000000002</v>
          </cell>
          <cell r="F61">
            <v>38.200000000000003</v>
          </cell>
          <cell r="G61">
            <v>243.35</v>
          </cell>
          <cell r="H61">
            <v>38.200000000000003</v>
          </cell>
          <cell r="I61">
            <v>16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30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1041800</v>
          </cell>
          <cell r="Y61">
            <v>31599.9</v>
          </cell>
          <cell r="Z61">
            <v>0</v>
          </cell>
          <cell r="AA61">
            <v>0</v>
          </cell>
          <cell r="AB61">
            <v>110000</v>
          </cell>
          <cell r="AC61">
            <v>0</v>
          </cell>
          <cell r="AD61">
            <v>110000</v>
          </cell>
          <cell r="AE61">
            <v>0</v>
          </cell>
          <cell r="AF61">
            <v>0</v>
          </cell>
          <cell r="AG61">
            <v>0</v>
          </cell>
          <cell r="AH61" t="str">
            <v>Không chốt tiền theo ca 02/05/2026: 100.000đ
Không dọn dẹp vệ sinh nơi làm việc 23/05/2026: 10.000đ</v>
          </cell>
        </row>
        <row r="62">
          <cell r="C62" t="str">
            <v>Đinh Thị Lan Anh</v>
          </cell>
          <cell r="D62" t="str">
            <v>DSBC</v>
          </cell>
          <cell r="E62">
            <v>248.566666666667</v>
          </cell>
          <cell r="F62">
            <v>7.68333333333333</v>
          </cell>
          <cell r="G62">
            <v>232.566666666667</v>
          </cell>
          <cell r="H62">
            <v>7.68333333333333</v>
          </cell>
          <cell r="I62">
            <v>16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31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1200000</v>
          </cell>
          <cell r="W62">
            <v>4661254</v>
          </cell>
          <cell r="X62">
            <v>3239870</v>
          </cell>
          <cell r="Y62">
            <v>34248.199999999997</v>
          </cell>
          <cell r="Z62">
            <v>0</v>
          </cell>
          <cell r="AA62">
            <v>0</v>
          </cell>
          <cell r="AB62">
            <v>23800</v>
          </cell>
          <cell r="AC62">
            <v>13800</v>
          </cell>
          <cell r="AD62">
            <v>10000</v>
          </cell>
          <cell r="AE62">
            <v>0</v>
          </cell>
          <cell r="AF62">
            <v>0</v>
          </cell>
          <cell r="AG62">
            <v>0</v>
          </cell>
          <cell r="AH62" t="str">
            <v>Không thực hiện quy trình bán hàng 11/05/2026: 10.000đ</v>
          </cell>
        </row>
        <row r="63">
          <cell r="C63" t="str">
            <v>Nguyễn Thị Mai Duyên</v>
          </cell>
          <cell r="D63" t="str">
            <v>DSBC</v>
          </cell>
          <cell r="E63">
            <v>0</v>
          </cell>
          <cell r="F63">
            <v>6.93333333333333</v>
          </cell>
          <cell r="G63">
            <v>0</v>
          </cell>
          <cell r="H63">
            <v>6.93333333333333</v>
          </cell>
          <cell r="I63" t="str">
            <v/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 t="str">
            <v/>
          </cell>
        </row>
        <row r="64">
          <cell r="C64" t="str">
            <v>Lê Ngọc Anh</v>
          </cell>
          <cell r="D64" t="str">
            <v>CHT</v>
          </cell>
          <cell r="E64">
            <v>139</v>
          </cell>
          <cell r="F64">
            <v>0</v>
          </cell>
          <cell r="G64">
            <v>99</v>
          </cell>
          <cell r="H64">
            <v>0</v>
          </cell>
          <cell r="I64" t="str">
            <v/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  <cell r="Q64">
            <v>0</v>
          </cell>
          <cell r="R64">
            <v>40</v>
          </cell>
          <cell r="S64">
            <v>5</v>
          </cell>
          <cell r="T64">
            <v>1000000</v>
          </cell>
          <cell r="U64">
            <v>0</v>
          </cell>
          <cell r="V64">
            <v>0</v>
          </cell>
          <cell r="W64">
            <v>4174573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13800</v>
          </cell>
          <cell r="AC64">
            <v>13800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 t="str">
            <v/>
          </cell>
        </row>
        <row r="65">
          <cell r="C65" t="str">
            <v>Vũ Thanh Hằng</v>
          </cell>
          <cell r="D65" t="str">
            <v>DSBC</v>
          </cell>
          <cell r="E65">
            <v>213.86666666666699</v>
          </cell>
          <cell r="F65">
            <v>13.1</v>
          </cell>
          <cell r="G65">
            <v>197.86666666666699</v>
          </cell>
          <cell r="H65">
            <v>13.1</v>
          </cell>
          <cell r="I65">
            <v>16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30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1200000</v>
          </cell>
          <cell r="W65">
            <v>0</v>
          </cell>
          <cell r="X65">
            <v>3901800</v>
          </cell>
          <cell r="Y65">
            <v>55100</v>
          </cell>
          <cell r="Z65">
            <v>0</v>
          </cell>
          <cell r="AA65">
            <v>0</v>
          </cell>
          <cell r="AB65">
            <v>201100</v>
          </cell>
          <cell r="AC65">
            <v>13800</v>
          </cell>
          <cell r="AD65">
            <v>0</v>
          </cell>
          <cell r="AE65">
            <v>187300</v>
          </cell>
          <cell r="AF65">
            <v>0</v>
          </cell>
          <cell r="AG65">
            <v>0</v>
          </cell>
          <cell r="AH65" t="str">
            <v>Lệch doanh thu HD:B2G9ZKJB: 187.300đ</v>
          </cell>
        </row>
        <row r="66">
          <cell r="C66" t="str">
            <v>Đinh Thị Khánh Ly</v>
          </cell>
          <cell r="D66" t="str">
            <v>DSBC</v>
          </cell>
          <cell r="E66">
            <v>157.65</v>
          </cell>
          <cell r="F66">
            <v>67.116666666666703</v>
          </cell>
          <cell r="G66">
            <v>149.65</v>
          </cell>
          <cell r="H66">
            <v>67.116666666666703</v>
          </cell>
          <cell r="I66" t="str">
            <v/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28</v>
          </cell>
          <cell r="Q66">
            <v>0</v>
          </cell>
          <cell r="R66">
            <v>8</v>
          </cell>
          <cell r="S66">
            <v>1</v>
          </cell>
          <cell r="T66">
            <v>0</v>
          </cell>
          <cell r="U66">
            <v>0</v>
          </cell>
          <cell r="V66">
            <v>2000000</v>
          </cell>
          <cell r="W66">
            <v>4249143</v>
          </cell>
          <cell r="X66">
            <v>4403130</v>
          </cell>
          <cell r="Y66">
            <v>7570</v>
          </cell>
          <cell r="Z66">
            <v>0</v>
          </cell>
          <cell r="AA66">
            <v>0</v>
          </cell>
          <cell r="AB66">
            <v>13800</v>
          </cell>
          <cell r="AC66">
            <v>13800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 t="str">
            <v/>
          </cell>
        </row>
        <row r="67">
          <cell r="C67" t="str">
            <v>Nguyễn Mạnh Tuấn</v>
          </cell>
          <cell r="D67" t="str">
            <v>DSBC</v>
          </cell>
          <cell r="E67">
            <v>21.633333333333301</v>
          </cell>
          <cell r="F67">
            <v>181.63333333333301</v>
          </cell>
          <cell r="G67">
            <v>21.633333333333301</v>
          </cell>
          <cell r="H67">
            <v>181.63333333333301</v>
          </cell>
          <cell r="I67" t="str">
            <v/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28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1546290</v>
          </cell>
          <cell r="Y67">
            <v>0</v>
          </cell>
          <cell r="Z67">
            <v>0</v>
          </cell>
          <cell r="AA67">
            <v>0</v>
          </cell>
          <cell r="AB67">
            <v>200800</v>
          </cell>
          <cell r="AC67">
            <v>13800</v>
          </cell>
          <cell r="AD67">
            <v>0</v>
          </cell>
          <cell r="AE67">
            <v>87000</v>
          </cell>
          <cell r="AF67">
            <v>100000</v>
          </cell>
          <cell r="AG67">
            <v>0</v>
          </cell>
          <cell r="AH67" t="str">
            <v>Lệch doanh thu HD.BJ41DRW7: 87.000đ</v>
          </cell>
        </row>
        <row r="68">
          <cell r="C68">
            <v>0</v>
          </cell>
          <cell r="D68">
            <v>0</v>
          </cell>
          <cell r="E68">
            <v>7204.5333333333301</v>
          </cell>
          <cell r="F68">
            <v>4577.5666666666702</v>
          </cell>
          <cell r="G68">
            <v>6573.0333333333301</v>
          </cell>
          <cell r="H68">
            <v>4577.5666666666702</v>
          </cell>
          <cell r="I68">
            <v>232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1302</v>
          </cell>
          <cell r="Q68">
            <v>55.5</v>
          </cell>
          <cell r="R68">
            <v>344</v>
          </cell>
          <cell r="S68">
            <v>43</v>
          </cell>
          <cell r="T68">
            <v>9000000</v>
          </cell>
          <cell r="U68">
            <v>0</v>
          </cell>
          <cell r="V68">
            <v>27520000</v>
          </cell>
          <cell r="W68">
            <v>26106422</v>
          </cell>
          <cell r="X68">
            <v>66142705</v>
          </cell>
          <cell r="Y68">
            <v>779040</v>
          </cell>
          <cell r="Z68">
            <v>0</v>
          </cell>
          <cell r="AA68">
            <v>23244928.285714298</v>
          </cell>
          <cell r="AB68">
            <v>-6064199</v>
          </cell>
          <cell r="AC68">
            <v>3546899</v>
          </cell>
          <cell r="AD68">
            <v>330000</v>
          </cell>
          <cell r="AE68">
            <v>687300</v>
          </cell>
          <cell r="AF68">
            <v>1500000</v>
          </cell>
          <cell r="AG68">
            <v>0</v>
          </cell>
          <cell r="AH68">
            <v>0</v>
          </cell>
        </row>
        <row r="69">
          <cell r="C69">
            <v>0</v>
          </cell>
          <cell r="D69" t="str">
            <v>Tổng</v>
          </cell>
          <cell r="E69">
            <v>11782.1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/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C71">
            <v>0</v>
          </cell>
          <cell r="D71">
            <v>0</v>
          </cell>
          <cell r="E71" t="str">
            <v>Chi nhánh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/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C72">
            <v>0</v>
          </cell>
          <cell r="D72">
            <v>0</v>
          </cell>
          <cell r="E72" t="str">
            <v>24H</v>
          </cell>
          <cell r="F72">
            <v>0</v>
          </cell>
          <cell r="G72">
            <v>628.1</v>
          </cell>
          <cell r="H72">
            <v>479.4</v>
          </cell>
          <cell r="I72">
            <v>0</v>
          </cell>
          <cell r="J72">
            <v>0</v>
          </cell>
          <cell r="K72" t="str">
            <v/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  <row r="73">
          <cell r="C73">
            <v>0</v>
          </cell>
          <cell r="D73">
            <v>0</v>
          </cell>
          <cell r="E73" t="str">
            <v>Đỗ Quang Đẩu</v>
          </cell>
          <cell r="F73">
            <v>0</v>
          </cell>
          <cell r="G73">
            <v>791.58333333333303</v>
          </cell>
          <cell r="H73">
            <v>486.1</v>
          </cell>
          <cell r="I73">
            <v>0</v>
          </cell>
          <cell r="J73">
            <v>0</v>
          </cell>
          <cell r="K73" t="str">
            <v/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D74">
            <v>0</v>
          </cell>
          <cell r="E74" t="str">
            <v>Minh Châu</v>
          </cell>
          <cell r="F74">
            <v>0</v>
          </cell>
          <cell r="G74">
            <v>793.45</v>
          </cell>
          <cell r="H74">
            <v>344.41666666666703</v>
          </cell>
          <cell r="I74">
            <v>0</v>
          </cell>
          <cell r="J74">
            <v>0</v>
          </cell>
          <cell r="K74" t="str">
            <v/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C75">
            <v>0</v>
          </cell>
          <cell r="D75">
            <v>0</v>
          </cell>
          <cell r="E75" t="str">
            <v>Nam Hòa</v>
          </cell>
          <cell r="F75">
            <v>0</v>
          </cell>
          <cell r="G75">
            <v>518.26666666666699</v>
          </cell>
          <cell r="H75">
            <v>474.38333333333298</v>
          </cell>
          <cell r="I75">
            <v>0</v>
          </cell>
          <cell r="J75">
            <v>0</v>
          </cell>
          <cell r="K75" t="str">
            <v/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C76">
            <v>0</v>
          </cell>
          <cell r="D76">
            <v>0</v>
          </cell>
          <cell r="E76" t="str">
            <v>Nguyễn Chí Thanh</v>
          </cell>
          <cell r="F76">
            <v>0</v>
          </cell>
          <cell r="G76">
            <v>652</v>
          </cell>
          <cell r="H76">
            <v>495.01666666666699</v>
          </cell>
          <cell r="I76">
            <v>0</v>
          </cell>
          <cell r="J76">
            <v>0</v>
          </cell>
          <cell r="K76" t="str">
            <v/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C77">
            <v>0</v>
          </cell>
          <cell r="D77">
            <v>0</v>
          </cell>
          <cell r="E77" t="str">
            <v>Nguyễn Thị Thập</v>
          </cell>
          <cell r="F77">
            <v>0</v>
          </cell>
          <cell r="G77">
            <v>814.46666666666704</v>
          </cell>
          <cell r="H77">
            <v>554.88333333333298</v>
          </cell>
          <cell r="I77">
            <v>0</v>
          </cell>
          <cell r="J77">
            <v>0</v>
          </cell>
          <cell r="K77" t="str">
            <v/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C78">
            <v>0</v>
          </cell>
          <cell r="D78">
            <v>0</v>
          </cell>
          <cell r="E78" t="str">
            <v>Nguyễn Văn Quá</v>
          </cell>
          <cell r="F78">
            <v>0</v>
          </cell>
          <cell r="G78">
            <v>489.58333333333297</v>
          </cell>
          <cell r="H78">
            <v>454.066666666667</v>
          </cell>
          <cell r="I78">
            <v>0</v>
          </cell>
          <cell r="J78">
            <v>0</v>
          </cell>
          <cell r="K78" t="str">
            <v/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C79">
            <v>0</v>
          </cell>
          <cell r="D79">
            <v>0</v>
          </cell>
          <cell r="E79" t="str">
            <v>Rạch Bùng Binh</v>
          </cell>
          <cell r="F79">
            <v>0</v>
          </cell>
          <cell r="G79">
            <v>598.4</v>
          </cell>
          <cell r="H79">
            <v>497.316666666667</v>
          </cell>
          <cell r="I79">
            <v>0</v>
          </cell>
          <cell r="J79">
            <v>0</v>
          </cell>
          <cell r="K79" t="str">
            <v/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>
            <v>0</v>
          </cell>
          <cell r="D80">
            <v>0</v>
          </cell>
          <cell r="E80" t="str">
            <v>Đường Láng</v>
          </cell>
          <cell r="F80">
            <v>0</v>
          </cell>
          <cell r="G80">
            <v>586.46666666666704</v>
          </cell>
          <cell r="H80">
            <v>515.51666666666699</v>
          </cell>
          <cell r="I80">
            <v>0</v>
          </cell>
          <cell r="J80">
            <v>0</v>
          </cell>
          <cell r="K80" t="str">
            <v/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>
            <v>0</v>
          </cell>
          <cell r="D81">
            <v>0</v>
          </cell>
          <cell r="E81" t="str">
            <v>Hàng Bông</v>
          </cell>
          <cell r="F81">
            <v>0</v>
          </cell>
          <cell r="G81">
            <v>700.71666666666704</v>
          </cell>
          <cell r="H81">
            <v>276.46666666666698</v>
          </cell>
          <cell r="I81">
            <v>0</v>
          </cell>
          <cell r="J81">
            <v>0</v>
          </cell>
          <cell r="K81" t="str">
            <v/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/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/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/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/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/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>
            <v/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/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>
            <v/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/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>
            <v/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>
            <v/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>
            <v/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>
            <v/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>
            <v/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>
            <v/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>
            <v/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>
            <v/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>
            <v/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>
            <v/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>
            <v/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>
            <v/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ẢNG CC"/>
      <sheetName val="Medigo "/>
      <sheetName val="Med Service"/>
      <sheetName val="BSONL"/>
      <sheetName val="Bac Thu"/>
      <sheetName val="CNT"/>
      <sheetName val="DSDB"/>
      <sheetName val="TTCK VP "/>
      <sheetName val="TTCK CNT"/>
      <sheetName val="PLDSĐB"/>
      <sheetName val="PL medigo+ VP nha thuoc"/>
      <sheetName val="PL nha thuoc"/>
      <sheetName val="PL MDG"/>
      <sheetName val="Bản sao của PL MDG"/>
      <sheetName val="PL MED"/>
      <sheetName val="PL CNT"/>
      <sheetName val="TT CK LƯƠNG"/>
      <sheetName val="TT CK CNT"/>
      <sheetName val="CTVKHO - Bảng lương chi tiết"/>
    </sheetNames>
    <sheetDataSet>
      <sheetData sheetId="0"/>
      <sheetData sheetId="1"/>
      <sheetData sheetId="2">
        <row r="42">
          <cell r="K42">
            <v>1820</v>
          </cell>
          <cell r="L42">
            <v>1313</v>
          </cell>
          <cell r="M42">
            <v>7435.08</v>
          </cell>
          <cell r="N42">
            <v>4347.8999999999996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217710000</v>
          </cell>
          <cell r="T42">
            <v>22125000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C42">
            <v>322729058</v>
          </cell>
        </row>
        <row r="43">
          <cell r="D43" t="str">
            <v>Hồ Thị Minh Hòa</v>
          </cell>
          <cell r="E43" t="str">
            <v>HĐLĐ</v>
          </cell>
          <cell r="F43" t="str">
            <v>24H</v>
          </cell>
          <cell r="G43" t="str">
            <v>DSBC</v>
          </cell>
          <cell r="H43">
            <v>45352</v>
          </cell>
          <cell r="I43" t="str">
            <v>0051000542226</v>
          </cell>
          <cell r="J43" t="str">
            <v>Vietcombank</v>
          </cell>
          <cell r="K43">
            <v>28</v>
          </cell>
          <cell r="L43">
            <v>18</v>
          </cell>
          <cell r="M43">
            <v>118</v>
          </cell>
          <cell r="N43">
            <v>48.4</v>
          </cell>
          <cell r="S43">
            <v>5310000</v>
          </cell>
          <cell r="T43">
            <v>250000</v>
          </cell>
          <cell r="AA43">
            <v>0</v>
          </cell>
          <cell r="AB43">
            <v>0</v>
          </cell>
          <cell r="AC43">
            <v>6500000</v>
          </cell>
        </row>
        <row r="44">
          <cell r="D44" t="str">
            <v>Nguyễn Ngọc Anh Thư</v>
          </cell>
          <cell r="E44" t="str">
            <v>HĐTV</v>
          </cell>
          <cell r="F44" t="str">
            <v>24H</v>
          </cell>
          <cell r="G44" t="str">
            <v>DSTV</v>
          </cell>
          <cell r="H44" t="str">
            <v>14/07/2026</v>
          </cell>
          <cell r="I44" t="str">
            <v>7500664184</v>
          </cell>
          <cell r="J44" t="str">
            <v>BIDV</v>
          </cell>
          <cell r="K44">
            <v>28</v>
          </cell>
          <cell r="L44">
            <v>14</v>
          </cell>
          <cell r="M44">
            <v>43.62</v>
          </cell>
          <cell r="N44">
            <v>72.319999999999993</v>
          </cell>
          <cell r="S44">
            <v>0</v>
          </cell>
          <cell r="T44">
            <v>250000</v>
          </cell>
          <cell r="AA44">
            <v>0</v>
          </cell>
          <cell r="AB44">
            <v>0</v>
          </cell>
          <cell r="AC44">
            <v>6000000</v>
          </cell>
        </row>
        <row r="45">
          <cell r="D45" t="str">
            <v>Nguyễn Trần Ngọc Phương</v>
          </cell>
          <cell r="E45" t="str">
            <v>HĐTV</v>
          </cell>
          <cell r="F45" t="str">
            <v>24H</v>
          </cell>
          <cell r="G45" t="str">
            <v>Q.CHT</v>
          </cell>
          <cell r="H45">
            <v>46196</v>
          </cell>
          <cell r="I45" t="str">
            <v>0721000550950</v>
          </cell>
          <cell r="J45" t="str">
            <v>Vietcombank</v>
          </cell>
          <cell r="K45">
            <v>28</v>
          </cell>
          <cell r="L45">
            <v>27</v>
          </cell>
          <cell r="M45">
            <v>146.12</v>
          </cell>
          <cell r="N45">
            <v>70.180000000000007</v>
          </cell>
          <cell r="S45">
            <v>0</v>
          </cell>
          <cell r="T45">
            <v>482142.85714285698</v>
          </cell>
          <cell r="AA45">
            <v>0</v>
          </cell>
          <cell r="AB45">
            <v>0</v>
          </cell>
          <cell r="AC45">
            <v>6000000</v>
          </cell>
        </row>
        <row r="46">
          <cell r="D46" t="str">
            <v>Ngô Trần Tuyết Vy</v>
          </cell>
          <cell r="E46" t="str">
            <v>HĐLĐ</v>
          </cell>
          <cell r="F46" t="str">
            <v>24H</v>
          </cell>
          <cell r="G46" t="str">
            <v>DSBC</v>
          </cell>
          <cell r="H46">
            <v>44743</v>
          </cell>
          <cell r="I46" t="str">
            <v>060260188766</v>
          </cell>
          <cell r="J46" t="str">
            <v>Sacombank</v>
          </cell>
          <cell r="K46">
            <v>28</v>
          </cell>
          <cell r="L46">
            <v>31</v>
          </cell>
          <cell r="M46">
            <v>144.58000000000001</v>
          </cell>
          <cell r="N46">
            <v>137.32</v>
          </cell>
          <cell r="S46">
            <v>5310000</v>
          </cell>
          <cell r="T46">
            <v>500000</v>
          </cell>
          <cell r="AA46">
            <v>0</v>
          </cell>
          <cell r="AB46">
            <v>0</v>
          </cell>
          <cell r="AC46">
            <v>8350258</v>
          </cell>
        </row>
        <row r="47">
          <cell r="D47" t="str">
            <v>Phạm Nguyễn Ngọc Quý</v>
          </cell>
          <cell r="E47" t="str">
            <v>HĐLĐ</v>
          </cell>
          <cell r="F47" t="str">
            <v>24H</v>
          </cell>
          <cell r="G47" t="str">
            <v>DSBC</v>
          </cell>
          <cell r="H47" t="str">
            <v>01/11/2024</v>
          </cell>
          <cell r="I47" t="str">
            <v>1026764251</v>
          </cell>
          <cell r="J47" t="str">
            <v>Vietcombank</v>
          </cell>
          <cell r="K47">
            <v>28</v>
          </cell>
          <cell r="L47">
            <v>31</v>
          </cell>
          <cell r="M47">
            <v>138.41999999999999</v>
          </cell>
          <cell r="N47">
            <v>135.94999999999999</v>
          </cell>
          <cell r="S47">
            <v>5310000</v>
          </cell>
          <cell r="T47">
            <v>500000</v>
          </cell>
          <cell r="AA47">
            <v>0</v>
          </cell>
          <cell r="AB47">
            <v>0</v>
          </cell>
          <cell r="AC47">
            <v>6000000</v>
          </cell>
        </row>
        <row r="48">
          <cell r="D48" t="str">
            <v>Trần Thị Kim Khánh</v>
          </cell>
          <cell r="E48" t="str">
            <v>HĐLĐ</v>
          </cell>
          <cell r="F48" t="str">
            <v>24H</v>
          </cell>
          <cell r="G48" t="str">
            <v>DSBC</v>
          </cell>
          <cell r="H48">
            <v>45099</v>
          </cell>
          <cell r="I48" t="str">
            <v>69110000565904</v>
          </cell>
          <cell r="J48" t="str">
            <v>BIDV</v>
          </cell>
          <cell r="K48">
            <v>28</v>
          </cell>
          <cell r="L48">
            <v>31</v>
          </cell>
          <cell r="M48">
            <v>212.4</v>
          </cell>
          <cell r="N48">
            <v>87.22</v>
          </cell>
          <cell r="S48">
            <v>5310000</v>
          </cell>
          <cell r="T48">
            <v>500000</v>
          </cell>
          <cell r="AA48">
            <v>0</v>
          </cell>
          <cell r="AB48">
            <v>0</v>
          </cell>
          <cell r="AC48">
            <v>6500000</v>
          </cell>
        </row>
        <row r="49">
          <cell r="K49">
            <v>168</v>
          </cell>
          <cell r="L49">
            <v>152</v>
          </cell>
          <cell r="M49">
            <v>803.14</v>
          </cell>
          <cell r="N49">
            <v>551.39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21240000</v>
          </cell>
          <cell r="T49">
            <v>2482142.8571428601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39350258</v>
          </cell>
        </row>
        <row r="50">
          <cell r="D50" t="str">
            <v>Bùi Thị Thanh Thủy</v>
          </cell>
          <cell r="E50" t="str">
            <v>HĐTV</v>
          </cell>
          <cell r="F50" t="str">
            <v>Đỗ Quang Đẩu</v>
          </cell>
          <cell r="G50" t="str">
            <v>DSTV</v>
          </cell>
          <cell r="H50" t="str">
            <v>30/06/2026</v>
          </cell>
          <cell r="I50" t="str">
            <v>1014584596</v>
          </cell>
          <cell r="J50" t="str">
            <v>Vietcombank</v>
          </cell>
          <cell r="K50">
            <v>28</v>
          </cell>
          <cell r="L50">
            <v>7</v>
          </cell>
          <cell r="M50">
            <v>56.37</v>
          </cell>
          <cell r="N50">
            <v>0</v>
          </cell>
          <cell r="S50">
            <v>0</v>
          </cell>
          <cell r="T50">
            <v>107142.857142857</v>
          </cell>
          <cell r="AA50">
            <v>0</v>
          </cell>
          <cell r="AB50">
            <v>0</v>
          </cell>
          <cell r="AC50">
            <v>6000000</v>
          </cell>
        </row>
        <row r="51">
          <cell r="D51" t="str">
            <v>Dương Thị Huỳnh Như</v>
          </cell>
          <cell r="E51" t="str">
            <v>HĐTV</v>
          </cell>
          <cell r="F51" t="str">
            <v>Đỗ Quang Đẩu</v>
          </cell>
          <cell r="G51" t="str">
            <v>DSTV</v>
          </cell>
          <cell r="H51" t="str">
            <v>28/07/2026</v>
          </cell>
          <cell r="I51" t="str">
            <v>023704070008223</v>
          </cell>
          <cell r="J51" t="str">
            <v>HD Bank</v>
          </cell>
          <cell r="K51">
            <v>28</v>
          </cell>
          <cell r="L51">
            <v>3</v>
          </cell>
          <cell r="M51">
            <v>24.13</v>
          </cell>
          <cell r="N51">
            <v>0</v>
          </cell>
          <cell r="S51">
            <v>0</v>
          </cell>
          <cell r="T51">
            <v>53571.428571428602</v>
          </cell>
          <cell r="AA51">
            <v>0</v>
          </cell>
          <cell r="AB51">
            <v>0</v>
          </cell>
          <cell r="AC51">
            <v>6000000</v>
          </cell>
        </row>
        <row r="52">
          <cell r="D52" t="str">
            <v>Hoàng Thanh Thủy</v>
          </cell>
          <cell r="E52" t="str">
            <v>HĐLĐ</v>
          </cell>
          <cell r="F52" t="str">
            <v>Đỗ Quang Đẩu</v>
          </cell>
          <cell r="G52" t="str">
            <v>DSBC</v>
          </cell>
          <cell r="H52" t="str">
            <v>27/10/2025</v>
          </cell>
          <cell r="I52" t="str">
            <v>615704060127761</v>
          </cell>
          <cell r="J52" t="str">
            <v>VIB</v>
          </cell>
          <cell r="K52">
            <v>28</v>
          </cell>
          <cell r="L52">
            <v>30</v>
          </cell>
          <cell r="M52">
            <v>260.60000000000002</v>
          </cell>
          <cell r="N52">
            <v>0.6</v>
          </cell>
          <cell r="S52">
            <v>5310000</v>
          </cell>
          <cell r="T52">
            <v>500000</v>
          </cell>
          <cell r="AA52">
            <v>0</v>
          </cell>
          <cell r="AB52">
            <v>0</v>
          </cell>
          <cell r="AC52">
            <v>6000000</v>
          </cell>
        </row>
        <row r="53">
          <cell r="D53" t="str">
            <v>Lê Thị Huyền Trân</v>
          </cell>
          <cell r="E53" t="str">
            <v>HĐLĐ</v>
          </cell>
          <cell r="F53" t="str">
            <v>Đỗ Quang Đẩu</v>
          </cell>
          <cell r="G53" t="str">
            <v>DSBC</v>
          </cell>
          <cell r="H53">
            <v>45510</v>
          </cell>
          <cell r="I53" t="str">
            <v>03130767201</v>
          </cell>
          <cell r="J53" t="str">
            <v>Tiên Phong Bank</v>
          </cell>
          <cell r="K53">
            <v>28</v>
          </cell>
          <cell r="L53">
            <v>30</v>
          </cell>
          <cell r="M53">
            <v>248.83</v>
          </cell>
          <cell r="N53">
            <v>8.08</v>
          </cell>
          <cell r="S53">
            <v>5310000</v>
          </cell>
          <cell r="T53">
            <v>500000</v>
          </cell>
          <cell r="AA53">
            <v>0</v>
          </cell>
          <cell r="AB53">
            <v>0</v>
          </cell>
          <cell r="AC53">
            <v>6000000</v>
          </cell>
        </row>
        <row r="54">
          <cell r="D54" t="str">
            <v>Nguyễn Thị Huyền Trang</v>
          </cell>
          <cell r="E54" t="str">
            <v>HĐTV</v>
          </cell>
          <cell r="F54" t="str">
            <v>Đỗ Quang Đẩu</v>
          </cell>
          <cell r="G54" t="str">
            <v>DSTV</v>
          </cell>
          <cell r="H54" t="str">
            <v>30/06/2026</v>
          </cell>
          <cell r="I54" t="str">
            <v>1033345427</v>
          </cell>
          <cell r="J54" t="str">
            <v>Vietcombank</v>
          </cell>
          <cell r="K54">
            <v>28</v>
          </cell>
          <cell r="L54">
            <v>7</v>
          </cell>
          <cell r="M54">
            <v>57</v>
          </cell>
          <cell r="N54">
            <v>0</v>
          </cell>
          <cell r="T54">
            <v>107142.857142857</v>
          </cell>
          <cell r="AA54">
            <v>0</v>
          </cell>
          <cell r="AB54">
            <v>0</v>
          </cell>
          <cell r="AC54">
            <v>6000000</v>
          </cell>
        </row>
        <row r="55">
          <cell r="D55" t="str">
            <v>Ngô Thị Ngọc Thủy</v>
          </cell>
          <cell r="E55" t="str">
            <v>HĐTV</v>
          </cell>
          <cell r="F55" t="str">
            <v>Đỗ Quang Đẩu</v>
          </cell>
          <cell r="G55" t="str">
            <v>DSTV</v>
          </cell>
          <cell r="H55">
            <v>46190</v>
          </cell>
          <cell r="I55" t="str">
            <v>02031125202</v>
          </cell>
          <cell r="J55" t="str">
            <v>TP Bank</v>
          </cell>
          <cell r="K55">
            <v>28</v>
          </cell>
          <cell r="L55">
            <v>8</v>
          </cell>
          <cell r="M55">
            <v>64.62</v>
          </cell>
          <cell r="N55">
            <v>0</v>
          </cell>
          <cell r="S55">
            <v>0</v>
          </cell>
          <cell r="T55">
            <v>107142.857142857</v>
          </cell>
          <cell r="AA55">
            <v>0</v>
          </cell>
          <cell r="AB55">
            <v>0</v>
          </cell>
          <cell r="AC55">
            <v>6000000</v>
          </cell>
        </row>
        <row r="56">
          <cell r="D56" t="str">
            <v>Ngô Thị Thanh Thắm</v>
          </cell>
          <cell r="E56" t="str">
            <v>HĐLĐ</v>
          </cell>
          <cell r="F56" t="str">
            <v>Đỗ Quang Đẩu</v>
          </cell>
          <cell r="G56" t="str">
            <v>CHT</v>
          </cell>
          <cell r="H56">
            <v>45524</v>
          </cell>
          <cell r="I56" t="str">
            <v>0431000219840</v>
          </cell>
          <cell r="J56" t="str">
            <v>Vietcombank</v>
          </cell>
          <cell r="K56">
            <v>28</v>
          </cell>
          <cell r="L56">
            <v>25</v>
          </cell>
          <cell r="M56">
            <v>225.32</v>
          </cell>
          <cell r="N56">
            <v>0</v>
          </cell>
          <cell r="S56">
            <v>5310000</v>
          </cell>
          <cell r="T56">
            <v>446428.57142857101</v>
          </cell>
          <cell r="AA56">
            <v>0</v>
          </cell>
          <cell r="AB56">
            <v>0</v>
          </cell>
          <cell r="AC56">
            <v>6000000</v>
          </cell>
        </row>
        <row r="57">
          <cell r="D57" t="str">
            <v>Phạm Thị Diên</v>
          </cell>
          <cell r="E57" t="str">
            <v>HĐTV</v>
          </cell>
          <cell r="F57" t="str">
            <v>Đỗ Quang Đẩu</v>
          </cell>
          <cell r="G57" t="str">
            <v>DSTV</v>
          </cell>
          <cell r="H57">
            <v>46199</v>
          </cell>
          <cell r="I57" t="str">
            <v>1028841251</v>
          </cell>
          <cell r="J57" t="str">
            <v>Vietcombank</v>
          </cell>
          <cell r="K57">
            <v>28</v>
          </cell>
          <cell r="L57">
            <v>2</v>
          </cell>
          <cell r="M57">
            <v>16.47</v>
          </cell>
          <cell r="N57">
            <v>0</v>
          </cell>
          <cell r="S57">
            <v>0</v>
          </cell>
          <cell r="T57">
            <v>35714.285714285703</v>
          </cell>
          <cell r="AA57">
            <v>0</v>
          </cell>
          <cell r="AB57">
            <v>0</v>
          </cell>
          <cell r="AC57">
            <v>6000000</v>
          </cell>
        </row>
        <row r="58">
          <cell r="D58" t="str">
            <v>Phạm Thị Nghĩa Hương</v>
          </cell>
          <cell r="E58" t="str">
            <v>HĐLĐ</v>
          </cell>
          <cell r="F58" t="str">
            <v>Đỗ Quang Đẩu</v>
          </cell>
          <cell r="G58" t="str">
            <v>DSBC</v>
          </cell>
          <cell r="H58">
            <v>45575</v>
          </cell>
          <cell r="I58" t="str">
            <v>0968249073</v>
          </cell>
          <cell r="J58" t="str">
            <v>Mb bank</v>
          </cell>
          <cell r="K58">
            <v>28</v>
          </cell>
          <cell r="L58">
            <v>30</v>
          </cell>
          <cell r="M58">
            <v>16</v>
          </cell>
          <cell r="N58">
            <v>237.83</v>
          </cell>
          <cell r="S58">
            <v>5310000</v>
          </cell>
          <cell r="T58">
            <v>500000</v>
          </cell>
          <cell r="AA58">
            <v>0</v>
          </cell>
          <cell r="AB58">
            <v>0</v>
          </cell>
          <cell r="AC58">
            <v>6000000</v>
          </cell>
        </row>
        <row r="59">
          <cell r="D59" t="str">
            <v>Trần Thiên Phát</v>
          </cell>
          <cell r="E59" t="str">
            <v>HĐLĐ</v>
          </cell>
          <cell r="F59" t="str">
            <v>Đỗ Quang Đẩu</v>
          </cell>
          <cell r="G59" t="str">
            <v>DSBC</v>
          </cell>
          <cell r="H59" t="str">
            <v>21/07/2025</v>
          </cell>
          <cell r="I59" t="str">
            <v>0345611564</v>
          </cell>
          <cell r="J59" t="str">
            <v>Mbbank</v>
          </cell>
          <cell r="K59">
            <v>28</v>
          </cell>
          <cell r="L59">
            <v>30</v>
          </cell>
          <cell r="M59">
            <v>16</v>
          </cell>
          <cell r="N59">
            <v>230.67</v>
          </cell>
          <cell r="S59">
            <v>5310000</v>
          </cell>
          <cell r="T59">
            <v>500000</v>
          </cell>
          <cell r="AA59">
            <v>0</v>
          </cell>
          <cell r="AB59">
            <v>0</v>
          </cell>
          <cell r="AC59">
            <v>6000000</v>
          </cell>
        </row>
        <row r="60">
          <cell r="D60" t="str">
            <v>Đinh Hoài Bảo</v>
          </cell>
          <cell r="E60" t="str">
            <v>HĐTV</v>
          </cell>
          <cell r="F60" t="str">
            <v>Đỗ Quang Đẩu</v>
          </cell>
          <cell r="G60" t="str">
            <v>DSTV</v>
          </cell>
          <cell r="H60" t="str">
            <v>03/07/2026</v>
          </cell>
          <cell r="I60" t="str">
            <v>5620709358</v>
          </cell>
          <cell r="J60" t="str">
            <v>BIDV</v>
          </cell>
          <cell r="K60">
            <v>28</v>
          </cell>
          <cell r="L60">
            <v>9</v>
          </cell>
          <cell r="M60">
            <v>73.069999999999993</v>
          </cell>
          <cell r="N60">
            <v>0</v>
          </cell>
          <cell r="S60">
            <v>0</v>
          </cell>
          <cell r="T60">
            <v>160714.285714286</v>
          </cell>
          <cell r="AA60">
            <v>0</v>
          </cell>
          <cell r="AB60">
            <v>0</v>
          </cell>
        </row>
        <row r="61">
          <cell r="K61">
            <v>308</v>
          </cell>
          <cell r="L61">
            <v>181</v>
          </cell>
          <cell r="M61">
            <v>1058.4100000000001</v>
          </cell>
          <cell r="N61">
            <v>477.18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26550000</v>
          </cell>
          <cell r="T61">
            <v>3017857.1428571399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60000000</v>
          </cell>
        </row>
        <row r="62">
          <cell r="D62" t="str">
            <v>Hoàng Lâm Gia Bảo</v>
          </cell>
          <cell r="E62" t="str">
            <v>HĐTV</v>
          </cell>
          <cell r="F62" t="str">
            <v>Minh Châu</v>
          </cell>
          <cell r="G62" t="str">
            <v>DSTV</v>
          </cell>
          <cell r="H62" t="str">
            <v>27/5/2026</v>
          </cell>
          <cell r="I62" t="str">
            <v>067106916868</v>
          </cell>
          <cell r="J62" t="str">
            <v>Sacombank</v>
          </cell>
          <cell r="K62">
            <v>28</v>
          </cell>
          <cell r="L62">
            <v>14</v>
          </cell>
          <cell r="M62">
            <v>34</v>
          </cell>
          <cell r="N62">
            <v>0</v>
          </cell>
          <cell r="S62">
            <v>0</v>
          </cell>
          <cell r="T62">
            <v>250000</v>
          </cell>
          <cell r="AA62">
            <v>0</v>
          </cell>
          <cell r="AB62">
            <v>0</v>
          </cell>
          <cell r="AC62">
            <v>5100000</v>
          </cell>
        </row>
        <row r="63">
          <cell r="D63" t="str">
            <v>Lê Thị Xuyến</v>
          </cell>
          <cell r="E63" t="str">
            <v>HĐTV</v>
          </cell>
          <cell r="F63" t="str">
            <v>Minh Châu</v>
          </cell>
          <cell r="G63" t="str">
            <v>DSTV</v>
          </cell>
          <cell r="H63" t="str">
            <v>17/07/2026</v>
          </cell>
          <cell r="I63" t="str">
            <v>7755599939</v>
          </cell>
          <cell r="J63" t="str">
            <v>Techcombank</v>
          </cell>
          <cell r="K63">
            <v>28</v>
          </cell>
          <cell r="L63">
            <v>6</v>
          </cell>
          <cell r="M63">
            <v>2.15</v>
          </cell>
          <cell r="N63">
            <v>48.1</v>
          </cell>
          <cell r="S63">
            <v>0</v>
          </cell>
          <cell r="T63">
            <v>107142.857142857</v>
          </cell>
          <cell r="AA63">
            <v>0</v>
          </cell>
          <cell r="AB63">
            <v>0</v>
          </cell>
        </row>
        <row r="64">
          <cell r="D64" t="str">
            <v>Nguyễn Ngọc Thùy</v>
          </cell>
          <cell r="E64" t="str">
            <v>HĐTV</v>
          </cell>
          <cell r="F64" t="str">
            <v>Minh Châu</v>
          </cell>
          <cell r="G64" t="str">
            <v>DSTV</v>
          </cell>
          <cell r="H64" t="str">
            <v>14/07/2026</v>
          </cell>
          <cell r="I64" t="str">
            <v>0798366668888</v>
          </cell>
          <cell r="J64" t="str">
            <v>MB Bank</v>
          </cell>
          <cell r="K64">
            <v>28</v>
          </cell>
          <cell r="L64">
            <v>16</v>
          </cell>
          <cell r="M64">
            <v>121.25</v>
          </cell>
          <cell r="N64">
            <v>16.07</v>
          </cell>
          <cell r="S64">
            <v>0</v>
          </cell>
          <cell r="T64">
            <v>285714.28571428597</v>
          </cell>
          <cell r="AA64">
            <v>0</v>
          </cell>
          <cell r="AB64">
            <v>0</v>
          </cell>
        </row>
        <row r="65">
          <cell r="D65" t="str">
            <v>Nguyễn Ngọc Đài Trang</v>
          </cell>
          <cell r="E65" t="str">
            <v>HĐCTV</v>
          </cell>
          <cell r="F65" t="str">
            <v>Minh Châu</v>
          </cell>
          <cell r="G65" t="str">
            <v>DSHV</v>
          </cell>
          <cell r="H65" t="str">
            <v>07/07/2026</v>
          </cell>
          <cell r="I65" t="str">
            <v>0938922199</v>
          </cell>
          <cell r="J65" t="str">
            <v>Ngân hàng TMCP Sài Gòn- Hà Nội ( SHB)</v>
          </cell>
          <cell r="K65">
            <v>28</v>
          </cell>
          <cell r="L65">
            <v>23</v>
          </cell>
          <cell r="M65">
            <v>184.28</v>
          </cell>
          <cell r="N65">
            <v>0</v>
          </cell>
          <cell r="S65">
            <v>0</v>
          </cell>
          <cell r="T65">
            <v>410714.28571428597</v>
          </cell>
          <cell r="AA65">
            <v>0</v>
          </cell>
          <cell r="AB65">
            <v>0</v>
          </cell>
        </row>
        <row r="66">
          <cell r="D66" t="str">
            <v>Phan Công Vũ Tài</v>
          </cell>
          <cell r="E66" t="str">
            <v>HĐLĐ</v>
          </cell>
          <cell r="F66" t="str">
            <v>Minh Châu</v>
          </cell>
          <cell r="G66" t="str">
            <v>DSBC</v>
          </cell>
          <cell r="H66" t="str">
            <v>26/01/2026</v>
          </cell>
          <cell r="I66" t="str">
            <v>02446989901</v>
          </cell>
          <cell r="J66" t="str">
            <v>Tp Bank</v>
          </cell>
          <cell r="K66">
            <v>28</v>
          </cell>
          <cell r="L66">
            <v>29</v>
          </cell>
          <cell r="M66">
            <v>97.13</v>
          </cell>
          <cell r="N66">
            <v>1.37</v>
          </cell>
          <cell r="S66">
            <v>5310000</v>
          </cell>
          <cell r="T66">
            <v>500000</v>
          </cell>
          <cell r="AA66">
            <v>0</v>
          </cell>
          <cell r="AB66">
            <v>0</v>
          </cell>
          <cell r="AC66">
            <v>6000000</v>
          </cell>
        </row>
        <row r="67">
          <cell r="D67" t="str">
            <v>Thái Thùy Linh</v>
          </cell>
          <cell r="E67" t="str">
            <v>HĐLĐ</v>
          </cell>
          <cell r="F67" t="str">
            <v>Minh Châu</v>
          </cell>
          <cell r="G67" t="str">
            <v>CHT</v>
          </cell>
          <cell r="H67">
            <v>44644</v>
          </cell>
          <cell r="I67" t="str">
            <v>070077077837</v>
          </cell>
          <cell r="J67" t="str">
            <v>Sacombank</v>
          </cell>
          <cell r="K67">
            <v>28</v>
          </cell>
          <cell r="L67">
            <v>30</v>
          </cell>
          <cell r="M67">
            <v>313.89999999999998</v>
          </cell>
          <cell r="N67">
            <v>32.67</v>
          </cell>
          <cell r="S67">
            <v>5310000</v>
          </cell>
          <cell r="T67">
            <v>500000</v>
          </cell>
          <cell r="AA67">
            <v>0</v>
          </cell>
          <cell r="AB67">
            <v>0</v>
          </cell>
          <cell r="AC67">
            <v>7869400</v>
          </cell>
        </row>
        <row r="68">
          <cell r="D68" t="str">
            <v>Trịnh Thị Phượng</v>
          </cell>
          <cell r="E68" t="str">
            <v>HĐLĐ</v>
          </cell>
          <cell r="F68" t="str">
            <v>Minh Châu</v>
          </cell>
          <cell r="G68" t="str">
            <v>DSBC</v>
          </cell>
          <cell r="H68">
            <v>45096</v>
          </cell>
          <cell r="I68" t="str">
            <v>10200014211025</v>
          </cell>
          <cell r="J68" t="str">
            <v>Đông Nam Á (Seabank)</v>
          </cell>
          <cell r="K68">
            <v>28</v>
          </cell>
          <cell r="L68">
            <v>23</v>
          </cell>
          <cell r="M68">
            <v>56</v>
          </cell>
          <cell r="N68">
            <v>187.47</v>
          </cell>
          <cell r="S68">
            <v>5310000</v>
          </cell>
          <cell r="T68">
            <v>410714.28571428597</v>
          </cell>
          <cell r="AA68">
            <v>0</v>
          </cell>
          <cell r="AB68">
            <v>0</v>
          </cell>
          <cell r="AC68">
            <v>6500000</v>
          </cell>
        </row>
        <row r="69">
          <cell r="K69">
            <v>196</v>
          </cell>
          <cell r="L69">
            <v>141</v>
          </cell>
          <cell r="M69">
            <v>808.71</v>
          </cell>
          <cell r="N69">
            <v>285.68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15930000</v>
          </cell>
          <cell r="T69">
            <v>2464285.7142857099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25469400</v>
          </cell>
        </row>
        <row r="70">
          <cell r="D70" t="str">
            <v>Cù Thị Tường Vy</v>
          </cell>
          <cell r="E70" t="str">
            <v>HĐLĐ</v>
          </cell>
          <cell r="F70" t="str">
            <v>Lê Bình</v>
          </cell>
          <cell r="G70" t="str">
            <v>CHT</v>
          </cell>
          <cell r="H70" t="str">
            <v>16/3/2026</v>
          </cell>
          <cell r="I70" t="str">
            <v>0071000937911</v>
          </cell>
          <cell r="J70" t="str">
            <v>Vietcombank</v>
          </cell>
          <cell r="K70">
            <v>28</v>
          </cell>
          <cell r="L70">
            <v>1</v>
          </cell>
          <cell r="M70">
            <v>0</v>
          </cell>
          <cell r="N70">
            <v>5</v>
          </cell>
          <cell r="S70">
            <v>5310000</v>
          </cell>
          <cell r="T70">
            <v>17857.142857142899</v>
          </cell>
          <cell r="AA70">
            <v>0</v>
          </cell>
          <cell r="AB70">
            <v>0</v>
          </cell>
          <cell r="AC70">
            <v>6000000</v>
          </cell>
        </row>
        <row r="71">
          <cell r="D71" t="str">
            <v>Hoàng Lâm Gia Bảo</v>
          </cell>
          <cell r="E71" t="str">
            <v>HĐTV</v>
          </cell>
          <cell r="F71" t="str">
            <v>Lê Bình</v>
          </cell>
          <cell r="G71" t="str">
            <v>DSTV</v>
          </cell>
          <cell r="H71" t="str">
            <v>27/5/2026</v>
          </cell>
          <cell r="I71" t="str">
            <v>067106916868</v>
          </cell>
          <cell r="J71" t="str">
            <v>Sacombank</v>
          </cell>
          <cell r="K71">
            <v>28</v>
          </cell>
          <cell r="L71">
            <v>14</v>
          </cell>
          <cell r="M71">
            <v>1.53</v>
          </cell>
          <cell r="N71">
            <v>137.72999999999999</v>
          </cell>
          <cell r="S71">
            <v>0</v>
          </cell>
          <cell r="T71">
            <v>250000</v>
          </cell>
          <cell r="AA71">
            <v>0</v>
          </cell>
          <cell r="AB71">
            <v>0</v>
          </cell>
          <cell r="AC71">
            <v>5100000</v>
          </cell>
        </row>
        <row r="72">
          <cell r="D72" t="str">
            <v>Hồ Thị Minh Hòa</v>
          </cell>
          <cell r="E72" t="str">
            <v>HĐLĐ</v>
          </cell>
          <cell r="F72" t="str">
            <v>Lê Bình</v>
          </cell>
          <cell r="G72" t="str">
            <v>DSBC</v>
          </cell>
          <cell r="H72">
            <v>45352</v>
          </cell>
          <cell r="I72" t="str">
            <v>0051000542226</v>
          </cell>
          <cell r="J72" t="str">
            <v>Vietcombank</v>
          </cell>
          <cell r="K72">
            <v>28</v>
          </cell>
          <cell r="L72">
            <v>14</v>
          </cell>
          <cell r="M72">
            <v>24.88</v>
          </cell>
          <cell r="N72">
            <v>114.32</v>
          </cell>
          <cell r="S72">
            <v>5310000</v>
          </cell>
          <cell r="T72">
            <v>250000</v>
          </cell>
          <cell r="AA72">
            <v>0</v>
          </cell>
          <cell r="AB72">
            <v>0</v>
          </cell>
          <cell r="AC72">
            <v>6500000</v>
          </cell>
        </row>
        <row r="73">
          <cell r="D73" t="str">
            <v>Lê Thị Xuyến</v>
          </cell>
          <cell r="E73" t="str">
            <v>HĐTV</v>
          </cell>
          <cell r="F73" t="str">
            <v>Lê Bình</v>
          </cell>
          <cell r="G73" t="str">
            <v>DSTV</v>
          </cell>
          <cell r="H73" t="str">
            <v>17/07/2026</v>
          </cell>
          <cell r="I73" t="str">
            <v>7755599939</v>
          </cell>
          <cell r="J73" t="str">
            <v>Techcombank</v>
          </cell>
          <cell r="K73">
            <v>28</v>
          </cell>
          <cell r="L73">
            <v>8</v>
          </cell>
          <cell r="M73">
            <v>48.13</v>
          </cell>
          <cell r="N73">
            <v>35.53</v>
          </cell>
          <cell r="S73">
            <v>0</v>
          </cell>
          <cell r="T73">
            <v>142857.14285714299</v>
          </cell>
          <cell r="AA73">
            <v>0</v>
          </cell>
          <cell r="AB73">
            <v>0</v>
          </cell>
        </row>
        <row r="74">
          <cell r="D74" t="str">
            <v>Phan Công Vũ Tài</v>
          </cell>
          <cell r="E74" t="str">
            <v>HĐLĐ</v>
          </cell>
          <cell r="F74" t="str">
            <v>Lê Bình</v>
          </cell>
          <cell r="G74" t="str">
            <v>DSBC</v>
          </cell>
          <cell r="H74" t="str">
            <v>26/01/2026</v>
          </cell>
          <cell r="I74" t="str">
            <v>02446989901</v>
          </cell>
          <cell r="J74" t="str">
            <v>Tp Bank</v>
          </cell>
          <cell r="K74">
            <v>28</v>
          </cell>
          <cell r="L74">
            <v>4</v>
          </cell>
          <cell r="M74">
            <v>31</v>
          </cell>
          <cell r="N74">
            <v>0</v>
          </cell>
          <cell r="S74">
            <v>5310000</v>
          </cell>
          <cell r="AA74">
            <v>0</v>
          </cell>
          <cell r="AB74">
            <v>0</v>
          </cell>
          <cell r="AC74">
            <v>6000000</v>
          </cell>
        </row>
        <row r="75">
          <cell r="D75" t="str">
            <v>Trần Thị Phương Thùy</v>
          </cell>
          <cell r="E75" t="str">
            <v>HĐCTV</v>
          </cell>
          <cell r="F75" t="str">
            <v>Lê Bình</v>
          </cell>
          <cell r="G75" t="str">
            <v>DSHV</v>
          </cell>
          <cell r="H75" t="str">
            <v>14/07/2026</v>
          </cell>
          <cell r="I75" t="str">
            <v>07560774501</v>
          </cell>
          <cell r="J75" t="str">
            <v>TP bank</v>
          </cell>
          <cell r="K75">
            <v>28</v>
          </cell>
          <cell r="L75">
            <v>12</v>
          </cell>
          <cell r="M75">
            <v>24.28</v>
          </cell>
          <cell r="N75">
            <v>75.069999999999993</v>
          </cell>
          <cell r="S75">
            <v>0</v>
          </cell>
          <cell r="AA75">
            <v>0</v>
          </cell>
          <cell r="AB75">
            <v>0</v>
          </cell>
        </row>
        <row r="76">
          <cell r="D76" t="str">
            <v>Đinh Hoài Bảo</v>
          </cell>
          <cell r="E76" t="str">
            <v>HĐTV</v>
          </cell>
          <cell r="F76" t="str">
            <v>Lê Bình</v>
          </cell>
          <cell r="G76" t="str">
            <v>DSTV</v>
          </cell>
          <cell r="H76" t="str">
            <v>03/07/2026</v>
          </cell>
          <cell r="I76" t="str">
            <v>5620709358</v>
          </cell>
          <cell r="J76" t="str">
            <v>BIDV</v>
          </cell>
          <cell r="K76">
            <v>28</v>
          </cell>
          <cell r="L76">
            <v>13</v>
          </cell>
          <cell r="M76">
            <v>104</v>
          </cell>
          <cell r="N76">
            <v>11.23</v>
          </cell>
          <cell r="S76">
            <v>0</v>
          </cell>
          <cell r="T76">
            <v>232142.85714285701</v>
          </cell>
          <cell r="AA76">
            <v>0</v>
          </cell>
          <cell r="AB76">
            <v>0</v>
          </cell>
        </row>
        <row r="77">
          <cell r="K77">
            <v>196</v>
          </cell>
          <cell r="L77">
            <v>66</v>
          </cell>
          <cell r="M77">
            <v>233.82</v>
          </cell>
          <cell r="N77">
            <v>378.88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15930000</v>
          </cell>
          <cell r="T77">
            <v>892857.14285714296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23600000</v>
          </cell>
        </row>
        <row r="78">
          <cell r="D78" t="str">
            <v>Bùi Thị Thanh Thủy</v>
          </cell>
          <cell r="E78" t="str">
            <v>HĐTV</v>
          </cell>
          <cell r="F78" t="str">
            <v>Nam Hòa</v>
          </cell>
          <cell r="G78" t="str">
            <v>DSTV</v>
          </cell>
          <cell r="H78" t="str">
            <v>30/06/2026</v>
          </cell>
          <cell r="I78" t="str">
            <v>1014584596</v>
          </cell>
          <cell r="J78" t="str">
            <v>Vietcombank</v>
          </cell>
          <cell r="K78">
            <v>28</v>
          </cell>
          <cell r="L78">
            <v>22</v>
          </cell>
          <cell r="M78">
            <v>218.52</v>
          </cell>
          <cell r="N78">
            <v>0</v>
          </cell>
          <cell r="S78">
            <v>0</v>
          </cell>
          <cell r="T78">
            <v>392857.14285714302</v>
          </cell>
          <cell r="AA78">
            <v>0</v>
          </cell>
          <cell r="AB78">
            <v>0</v>
          </cell>
        </row>
        <row r="79">
          <cell r="D79" t="str">
            <v>Hoàng Lâm Gia Bảo</v>
          </cell>
          <cell r="E79" t="str">
            <v>HĐTV</v>
          </cell>
          <cell r="F79" t="str">
            <v>Nam Hòa</v>
          </cell>
          <cell r="G79" t="str">
            <v>DSTV</v>
          </cell>
          <cell r="H79" t="str">
            <v>27/5/2026</v>
          </cell>
          <cell r="I79" t="str">
            <v>067106916868</v>
          </cell>
          <cell r="J79" t="str">
            <v>Sacombank</v>
          </cell>
          <cell r="K79">
            <v>28</v>
          </cell>
          <cell r="L79">
            <v>5</v>
          </cell>
          <cell r="M79">
            <v>34</v>
          </cell>
          <cell r="N79">
            <v>0</v>
          </cell>
          <cell r="S79">
            <v>0</v>
          </cell>
          <cell r="T79">
            <v>0</v>
          </cell>
          <cell r="AA79">
            <v>0</v>
          </cell>
          <cell r="AB79">
            <v>0</v>
          </cell>
        </row>
        <row r="80">
          <cell r="D80" t="str">
            <v>Hạ Ngân Khánh</v>
          </cell>
          <cell r="E80" t="str">
            <v>HĐLĐ</v>
          </cell>
          <cell r="F80" t="str">
            <v>Nam Hòa</v>
          </cell>
          <cell r="G80" t="str">
            <v>DSBC</v>
          </cell>
          <cell r="H80" t="str">
            <v>23/06/2025</v>
          </cell>
          <cell r="I80" t="str">
            <v>109873777758</v>
          </cell>
          <cell r="J80" t="str">
            <v>VietinBank</v>
          </cell>
          <cell r="K80">
            <v>28</v>
          </cell>
          <cell r="L80">
            <v>6</v>
          </cell>
          <cell r="M80">
            <v>61.17</v>
          </cell>
          <cell r="N80">
            <v>0</v>
          </cell>
          <cell r="S80">
            <v>5310000</v>
          </cell>
          <cell r="T80">
            <v>107142.857142857</v>
          </cell>
          <cell r="AA80">
            <v>0</v>
          </cell>
          <cell r="AB80">
            <v>0</v>
          </cell>
          <cell r="AC80">
            <v>6000000</v>
          </cell>
        </row>
        <row r="81">
          <cell r="D81" t="str">
            <v>Đỗ Thị Kim Tiến</v>
          </cell>
          <cell r="E81" t="str">
            <v>HĐTV</v>
          </cell>
          <cell r="F81" t="str">
            <v>Nam Hòa</v>
          </cell>
          <cell r="G81" t="str">
            <v>DSTV</v>
          </cell>
          <cell r="H81" t="str">
            <v>07/07/2026</v>
          </cell>
          <cell r="I81" t="str">
            <v>19039887406019</v>
          </cell>
          <cell r="J81" t="str">
            <v>Techcombank</v>
          </cell>
          <cell r="K81">
            <v>28</v>
          </cell>
          <cell r="L81">
            <v>12</v>
          </cell>
          <cell r="M81">
            <v>23.42</v>
          </cell>
          <cell r="N81">
            <v>88.58</v>
          </cell>
          <cell r="S81">
            <v>0</v>
          </cell>
          <cell r="T81">
            <v>214285.714285714</v>
          </cell>
          <cell r="AA81">
            <v>0</v>
          </cell>
          <cell r="AB81">
            <v>0</v>
          </cell>
        </row>
        <row r="82">
          <cell r="D82" t="str">
            <v>Nguyễn Thị Huyền Trang</v>
          </cell>
          <cell r="E82" t="str">
            <v>HĐTV</v>
          </cell>
          <cell r="F82" t="str">
            <v>Nam Hòa</v>
          </cell>
          <cell r="G82" t="str">
            <v>DSTV</v>
          </cell>
          <cell r="H82" t="str">
            <v>30/06/2026</v>
          </cell>
          <cell r="I82" t="str">
            <v>1033345427</v>
          </cell>
          <cell r="J82" t="str">
            <v>Vietcombank</v>
          </cell>
          <cell r="K82">
            <v>28</v>
          </cell>
          <cell r="L82">
            <v>22</v>
          </cell>
          <cell r="M82">
            <v>216.95</v>
          </cell>
          <cell r="N82">
            <v>0</v>
          </cell>
          <cell r="S82">
            <v>0</v>
          </cell>
          <cell r="T82">
            <v>392857.14285714302</v>
          </cell>
          <cell r="AA82">
            <v>0</v>
          </cell>
          <cell r="AB82">
            <v>0</v>
          </cell>
        </row>
        <row r="83">
          <cell r="D83" t="str">
            <v>Nguyễn Trí Nghĩa</v>
          </cell>
          <cell r="E83" t="str">
            <v>HĐLĐ</v>
          </cell>
          <cell r="F83" t="str">
            <v>Nam Hòa</v>
          </cell>
          <cell r="G83" t="str">
            <v>DSBC</v>
          </cell>
          <cell r="H83">
            <v>45439</v>
          </cell>
          <cell r="I83" t="str">
            <v>0251002787705</v>
          </cell>
          <cell r="J83" t="str">
            <v>Vietcombank</v>
          </cell>
          <cell r="K83">
            <v>28</v>
          </cell>
          <cell r="L83">
            <v>8</v>
          </cell>
          <cell r="M83">
            <v>56.15</v>
          </cell>
          <cell r="N83">
            <v>15.83</v>
          </cell>
          <cell r="S83">
            <v>5310000</v>
          </cell>
          <cell r="AA83">
            <v>0</v>
          </cell>
          <cell r="AB83">
            <v>0</v>
          </cell>
          <cell r="AC83">
            <v>6500000</v>
          </cell>
        </row>
        <row r="84">
          <cell r="D84" t="str">
            <v>Phan Công Vũ Tài</v>
          </cell>
          <cell r="E84" t="str">
            <v>HĐLĐ</v>
          </cell>
          <cell r="F84" t="str">
            <v>Nam Hòa</v>
          </cell>
          <cell r="G84" t="str">
            <v>DSBC</v>
          </cell>
          <cell r="H84" t="str">
            <v>26/01/2026</v>
          </cell>
          <cell r="I84" t="str">
            <v>02446989901</v>
          </cell>
          <cell r="J84" t="str">
            <v>Tp Bank</v>
          </cell>
          <cell r="K84">
            <v>28</v>
          </cell>
          <cell r="L84">
            <v>15</v>
          </cell>
          <cell r="M84">
            <v>97.13</v>
          </cell>
          <cell r="N84">
            <v>1.37</v>
          </cell>
          <cell r="S84">
            <v>5310000</v>
          </cell>
          <cell r="AA84">
            <v>1000000</v>
          </cell>
          <cell r="AB84">
            <v>2000000</v>
          </cell>
          <cell r="AC84">
            <v>6000000</v>
          </cell>
        </row>
        <row r="85">
          <cell r="D85" t="str">
            <v>Phạm Thị Diên</v>
          </cell>
          <cell r="E85" t="str">
            <v>HĐTV</v>
          </cell>
          <cell r="F85" t="str">
            <v>Nam Hòa</v>
          </cell>
          <cell r="G85" t="str">
            <v>DSTV</v>
          </cell>
          <cell r="H85" t="str">
            <v>26/06/2026</v>
          </cell>
          <cell r="I85" t="str">
            <v>1028841251</v>
          </cell>
          <cell r="J85" t="str">
            <v>Vietcombank</v>
          </cell>
          <cell r="K85">
            <v>28</v>
          </cell>
          <cell r="L85">
            <v>4</v>
          </cell>
          <cell r="M85">
            <v>36.82</v>
          </cell>
          <cell r="N85">
            <v>0</v>
          </cell>
          <cell r="S85">
            <v>0</v>
          </cell>
          <cell r="T85">
            <v>71428.571428571406</v>
          </cell>
          <cell r="AA85">
            <v>0</v>
          </cell>
          <cell r="AB85">
            <v>0</v>
          </cell>
        </row>
        <row r="86">
          <cell r="D86" t="str">
            <v>Trần Thị Ánh Nguyệt</v>
          </cell>
          <cell r="E86" t="str">
            <v>HĐLĐ</v>
          </cell>
          <cell r="F86" t="str">
            <v>Nam Hòa</v>
          </cell>
          <cell r="G86" t="str">
            <v>DSBC</v>
          </cell>
          <cell r="H86" t="str">
            <v>13/3/2026</v>
          </cell>
          <cell r="I86" t="str">
            <v>19035042801010</v>
          </cell>
          <cell r="J86" t="str">
            <v>techcombank - chi nhánh Bình Đăng</v>
          </cell>
          <cell r="K86">
            <v>28</v>
          </cell>
          <cell r="L86">
            <v>29</v>
          </cell>
          <cell r="M86">
            <v>30.02</v>
          </cell>
          <cell r="N86">
            <v>233.67</v>
          </cell>
          <cell r="S86">
            <v>5310000</v>
          </cell>
          <cell r="T86">
            <v>500000</v>
          </cell>
          <cell r="AA86">
            <v>0</v>
          </cell>
          <cell r="AB86">
            <v>0</v>
          </cell>
          <cell r="AC86">
            <v>6000000</v>
          </cell>
        </row>
        <row r="87">
          <cell r="D87" t="str">
            <v>Đỗ Thị Thu Hương</v>
          </cell>
          <cell r="E87" t="str">
            <v>HĐLĐ</v>
          </cell>
          <cell r="F87" t="str">
            <v>Nam Hòa</v>
          </cell>
          <cell r="G87" t="str">
            <v>DSBC</v>
          </cell>
          <cell r="H87" t="str">
            <v>19/08/2025</v>
          </cell>
          <cell r="I87" t="str">
            <v>9903670079</v>
          </cell>
          <cell r="J87" t="str">
            <v>Vietcombank</v>
          </cell>
          <cell r="K87">
            <v>28</v>
          </cell>
          <cell r="L87">
            <v>14</v>
          </cell>
          <cell r="M87">
            <v>24</v>
          </cell>
          <cell r="N87">
            <v>107.98</v>
          </cell>
          <cell r="S87">
            <v>5310000</v>
          </cell>
          <cell r="T87">
            <v>250000</v>
          </cell>
          <cell r="AA87">
            <v>0</v>
          </cell>
          <cell r="AB87">
            <v>0</v>
          </cell>
          <cell r="AC87">
            <v>6000000</v>
          </cell>
        </row>
        <row r="88">
          <cell r="K88">
            <v>224</v>
          </cell>
          <cell r="L88">
            <v>110</v>
          </cell>
          <cell r="M88">
            <v>545.66</v>
          </cell>
          <cell r="N88">
            <v>447.43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26550000</v>
          </cell>
          <cell r="T88">
            <v>1535714.2857142901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1000000</v>
          </cell>
          <cell r="AB88">
            <v>2000000</v>
          </cell>
          <cell r="AC88">
            <v>30500000</v>
          </cell>
        </row>
        <row r="89">
          <cell r="D89" t="str">
            <v>Lê Thị Quỳnh Trâm</v>
          </cell>
          <cell r="E89" t="str">
            <v>HĐLĐ</v>
          </cell>
          <cell r="F89" t="str">
            <v>Nguyễn Chí Thanh</v>
          </cell>
          <cell r="G89" t="str">
            <v>CHT</v>
          </cell>
          <cell r="H89" t="str">
            <v>18/08/2025</v>
          </cell>
          <cell r="I89" t="str">
            <v>6321205302943</v>
          </cell>
          <cell r="J89" t="str">
            <v>AGRIBANK</v>
          </cell>
          <cell r="K89">
            <v>28</v>
          </cell>
          <cell r="L89">
            <v>29</v>
          </cell>
          <cell r="M89">
            <v>290.27999999999997</v>
          </cell>
          <cell r="N89">
            <v>0</v>
          </cell>
          <cell r="S89">
            <v>5310000</v>
          </cell>
          <cell r="T89">
            <v>500000</v>
          </cell>
          <cell r="AA89">
            <v>0</v>
          </cell>
          <cell r="AB89">
            <v>0</v>
          </cell>
          <cell r="AC89">
            <v>6000000</v>
          </cell>
        </row>
        <row r="90">
          <cell r="D90" t="str">
            <v>Nguyễn Thị Hồng Hạnh</v>
          </cell>
          <cell r="E90" t="str">
            <v>HĐLĐ</v>
          </cell>
          <cell r="F90" t="str">
            <v>Nguyễn Chí Thanh</v>
          </cell>
          <cell r="G90" t="str">
            <v>DSBC</v>
          </cell>
          <cell r="H90">
            <v>45502</v>
          </cell>
          <cell r="I90" t="str">
            <v>19036469088011</v>
          </cell>
          <cell r="J90" t="str">
            <v>Techcombank</v>
          </cell>
          <cell r="K90">
            <v>28</v>
          </cell>
          <cell r="L90">
            <v>31</v>
          </cell>
          <cell r="M90">
            <v>16</v>
          </cell>
          <cell r="N90">
            <v>248.77</v>
          </cell>
          <cell r="S90">
            <v>5310000</v>
          </cell>
          <cell r="T90">
            <v>500000</v>
          </cell>
          <cell r="AA90">
            <v>0</v>
          </cell>
          <cell r="AB90">
            <v>0</v>
          </cell>
          <cell r="AC90">
            <v>6000000</v>
          </cell>
        </row>
        <row r="91">
          <cell r="D91" t="str">
            <v>Nguyễn Trí Nghĩa</v>
          </cell>
          <cell r="E91" t="str">
            <v>HĐLĐ</v>
          </cell>
          <cell r="F91" t="str">
            <v>Nguyễn Chí Thanh</v>
          </cell>
          <cell r="G91" t="str">
            <v>DSBC</v>
          </cell>
          <cell r="H91">
            <v>45439</v>
          </cell>
          <cell r="I91" t="str">
            <v>0251002787705</v>
          </cell>
          <cell r="J91" t="str">
            <v>Vietcombank</v>
          </cell>
          <cell r="K91">
            <v>28</v>
          </cell>
          <cell r="L91">
            <v>1</v>
          </cell>
          <cell r="M91">
            <v>38.67</v>
          </cell>
          <cell r="N91">
            <v>0</v>
          </cell>
          <cell r="S91">
            <v>5310000</v>
          </cell>
          <cell r="AA91">
            <v>0</v>
          </cell>
          <cell r="AB91">
            <v>0</v>
          </cell>
          <cell r="AC91">
            <v>6500000</v>
          </cell>
        </row>
        <row r="92">
          <cell r="D92" t="str">
            <v>Nguyễn Đăng An</v>
          </cell>
          <cell r="E92" t="str">
            <v>HĐTV</v>
          </cell>
          <cell r="F92" t="str">
            <v>Nguyễn Chí Thanh</v>
          </cell>
          <cell r="G92" t="str">
            <v>DSTV</v>
          </cell>
          <cell r="H92">
            <v>45575</v>
          </cell>
          <cell r="I92" t="str">
            <v>57100051532</v>
          </cell>
          <cell r="J92" t="str">
            <v>Vietcombank</v>
          </cell>
          <cell r="K92">
            <v>28</v>
          </cell>
          <cell r="L92">
            <v>17</v>
          </cell>
          <cell r="M92">
            <v>64.38</v>
          </cell>
          <cell r="N92">
            <v>71.83</v>
          </cell>
          <cell r="S92">
            <v>0</v>
          </cell>
          <cell r="T92">
            <v>303571.42857142899</v>
          </cell>
          <cell r="AA92">
            <v>0</v>
          </cell>
          <cell r="AB92">
            <v>0</v>
          </cell>
          <cell r="AC92">
            <v>6000000</v>
          </cell>
        </row>
        <row r="93">
          <cell r="D93" t="str">
            <v>Trần Hoàng Khánh</v>
          </cell>
          <cell r="E93" t="str">
            <v>HĐLĐ</v>
          </cell>
          <cell r="F93" t="str">
            <v>Nguyễn Chí Thanh</v>
          </cell>
          <cell r="G93" t="str">
            <v>DSBC</v>
          </cell>
          <cell r="H93" t="str">
            <v>02/06/2025</v>
          </cell>
          <cell r="I93" t="str">
            <v>0985967065</v>
          </cell>
          <cell r="J93" t="str">
            <v>Tp Bank</v>
          </cell>
          <cell r="K93">
            <v>28</v>
          </cell>
          <cell r="L93">
            <v>29</v>
          </cell>
          <cell r="M93">
            <v>92.77</v>
          </cell>
          <cell r="N93">
            <v>163.52000000000001</v>
          </cell>
          <cell r="S93">
            <v>5310000</v>
          </cell>
          <cell r="T93">
            <v>500000</v>
          </cell>
          <cell r="AA93">
            <v>0</v>
          </cell>
          <cell r="AB93">
            <v>0</v>
          </cell>
          <cell r="AC93">
            <v>6000000</v>
          </cell>
        </row>
        <row r="94">
          <cell r="D94" t="str">
            <v>Trần Thị Phương Thùy</v>
          </cell>
          <cell r="E94" t="str">
            <v>HĐCTV</v>
          </cell>
          <cell r="F94" t="str">
            <v>Nguyễn Chí Thanh</v>
          </cell>
          <cell r="G94" t="str">
            <v>DSHV</v>
          </cell>
          <cell r="H94" t="str">
            <v>14/07/2026</v>
          </cell>
          <cell r="I94" t="str">
            <v>07560774501</v>
          </cell>
          <cell r="J94" t="str">
            <v>TP bank</v>
          </cell>
          <cell r="K94">
            <v>28</v>
          </cell>
          <cell r="L94">
            <v>3</v>
          </cell>
          <cell r="M94">
            <v>24</v>
          </cell>
          <cell r="N94">
            <v>0</v>
          </cell>
          <cell r="S94">
            <v>0</v>
          </cell>
          <cell r="AA94">
            <v>0</v>
          </cell>
          <cell r="AB94">
            <v>0</v>
          </cell>
          <cell r="AC94">
            <v>3000000</v>
          </cell>
        </row>
        <row r="95">
          <cell r="D95" t="str">
            <v>Đỗ Thị Phương Thảo</v>
          </cell>
          <cell r="E95" t="str">
            <v>HĐLĐ</v>
          </cell>
          <cell r="F95" t="str">
            <v>Nguyễn Chí Thanh</v>
          </cell>
          <cell r="G95" t="str">
            <v>DSBC</v>
          </cell>
          <cell r="H95" t="str">
            <v>19/04/2025</v>
          </cell>
          <cell r="I95" t="str">
            <v>0561000503731</v>
          </cell>
          <cell r="J95" t="str">
            <v>Vietcombank</v>
          </cell>
          <cell r="K95">
            <v>28</v>
          </cell>
          <cell r="L95">
            <v>27</v>
          </cell>
          <cell r="M95">
            <v>205.8</v>
          </cell>
          <cell r="N95">
            <v>15.87</v>
          </cell>
          <cell r="S95">
            <v>5310000</v>
          </cell>
          <cell r="T95">
            <v>482142.85714285698</v>
          </cell>
          <cell r="AA95">
            <v>0</v>
          </cell>
          <cell r="AB95">
            <v>0</v>
          </cell>
          <cell r="AC95">
            <v>6000000</v>
          </cell>
        </row>
        <row r="96">
          <cell r="K96">
            <v>196</v>
          </cell>
          <cell r="L96">
            <v>137</v>
          </cell>
          <cell r="M96">
            <v>731.9</v>
          </cell>
          <cell r="N96">
            <v>499.99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26550000</v>
          </cell>
          <cell r="T96">
            <v>2285714.2857142901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39500000</v>
          </cell>
        </row>
        <row r="97">
          <cell r="D97" t="str">
            <v>Bùi Thị Bích Trâm</v>
          </cell>
          <cell r="E97" t="str">
            <v>HĐCTV</v>
          </cell>
          <cell r="F97" t="str">
            <v>Nguyễn Thị Thập</v>
          </cell>
          <cell r="G97" t="str">
            <v>DSHV</v>
          </cell>
          <cell r="H97" t="str">
            <v>06/07/2026</v>
          </cell>
          <cell r="I97" t="str">
            <v>1016922539</v>
          </cell>
          <cell r="J97" t="str">
            <v>Vietcombank</v>
          </cell>
          <cell r="K97">
            <v>28</v>
          </cell>
          <cell r="L97">
            <v>10</v>
          </cell>
          <cell r="M97">
            <v>80.2</v>
          </cell>
          <cell r="N97">
            <v>0</v>
          </cell>
          <cell r="S97">
            <v>0</v>
          </cell>
          <cell r="T97">
            <v>178571.42857142899</v>
          </cell>
          <cell r="AA97">
            <v>0</v>
          </cell>
          <cell r="AB97">
            <v>0</v>
          </cell>
        </row>
        <row r="98">
          <cell r="D98" t="str">
            <v>Cao Trọng Nhân</v>
          </cell>
          <cell r="E98" t="str">
            <v>HĐLĐ</v>
          </cell>
          <cell r="F98" t="str">
            <v>Nguyễn Thị Thập</v>
          </cell>
          <cell r="G98" t="str">
            <v>DSBC</v>
          </cell>
          <cell r="H98" t="str">
            <v>18/12/2025</v>
          </cell>
          <cell r="I98" t="str">
            <v>109868265987</v>
          </cell>
          <cell r="J98" t="str">
            <v>Vietinbank</v>
          </cell>
          <cell r="K98">
            <v>28</v>
          </cell>
          <cell r="L98">
            <v>29</v>
          </cell>
          <cell r="M98">
            <v>57.85</v>
          </cell>
          <cell r="N98">
            <v>230.97</v>
          </cell>
          <cell r="S98">
            <v>5310000</v>
          </cell>
          <cell r="T98">
            <v>500000</v>
          </cell>
          <cell r="AA98">
            <v>0</v>
          </cell>
          <cell r="AB98">
            <v>0</v>
          </cell>
          <cell r="AC98">
            <v>6000000</v>
          </cell>
        </row>
        <row r="99">
          <cell r="D99" t="str">
            <v>Nguyễn Minh Trí</v>
          </cell>
          <cell r="E99" t="str">
            <v>HĐLĐ</v>
          </cell>
          <cell r="F99" t="str">
            <v>Nguyễn Thị Thập</v>
          </cell>
          <cell r="G99" t="str">
            <v>DSBC</v>
          </cell>
          <cell r="H99" t="str">
            <v>04/05/2026</v>
          </cell>
          <cell r="I99" t="str">
            <v>060240357464</v>
          </cell>
          <cell r="J99" t="str">
            <v>Sacombank</v>
          </cell>
          <cell r="K99">
            <v>28</v>
          </cell>
          <cell r="L99">
            <v>22</v>
          </cell>
          <cell r="M99">
            <v>177.37</v>
          </cell>
          <cell r="N99">
            <v>0</v>
          </cell>
          <cell r="S99">
            <v>5310000</v>
          </cell>
          <cell r="T99">
            <v>392857.14285714302</v>
          </cell>
          <cell r="AA99">
            <v>0</v>
          </cell>
          <cell r="AB99">
            <v>0</v>
          </cell>
          <cell r="AC99">
            <v>3000000</v>
          </cell>
        </row>
        <row r="100">
          <cell r="D100" t="str">
            <v>Nguyễn Trí Nghĩa</v>
          </cell>
          <cell r="E100" t="str">
            <v>HĐLĐ</v>
          </cell>
          <cell r="F100" t="str">
            <v>Nguyễn Thị Thập</v>
          </cell>
          <cell r="G100" t="str">
            <v>DSBC</v>
          </cell>
          <cell r="H100">
            <v>45439</v>
          </cell>
          <cell r="I100" t="str">
            <v>0251002787705</v>
          </cell>
          <cell r="J100" t="str">
            <v>Vietcombank</v>
          </cell>
          <cell r="K100">
            <v>28</v>
          </cell>
          <cell r="L100">
            <v>24</v>
          </cell>
          <cell r="M100">
            <v>198.88</v>
          </cell>
          <cell r="N100">
            <v>26.92</v>
          </cell>
          <cell r="S100">
            <v>5310000</v>
          </cell>
          <cell r="T100">
            <v>500000</v>
          </cell>
          <cell r="AA100">
            <v>0</v>
          </cell>
          <cell r="AB100">
            <v>0</v>
          </cell>
          <cell r="AC100">
            <v>6500000</v>
          </cell>
        </row>
        <row r="101">
          <cell r="D101" t="str">
            <v>Triệu Thị Ngọc Lý</v>
          </cell>
          <cell r="E101" t="str">
            <v>HĐLĐ</v>
          </cell>
          <cell r="F101" t="str">
            <v>Nguyễn Thị Thập</v>
          </cell>
          <cell r="G101" t="str">
            <v>CHT</v>
          </cell>
          <cell r="H101">
            <v>45194</v>
          </cell>
          <cell r="I101" t="str">
            <v>0989442883</v>
          </cell>
          <cell r="J101" t="str">
            <v>MB BANK</v>
          </cell>
          <cell r="K101">
            <v>28</v>
          </cell>
          <cell r="L101">
            <v>23</v>
          </cell>
          <cell r="M101">
            <v>300.77</v>
          </cell>
          <cell r="N101">
            <v>8.1999999999999993</v>
          </cell>
          <cell r="S101">
            <v>5310000</v>
          </cell>
          <cell r="T101">
            <v>410714.28571428597</v>
          </cell>
          <cell r="AA101">
            <v>0</v>
          </cell>
          <cell r="AB101">
            <v>0</v>
          </cell>
          <cell r="AC101">
            <v>6500000</v>
          </cell>
        </row>
        <row r="102">
          <cell r="D102" t="str">
            <v>Trần Thành Đạt</v>
          </cell>
          <cell r="E102" t="str">
            <v>HĐLĐ</v>
          </cell>
          <cell r="F102" t="str">
            <v>Nguyễn Thị Thập</v>
          </cell>
          <cell r="G102" t="str">
            <v>DSBC</v>
          </cell>
          <cell r="H102" t="str">
            <v>21/07/2025</v>
          </cell>
          <cell r="I102" t="str">
            <v>0621000445313</v>
          </cell>
          <cell r="J102" t="str">
            <v>Vietcombank</v>
          </cell>
          <cell r="K102">
            <v>28</v>
          </cell>
          <cell r="L102">
            <v>29</v>
          </cell>
          <cell r="M102">
            <v>13.55</v>
          </cell>
          <cell r="N102">
            <v>267.42</v>
          </cell>
          <cell r="S102">
            <v>5310000</v>
          </cell>
          <cell r="T102">
            <v>500000</v>
          </cell>
          <cell r="AA102">
            <v>0</v>
          </cell>
          <cell r="AB102">
            <v>0</v>
          </cell>
          <cell r="AC102">
            <v>6000000</v>
          </cell>
        </row>
        <row r="103">
          <cell r="K103">
            <v>140</v>
          </cell>
          <cell r="L103">
            <v>127</v>
          </cell>
          <cell r="M103">
            <v>748.42</v>
          </cell>
          <cell r="N103">
            <v>533.51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26550000</v>
          </cell>
          <cell r="T103">
            <v>2303571.42857143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28000000</v>
          </cell>
        </row>
        <row r="104">
          <cell r="D104" t="str">
            <v>Hồ Ngọc Lý</v>
          </cell>
          <cell r="E104" t="str">
            <v>HĐLĐ</v>
          </cell>
          <cell r="F104" t="str">
            <v>Nguyễn Văn Quá</v>
          </cell>
          <cell r="G104" t="str">
            <v>DSBC</v>
          </cell>
          <cell r="H104" t="str">
            <v>08/07/2024</v>
          </cell>
          <cell r="I104" t="str">
            <v>0081765868686</v>
          </cell>
          <cell r="J104" t="str">
            <v>MB bank</v>
          </cell>
          <cell r="K104">
            <v>28</v>
          </cell>
          <cell r="L104">
            <v>30</v>
          </cell>
          <cell r="M104">
            <v>16</v>
          </cell>
          <cell r="N104">
            <v>246.4</v>
          </cell>
          <cell r="S104">
            <v>5310000</v>
          </cell>
          <cell r="T104">
            <v>500000</v>
          </cell>
          <cell r="AA104">
            <v>0</v>
          </cell>
          <cell r="AB104">
            <v>0</v>
          </cell>
          <cell r="AC104">
            <v>6000000</v>
          </cell>
        </row>
        <row r="105">
          <cell r="D105" t="str">
            <v>Nguyễn Thị Hương Giang</v>
          </cell>
          <cell r="E105" t="str">
            <v>HĐLĐ</v>
          </cell>
          <cell r="F105" t="str">
            <v>Nguyễn Văn Quá</v>
          </cell>
          <cell r="G105" t="str">
            <v>DSBC</v>
          </cell>
          <cell r="H105">
            <v>45544</v>
          </cell>
          <cell r="I105" t="str">
            <v>1028255437</v>
          </cell>
          <cell r="J105" t="str">
            <v>Vietcombank</v>
          </cell>
          <cell r="K105">
            <v>28</v>
          </cell>
          <cell r="L105">
            <v>27</v>
          </cell>
          <cell r="M105">
            <v>194.68</v>
          </cell>
          <cell r="N105">
            <v>12.27</v>
          </cell>
          <cell r="S105">
            <v>5310000</v>
          </cell>
          <cell r="T105">
            <v>482142.85714285698</v>
          </cell>
          <cell r="AA105">
            <v>0</v>
          </cell>
          <cell r="AB105">
            <v>0</v>
          </cell>
          <cell r="AC105">
            <v>6000000</v>
          </cell>
        </row>
        <row r="106">
          <cell r="D106" t="str">
            <v>Nguyễn Thị Thu Huyền</v>
          </cell>
          <cell r="E106" t="str">
            <v>HĐLĐ</v>
          </cell>
          <cell r="F106" t="str">
            <v>Nguyễn Văn Quá</v>
          </cell>
          <cell r="G106" t="str">
            <v>DSBC</v>
          </cell>
          <cell r="H106" t="str">
            <v>24/06/2025</v>
          </cell>
          <cell r="I106" t="str">
            <v>0964455650</v>
          </cell>
          <cell r="J106" t="str">
            <v>Sacombank</v>
          </cell>
          <cell r="K106">
            <v>28</v>
          </cell>
          <cell r="L106">
            <v>28</v>
          </cell>
          <cell r="M106">
            <v>74.98</v>
          </cell>
          <cell r="N106">
            <v>224.62</v>
          </cell>
          <cell r="S106">
            <v>5310000</v>
          </cell>
          <cell r="T106">
            <v>500000</v>
          </cell>
          <cell r="AA106">
            <v>0</v>
          </cell>
          <cell r="AB106">
            <v>0</v>
          </cell>
          <cell r="AC106">
            <v>6000000</v>
          </cell>
        </row>
        <row r="107">
          <cell r="D107" t="str">
            <v>Nguyễn Trần Vĩnh Khang</v>
          </cell>
          <cell r="E107" t="str">
            <v>HĐCTV</v>
          </cell>
          <cell r="F107" t="str">
            <v>Nguyễn Văn Quá</v>
          </cell>
          <cell r="G107" t="str">
            <v>DSHV</v>
          </cell>
          <cell r="H107" t="str">
            <v>04/07/2026</v>
          </cell>
          <cell r="I107" t="str">
            <v>0060103877779999</v>
          </cell>
          <cell r="J107" t="str">
            <v>Ngân hàng Phương Đông - OCB</v>
          </cell>
          <cell r="K107">
            <v>28</v>
          </cell>
          <cell r="L107">
            <v>4</v>
          </cell>
          <cell r="M107">
            <v>31.88</v>
          </cell>
          <cell r="N107">
            <v>0</v>
          </cell>
          <cell r="S107">
            <v>0</v>
          </cell>
          <cell r="T107">
            <v>71428.571428571406</v>
          </cell>
          <cell r="AA107">
            <v>0</v>
          </cell>
          <cell r="AB107">
            <v>0</v>
          </cell>
        </row>
        <row r="108">
          <cell r="D108" t="str">
            <v>Võ Ngọc Giàu Sang</v>
          </cell>
          <cell r="E108" t="str">
            <v>HĐLĐ</v>
          </cell>
          <cell r="F108" t="str">
            <v>Nguyễn Văn Quá</v>
          </cell>
          <cell r="G108" t="str">
            <v>CHT</v>
          </cell>
          <cell r="H108" t="str">
            <v>08/07/2024</v>
          </cell>
          <cell r="I108" t="str">
            <v>04015933001</v>
          </cell>
          <cell r="J108" t="str">
            <v>TP bank</v>
          </cell>
          <cell r="K108">
            <v>28</v>
          </cell>
          <cell r="L108">
            <v>26</v>
          </cell>
          <cell r="M108">
            <v>213.22</v>
          </cell>
          <cell r="N108">
            <v>0</v>
          </cell>
          <cell r="S108">
            <v>5310000</v>
          </cell>
          <cell r="T108">
            <v>464285.71428571403</v>
          </cell>
          <cell r="AA108">
            <v>0</v>
          </cell>
          <cell r="AB108">
            <v>0</v>
          </cell>
          <cell r="AC108">
            <v>6000000</v>
          </cell>
        </row>
        <row r="109">
          <cell r="K109">
            <v>140</v>
          </cell>
          <cell r="L109">
            <v>115</v>
          </cell>
          <cell r="M109">
            <v>530.76</v>
          </cell>
          <cell r="N109">
            <v>483.29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21240000</v>
          </cell>
          <cell r="T109">
            <v>2017857.1428571399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24000000</v>
          </cell>
        </row>
        <row r="110">
          <cell r="D110" t="str">
            <v>Cù Thị Tường Vy</v>
          </cell>
          <cell r="E110" t="str">
            <v>HĐLĐ</v>
          </cell>
          <cell r="F110" t="str">
            <v>Rạch Bùng Binh</v>
          </cell>
          <cell r="G110" t="str">
            <v>CHT</v>
          </cell>
          <cell r="H110" t="str">
            <v>16/3/2026</v>
          </cell>
          <cell r="I110" t="str">
            <v>0071000937911</v>
          </cell>
          <cell r="J110" t="str">
            <v>Vietcombank</v>
          </cell>
          <cell r="K110">
            <v>28</v>
          </cell>
          <cell r="L110">
            <v>23</v>
          </cell>
          <cell r="M110">
            <v>270.95</v>
          </cell>
          <cell r="N110">
            <v>37.049999999999997</v>
          </cell>
          <cell r="S110">
            <v>5310000</v>
          </cell>
          <cell r="T110">
            <v>410714.28571428597</v>
          </cell>
          <cell r="AA110">
            <v>0</v>
          </cell>
          <cell r="AB110">
            <v>0</v>
          </cell>
          <cell r="AC110">
            <v>6000000</v>
          </cell>
        </row>
        <row r="111">
          <cell r="D111" t="str">
            <v>Huỳnh Thị Huệ Hiền</v>
          </cell>
          <cell r="E111" t="str">
            <v>HĐLĐ</v>
          </cell>
          <cell r="F111" t="str">
            <v>Rạch Bùng Binh</v>
          </cell>
          <cell r="G111" t="str">
            <v>DSBC</v>
          </cell>
          <cell r="H111" t="str">
            <v>01/11/2024</v>
          </cell>
          <cell r="I111" t="str">
            <v>0421000443270</v>
          </cell>
          <cell r="J111" t="str">
            <v>VietComBank</v>
          </cell>
          <cell r="K111">
            <v>28</v>
          </cell>
          <cell r="L111">
            <v>30</v>
          </cell>
          <cell r="M111">
            <v>22.95</v>
          </cell>
          <cell r="N111">
            <v>237.53</v>
          </cell>
          <cell r="S111">
            <v>5310000</v>
          </cell>
          <cell r="T111">
            <v>500000</v>
          </cell>
          <cell r="AA111">
            <v>0</v>
          </cell>
          <cell r="AB111">
            <v>0</v>
          </cell>
          <cell r="AC111">
            <v>6000000</v>
          </cell>
        </row>
        <row r="112">
          <cell r="D112" t="str">
            <v>Đỗ Thị Kim Tiến</v>
          </cell>
          <cell r="E112" t="str">
            <v>HĐTV</v>
          </cell>
          <cell r="F112" t="str">
            <v>Rạch Bùng Binh</v>
          </cell>
          <cell r="G112" t="str">
            <v>DSTV</v>
          </cell>
          <cell r="H112" t="str">
            <v>07/07/2026</v>
          </cell>
          <cell r="I112" t="str">
            <v>19039887406019</v>
          </cell>
          <cell r="J112" t="str">
            <v>Techcombank</v>
          </cell>
          <cell r="K112">
            <v>28</v>
          </cell>
          <cell r="L112">
            <v>5</v>
          </cell>
          <cell r="M112">
            <v>25.68</v>
          </cell>
          <cell r="N112">
            <v>16.149999999999999</v>
          </cell>
          <cell r="S112">
            <v>0</v>
          </cell>
          <cell r="T112">
            <v>89285.714285714304</v>
          </cell>
          <cell r="AA112">
            <v>0</v>
          </cell>
          <cell r="AB112">
            <v>0</v>
          </cell>
        </row>
        <row r="113">
          <cell r="D113" t="str">
            <v>Nguyễn Mẫn Tiệp</v>
          </cell>
          <cell r="E113" t="str">
            <v>HĐTV</v>
          </cell>
          <cell r="F113" t="str">
            <v>Rạch Bùng Binh</v>
          </cell>
          <cell r="G113" t="str">
            <v>DSTV</v>
          </cell>
          <cell r="H113" t="str">
            <v>10/3/2026</v>
          </cell>
          <cell r="I113" t="str">
            <v>1015496176</v>
          </cell>
          <cell r="J113" t="str">
            <v>Vietcombank</v>
          </cell>
          <cell r="K113">
            <v>28</v>
          </cell>
          <cell r="L113">
            <v>6</v>
          </cell>
          <cell r="M113">
            <v>49.63</v>
          </cell>
          <cell r="N113">
            <v>7.93</v>
          </cell>
          <cell r="S113">
            <v>0</v>
          </cell>
          <cell r="AA113">
            <v>0</v>
          </cell>
          <cell r="AB113">
            <v>0</v>
          </cell>
          <cell r="AC113">
            <v>5100000</v>
          </cell>
        </row>
        <row r="114">
          <cell r="D114" t="str">
            <v>Nguyễn Thị Phúc Lộc</v>
          </cell>
          <cell r="E114" t="str">
            <v>HĐTV</v>
          </cell>
          <cell r="F114" t="str">
            <v>Rạch Bùng Binh</v>
          </cell>
          <cell r="G114" t="str">
            <v>DSTV</v>
          </cell>
          <cell r="H114" t="str">
            <v>22/07/2026</v>
          </cell>
          <cell r="I114" t="str">
            <v>2158791</v>
          </cell>
          <cell r="J114" t="str">
            <v>Á Châu ( ACB)</v>
          </cell>
          <cell r="K114">
            <v>28</v>
          </cell>
          <cell r="L114">
            <v>6</v>
          </cell>
          <cell r="M114">
            <v>26.95</v>
          </cell>
          <cell r="N114">
            <v>24.05</v>
          </cell>
          <cell r="S114">
            <v>0</v>
          </cell>
          <cell r="T114">
            <v>107142.857142857</v>
          </cell>
          <cell r="AA114">
            <v>0</v>
          </cell>
          <cell r="AB114">
            <v>0</v>
          </cell>
        </row>
        <row r="115">
          <cell r="D115" t="str">
            <v>Ngô Thị Ngọc Thủy</v>
          </cell>
          <cell r="E115" t="str">
            <v>HĐTV</v>
          </cell>
          <cell r="F115" t="str">
            <v>Rạch Bùng Binh</v>
          </cell>
          <cell r="G115" t="str">
            <v>DSTV</v>
          </cell>
          <cell r="H115">
            <v>46190</v>
          </cell>
          <cell r="I115" t="str">
            <v>02031125202</v>
          </cell>
          <cell r="J115" t="str">
            <v>TP Bank</v>
          </cell>
          <cell r="K115">
            <v>28</v>
          </cell>
          <cell r="L115">
            <v>22</v>
          </cell>
          <cell r="M115">
            <v>143.77000000000001</v>
          </cell>
          <cell r="N115">
            <v>40.17</v>
          </cell>
          <cell r="S115">
            <v>0</v>
          </cell>
          <cell r="T115">
            <v>392857.14285714302</v>
          </cell>
          <cell r="AA115">
            <v>0</v>
          </cell>
          <cell r="AB115">
            <v>0</v>
          </cell>
        </row>
        <row r="116">
          <cell r="D116" t="str">
            <v>Phạm Nguyễn Ngọc Quyền Trân</v>
          </cell>
          <cell r="E116" t="str">
            <v>HĐTV</v>
          </cell>
          <cell r="F116" t="str">
            <v>Rạch Bùng Binh</v>
          </cell>
          <cell r="G116" t="str">
            <v>DSTV</v>
          </cell>
          <cell r="H116" t="str">
            <v>25/05/2026</v>
          </cell>
          <cell r="I116" t="str">
            <v>0933512397</v>
          </cell>
          <cell r="J116" t="str">
            <v>MB bank</v>
          </cell>
          <cell r="K116">
            <v>28</v>
          </cell>
          <cell r="L116">
            <v>26</v>
          </cell>
          <cell r="M116">
            <v>231.35</v>
          </cell>
          <cell r="N116">
            <v>2</v>
          </cell>
          <cell r="S116">
            <v>0</v>
          </cell>
          <cell r="T116">
            <v>464285.71428571403</v>
          </cell>
          <cell r="AA116">
            <v>0</v>
          </cell>
          <cell r="AB116">
            <v>0</v>
          </cell>
          <cell r="AC116">
            <v>5100000</v>
          </cell>
        </row>
        <row r="117">
          <cell r="D117" t="str">
            <v>Trần Gia Tiến</v>
          </cell>
          <cell r="E117" t="str">
            <v>HĐTV</v>
          </cell>
          <cell r="F117" t="str">
            <v>Rạch Bùng Binh</v>
          </cell>
          <cell r="G117" t="str">
            <v>DSTV</v>
          </cell>
          <cell r="H117" t="str">
            <v>01/07/2026</v>
          </cell>
          <cell r="I117" t="str">
            <v>00006497190</v>
          </cell>
          <cell r="J117" t="str">
            <v>TPBank</v>
          </cell>
          <cell r="K117">
            <v>28</v>
          </cell>
          <cell r="L117">
            <v>6</v>
          </cell>
          <cell r="M117">
            <v>55</v>
          </cell>
          <cell r="N117">
            <v>0</v>
          </cell>
          <cell r="S117">
            <v>0</v>
          </cell>
          <cell r="T117">
            <v>107142.857142857</v>
          </cell>
          <cell r="AA117">
            <v>0</v>
          </cell>
          <cell r="AB117">
            <v>0</v>
          </cell>
        </row>
        <row r="118">
          <cell r="D118" t="str">
            <v>Đinh Hoài Bảo</v>
          </cell>
          <cell r="E118" t="str">
            <v>HĐTV</v>
          </cell>
          <cell r="F118" t="str">
            <v>Đỗ Quang Đẩu</v>
          </cell>
          <cell r="G118" t="str">
            <v>DSTV</v>
          </cell>
          <cell r="H118" t="str">
            <v>03/07/2026</v>
          </cell>
          <cell r="I118" t="str">
            <v>5620709358</v>
          </cell>
          <cell r="J118" t="str">
            <v>BIDV</v>
          </cell>
          <cell r="K118">
            <v>28</v>
          </cell>
          <cell r="L118">
            <v>4</v>
          </cell>
          <cell r="M118">
            <v>7.0000000000000007E-2</v>
          </cell>
          <cell r="N118">
            <v>32.270000000000003</v>
          </cell>
          <cell r="S118">
            <v>0</v>
          </cell>
          <cell r="T118">
            <v>71428.571428571406</v>
          </cell>
          <cell r="AA118">
            <v>0</v>
          </cell>
          <cell r="AB118">
            <v>0</v>
          </cell>
        </row>
        <row r="119">
          <cell r="K119">
            <v>224</v>
          </cell>
          <cell r="L119">
            <v>124</v>
          </cell>
          <cell r="M119">
            <v>826.28</v>
          </cell>
          <cell r="N119">
            <v>364.88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10620000</v>
          </cell>
          <cell r="T119">
            <v>2071428.57142857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22200000</v>
          </cell>
        </row>
        <row r="120">
          <cell r="D120" t="str">
            <v>Hứa Thị Kim Thoa</v>
          </cell>
          <cell r="E120" t="str">
            <v>HĐLĐ</v>
          </cell>
          <cell r="F120" t="str">
            <v>Đường Láng</v>
          </cell>
          <cell r="G120" t="str">
            <v>CHT</v>
          </cell>
          <cell r="H120">
            <v>45008</v>
          </cell>
          <cell r="I120" t="str">
            <v>30961328046</v>
          </cell>
          <cell r="J120" t="str">
            <v>TPbank</v>
          </cell>
          <cell r="K120">
            <v>28</v>
          </cell>
          <cell r="L120">
            <v>28</v>
          </cell>
          <cell r="M120">
            <v>160.52000000000001</v>
          </cell>
          <cell r="N120">
            <v>93.18</v>
          </cell>
          <cell r="S120">
            <v>5310000</v>
          </cell>
          <cell r="T120">
            <v>500000</v>
          </cell>
          <cell r="AA120">
            <v>0</v>
          </cell>
          <cell r="AB120">
            <v>0</v>
          </cell>
          <cell r="AC120">
            <v>6920000</v>
          </cell>
        </row>
        <row r="121">
          <cell r="D121" t="str">
            <v>Lê Thị Soạn</v>
          </cell>
          <cell r="E121" t="str">
            <v>HĐLĐ</v>
          </cell>
          <cell r="F121" t="str">
            <v>Đường Láng</v>
          </cell>
          <cell r="G121" t="str">
            <v>DSBC</v>
          </cell>
          <cell r="H121">
            <v>44562</v>
          </cell>
          <cell r="I121" t="str">
            <v>0987524738</v>
          </cell>
          <cell r="J121" t="str">
            <v>Vietinbank</v>
          </cell>
          <cell r="K121">
            <v>28</v>
          </cell>
          <cell r="L121">
            <v>31</v>
          </cell>
          <cell r="M121">
            <v>22.72</v>
          </cell>
          <cell r="N121">
            <v>248.18</v>
          </cell>
          <cell r="S121">
            <v>5310000</v>
          </cell>
          <cell r="T121">
            <v>500000</v>
          </cell>
          <cell r="AA121">
            <v>0</v>
          </cell>
          <cell r="AB121">
            <v>0</v>
          </cell>
          <cell r="AC121">
            <v>7869400</v>
          </cell>
        </row>
        <row r="122">
          <cell r="D122" t="str">
            <v>Nguyễn Thị Mai Duyên</v>
          </cell>
          <cell r="E122" t="str">
            <v>HĐLĐ</v>
          </cell>
          <cell r="F122" t="str">
            <v>Đường Láng</v>
          </cell>
          <cell r="G122" t="str">
            <v>DSBC</v>
          </cell>
          <cell r="H122" t="str">
            <v>21/03/2025</v>
          </cell>
          <cell r="I122" t="str">
            <v>51016102001</v>
          </cell>
          <cell r="J122" t="str">
            <v>VP Bank</v>
          </cell>
          <cell r="K122">
            <v>28</v>
          </cell>
          <cell r="L122">
            <v>27</v>
          </cell>
          <cell r="M122">
            <v>184.28</v>
          </cell>
          <cell r="N122">
            <v>79.45</v>
          </cell>
          <cell r="S122">
            <v>5310000</v>
          </cell>
          <cell r="T122">
            <v>482142.85714285698</v>
          </cell>
          <cell r="AA122">
            <v>0</v>
          </cell>
          <cell r="AB122">
            <v>0</v>
          </cell>
          <cell r="AC122">
            <v>6000000</v>
          </cell>
        </row>
        <row r="123">
          <cell r="D123" t="str">
            <v>Nguyễn Thị Tâm</v>
          </cell>
          <cell r="E123" t="str">
            <v>HĐLĐ</v>
          </cell>
          <cell r="F123" t="str">
            <v>Đường Láng</v>
          </cell>
          <cell r="G123" t="str">
            <v>DSBC</v>
          </cell>
          <cell r="H123">
            <v>45062</v>
          </cell>
          <cell r="I123" t="str">
            <v>0924479717</v>
          </cell>
          <cell r="J123" t="str">
            <v>Vietinbank</v>
          </cell>
          <cell r="K123">
            <v>28</v>
          </cell>
          <cell r="L123">
            <v>27</v>
          </cell>
          <cell r="M123">
            <v>220.43</v>
          </cell>
          <cell r="N123">
            <v>35.380000000000003</v>
          </cell>
          <cell r="S123">
            <v>5310000</v>
          </cell>
          <cell r="T123">
            <v>482142.85714285698</v>
          </cell>
          <cell r="AA123">
            <v>0</v>
          </cell>
          <cell r="AB123">
            <v>0</v>
          </cell>
          <cell r="AC123">
            <v>7000000</v>
          </cell>
        </row>
        <row r="124">
          <cell r="D124" t="str">
            <v>Trần Ngọc Dung</v>
          </cell>
          <cell r="E124" t="str">
            <v>HĐLĐ</v>
          </cell>
          <cell r="F124" t="str">
            <v>Đường Láng</v>
          </cell>
          <cell r="G124" t="str">
            <v>DSBC</v>
          </cell>
          <cell r="H124" t="str">
            <v>10/3/2026</v>
          </cell>
          <cell r="I124" t="str">
            <v>19036814716010</v>
          </cell>
          <cell r="J124" t="str">
            <v>Techcombank</v>
          </cell>
          <cell r="K124">
            <v>28</v>
          </cell>
          <cell r="L124">
            <v>28</v>
          </cell>
          <cell r="M124">
            <v>108.63</v>
          </cell>
          <cell r="N124">
            <v>168.62</v>
          </cell>
          <cell r="S124">
            <v>5310000</v>
          </cell>
          <cell r="T124">
            <v>500000</v>
          </cell>
          <cell r="AA124">
            <v>0</v>
          </cell>
          <cell r="AB124">
            <v>0</v>
          </cell>
          <cell r="AC124">
            <v>6000000</v>
          </cell>
        </row>
        <row r="125">
          <cell r="K125">
            <v>140</v>
          </cell>
          <cell r="L125">
            <v>141</v>
          </cell>
          <cell r="M125">
            <v>696.58</v>
          </cell>
          <cell r="N125">
            <v>624.80999999999995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26550000</v>
          </cell>
          <cell r="T125">
            <v>2464285.7142857099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33789400</v>
          </cell>
        </row>
        <row r="126">
          <cell r="D126" t="str">
            <v>Nguyễn Mạnh Tuấn</v>
          </cell>
          <cell r="E126" t="str">
            <v>HĐLĐ</v>
          </cell>
          <cell r="F126" t="str">
            <v>Hàng Bông</v>
          </cell>
          <cell r="G126" t="str">
            <v>DSBC</v>
          </cell>
          <cell r="H126" t="str">
            <v>29/09/2025</v>
          </cell>
          <cell r="I126" t="str">
            <v>00834502302</v>
          </cell>
          <cell r="J126" t="str">
            <v>TP bank</v>
          </cell>
          <cell r="K126">
            <v>28</v>
          </cell>
          <cell r="L126">
            <v>27</v>
          </cell>
          <cell r="M126">
            <v>2</v>
          </cell>
          <cell r="N126">
            <v>211.85</v>
          </cell>
          <cell r="S126">
            <v>5310000</v>
          </cell>
          <cell r="T126">
            <v>482142.85714285698</v>
          </cell>
          <cell r="AA126">
            <v>0</v>
          </cell>
          <cell r="AB126">
            <v>0</v>
          </cell>
          <cell r="AC126">
            <v>6000000</v>
          </cell>
        </row>
        <row r="127">
          <cell r="D127" t="str">
            <v>Nguyễn Thị Mai Duyên</v>
          </cell>
          <cell r="E127" t="str">
            <v>HĐLĐ</v>
          </cell>
          <cell r="F127" t="str">
            <v>Đường Láng</v>
          </cell>
          <cell r="G127" t="str">
            <v>DSBC</v>
          </cell>
          <cell r="H127" t="str">
            <v>21/03/2025</v>
          </cell>
          <cell r="I127" t="str">
            <v>51016102001</v>
          </cell>
          <cell r="J127" t="str">
            <v>VP Bank</v>
          </cell>
          <cell r="K127">
            <v>28</v>
          </cell>
          <cell r="L127">
            <v>7</v>
          </cell>
          <cell r="M127">
            <v>24</v>
          </cell>
          <cell r="N127">
            <v>44.52</v>
          </cell>
          <cell r="S127">
            <v>5310000</v>
          </cell>
          <cell r="T127">
            <v>17857.1428571428</v>
          </cell>
          <cell r="AA127">
            <v>0</v>
          </cell>
          <cell r="AB127">
            <v>0</v>
          </cell>
          <cell r="AC127">
            <v>6000000</v>
          </cell>
        </row>
        <row r="128">
          <cell r="D128" t="str">
            <v>Vũ Thanh Hằng</v>
          </cell>
          <cell r="E128" t="str">
            <v>HĐLĐ</v>
          </cell>
          <cell r="F128" t="str">
            <v>Hàng Bông</v>
          </cell>
          <cell r="G128" t="str">
            <v>DSBC</v>
          </cell>
          <cell r="H128" t="str">
            <v>22/9/2025</v>
          </cell>
          <cell r="I128" t="str">
            <v>9993886688</v>
          </cell>
          <cell r="J128" t="str">
            <v>Techcombank</v>
          </cell>
          <cell r="K128">
            <v>28</v>
          </cell>
          <cell r="L128">
            <v>27</v>
          </cell>
          <cell r="M128">
            <v>205.92</v>
          </cell>
          <cell r="N128">
            <v>34.72</v>
          </cell>
          <cell r="S128">
            <v>5310000</v>
          </cell>
          <cell r="T128">
            <v>482142.85714285698</v>
          </cell>
          <cell r="AA128">
            <v>0</v>
          </cell>
          <cell r="AB128">
            <v>0</v>
          </cell>
          <cell r="AC128">
            <v>6000000</v>
          </cell>
        </row>
        <row r="129">
          <cell r="D129" t="str">
            <v>Đinh Thị Khánh Ly</v>
          </cell>
          <cell r="E129" t="str">
            <v>HĐLĐ</v>
          </cell>
          <cell r="F129" t="str">
            <v>Hàng Bông</v>
          </cell>
          <cell r="G129" t="str">
            <v>DSBC</v>
          </cell>
          <cell r="H129" t="str">
            <v>03/11/2025</v>
          </cell>
          <cell r="I129" t="str">
            <v>0021000423384</v>
          </cell>
          <cell r="J129" t="str">
            <v>Vietcombank</v>
          </cell>
          <cell r="K129">
            <v>28</v>
          </cell>
          <cell r="L129">
            <v>28</v>
          </cell>
          <cell r="M129">
            <v>215.38</v>
          </cell>
          <cell r="N129">
            <v>26.6</v>
          </cell>
          <cell r="S129">
            <v>5310000</v>
          </cell>
          <cell r="T129">
            <v>500000</v>
          </cell>
          <cell r="AA129">
            <v>0</v>
          </cell>
          <cell r="AB129">
            <v>0</v>
          </cell>
          <cell r="AC129">
            <v>6000000</v>
          </cell>
        </row>
        <row r="130">
          <cell r="D130" t="str">
            <v>Đinh Thị Lan Anh</v>
          </cell>
          <cell r="E130" t="str">
            <v>HĐLĐ</v>
          </cell>
          <cell r="F130" t="str">
            <v>Hàng Bông</v>
          </cell>
          <cell r="G130" t="str">
            <v>DSBC</v>
          </cell>
          <cell r="H130">
            <v>44674</v>
          </cell>
          <cell r="I130" t="str">
            <v>16010000495222</v>
          </cell>
          <cell r="J130" t="str">
            <v>BIDV</v>
          </cell>
          <cell r="K130">
            <v>28</v>
          </cell>
          <cell r="L130">
            <v>30</v>
          </cell>
          <cell r="M130">
            <v>263.92</v>
          </cell>
          <cell r="N130">
            <v>18.420000000000002</v>
          </cell>
          <cell r="S130">
            <v>5310000</v>
          </cell>
          <cell r="T130">
            <v>500000</v>
          </cell>
          <cell r="AA130">
            <v>0</v>
          </cell>
          <cell r="AB130">
            <v>0</v>
          </cell>
          <cell r="AC130">
            <v>7920000</v>
          </cell>
        </row>
        <row r="131">
          <cell r="K131">
            <v>84</v>
          </cell>
          <cell r="L131">
            <v>85</v>
          </cell>
          <cell r="M131">
            <v>685.22</v>
          </cell>
          <cell r="N131">
            <v>79.739999999999995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15930000</v>
          </cell>
          <cell r="T131">
            <v>1482142.8571428601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19920000</v>
          </cell>
        </row>
        <row r="132">
          <cell r="K132">
            <v>4116</v>
          </cell>
          <cell r="L132">
            <v>2748</v>
          </cell>
          <cell r="M132">
            <v>15011.37</v>
          </cell>
          <cell r="N132">
            <v>9662.4599999999991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461970000</v>
          </cell>
          <cell r="T132">
            <v>45696428.571428597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2000000</v>
          </cell>
          <cell r="AB132">
            <v>4000000</v>
          </cell>
          <cell r="AC132">
            <v>684738116</v>
          </cell>
        </row>
        <row r="133">
          <cell r="K133">
            <v>2549</v>
          </cell>
          <cell r="L133">
            <v>1860.5</v>
          </cell>
          <cell r="M133">
            <v>7435.08</v>
          </cell>
          <cell r="N133">
            <v>4347.8999999999996</v>
          </cell>
          <cell r="O133">
            <v>0</v>
          </cell>
          <cell r="P133">
            <v>0</v>
          </cell>
          <cell r="Q133">
            <v>0</v>
          </cell>
          <cell r="R133">
            <v>145303100</v>
          </cell>
          <cell r="S133">
            <v>286740000</v>
          </cell>
          <cell r="T133">
            <v>37725000</v>
          </cell>
          <cell r="U133">
            <v>4992000</v>
          </cell>
          <cell r="V133">
            <v>5000000</v>
          </cell>
          <cell r="W133">
            <v>0</v>
          </cell>
          <cell r="X133">
            <v>0</v>
          </cell>
          <cell r="Y133">
            <v>0</v>
          </cell>
          <cell r="Z133">
            <v>3000000</v>
          </cell>
          <cell r="AC133">
            <v>700654159</v>
          </cell>
        </row>
        <row r="134">
          <cell r="K134">
            <v>729</v>
          </cell>
          <cell r="L134">
            <v>547.5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145303100</v>
          </cell>
          <cell r="S134">
            <v>69030000</v>
          </cell>
          <cell r="T134">
            <v>15600000</v>
          </cell>
          <cell r="U134">
            <v>4992000</v>
          </cell>
          <cell r="V134">
            <v>5000000</v>
          </cell>
          <cell r="W134">
            <v>0</v>
          </cell>
          <cell r="X134">
            <v>0</v>
          </cell>
          <cell r="Y134">
            <v>0</v>
          </cell>
          <cell r="Z134">
            <v>3000000</v>
          </cell>
          <cell r="AC134">
            <v>377925101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5">
          <cell r="C5" t="str">
            <v>Le Huu Ha</v>
          </cell>
          <cell r="D5" t="str">
            <v>Le Huu Ha</v>
          </cell>
          <cell r="E5" t="str">
            <v>HĐLĐ</v>
          </cell>
          <cell r="F5" t="str">
            <v>BOD</v>
          </cell>
          <cell r="G5" t="str">
            <v>GĐ</v>
          </cell>
          <cell r="H5">
            <v>43466</v>
          </cell>
          <cell r="I5" t="str">
            <v>16810000588456</v>
          </cell>
          <cell r="J5" t="str">
            <v>BIDV</v>
          </cell>
          <cell r="K5" t="str">
            <v>ha.le@medigoapp.com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C7" t="str">
            <v>Le Thi Quy Ngoc</v>
          </cell>
          <cell r="D7" t="str">
            <v>Lê Thị Quý Ngọc</v>
          </cell>
          <cell r="E7" t="str">
            <v>HĐLĐ</v>
          </cell>
          <cell r="F7" t="str">
            <v>Vận hành nhà thuốc</v>
          </cell>
          <cell r="G7" t="str">
            <v>Quản lý hệ thống nhà thuốc</v>
          </cell>
          <cell r="H7">
            <v>45040</v>
          </cell>
          <cell r="I7" t="str">
            <v>0441000768646</v>
          </cell>
          <cell r="J7" t="str">
            <v>VCB</v>
          </cell>
          <cell r="K7" t="str">
            <v>ngoc.le@medigoapp.com</v>
          </cell>
        </row>
        <row r="8">
          <cell r="C8" t="str">
            <v>Le Thu Ha</v>
          </cell>
          <cell r="D8" t="str">
            <v>Lê Thu Hà</v>
          </cell>
          <cell r="E8" t="str">
            <v>HĐLĐ</v>
          </cell>
          <cell r="F8" t="str">
            <v>Vận hành nhà thuốc</v>
          </cell>
          <cell r="G8" t="str">
            <v>Nhân viên mua hàng</v>
          </cell>
          <cell r="H8">
            <v>44774</v>
          </cell>
          <cell r="I8" t="str">
            <v>0511000409951</v>
          </cell>
          <cell r="J8" t="str">
            <v>Vietcombank</v>
          </cell>
          <cell r="K8" t="str">
            <v>thuha.le@medigoapp.com</v>
          </cell>
        </row>
        <row r="9">
          <cell r="C9" t="str">
            <v>Pham Thi Hong Ngoc</v>
          </cell>
          <cell r="D9" t="str">
            <v>Phạm Thị Hồng Ngọc</v>
          </cell>
          <cell r="E9" t="str">
            <v>HĐLĐ</v>
          </cell>
          <cell r="F9" t="str">
            <v>Vận hành nhà thuốc</v>
          </cell>
          <cell r="G9" t="str">
            <v>Thủ kho</v>
          </cell>
          <cell r="H9" t="str">
            <v>02/12/2024</v>
          </cell>
          <cell r="I9" t="str">
            <v>628704060022530</v>
          </cell>
          <cell r="J9" t="str">
            <v>VIB</v>
          </cell>
          <cell r="K9" t="str">
            <v>ngoc.pham@medigoapp.com</v>
          </cell>
        </row>
        <row r="10">
          <cell r="C10" t="str">
            <v>Nguyen Duc Viet Khoa</v>
          </cell>
          <cell r="D10" t="str">
            <v>Nguyễn Đức Việt Khoa</v>
          </cell>
          <cell r="E10" t="str">
            <v>HĐLĐ</v>
          </cell>
          <cell r="F10" t="str">
            <v>Vận hành nhà thuốc</v>
          </cell>
          <cell r="G10" t="str">
            <v>Nhân viên phân tích phát triển kinh doanh</v>
          </cell>
          <cell r="H10">
            <v>45523</v>
          </cell>
          <cell r="I10" t="str">
            <v>100874109827</v>
          </cell>
          <cell r="J10" t="str">
            <v>Vietinbank</v>
          </cell>
          <cell r="K10" t="str">
            <v>khoa.nguyen@medigoapp.com</v>
          </cell>
        </row>
        <row r="11">
          <cell r="C11" t="str">
            <v>Duong Thi Van Trang</v>
          </cell>
          <cell r="D11" t="str">
            <v>Dương Thị Vân Trang</v>
          </cell>
          <cell r="E11" t="str">
            <v>HĐLĐ</v>
          </cell>
          <cell r="F11" t="str">
            <v>Vận hành nhà thuốc</v>
          </cell>
          <cell r="G11" t="str">
            <v>Chuyên viên kho vận</v>
          </cell>
          <cell r="H11">
            <v>45565</v>
          </cell>
          <cell r="I11" t="str">
            <v>19036357455011</v>
          </cell>
          <cell r="J11" t="str">
            <v>Techcombank</v>
          </cell>
          <cell r="K11" t="str">
            <v>trang.duong@medigoapp.com</v>
          </cell>
        </row>
        <row r="12">
          <cell r="C12" t="str">
            <v>Nguyen Tuan Nghia</v>
          </cell>
          <cell r="D12" t="str">
            <v>Nguyễn Tuấn Nghĩa</v>
          </cell>
          <cell r="E12" t="str">
            <v>HĐCTV</v>
          </cell>
          <cell r="F12" t="str">
            <v>Vận hành nhà thuốc</v>
          </cell>
          <cell r="G12" t="str">
            <v>NV Giám sát Camera</v>
          </cell>
          <cell r="H12" t="str">
            <v>18/09/2023</v>
          </cell>
          <cell r="I12" t="str">
            <v>9333757326</v>
          </cell>
          <cell r="J12" t="str">
            <v>Vietcombank</v>
          </cell>
          <cell r="K12" t="str">
            <v>nghia.nguyen@medigoapp.com</v>
          </cell>
        </row>
        <row r="13">
          <cell r="C13" t="str">
            <v>Nguyen Thi Kim Hue</v>
          </cell>
          <cell r="D13" t="str">
            <v>Nguyễn Thị Kim Huệ</v>
          </cell>
          <cell r="E13" t="str">
            <v>HĐLĐ</v>
          </cell>
          <cell r="F13" t="str">
            <v>Vận hành nhà thuốc</v>
          </cell>
          <cell r="G13" t="str">
            <v>Nhân viên kiểm soát chất lượng tư vấn</v>
          </cell>
          <cell r="H13">
            <v>45413</v>
          </cell>
          <cell r="I13" t="str">
            <v>1392480093</v>
          </cell>
          <cell r="J13" t="str">
            <v>Techcombank</v>
          </cell>
          <cell r="K13" t="str">
            <v>hue.nguyen@medigoapp.com</v>
          </cell>
        </row>
        <row r="14">
          <cell r="C14" t="str">
            <v>Huynh Ngoc Anh</v>
          </cell>
          <cell r="D14" t="str">
            <v>Huỳnh Ngọc Anh</v>
          </cell>
          <cell r="E14" t="str">
            <v>HĐLĐ</v>
          </cell>
          <cell r="F14" t="str">
            <v>Vận hành nhà thuốc</v>
          </cell>
          <cell r="G14" t="str">
            <v>Admin Nhà Thuốc</v>
          </cell>
          <cell r="H14">
            <v>45694</v>
          </cell>
          <cell r="I14" t="str">
            <v>101001856411</v>
          </cell>
          <cell r="J14" t="str">
            <v>Vietinbank</v>
          </cell>
          <cell r="K14" t="str">
            <v>anh.huynh@medigoapp.com</v>
          </cell>
        </row>
        <row r="15">
          <cell r="C15" t="str">
            <v>Vu Ngoc Thanh Thao</v>
          </cell>
          <cell r="D15" t="str">
            <v>Vũ Ngọc Thanh Thảo</v>
          </cell>
          <cell r="E15" t="str">
            <v>HĐLĐ</v>
          </cell>
          <cell r="F15" t="str">
            <v>Vận hành nhà thuốc</v>
          </cell>
          <cell r="G15" t="str">
            <v>Quản lý khu vực</v>
          </cell>
          <cell r="H15">
            <v>45845</v>
          </cell>
          <cell r="I15" t="str">
            <v>0111000299588</v>
          </cell>
          <cell r="J15" t="str">
            <v>VIETCOMBANK</v>
          </cell>
          <cell r="K15" t="str">
            <v>thao.vu@medigoapp.com</v>
          </cell>
        </row>
        <row r="16">
          <cell r="C16" t="str">
            <v>Nguyen Hoang Yen</v>
          </cell>
          <cell r="D16" t="str">
            <v>Nguyễn Hoàng Yến</v>
          </cell>
          <cell r="E16" t="str">
            <v>HĐLĐ</v>
          </cell>
          <cell r="F16" t="str">
            <v>Vận hành nhà thuốc</v>
          </cell>
          <cell r="G16" t="str">
            <v>Nhân viên phụ trách pháp lý và inventory </v>
          </cell>
          <cell r="H16">
            <v>45876</v>
          </cell>
          <cell r="I16" t="str">
            <v>1014543868</v>
          </cell>
          <cell r="J16" t="str">
            <v>Vietcombank</v>
          </cell>
          <cell r="K16" t="str">
            <v>yen.nguyen@medigoapp.com</v>
          </cell>
        </row>
        <row r="17">
          <cell r="C17" t="str">
            <v>Dang Van Thang</v>
          </cell>
          <cell r="D17" t="str">
            <v>Đặng Văn Thắng</v>
          </cell>
          <cell r="E17" t="str">
            <v>HĐLĐ</v>
          </cell>
          <cell r="F17" t="str">
            <v>Vận hành nhà thuốc</v>
          </cell>
          <cell r="G17" t="str">
            <v>NV Kiểm soát nội bộ</v>
          </cell>
          <cell r="H17">
            <v>45926</v>
          </cell>
          <cell r="I17" t="str">
            <v>19135201270018</v>
          </cell>
          <cell r="J17" t="str">
            <v>Techcombank</v>
          </cell>
          <cell r="K17" t="str">
            <v>thang.dang@medigoapp.com</v>
          </cell>
        </row>
        <row r="18">
          <cell r="C18" t="str">
            <v>Doan Huu Luan</v>
          </cell>
          <cell r="D18" t="str">
            <v>Đoàn Hữu Luận</v>
          </cell>
          <cell r="E18" t="str">
            <v>HĐLĐ</v>
          </cell>
          <cell r="F18" t="str">
            <v>Vận hành nhà thuốc</v>
          </cell>
          <cell r="G18" t="str">
            <v>NV Bảo trì, giao nhận</v>
          </cell>
          <cell r="H18" t="str">
            <v>10/08/2022</v>
          </cell>
          <cell r="I18" t="str">
            <v>1020112968002</v>
          </cell>
          <cell r="J18" t="str">
            <v>MBbank</v>
          </cell>
          <cell r="K18" t="str">
            <v>luan.doan@medigoapp.com</v>
          </cell>
        </row>
        <row r="19">
          <cell r="C19" t="str">
            <v>Dang Thien An</v>
          </cell>
          <cell r="D19" t="str">
            <v>Đặng Thiên Ân</v>
          </cell>
          <cell r="E19" t="str">
            <v>HĐCTV</v>
          </cell>
          <cell r="F19" t="str">
            <v>Vận hành nhà thuốc</v>
          </cell>
          <cell r="G19" t="str">
            <v>TTS dữ liệu</v>
          </cell>
          <cell r="H19" t="str">
            <v>13/03/2026</v>
          </cell>
          <cell r="I19" t="str">
            <v>0982685374</v>
          </cell>
          <cell r="J19" t="str">
            <v>MBBANK</v>
          </cell>
          <cell r="K19" t="str">
            <v>an.dang@medigoapp.com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C21" t="str">
            <v>DO VU MY LINH</v>
          </cell>
          <cell r="D21" t="str">
            <v>ĐỖ VŨ MỸ LINH</v>
          </cell>
          <cell r="E21" t="str">
            <v>HĐTV</v>
          </cell>
          <cell r="F21" t="str">
            <v>HR</v>
          </cell>
          <cell r="G21" t="str">
            <v>TP.HCNS</v>
          </cell>
          <cell r="H21" t="str">
            <v>01/04/2026</v>
          </cell>
          <cell r="I21" t="str">
            <v>0909779004</v>
          </cell>
          <cell r="J21" t="str">
            <v>MB Bank</v>
          </cell>
          <cell r="K21" t="str">
            <v>linh.do@medigoapp.com</v>
          </cell>
        </row>
        <row r="22">
          <cell r="C22" t="str">
            <v>MAI TRI DUNG</v>
          </cell>
          <cell r="D22" t="str">
            <v>MAI TRÍ DŨNG</v>
          </cell>
          <cell r="E22" t="str">
            <v>HĐTV</v>
          </cell>
          <cell r="F22" t="str">
            <v>HR</v>
          </cell>
          <cell r="G22" t="str">
            <v>Chuyên viên Tuyển dụng</v>
          </cell>
          <cell r="H22" t="str">
            <v>09/04/2026</v>
          </cell>
          <cell r="I22" t="str">
            <v>108000918951</v>
          </cell>
          <cell r="J22" t="str">
            <v>PVcomBank</v>
          </cell>
          <cell r="K22" t="str">
            <v>dung.mai@medigoapp.com</v>
          </cell>
        </row>
        <row r="23">
          <cell r="C23" t="str">
            <v>HO PHAM MINH TIEN</v>
          </cell>
          <cell r="D23" t="str">
            <v>Hồ Phạm Minh Tiến</v>
          </cell>
          <cell r="E23" t="str">
            <v>HĐTV</v>
          </cell>
          <cell r="F23" t="str">
            <v>HR</v>
          </cell>
          <cell r="G23" t="str">
            <v>TTS Hành chính văn phòng</v>
          </cell>
          <cell r="H23" t="str">
            <v>23/04/2026</v>
          </cell>
          <cell r="I23">
            <v>1016586983</v>
          </cell>
          <cell r="J23" t="str">
            <v>Ngân hàng thương mại cổ phần Ngoại thương Việt Nam (Vietcombank)</v>
          </cell>
          <cell r="K23" t="str">
            <v>tien.ho@medigoapp.com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C25" t="str">
            <v>Ho Thi Kieu Thu</v>
          </cell>
          <cell r="D25" t="str">
            <v>Hồ Thị Kiều Thu</v>
          </cell>
          <cell r="E25" t="str">
            <v>HĐLĐ</v>
          </cell>
          <cell r="F25" t="str">
            <v>Phòng khám Q.5</v>
          </cell>
          <cell r="G25" t="str">
            <v>Bác sĩ phụ trách chuyên môn</v>
          </cell>
          <cell r="H25" t="str">
            <v>19/01/2026</v>
          </cell>
          <cell r="I25" t="str">
            <v>19034597379016</v>
          </cell>
          <cell r="J25" t="str">
            <v>Techcombank</v>
          </cell>
          <cell r="K25" t="str">
            <v>Tinhnghesy 123@gmail.com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Ho Thi Minh Hoa</v>
          </cell>
          <cell r="D27" t="str">
            <v>Hồ Thị Minh Hòa</v>
          </cell>
          <cell r="E27" t="str">
            <v>HĐLĐ</v>
          </cell>
          <cell r="F27" t="str">
            <v>24H</v>
          </cell>
          <cell r="G27" t="str">
            <v>DSBC</v>
          </cell>
          <cell r="H27">
            <v>45352</v>
          </cell>
          <cell r="I27" t="str">
            <v>0051000542226</v>
          </cell>
          <cell r="J27" t="str">
            <v>Vietcombank</v>
          </cell>
          <cell r="K27" t="str">
            <v>medigo.hoa.ho@gmail.com</v>
          </cell>
        </row>
        <row r="28">
          <cell r="C28" t="str">
            <v>Tran Thi Kim Khanh</v>
          </cell>
          <cell r="D28" t="str">
            <v>Trần Thị Kim Khánh</v>
          </cell>
          <cell r="E28" t="str">
            <v>HĐLĐ</v>
          </cell>
          <cell r="F28" t="str">
            <v>24H</v>
          </cell>
          <cell r="G28" t="str">
            <v>DSBC</v>
          </cell>
          <cell r="H28">
            <v>45099</v>
          </cell>
          <cell r="I28" t="str">
            <v>69110000565904</v>
          </cell>
          <cell r="J28" t="str">
            <v>BIDV</v>
          </cell>
          <cell r="K28" t="str">
            <v>medigo.khanh.tran@gmail.com</v>
          </cell>
        </row>
        <row r="29">
          <cell r="C29" t="str">
            <v>Huynh Ngoc Lieu</v>
          </cell>
          <cell r="D29" t="str">
            <v>Huỳnh Ngọc Liểu</v>
          </cell>
          <cell r="E29" t="str">
            <v>HĐLĐ</v>
          </cell>
          <cell r="F29" t="str">
            <v>24H</v>
          </cell>
          <cell r="G29" t="str">
            <v>DSBC</v>
          </cell>
          <cell r="H29">
            <v>45278</v>
          </cell>
          <cell r="I29" t="str">
            <v>0111000173413</v>
          </cell>
          <cell r="J29" t="str">
            <v>Vietcombank CN Cần Thơ</v>
          </cell>
          <cell r="K29" t="str">
            <v>medigo.lieu.huynh@gmail.com</v>
          </cell>
        </row>
        <row r="30">
          <cell r="C30" t="str">
            <v>Pham Nguyen Ngoc Quy</v>
          </cell>
          <cell r="D30" t="str">
            <v>Phạm Nguyễn Ngọc Quý</v>
          </cell>
          <cell r="E30" t="str">
            <v>HĐLĐ</v>
          </cell>
          <cell r="F30" t="str">
            <v>24H</v>
          </cell>
          <cell r="G30" t="str">
            <v>DSBC</v>
          </cell>
          <cell r="H30" t="str">
            <v>01/11/2024</v>
          </cell>
          <cell r="I30" t="str">
            <v>1026764251</v>
          </cell>
          <cell r="J30" t="str">
            <v>Vietcombank</v>
          </cell>
          <cell r="K30" t="str">
            <v>medigo.quy.pham@gmail.com</v>
          </cell>
        </row>
        <row r="31">
          <cell r="C31" t="str">
            <v>Ngo Tran Tuyet Vy</v>
          </cell>
          <cell r="D31" t="str">
            <v>Ngô Trần Tuyết Vy</v>
          </cell>
          <cell r="E31" t="str">
            <v>HĐLĐ</v>
          </cell>
          <cell r="F31" t="str">
            <v>24H</v>
          </cell>
          <cell r="G31" t="str">
            <v>DSBC</v>
          </cell>
          <cell r="H31">
            <v>44743</v>
          </cell>
          <cell r="I31" t="str">
            <v>060260188766</v>
          </cell>
          <cell r="J31" t="str">
            <v>Sacombank</v>
          </cell>
          <cell r="K31" t="str">
            <v>vy.ngo@medigoapp.com</v>
          </cell>
        </row>
        <row r="32">
          <cell r="C32" t="str">
            <v>Ha Ngan Khanh</v>
          </cell>
          <cell r="D32" t="str">
            <v>Hạ Ngân Khánh</v>
          </cell>
          <cell r="E32" t="str">
            <v>HĐLĐ</v>
          </cell>
          <cell r="F32" t="str">
            <v>24H</v>
          </cell>
          <cell r="G32" t="str">
            <v>DSBC</v>
          </cell>
          <cell r="H32" t="str">
            <v>23/06/2025</v>
          </cell>
          <cell r="I32" t="str">
            <v>109873777758</v>
          </cell>
          <cell r="J32" t="str">
            <v>VietinBank</v>
          </cell>
          <cell r="K32" t="str">
            <v>medigo.ngankhanh.ha@gmail.com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C34" t="str">
            <v>Pham Thi Nghia Huong</v>
          </cell>
          <cell r="D34" t="str">
            <v>Phạm Thị Nghĩa Hương</v>
          </cell>
          <cell r="E34" t="str">
            <v>HĐLĐ</v>
          </cell>
          <cell r="F34" t="str">
            <v>Đỗ Quang Đẩu</v>
          </cell>
          <cell r="G34" t="str">
            <v>DSBC</v>
          </cell>
          <cell r="H34">
            <v>45575</v>
          </cell>
          <cell r="I34" t="str">
            <v>0968249073</v>
          </cell>
          <cell r="J34" t="str">
            <v>Mb bank</v>
          </cell>
          <cell r="K34" t="str">
            <v>medigo.huong.pham@gmail.com</v>
          </cell>
        </row>
        <row r="35">
          <cell r="C35" t="str">
            <v>Huynh Thi Kim Ngan</v>
          </cell>
          <cell r="D35" t="str">
            <v>Huỳnh Thị Kim Ngân</v>
          </cell>
          <cell r="E35" t="str">
            <v>HĐLĐ</v>
          </cell>
          <cell r="F35" t="str">
            <v>Đỗ Quang Đẩu</v>
          </cell>
          <cell r="G35" t="str">
            <v>DSBC</v>
          </cell>
          <cell r="H35" t="str">
            <v>4/9/2024</v>
          </cell>
          <cell r="I35" t="str">
            <v>00199839396666</v>
          </cell>
          <cell r="J35" t="str">
            <v>MB Bank</v>
          </cell>
          <cell r="K35" t="str">
            <v>medigo.ngan.huynh@gmail.com</v>
          </cell>
        </row>
        <row r="36">
          <cell r="C36" t="str">
            <v>Tran Thien Phat</v>
          </cell>
          <cell r="D36" t="str">
            <v>Trần Thiên Phát</v>
          </cell>
          <cell r="E36" t="str">
            <v>HĐLĐ</v>
          </cell>
          <cell r="F36" t="str">
            <v>Đỗ Quang Đẩu</v>
          </cell>
          <cell r="G36" t="str">
            <v>DSBC</v>
          </cell>
          <cell r="H36" t="str">
            <v>21/07/2025</v>
          </cell>
          <cell r="I36" t="str">
            <v>0345611564</v>
          </cell>
          <cell r="J36" t="str">
            <v>Mbbank</v>
          </cell>
          <cell r="K36" t="str">
            <v>medigo.thienphat.tran@gmail.com</v>
          </cell>
        </row>
        <row r="37">
          <cell r="C37" t="str">
            <v>Ngo Thi Thanh Tham</v>
          </cell>
          <cell r="D37" t="str">
            <v>Ngô Thị Thanh Thắm</v>
          </cell>
          <cell r="E37" t="str">
            <v>HĐLĐ</v>
          </cell>
          <cell r="F37" t="str">
            <v>Đỗ Quang Đẩu</v>
          </cell>
          <cell r="G37" t="str">
            <v>CHT</v>
          </cell>
          <cell r="H37">
            <v>45524</v>
          </cell>
          <cell r="I37" t="str">
            <v>0431000219840</v>
          </cell>
          <cell r="J37" t="str">
            <v>Vietcombank</v>
          </cell>
          <cell r="K37" t="str">
            <v>medigo.tham.ngo@gmail.com</v>
          </cell>
        </row>
        <row r="38">
          <cell r="C38" t="str">
            <v>Hoang Thanh Thuy</v>
          </cell>
          <cell r="D38" t="str">
            <v>Hoàng Thanh Thủy</v>
          </cell>
          <cell r="E38" t="str">
            <v>HĐLĐ</v>
          </cell>
          <cell r="F38" t="str">
            <v>Đỗ Quang Đẩu</v>
          </cell>
          <cell r="G38" t="str">
            <v>DSBC</v>
          </cell>
          <cell r="H38" t="str">
            <v>27/10/2025</v>
          </cell>
          <cell r="I38" t="str">
            <v>615704060127761</v>
          </cell>
          <cell r="J38" t="str">
            <v>VIB</v>
          </cell>
          <cell r="K38" t="str">
            <v>thuy.hoang@medigoapp.com</v>
          </cell>
        </row>
        <row r="39">
          <cell r="C39" t="str">
            <v>Le Thi Huyen Tran</v>
          </cell>
          <cell r="D39" t="str">
            <v>Lê Thị Huyền Trân</v>
          </cell>
          <cell r="E39" t="str">
            <v>HĐLĐ</v>
          </cell>
          <cell r="F39" t="str">
            <v>Đỗ Quang Đẩu</v>
          </cell>
          <cell r="G39" t="str">
            <v>DSBC</v>
          </cell>
          <cell r="H39">
            <v>45510</v>
          </cell>
          <cell r="I39" t="str">
            <v>03130767201</v>
          </cell>
          <cell r="J39" t="str">
            <v>Tiên Phong Bank</v>
          </cell>
          <cell r="K39" t="str">
            <v>medigo.tran.le@gmail.com</v>
          </cell>
        </row>
        <row r="40">
          <cell r="C40" t="str">
            <v>Nguyen Thi Phuong Linh</v>
          </cell>
          <cell r="D40" t="str">
            <v>Nguyễn Thị Phương Linh</v>
          </cell>
          <cell r="E40" t="str">
            <v>HĐTV</v>
          </cell>
          <cell r="F40" t="str">
            <v>Đỗ Quang Đẩu</v>
          </cell>
          <cell r="G40" t="str">
            <v>DSTV</v>
          </cell>
          <cell r="H40" t="str">
            <v>16/3/2026</v>
          </cell>
          <cell r="I40" t="str">
            <v>104872776864</v>
          </cell>
          <cell r="J40" t="str">
            <v>VietinBank</v>
          </cell>
          <cell r="K40" t="str">
            <v>linh.nguyen@medigoapp.com</v>
          </cell>
        </row>
        <row r="41">
          <cell r="C41" t="str">
            <v>Tong Xuan Giang</v>
          </cell>
          <cell r="D41" t="str">
            <v>Tống Xuân Giang</v>
          </cell>
          <cell r="E41" t="str">
            <v>HĐTV</v>
          </cell>
          <cell r="F41" t="str">
            <v>Đỗ Quang Đẩu</v>
          </cell>
          <cell r="G41" t="str">
            <v>DSTV</v>
          </cell>
          <cell r="H41" t="str">
            <v>10/3/2026</v>
          </cell>
          <cell r="I41" t="str">
            <v>0121000876739</v>
          </cell>
          <cell r="J41" t="str">
            <v>Vietcombank</v>
          </cell>
          <cell r="K41" t="str">
            <v>giang.tong@medigoapp.com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C43" t="str">
            <v>Tran Le Quynh Huong</v>
          </cell>
          <cell r="D43" t="str">
            <v>Trần Lê Quỳnh Hương</v>
          </cell>
          <cell r="E43" t="str">
            <v>HĐCTV</v>
          </cell>
          <cell r="F43" t="str">
            <v>Minh Châu</v>
          </cell>
          <cell r="G43" t="str">
            <v>DSHV</v>
          </cell>
          <cell r="H43" t="str">
            <v>24/11/2025</v>
          </cell>
          <cell r="I43" t="str">
            <v>21731287</v>
          </cell>
          <cell r="J43" t="str">
            <v>ACB</v>
          </cell>
          <cell r="K43" t="str">
            <v>huong.tran@medigoapp.com</v>
          </cell>
        </row>
        <row r="44">
          <cell r="C44" t="str">
            <v>Thai Thuy Linh</v>
          </cell>
          <cell r="D44" t="str">
            <v>Thái Thùy Linh</v>
          </cell>
          <cell r="E44" t="str">
            <v>HĐLĐ</v>
          </cell>
          <cell r="F44" t="str">
            <v>Minh Châu</v>
          </cell>
          <cell r="G44" t="str">
            <v>CHT</v>
          </cell>
          <cell r="H44">
            <v>44644</v>
          </cell>
          <cell r="I44" t="str">
            <v>070077077837</v>
          </cell>
          <cell r="J44" t="str">
            <v>Sacombank</v>
          </cell>
          <cell r="K44" t="str">
            <v>medigo.linh.thai@gmail.com</v>
          </cell>
        </row>
        <row r="45">
          <cell r="C45" t="str">
            <v>Trinh Thi Phuong</v>
          </cell>
          <cell r="D45" t="str">
            <v>Trịnh Thị Phượng</v>
          </cell>
          <cell r="E45" t="str">
            <v>HĐLĐ</v>
          </cell>
          <cell r="F45" t="str">
            <v>Minh Châu</v>
          </cell>
          <cell r="G45" t="str">
            <v>DSBC</v>
          </cell>
          <cell r="H45">
            <v>45096</v>
          </cell>
          <cell r="I45" t="str">
            <v>10200014211025</v>
          </cell>
          <cell r="J45" t="str">
            <v>Đông Nam Á (Seabank)</v>
          </cell>
          <cell r="K45" t="str">
            <v>medigo.phuong.trinh@gmail.com</v>
          </cell>
        </row>
        <row r="46">
          <cell r="C46" t="str">
            <v>Phan Cong Vu Tai</v>
          </cell>
          <cell r="D46" t="str">
            <v>Phan Công Vũ Tài</v>
          </cell>
          <cell r="E46" t="str">
            <v>HĐLĐ</v>
          </cell>
          <cell r="F46" t="str">
            <v>Minh Châu</v>
          </cell>
          <cell r="G46" t="str">
            <v>DSBC</v>
          </cell>
          <cell r="H46" t="str">
            <v>26/01/2026</v>
          </cell>
          <cell r="I46" t="str">
            <v>02446989901</v>
          </cell>
          <cell r="J46" t="str">
            <v>Tp Bank</v>
          </cell>
          <cell r="K46" t="str">
            <v>tai.phan@medigoapp.com</v>
          </cell>
        </row>
        <row r="47">
          <cell r="C47" t="str">
            <v>Doan Quoc Tam</v>
          </cell>
          <cell r="D47" t="str">
            <v>Đoàn Quốc Tâm</v>
          </cell>
          <cell r="E47" t="str">
            <v>HĐLĐ</v>
          </cell>
          <cell r="F47" t="str">
            <v>Minh Châu</v>
          </cell>
          <cell r="G47" t="str">
            <v>DSBC</v>
          </cell>
          <cell r="H47" t="str">
            <v>25/3/2024</v>
          </cell>
          <cell r="I47" t="str">
            <v>23241857</v>
          </cell>
          <cell r="J47" t="str">
            <v>ACB</v>
          </cell>
          <cell r="K47" t="str">
            <v>medigo.tam.doan@gmail.com</v>
          </cell>
        </row>
        <row r="48">
          <cell r="C48" t="str">
            <v>Nguyen Tri Nghia</v>
          </cell>
          <cell r="D48" t="str">
            <v>Nguyễn Trí Nghĩa</v>
          </cell>
          <cell r="E48" t="str">
            <v>HĐLĐ</v>
          </cell>
          <cell r="F48" t="str">
            <v>Minh Châu</v>
          </cell>
          <cell r="G48" t="str">
            <v>DSBC</v>
          </cell>
          <cell r="H48">
            <v>45439</v>
          </cell>
          <cell r="I48" t="str">
            <v>0251002787705</v>
          </cell>
          <cell r="J48" t="str">
            <v>Vietcombank</v>
          </cell>
          <cell r="K48" t="str">
            <v>medigo.nghia.nguyen@gmail.com</v>
          </cell>
        </row>
        <row r="49">
          <cell r="C49" t="str">
            <v>Nguyen Truc Linh</v>
          </cell>
          <cell r="D49" t="str">
            <v>Nguyễn Trúc Linh</v>
          </cell>
          <cell r="E49" t="str">
            <v>HĐLĐ</v>
          </cell>
          <cell r="F49" t="str">
            <v>Minh Châu</v>
          </cell>
          <cell r="G49" t="str">
            <v>DSBC</v>
          </cell>
          <cell r="H49" t="str">
            <v>26/04/2025</v>
          </cell>
          <cell r="I49" t="str">
            <v>109006916698</v>
          </cell>
          <cell r="J49" t="str">
            <v>Vietinbank</v>
          </cell>
          <cell r="K49" t="str">
            <v>medigo.truclinh.nguyen@gmail.com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</row>
        <row r="51">
          <cell r="C51" t="str">
            <v>PHAM VAN LONG</v>
          </cell>
          <cell r="D51" t="str">
            <v>PHẠM VĂN LONG</v>
          </cell>
          <cell r="E51" t="str">
            <v>HĐTV</v>
          </cell>
          <cell r="F51" t="str">
            <v>Nam Hòa</v>
          </cell>
          <cell r="G51" t="str">
            <v>DSTV</v>
          </cell>
          <cell r="H51" t="str">
            <v>03/4/2026</v>
          </cell>
          <cell r="I51" t="str">
            <v>7351192058</v>
          </cell>
          <cell r="J51" t="str">
            <v>BIDV</v>
          </cell>
          <cell r="K51" t="str">
            <v>long.pham@medigoapp.com</v>
          </cell>
        </row>
        <row r="52">
          <cell r="C52" t="str">
            <v>Pham Thi Kieu Diem</v>
          </cell>
          <cell r="D52" t="str">
            <v>Phạm Thị Kiều Diễm</v>
          </cell>
          <cell r="E52" t="str">
            <v>HĐLĐ</v>
          </cell>
          <cell r="F52" t="str">
            <v>Nam Hòa</v>
          </cell>
          <cell r="G52" t="str">
            <v>DSBC</v>
          </cell>
          <cell r="H52" t="str">
            <v>01/04/2025</v>
          </cell>
          <cell r="I52" t="str">
            <v>0110137819</v>
          </cell>
          <cell r="J52" t="str">
            <v>Vikkibank (dongabank)</v>
          </cell>
          <cell r="K52" t="str">
            <v>medigo.diem.pham@gmail.com</v>
          </cell>
        </row>
        <row r="53">
          <cell r="C53" t="str">
            <v>Do Thi Thu Huong</v>
          </cell>
          <cell r="D53" t="str">
            <v>Đỗ Thị Thu Hương</v>
          </cell>
          <cell r="E53" t="str">
            <v>HĐLĐ</v>
          </cell>
          <cell r="F53" t="str">
            <v>Nam Hòa</v>
          </cell>
          <cell r="G53" t="str">
            <v>DSBC</v>
          </cell>
          <cell r="H53" t="str">
            <v>19/08/2025</v>
          </cell>
          <cell r="I53" t="str">
            <v>9903670079</v>
          </cell>
          <cell r="J53" t="str">
            <v>Vietcombank</v>
          </cell>
          <cell r="K53" t="str">
            <v>huong.do@medigoapp.com</v>
          </cell>
        </row>
        <row r="54">
          <cell r="C54" t="str">
            <v>Mai Ngoc Oanh</v>
          </cell>
          <cell r="D54" t="str">
            <v>Mai Ngọc Oanh</v>
          </cell>
          <cell r="E54" t="str">
            <v>HĐLĐ</v>
          </cell>
          <cell r="F54" t="str">
            <v>Nam Hòa</v>
          </cell>
          <cell r="G54" t="str">
            <v>DSBC</v>
          </cell>
          <cell r="H54" t="str">
            <v>23/06/2025</v>
          </cell>
          <cell r="I54" t="str">
            <v>90373224900</v>
          </cell>
          <cell r="J54" t="str">
            <v>MB bank</v>
          </cell>
          <cell r="K54" t="str">
            <v>medigo.oanh.mai@gmail.com</v>
          </cell>
        </row>
        <row r="55">
          <cell r="C55" t="str">
            <v>Ha Ngan Khanh</v>
          </cell>
          <cell r="D55" t="str">
            <v>Hạ Ngân Khánh</v>
          </cell>
          <cell r="E55" t="str">
            <v>HĐLĐ</v>
          </cell>
          <cell r="F55" t="str">
            <v>Nam Hòa</v>
          </cell>
          <cell r="G55" t="str">
            <v>DSBC</v>
          </cell>
          <cell r="H55" t="str">
            <v>23/06/2025</v>
          </cell>
          <cell r="I55" t="str">
            <v>109873777758</v>
          </cell>
          <cell r="J55" t="str">
            <v>VietinBank</v>
          </cell>
          <cell r="K55" t="str">
            <v>medigo.ngankhanh.ha@gmail.com</v>
          </cell>
        </row>
        <row r="56">
          <cell r="C56" t="str">
            <v>Phan Cong Vu Tai</v>
          </cell>
          <cell r="D56" t="str">
            <v>Phan Công Vũ Tài</v>
          </cell>
          <cell r="E56" t="str">
            <v>HĐLĐ</v>
          </cell>
          <cell r="F56" t="str">
            <v>Nam Hòa</v>
          </cell>
          <cell r="G56" t="str">
            <v>DSBC</v>
          </cell>
          <cell r="H56" t="str">
            <v>26/01/2026</v>
          </cell>
          <cell r="I56" t="str">
            <v>02446989901</v>
          </cell>
          <cell r="J56" t="str">
            <v>Tp Bank</v>
          </cell>
          <cell r="K56" t="str">
            <v>tai.phan@medigoapp.com</v>
          </cell>
        </row>
        <row r="57">
          <cell r="C57" t="str">
            <v>Tran Thi Anh Nguyet</v>
          </cell>
          <cell r="D57" t="str">
            <v>Trần Thị Ánh Nguyệt</v>
          </cell>
          <cell r="E57" t="str">
            <v>HĐTV</v>
          </cell>
          <cell r="F57" t="str">
            <v>Nam Hòa</v>
          </cell>
          <cell r="G57" t="str">
            <v>DSTV</v>
          </cell>
          <cell r="H57" t="str">
            <v>13/3/2026</v>
          </cell>
          <cell r="I57" t="str">
            <v>19035042801010</v>
          </cell>
          <cell r="J57" t="str">
            <v>techcombank - chi nhánh Bình Đăng</v>
          </cell>
          <cell r="K57" t="str">
            <v>nguyet.tran@medigoapp.com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C59" t="str">
            <v>Nguyen Thi Hong Hanh</v>
          </cell>
          <cell r="D59" t="str">
            <v>Nguyễn Thị Hồng Hạnh</v>
          </cell>
          <cell r="E59" t="str">
            <v>HĐLĐ</v>
          </cell>
          <cell r="F59" t="str">
            <v>Nguyễn Chí Thanh</v>
          </cell>
          <cell r="G59" t="str">
            <v>DSBC</v>
          </cell>
          <cell r="H59">
            <v>45502</v>
          </cell>
          <cell r="I59" t="str">
            <v>19036469088011</v>
          </cell>
          <cell r="J59" t="str">
            <v>Techcombank</v>
          </cell>
          <cell r="K59" t="str">
            <v>medigo.honghanh.nguyen@gmail.com</v>
          </cell>
        </row>
        <row r="60">
          <cell r="C60" t="str">
            <v>Nguyen Truc Linh</v>
          </cell>
          <cell r="D60" t="str">
            <v>Nguyễn Trúc Linh</v>
          </cell>
          <cell r="E60" t="str">
            <v>HĐLĐ</v>
          </cell>
          <cell r="F60" t="str">
            <v>Nguyễn Chí Thanh</v>
          </cell>
          <cell r="G60" t="str">
            <v>DSBC</v>
          </cell>
          <cell r="H60" t="str">
            <v>26/04/2025</v>
          </cell>
          <cell r="I60" t="str">
            <v>109006916698</v>
          </cell>
          <cell r="J60" t="str">
            <v>Vietinbank</v>
          </cell>
          <cell r="K60" t="str">
            <v>medigo.truclinh.nguyen@gmail.com</v>
          </cell>
        </row>
        <row r="61">
          <cell r="C61" t="str">
            <v>Do Thi Phuong Thao</v>
          </cell>
          <cell r="D61" t="str">
            <v>Đỗ Thị Phương Thảo</v>
          </cell>
          <cell r="E61" t="str">
            <v>HĐLĐ</v>
          </cell>
          <cell r="F61" t="str">
            <v>Nguyễn Chí Thanh</v>
          </cell>
          <cell r="G61" t="str">
            <v>DSBC</v>
          </cell>
          <cell r="H61" t="str">
            <v>19/04/2025</v>
          </cell>
          <cell r="I61" t="str">
            <v>0561000503731</v>
          </cell>
          <cell r="J61" t="str">
            <v>Vietcombank</v>
          </cell>
          <cell r="K61" t="str">
            <v>medigo.thao.do@gmail.com</v>
          </cell>
        </row>
        <row r="62">
          <cell r="C62" t="str">
            <v>Le Thi Quynh Tram</v>
          </cell>
          <cell r="D62" t="str">
            <v>Lê Thị Quỳnh Trâm</v>
          </cell>
          <cell r="E62" t="str">
            <v>HĐLĐ</v>
          </cell>
          <cell r="F62" t="str">
            <v>Nguyễn Chí Thanh</v>
          </cell>
          <cell r="G62" t="str">
            <v>CHT</v>
          </cell>
          <cell r="H62" t="str">
            <v>18/08/2025</v>
          </cell>
          <cell r="I62" t="str">
            <v>6321205302943</v>
          </cell>
          <cell r="J62" t="str">
            <v>AGRIBANK</v>
          </cell>
          <cell r="K62" t="str">
            <v>tram.le@medigoapp.com</v>
          </cell>
        </row>
        <row r="63">
          <cell r="C63" t="str">
            <v>Ho Tan Nguyen</v>
          </cell>
          <cell r="D63" t="str">
            <v>Hồ Tấn Nguyên</v>
          </cell>
          <cell r="E63" t="str">
            <v>HĐTV</v>
          </cell>
          <cell r="F63" t="str">
            <v>Nguyễn Chí Thanh</v>
          </cell>
          <cell r="G63" t="str">
            <v>DSTV</v>
          </cell>
          <cell r="H63" t="str">
            <v>20/3/2026</v>
          </cell>
          <cell r="I63" t="str">
            <v>1303032027</v>
          </cell>
          <cell r="J63" t="str">
            <v>BIDV</v>
          </cell>
          <cell r="K63" t="str">
            <v>nguyen.ho@medigoapp.com</v>
          </cell>
        </row>
        <row r="64">
          <cell r="C64" t="str">
            <v>Ha Ngan Khanh</v>
          </cell>
          <cell r="D64" t="str">
            <v>Hạ Ngân Khánh</v>
          </cell>
          <cell r="E64" t="str">
            <v>HĐLĐ</v>
          </cell>
          <cell r="F64" t="str">
            <v>Nguyễn Chí Thanh</v>
          </cell>
          <cell r="G64" t="str">
            <v>DSBC</v>
          </cell>
          <cell r="H64" t="str">
            <v>23/06/2025</v>
          </cell>
          <cell r="I64" t="str">
            <v>109873777758</v>
          </cell>
          <cell r="J64" t="str">
            <v>VietinBank</v>
          </cell>
          <cell r="K64" t="str">
            <v>medigo.ngankhanh.ha@gmail.com</v>
          </cell>
        </row>
        <row r="65">
          <cell r="C65" t="str">
            <v>Nguyen Tri Nghia</v>
          </cell>
          <cell r="D65" t="str">
            <v>Nguyễn Trí Nghĩa</v>
          </cell>
          <cell r="E65" t="str">
            <v>HĐLĐ</v>
          </cell>
          <cell r="F65" t="str">
            <v>Nguyễn Chí Thanh</v>
          </cell>
          <cell r="G65" t="str">
            <v>DSBC</v>
          </cell>
          <cell r="H65">
            <v>45439</v>
          </cell>
          <cell r="I65" t="str">
            <v>0251002787705</v>
          </cell>
          <cell r="J65" t="str">
            <v>Vietcombank</v>
          </cell>
          <cell r="K65" t="str">
            <v>medigo.nghia.nguyen@gmail.com</v>
          </cell>
        </row>
        <row r="66">
          <cell r="C66" t="str">
            <v>Pham Thi Nghia Huong</v>
          </cell>
          <cell r="D66" t="str">
            <v>Phạm Thị Nghĩa Hương</v>
          </cell>
          <cell r="E66" t="str">
            <v>HĐLĐ</v>
          </cell>
          <cell r="F66" t="str">
            <v>Nguyễn Chí Thanh</v>
          </cell>
          <cell r="G66" t="str">
            <v>DSBC</v>
          </cell>
          <cell r="H66">
            <v>45575</v>
          </cell>
          <cell r="I66" t="str">
            <v>0968249073</v>
          </cell>
          <cell r="J66" t="str">
            <v>Mb bank</v>
          </cell>
          <cell r="K66" t="str">
            <v>medigo.huong.pham@gmail.com</v>
          </cell>
        </row>
        <row r="67">
          <cell r="C67" t="str">
            <v>Tran Hoang Khanh</v>
          </cell>
          <cell r="D67" t="str">
            <v>Trần Hoàng Khánh</v>
          </cell>
          <cell r="E67" t="str">
            <v>HĐLĐ</v>
          </cell>
          <cell r="F67" t="str">
            <v>Nguyễn Chí Thanh</v>
          </cell>
          <cell r="G67" t="str">
            <v>DSBC</v>
          </cell>
          <cell r="H67" t="str">
            <v>02/06/2025</v>
          </cell>
          <cell r="I67" t="str">
            <v>0985967065</v>
          </cell>
          <cell r="J67" t="str">
            <v>Tp Bank</v>
          </cell>
          <cell r="K67" t="str">
            <v>medigo.hoangkhanh.tran@gmail.com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C69" t="str">
            <v>Tran Thanh Dat</v>
          </cell>
          <cell r="D69" t="str">
            <v>Trần Thành Đạt</v>
          </cell>
          <cell r="E69" t="str">
            <v>HĐLĐ</v>
          </cell>
          <cell r="F69" t="str">
            <v>Nguyễn Thị Thập</v>
          </cell>
          <cell r="G69" t="str">
            <v>DSBC</v>
          </cell>
          <cell r="H69" t="str">
            <v>21/07/2025</v>
          </cell>
          <cell r="I69" t="str">
            <v>0621000445313</v>
          </cell>
          <cell r="J69" t="str">
            <v>Vietcombank</v>
          </cell>
          <cell r="K69" t="str">
            <v>medigo.thanhdat.tran@gmail.com</v>
          </cell>
        </row>
        <row r="70">
          <cell r="C70" t="str">
            <v>Trieu Thi Ngoc Ly</v>
          </cell>
          <cell r="D70" t="str">
            <v>Triệu Thị Ngọc Lý</v>
          </cell>
          <cell r="E70" t="str">
            <v>HĐLĐ</v>
          </cell>
          <cell r="F70" t="str">
            <v>Nguyễn Thị Thập</v>
          </cell>
          <cell r="G70" t="str">
            <v>CHT</v>
          </cell>
          <cell r="H70">
            <v>45194</v>
          </cell>
          <cell r="I70" t="str">
            <v>0989442883</v>
          </cell>
          <cell r="J70" t="str">
            <v>MB BANK</v>
          </cell>
          <cell r="K70" t="str">
            <v>medigo.ly.trieu@gmail.com</v>
          </cell>
        </row>
        <row r="71">
          <cell r="C71" t="str">
            <v>Cao Trong Nhan</v>
          </cell>
          <cell r="D71" t="str">
            <v>Cao Trọng Nhân</v>
          </cell>
          <cell r="E71" t="str">
            <v>HĐLĐ</v>
          </cell>
          <cell r="F71" t="str">
            <v>Nguyễn Thị Thập</v>
          </cell>
          <cell r="G71" t="str">
            <v>DSBC</v>
          </cell>
          <cell r="H71" t="str">
            <v>18/12/2025</v>
          </cell>
          <cell r="I71" t="str">
            <v>109868265987</v>
          </cell>
          <cell r="J71" t="str">
            <v>Vietinbank</v>
          </cell>
          <cell r="K71" t="str">
            <v>nhan.cao@medigoapp.com</v>
          </cell>
        </row>
        <row r="72">
          <cell r="C72" t="str">
            <v>Nguyen Cao Huyen Thanh</v>
          </cell>
          <cell r="D72" t="str">
            <v>Nguyễn Cao Huyền Thanh</v>
          </cell>
          <cell r="E72" t="str">
            <v>HĐCTV</v>
          </cell>
          <cell r="F72" t="str">
            <v>Nguyễn Thị Thập</v>
          </cell>
          <cell r="G72" t="str">
            <v>DSHV</v>
          </cell>
          <cell r="H72" t="str">
            <v>12/12/2025</v>
          </cell>
          <cell r="I72" t="str">
            <v>9942733393</v>
          </cell>
          <cell r="J72" t="str">
            <v>Vietcombank</v>
          </cell>
          <cell r="K72" t="str">
            <v>thanh.nguyen@medigoapp.com</v>
          </cell>
        </row>
        <row r="73">
          <cell r="C73" t="str">
            <v>Nguyen Kim Xuan</v>
          </cell>
          <cell r="D73" t="str">
            <v>Nguyễn Kim Xuân</v>
          </cell>
          <cell r="E73" t="str">
            <v>HĐLĐ</v>
          </cell>
          <cell r="F73" t="str">
            <v>Nguyễn Thị Thập</v>
          </cell>
          <cell r="G73" t="str">
            <v>DSBC</v>
          </cell>
          <cell r="H73">
            <v>45131</v>
          </cell>
          <cell r="I73" t="str">
            <v>03831562501</v>
          </cell>
          <cell r="J73" t="str">
            <v>TP Bank</v>
          </cell>
          <cell r="K73" t="str">
            <v>medigo.xuan.nguyen@gmail.com</v>
          </cell>
        </row>
        <row r="74">
          <cell r="C74" t="str">
            <v>Nguyen Tri Nghia</v>
          </cell>
          <cell r="D74" t="str">
            <v>Nguyễn Trí Nghĩa</v>
          </cell>
          <cell r="E74" t="str">
            <v>HĐLĐ</v>
          </cell>
          <cell r="F74" t="str">
            <v>Nguyễn Thị Thập</v>
          </cell>
          <cell r="G74" t="str">
            <v>DSBC</v>
          </cell>
          <cell r="H74">
            <v>45439</v>
          </cell>
          <cell r="I74" t="str">
            <v>0251002787705</v>
          </cell>
          <cell r="J74" t="str">
            <v>Vietcombank</v>
          </cell>
          <cell r="K74" t="str">
            <v>medigo.nghia.nguyen@gmail.com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C76" t="str">
            <v>Nguyen Thi Huong Giang</v>
          </cell>
          <cell r="D76" t="str">
            <v>Nguyễn Thị Hương Giang</v>
          </cell>
          <cell r="E76" t="str">
            <v>HĐLĐ</v>
          </cell>
          <cell r="F76" t="str">
            <v>Nguyễn Văn Quá</v>
          </cell>
          <cell r="G76" t="str">
            <v>DSBC</v>
          </cell>
          <cell r="H76">
            <v>45544</v>
          </cell>
          <cell r="I76" t="str">
            <v>1028255437</v>
          </cell>
          <cell r="J76" t="str">
            <v>Vietcombank</v>
          </cell>
          <cell r="K76" t="str">
            <v>medigo.giang.nguyen@gmail.com</v>
          </cell>
        </row>
        <row r="77">
          <cell r="C77" t="str">
            <v>Nguyen Thi Thu Huyen</v>
          </cell>
          <cell r="D77" t="str">
            <v>Nguyễn Thị Thu Huyền</v>
          </cell>
          <cell r="E77" t="str">
            <v>HĐLĐ</v>
          </cell>
          <cell r="F77" t="str">
            <v>Nguyễn Văn Quá</v>
          </cell>
          <cell r="G77" t="str">
            <v>DSBC</v>
          </cell>
          <cell r="H77" t="str">
            <v>24/06/2025</v>
          </cell>
          <cell r="I77" t="str">
            <v>0964455650</v>
          </cell>
          <cell r="J77" t="str">
            <v>Sacombank</v>
          </cell>
          <cell r="K77" t="str">
            <v>medigo.thuhuyen.nguyen@gmail.com</v>
          </cell>
        </row>
        <row r="78">
          <cell r="C78" t="str">
            <v>Ho Ngoc Ly</v>
          </cell>
          <cell r="D78" t="str">
            <v>Hồ Ngọc Lý</v>
          </cell>
          <cell r="E78" t="str">
            <v>HĐLĐ</v>
          </cell>
          <cell r="F78" t="str">
            <v>Nguyễn Văn Quá</v>
          </cell>
          <cell r="G78" t="str">
            <v>DSBC</v>
          </cell>
          <cell r="H78" t="str">
            <v>08/07/2024</v>
          </cell>
          <cell r="I78" t="str">
            <v>0081765868686</v>
          </cell>
          <cell r="J78" t="str">
            <v>MB bank</v>
          </cell>
          <cell r="K78" t="str">
            <v>medigo.ly.ho@gmail.com</v>
          </cell>
        </row>
        <row r="79">
          <cell r="C79" t="str">
            <v>Vo Ngoc Giau Sang</v>
          </cell>
          <cell r="D79" t="str">
            <v>Võ Ngọc Giàu Sang</v>
          </cell>
          <cell r="E79" t="str">
            <v>HĐLĐ</v>
          </cell>
          <cell r="F79" t="str">
            <v>Nguyễn Văn Quá</v>
          </cell>
          <cell r="G79" t="str">
            <v>CHT</v>
          </cell>
          <cell r="H79" t="str">
            <v>08/07/2024</v>
          </cell>
          <cell r="I79" t="str">
            <v>04015933001</v>
          </cell>
          <cell r="J79" t="str">
            <v>TP bank</v>
          </cell>
          <cell r="K79" t="str">
            <v>medigo.sang.vo@gmail.com</v>
          </cell>
        </row>
        <row r="80">
          <cell r="C80" t="str">
            <v>Van Minh Tri</v>
          </cell>
          <cell r="D80" t="str">
            <v>Văn Minh Trí</v>
          </cell>
          <cell r="E80" t="str">
            <v>HĐCTV</v>
          </cell>
          <cell r="F80" t="str">
            <v>Nguyễn Văn Quá</v>
          </cell>
          <cell r="G80" t="str">
            <v>DSHV</v>
          </cell>
          <cell r="H80" t="str">
            <v>19/01/2026</v>
          </cell>
          <cell r="I80" t="str">
            <v>0843630854</v>
          </cell>
          <cell r="J80" t="str">
            <v>Mb bank</v>
          </cell>
          <cell r="K80" t="str">
            <v>tri.van@medigoapp.com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C82" t="str">
            <v>Cu Thi Tuong Vy</v>
          </cell>
          <cell r="D82" t="str">
            <v>Cù Thị Tường Vy</v>
          </cell>
          <cell r="E82" t="str">
            <v>HĐTV</v>
          </cell>
          <cell r="F82" t="str">
            <v>Rạch Bùng Binh</v>
          </cell>
          <cell r="G82" t="str">
            <v>Q.CHT</v>
          </cell>
          <cell r="H82" t="str">
            <v>16/3/2026</v>
          </cell>
          <cell r="I82" t="str">
            <v>0071000937911</v>
          </cell>
          <cell r="J82" t="str">
            <v>Vietcombank</v>
          </cell>
          <cell r="K82" t="str">
            <v>vy.cu@medigoapp.com</v>
          </cell>
        </row>
        <row r="83">
          <cell r="C83" t="str">
            <v>Huynh Thi Hue Hien</v>
          </cell>
          <cell r="D83" t="str">
            <v>Huỳnh Thị Huệ Hiền</v>
          </cell>
          <cell r="E83" t="str">
            <v>HĐLĐ</v>
          </cell>
          <cell r="F83" t="str">
            <v>Rạch Bùng Binh</v>
          </cell>
          <cell r="G83" t="str">
            <v>DSBC</v>
          </cell>
          <cell r="H83" t="str">
            <v>01/11/2024</v>
          </cell>
          <cell r="I83" t="str">
            <v>0421000443270</v>
          </cell>
          <cell r="J83" t="str">
            <v>VietComBank</v>
          </cell>
          <cell r="K83" t="str">
            <v>medigo.hien.huynh@gmail.com</v>
          </cell>
        </row>
        <row r="84">
          <cell r="C84" t="str">
            <v>Nguyen Thi Phuong Linh</v>
          </cell>
          <cell r="D84" t="str">
            <v>Nguyễn Thị Phương Linh</v>
          </cell>
          <cell r="E84" t="str">
            <v>HĐTV</v>
          </cell>
          <cell r="F84" t="str">
            <v>Rạch Bùng Binh</v>
          </cell>
          <cell r="G84" t="str">
            <v>DSTV</v>
          </cell>
          <cell r="H84" t="str">
            <v>16/3/2026</v>
          </cell>
          <cell r="I84" t="str">
            <v>104872776864</v>
          </cell>
          <cell r="J84" t="str">
            <v>VietinBank</v>
          </cell>
          <cell r="K84" t="str">
            <v>linh.nguyen@medigoapp.com</v>
          </cell>
        </row>
        <row r="85">
          <cell r="C85" t="str">
            <v>Pham Thi Nghia Huong</v>
          </cell>
          <cell r="D85" t="str">
            <v>Phạm Thị Nghĩa Hương</v>
          </cell>
          <cell r="E85" t="str">
            <v>HĐLĐ</v>
          </cell>
          <cell r="F85" t="str">
            <v>Rạch Bùng Binh</v>
          </cell>
          <cell r="G85" t="str">
            <v>DSBC</v>
          </cell>
          <cell r="H85">
            <v>45575</v>
          </cell>
          <cell r="I85" t="str">
            <v>0968249073</v>
          </cell>
          <cell r="J85" t="str">
            <v>Mb bank</v>
          </cell>
          <cell r="K85" t="str">
            <v>medigo.huong.pham@gmail.com</v>
          </cell>
        </row>
        <row r="86">
          <cell r="C86" t="str">
            <v>Tran Hoang Khanh</v>
          </cell>
          <cell r="D86" t="str">
            <v>Trần Hoàng Khánh</v>
          </cell>
          <cell r="E86" t="str">
            <v>HĐLĐ</v>
          </cell>
          <cell r="F86" t="str">
            <v>Rạch Bùng Binh</v>
          </cell>
          <cell r="G86" t="str">
            <v>DSBC</v>
          </cell>
          <cell r="H86" t="str">
            <v>02/06/2025</v>
          </cell>
          <cell r="I86" t="str">
            <v>0985967065</v>
          </cell>
          <cell r="J86" t="str">
            <v>Tp Bank</v>
          </cell>
          <cell r="K86" t="str">
            <v>medigo.hoangkhanh.tran@gmail.com</v>
          </cell>
        </row>
        <row r="87">
          <cell r="C87" t="str">
            <v>Ha Ngan Khanh</v>
          </cell>
          <cell r="D87" t="str">
            <v>Hạ Ngân Khánh</v>
          </cell>
          <cell r="E87" t="str">
            <v>HĐLĐ</v>
          </cell>
          <cell r="F87" t="str">
            <v>Rạch Bùng Binh</v>
          </cell>
          <cell r="G87" t="str">
            <v>DSBC</v>
          </cell>
          <cell r="H87" t="str">
            <v>23/06/2025</v>
          </cell>
          <cell r="I87" t="str">
            <v>109873777758</v>
          </cell>
          <cell r="J87" t="str">
            <v>VietinBank</v>
          </cell>
          <cell r="K87" t="str">
            <v>medigo.ngankhanh.ha@gmail.com</v>
          </cell>
        </row>
        <row r="88">
          <cell r="C88" t="str">
            <v>Nguyen Truc Linh</v>
          </cell>
          <cell r="D88" t="str">
            <v>Nguyễn Trúc Linh</v>
          </cell>
          <cell r="E88" t="str">
            <v>HĐLĐ</v>
          </cell>
          <cell r="F88" t="str">
            <v>Rạch Bùng Binh</v>
          </cell>
          <cell r="G88" t="str">
            <v>DSBC</v>
          </cell>
          <cell r="H88" t="str">
            <v>26/04/2025</v>
          </cell>
          <cell r="I88" t="str">
            <v>109006916698</v>
          </cell>
          <cell r="J88" t="str">
            <v>Vietinbank</v>
          </cell>
          <cell r="K88" t="str">
            <v>medigo.truclinh.nguyen@gmail.com</v>
          </cell>
        </row>
        <row r="89">
          <cell r="C89" t="str">
            <v>Phan Cong Vu Tai</v>
          </cell>
          <cell r="D89" t="str">
            <v>Phan Công Vũ Tài</v>
          </cell>
          <cell r="E89" t="str">
            <v>HĐLĐ</v>
          </cell>
          <cell r="F89" t="str">
            <v>Rạch Bùng Binh</v>
          </cell>
          <cell r="G89" t="str">
            <v>DSBC</v>
          </cell>
          <cell r="H89" t="str">
            <v>26/01/2026</v>
          </cell>
          <cell r="I89" t="str">
            <v>02446989901</v>
          </cell>
          <cell r="J89" t="str">
            <v>Tp Bank</v>
          </cell>
          <cell r="K89" t="str">
            <v>tai.phan@medigoapp.com</v>
          </cell>
        </row>
        <row r="90">
          <cell r="C90" t="str">
            <v>Nguyen Man Tiep</v>
          </cell>
          <cell r="D90" t="str">
            <v>Nguyễn Mẫn Tiệp</v>
          </cell>
          <cell r="E90" t="str">
            <v>HĐCTV</v>
          </cell>
          <cell r="F90" t="str">
            <v>Rạch Bùng Binh</v>
          </cell>
          <cell r="G90" t="str">
            <v>DSHV</v>
          </cell>
          <cell r="H90" t="str">
            <v>10/3/2026</v>
          </cell>
          <cell r="I90" t="str">
            <v>1015496176</v>
          </cell>
          <cell r="J90" t="str">
            <v>Vietcombank</v>
          </cell>
          <cell r="K90" t="str">
            <v>tiep.nguyen@medigoapp.com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C92" t="str">
            <v>Le Thi Soan</v>
          </cell>
          <cell r="D92" t="str">
            <v>Lê Thị Soạn</v>
          </cell>
          <cell r="E92" t="str">
            <v>HĐLĐ</v>
          </cell>
          <cell r="F92" t="str">
            <v>Đường Láng</v>
          </cell>
          <cell r="G92" t="str">
            <v>DSBC</v>
          </cell>
          <cell r="H92">
            <v>44562</v>
          </cell>
          <cell r="I92" t="str">
            <v>0987524738</v>
          </cell>
          <cell r="J92" t="str">
            <v>Vietinbank</v>
          </cell>
          <cell r="K92" t="str">
            <v>medigo.soan.le123@gmail.com</v>
          </cell>
        </row>
        <row r="93">
          <cell r="C93" t="str">
            <v>Nguyen Thi Tam</v>
          </cell>
          <cell r="D93" t="str">
            <v>Nguyễn Thị Tâm</v>
          </cell>
          <cell r="E93" t="str">
            <v>HĐLĐ</v>
          </cell>
          <cell r="F93" t="str">
            <v>Đường Láng</v>
          </cell>
          <cell r="G93" t="str">
            <v>DSBC</v>
          </cell>
          <cell r="H93">
            <v>45062</v>
          </cell>
          <cell r="I93" t="str">
            <v>0924479717</v>
          </cell>
          <cell r="J93" t="str">
            <v>Vietinbank</v>
          </cell>
          <cell r="K93" t="str">
            <v>medigo.tam.nguyen@gmail.com</v>
          </cell>
        </row>
        <row r="94">
          <cell r="C94" t="str">
            <v>Hua Thi Kim Thoa</v>
          </cell>
          <cell r="D94" t="str">
            <v>Hứa Thị Kim Thoa</v>
          </cell>
          <cell r="E94" t="str">
            <v>HĐLĐ</v>
          </cell>
          <cell r="F94" t="str">
            <v>Đường Láng</v>
          </cell>
          <cell r="G94" t="str">
            <v>CHT</v>
          </cell>
          <cell r="H94">
            <v>45008</v>
          </cell>
          <cell r="I94" t="str">
            <v>30961328046</v>
          </cell>
          <cell r="J94" t="str">
            <v>TPbank</v>
          </cell>
          <cell r="K94" t="str">
            <v>medigo.thoa.hua@gmail.com</v>
          </cell>
        </row>
        <row r="95">
          <cell r="C95" t="str">
            <v>Nguyen Thi Mai Duyen</v>
          </cell>
          <cell r="D95" t="str">
            <v>Nguyễn Thị Mai Duyên</v>
          </cell>
          <cell r="E95" t="str">
            <v>HĐLĐ</v>
          </cell>
          <cell r="F95" t="str">
            <v>Đường Láng</v>
          </cell>
          <cell r="G95" t="str">
            <v>DSBC</v>
          </cell>
          <cell r="H95" t="str">
            <v>21/03/2025</v>
          </cell>
          <cell r="I95" t="str">
            <v>51016102001</v>
          </cell>
          <cell r="J95" t="str">
            <v>VP Bank</v>
          </cell>
          <cell r="K95" t="str">
            <v>medigo.maiduyen.nguyen@gmail.com</v>
          </cell>
        </row>
        <row r="96">
          <cell r="C96" t="str">
            <v>Tran Ngoc Dung</v>
          </cell>
          <cell r="D96" t="str">
            <v>Trần Ngọc Dung</v>
          </cell>
          <cell r="E96" t="str">
            <v>HĐTV</v>
          </cell>
          <cell r="F96" t="str">
            <v>Đường Láng</v>
          </cell>
          <cell r="G96" t="str">
            <v>DSTV</v>
          </cell>
          <cell r="H96" t="str">
            <v>10/3/2026</v>
          </cell>
          <cell r="I96" t="str">
            <v>19036814716010</v>
          </cell>
          <cell r="J96" t="str">
            <v>Techcombank</v>
          </cell>
          <cell r="K96" t="str">
            <v>dung.tran@medigoapp.com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C98" t="str">
            <v>Dinh Thi Lan Anh</v>
          </cell>
          <cell r="D98" t="str">
            <v>Đinh Thị Lan Anh</v>
          </cell>
          <cell r="E98" t="str">
            <v>HĐLĐ</v>
          </cell>
          <cell r="F98" t="str">
            <v>Hàng Bông</v>
          </cell>
          <cell r="G98" t="str">
            <v>DSBC</v>
          </cell>
          <cell r="H98">
            <v>44674</v>
          </cell>
          <cell r="I98" t="str">
            <v>16010000495222</v>
          </cell>
          <cell r="J98" t="str">
            <v>BIDV</v>
          </cell>
          <cell r="K98" t="str">
            <v>medigo.anh.dinh@gmail.com</v>
          </cell>
        </row>
        <row r="99">
          <cell r="C99" t="str">
            <v>Le Ngoc Anh</v>
          </cell>
          <cell r="D99" t="str">
            <v>Lê Ngọc Anh</v>
          </cell>
          <cell r="E99" t="str">
            <v>HĐLĐ</v>
          </cell>
          <cell r="F99" t="str">
            <v>Hàng Bông</v>
          </cell>
          <cell r="G99" t="str">
            <v>CHT</v>
          </cell>
          <cell r="H99" t="str">
            <v>14/07/2025</v>
          </cell>
          <cell r="I99" t="str">
            <v>19035368311013</v>
          </cell>
          <cell r="J99" t="str">
            <v>techcombank</v>
          </cell>
          <cell r="K99" t="str">
            <v>medigo.ngocanh.lehn@gmail.com</v>
          </cell>
        </row>
        <row r="100">
          <cell r="C100" t="str">
            <v>Vu Thanh Hang</v>
          </cell>
          <cell r="D100" t="str">
            <v>Vũ Thanh Hằng</v>
          </cell>
          <cell r="E100" t="str">
            <v>HĐLĐ</v>
          </cell>
          <cell r="F100" t="str">
            <v>Hàng Bông</v>
          </cell>
          <cell r="G100" t="str">
            <v>DSBC</v>
          </cell>
          <cell r="H100" t="str">
            <v>22/9/2025</v>
          </cell>
          <cell r="I100" t="str">
            <v>9993886688</v>
          </cell>
          <cell r="J100" t="str">
            <v>Techcombank</v>
          </cell>
          <cell r="K100" t="str">
            <v>hang.vu@medigoapp.com</v>
          </cell>
        </row>
        <row r="101">
          <cell r="C101" t="str">
            <v>Dinh Thi Khanh Ly</v>
          </cell>
          <cell r="D101" t="str">
            <v>Đinh Thị Khánh Ly</v>
          </cell>
          <cell r="E101" t="str">
            <v>HĐLĐ</v>
          </cell>
          <cell r="F101" t="str">
            <v>Hàng Bông</v>
          </cell>
          <cell r="G101" t="str">
            <v>DSBC</v>
          </cell>
          <cell r="H101" t="str">
            <v>03/11/2025</v>
          </cell>
          <cell r="I101" t="str">
            <v>0021000423384</v>
          </cell>
          <cell r="J101" t="str">
            <v>Vietcombank</v>
          </cell>
          <cell r="K101" t="str">
            <v>ly.dinh@medigoapp.com</v>
          </cell>
        </row>
        <row r="102">
          <cell r="C102" t="str">
            <v>Nguyen Manh Tuan</v>
          </cell>
          <cell r="D102" t="str">
            <v>Nguyễn Mạnh Tuấn</v>
          </cell>
          <cell r="E102" t="str">
            <v>HĐLĐ</v>
          </cell>
          <cell r="F102" t="str">
            <v>Hàng Bông</v>
          </cell>
          <cell r="G102" t="str">
            <v>DSBC</v>
          </cell>
          <cell r="H102" t="str">
            <v>29/09/2025</v>
          </cell>
          <cell r="I102" t="str">
            <v>00834502302</v>
          </cell>
          <cell r="J102" t="str">
            <v>TP bank</v>
          </cell>
          <cell r="K102" t="str">
            <v>tuan.nguyen@medigoapp.com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C105" t="str">
            <v>Tran Thi Minh Phuong</v>
          </cell>
          <cell r="D105" t="str">
            <v>Trần Thị Minh Phượng</v>
          </cell>
          <cell r="E105" t="str">
            <v>HĐLĐ</v>
          </cell>
          <cell r="F105" t="str">
            <v>BOD</v>
          </cell>
          <cell r="G105" t="str">
            <v>Chief Growth Officer</v>
          </cell>
          <cell r="H105" t="str">
            <v>02/2/2026</v>
          </cell>
          <cell r="I105" t="str">
            <v>19034554431014</v>
          </cell>
          <cell r="J105" t="str">
            <v>Techcombank</v>
          </cell>
          <cell r="K105" t="str">
            <v>phong.quach@medigoapp.com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C107" t="str">
            <v>Nguyen Thi Thuy Na</v>
          </cell>
          <cell r="D107" t="str">
            <v>Nguyễn Thị Thúy Na</v>
          </cell>
          <cell r="E107" t="str">
            <v>HĐLĐ</v>
          </cell>
          <cell r="F107" t="str">
            <v>HR</v>
          </cell>
          <cell r="G107" t="str">
            <v>Trợ lý CEO</v>
          </cell>
          <cell r="H107" t="str">
            <v>14/8/2025</v>
          </cell>
          <cell r="I107" t="str">
            <v>2460153966892</v>
          </cell>
          <cell r="J107" t="str">
            <v>MB bank</v>
          </cell>
          <cell r="K107" t="str">
            <v>na.nguyen@medigoapp.com</v>
          </cell>
        </row>
        <row r="108">
          <cell r="C108" t="str">
            <v>Nguyen Thi Thu Van</v>
          </cell>
          <cell r="D108" t="str">
            <v>Nguyễn Thị Thu Vân</v>
          </cell>
          <cell r="E108" t="str">
            <v>HĐCTV</v>
          </cell>
          <cell r="F108" t="str">
            <v>HR</v>
          </cell>
          <cell r="G108" t="str">
            <v>Tạp vụ Tô Hiến Thành</v>
          </cell>
          <cell r="H108">
            <v>0</v>
          </cell>
          <cell r="I108" t="str">
            <v>060287823013</v>
          </cell>
          <cell r="J108" t="str">
            <v>Sacombank</v>
          </cell>
          <cell r="K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C110" t="str">
            <v>Nguyen Thanh Tai</v>
          </cell>
          <cell r="D110" t="str">
            <v>Nguyễn Thành Tài</v>
          </cell>
          <cell r="E110" t="str">
            <v>HĐLĐ</v>
          </cell>
          <cell r="F110" t="str">
            <v>IT</v>
          </cell>
          <cell r="G110" t="str">
            <v>Tester</v>
          </cell>
          <cell r="H110">
            <v>44648</v>
          </cell>
          <cell r="I110" t="str">
            <v>79045676868</v>
          </cell>
          <cell r="J110" t="str">
            <v>VP Bank</v>
          </cell>
          <cell r="K110" t="str">
            <v>tai.nguyen@medigoapp.com</v>
          </cell>
        </row>
        <row r="111">
          <cell r="C111" t="str">
            <v>Huynh Quang Toan</v>
          </cell>
          <cell r="D111" t="str">
            <v>Huỳnh Quang Toàn</v>
          </cell>
          <cell r="E111" t="str">
            <v>HĐCTV</v>
          </cell>
          <cell r="F111" t="str">
            <v>IT</v>
          </cell>
          <cell r="G111" t="str">
            <v>Senior Backend Developer</v>
          </cell>
          <cell r="H111">
            <v>45733</v>
          </cell>
          <cell r="I111" t="str">
            <v>0381000426496</v>
          </cell>
          <cell r="J111" t="str">
            <v>Vietcombank</v>
          </cell>
          <cell r="K111" t="str">
            <v>Medigo.quangtoan.huynh@gmail.com</v>
          </cell>
        </row>
        <row r="112">
          <cell r="C112" t="str">
            <v>To Ngoc Thien Phu</v>
          </cell>
          <cell r="D112" t="str">
            <v>Tô Ngọc Thiên Phú</v>
          </cell>
          <cell r="E112" t="str">
            <v>HĐLĐ</v>
          </cell>
          <cell r="F112" t="str">
            <v>IT</v>
          </cell>
          <cell r="G112" t="str">
            <v>Web Developer</v>
          </cell>
          <cell r="H112" t="str">
            <v>27/10/2025</v>
          </cell>
          <cell r="I112" t="str">
            <v>25372997</v>
          </cell>
          <cell r="J112" t="str">
            <v>ACB</v>
          </cell>
          <cell r="K112" t="str">
            <v>phu.to@medigoapp.com</v>
          </cell>
        </row>
        <row r="113">
          <cell r="C113" t="str">
            <v>Hoang Le Thanh Vuong</v>
          </cell>
          <cell r="D113" t="str">
            <v>Hoàng Lê Thanh Vương</v>
          </cell>
          <cell r="E113" t="str">
            <v>HĐLĐ</v>
          </cell>
          <cell r="F113" t="str">
            <v>IT</v>
          </cell>
          <cell r="G113" t="str">
            <v>Backend Developer</v>
          </cell>
          <cell r="H113" t="str">
            <v>03/11/2025</v>
          </cell>
          <cell r="I113" t="str">
            <v>0765450941</v>
          </cell>
          <cell r="J113" t="str">
            <v>MB Bank</v>
          </cell>
          <cell r="K113" t="str">
            <v>vuong.hoang@medigoapp.com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C115" t="str">
            <v>Nguyen Hoang Nguyen Dan</v>
          </cell>
          <cell r="D115" t="str">
            <v>Nguyễn Hoàng Nguyên Đan</v>
          </cell>
          <cell r="E115" t="str">
            <v>HĐLĐ</v>
          </cell>
          <cell r="F115" t="str">
            <v>Product</v>
          </cell>
          <cell r="G115" t="str">
            <v>UI/UX Designer - Graphic Designer</v>
          </cell>
          <cell r="H115">
            <v>44417</v>
          </cell>
          <cell r="I115" t="str">
            <v>0865817107</v>
          </cell>
          <cell r="J115" t="str">
            <v>Shinhanbank</v>
          </cell>
          <cell r="K115" t="str">
            <v>dan.nguyen@medigoapp.com</v>
          </cell>
        </row>
        <row r="116">
          <cell r="C116" t="str">
            <v>Nguyen Van Toan</v>
          </cell>
          <cell r="D116" t="str">
            <v>Nguyễn Văn Toàn</v>
          </cell>
          <cell r="E116" t="str">
            <v>HĐLĐ</v>
          </cell>
          <cell r="F116" t="str">
            <v>Product</v>
          </cell>
          <cell r="G116" t="str">
            <v>UI/UX Designer - Graphic Designer</v>
          </cell>
          <cell r="H116" t="str">
            <v>7/7/2025</v>
          </cell>
          <cell r="I116" t="str">
            <v>1016037766</v>
          </cell>
          <cell r="J116" t="str">
            <v>VIETCOMBANK</v>
          </cell>
          <cell r="K116" t="str">
            <v>toan.nguyen@medigoapp.com</v>
          </cell>
        </row>
        <row r="117">
          <cell r="C117" t="str">
            <v>LE QUOC THINH</v>
          </cell>
          <cell r="D117" t="str">
            <v>LÊ QUỐC THỊNH</v>
          </cell>
          <cell r="E117" t="str">
            <v>HĐCTV</v>
          </cell>
          <cell r="F117" t="str">
            <v>Product</v>
          </cell>
          <cell r="G117" t="str">
            <v>UI/UX Designer - Graphic Designer</v>
          </cell>
          <cell r="H117" t="str">
            <v>20/3/2026</v>
          </cell>
          <cell r="I117" t="str">
            <v>4569797979</v>
          </cell>
          <cell r="J117" t="str">
            <v>MB bank</v>
          </cell>
          <cell r="K117" t="str">
            <v>thinhquocle524@gmail.com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C119" t="str">
            <v>Le Phu Qui</v>
          </cell>
          <cell r="D119" t="str">
            <v>Lê Phú Quí</v>
          </cell>
          <cell r="E119" t="str">
            <v>HĐLĐ</v>
          </cell>
          <cell r="F119" t="str">
            <v>Admin_CSKH</v>
          </cell>
          <cell r="G119" t="str">
            <v>Trưởng nhóm Dịch vụ Online</v>
          </cell>
          <cell r="H119">
            <v>45463</v>
          </cell>
          <cell r="I119" t="str">
            <v>07183522701</v>
          </cell>
          <cell r="J119" t="str">
            <v>Ngân hàng Thương mại Cổ phần Tiên Phong (TP Bank)</v>
          </cell>
          <cell r="K119" t="str">
            <v>qui.le@medigoapp.com</v>
          </cell>
        </row>
        <row r="120">
          <cell r="C120" t="str">
            <v>Nguyen Ho Phuong Anh</v>
          </cell>
          <cell r="D120" t="str">
            <v>Nguyễn Hồ Phương Anh</v>
          </cell>
          <cell r="E120" t="str">
            <v>HĐLĐ</v>
          </cell>
          <cell r="F120" t="str">
            <v>Admin_CSKH</v>
          </cell>
          <cell r="G120" t="str">
            <v>Admin - điều phối đơn hàng</v>
          </cell>
          <cell r="H120">
            <v>44404</v>
          </cell>
          <cell r="I120" t="str">
            <v>19033258827011</v>
          </cell>
          <cell r="J120" t="str">
            <v>Techcombank</v>
          </cell>
          <cell r="K120" t="str">
            <v>anh.phuong.nguyen@medigoapp.com</v>
          </cell>
        </row>
        <row r="121">
          <cell r="C121" t="str">
            <v>Nguyen Thi Ngoc Han</v>
          </cell>
          <cell r="D121" t="str">
            <v>Nguyễn Thị Ngọc Hân</v>
          </cell>
          <cell r="E121" t="str">
            <v>HĐLĐ</v>
          </cell>
          <cell r="F121" t="str">
            <v>Admin_CSKH</v>
          </cell>
          <cell r="G121" t="str">
            <v>Admin - điều phối đơn hàng</v>
          </cell>
          <cell r="H121">
            <v>44620</v>
          </cell>
          <cell r="I121" t="str">
            <v>104002495110</v>
          </cell>
          <cell r="J121" t="str">
            <v>Vietinbank</v>
          </cell>
          <cell r="K121" t="str">
            <v>han.nguyen@medigoapp.com</v>
          </cell>
        </row>
        <row r="122">
          <cell r="C122" t="str">
            <v>Vo Thi Dieu Hien</v>
          </cell>
          <cell r="D122" t="str">
            <v>Võ Thị Diệu Hiền</v>
          </cell>
          <cell r="E122" t="str">
            <v>HĐLĐ</v>
          </cell>
          <cell r="F122" t="str">
            <v>Admin_CSKH</v>
          </cell>
          <cell r="G122" t="str">
            <v>Admin - điều phối đơn hàng</v>
          </cell>
          <cell r="H122">
            <v>45148</v>
          </cell>
          <cell r="I122" t="str">
            <v>19035062217013</v>
          </cell>
          <cell r="J122" t="str">
            <v>Techcombank</v>
          </cell>
          <cell r="K122" t="str">
            <v>hien.vo@medigoapp.com</v>
          </cell>
        </row>
        <row r="123">
          <cell r="C123" t="str">
            <v>Luu Thanh Tuyen</v>
          </cell>
          <cell r="D123" t="str">
            <v>Lưu Thanh Tuyền</v>
          </cell>
          <cell r="E123" t="str">
            <v>HĐLĐ</v>
          </cell>
          <cell r="F123" t="str">
            <v>Admin_CSKH</v>
          </cell>
          <cell r="G123" t="str">
            <v>Chuyên Viên Điều Phôi Đơn Hàng</v>
          </cell>
          <cell r="H123">
            <v>44197</v>
          </cell>
          <cell r="I123" t="str">
            <v>0181000337432</v>
          </cell>
          <cell r="J123" t="str">
            <v>Vietcombank</v>
          </cell>
          <cell r="K123" t="str">
            <v>tuyen.luu@medigoapp.com</v>
          </cell>
        </row>
        <row r="124">
          <cell r="C124" t="str">
            <v>Vo Tan Truong</v>
          </cell>
          <cell r="D124" t="str">
            <v>Võ Tấn Trường</v>
          </cell>
          <cell r="E124" t="str">
            <v>HĐLĐ</v>
          </cell>
          <cell r="F124" t="str">
            <v>Admin_CSKH</v>
          </cell>
          <cell r="G124" t="str">
            <v>Admin - điều phối đơn hàng</v>
          </cell>
          <cell r="H124">
            <v>45761</v>
          </cell>
          <cell r="I124" t="str">
            <v>1016552819</v>
          </cell>
          <cell r="J124" t="str">
            <v>Vietcombank</v>
          </cell>
          <cell r="K124" t="str">
            <v>truong.vo@medigoapp.com</v>
          </cell>
        </row>
        <row r="125">
          <cell r="C125" t="str">
            <v>Tran Thi Tam Nhung</v>
          </cell>
          <cell r="D125" t="str">
            <v>Trần Thị Tâm Nhung</v>
          </cell>
          <cell r="E125" t="str">
            <v>HĐLĐ</v>
          </cell>
          <cell r="F125" t="str">
            <v>Admin_CSKH</v>
          </cell>
          <cell r="G125" t="str">
            <v>Admin - điều phối đơn hàng</v>
          </cell>
          <cell r="H125">
            <v>45889</v>
          </cell>
          <cell r="I125" t="str">
            <v>8862842341</v>
          </cell>
          <cell r="J125" t="str">
            <v>BIDV</v>
          </cell>
          <cell r="K125" t="str">
            <v>nhung.tran@medigoapp.com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C127" t="str">
            <v>Nguyen Thi Cam Binh</v>
          </cell>
          <cell r="D127" t="str">
            <v>Nguyễn Thị Cẩm Bình</v>
          </cell>
          <cell r="E127" t="str">
            <v>HĐLĐ</v>
          </cell>
          <cell r="F127" t="str">
            <v>Business Development</v>
          </cell>
          <cell r="G127" t="str">
            <v>Senior Inventory &amp; Partnership</v>
          </cell>
          <cell r="H127" t="str">
            <v>12/11/2025</v>
          </cell>
          <cell r="I127" t="str">
            <v>0381000583650</v>
          </cell>
          <cell r="J127" t="str">
            <v>Vietcombank</v>
          </cell>
          <cell r="K127" t="str">
            <v>binh.nguyen@medigoapp.com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C129" t="str">
            <v>Nguyen Cao Nhan</v>
          </cell>
          <cell r="D129" t="str">
            <v>Nguyễn Cao Nhân</v>
          </cell>
          <cell r="E129" t="str">
            <v>HĐLĐ</v>
          </cell>
          <cell r="F129" t="str">
            <v>Kế toán</v>
          </cell>
          <cell r="G129" t="str">
            <v>Kế toán viên</v>
          </cell>
          <cell r="H129">
            <v>45474</v>
          </cell>
          <cell r="I129" t="str">
            <v>0071001008815</v>
          </cell>
          <cell r="J129" t="str">
            <v>Vietcombank</v>
          </cell>
          <cell r="K129" t="str">
            <v>nhan.nguyen@medigoapp.com</v>
          </cell>
        </row>
        <row r="130">
          <cell r="C130" t="str">
            <v>Dang Thi Que Anh</v>
          </cell>
          <cell r="D130" t="str">
            <v>Đặng Thị Quế Anh</v>
          </cell>
          <cell r="E130" t="str">
            <v>HĐLĐ</v>
          </cell>
          <cell r="F130" t="str">
            <v>Kế toán</v>
          </cell>
          <cell r="G130" t="str">
            <v>Kế toán trưởng</v>
          </cell>
          <cell r="H130">
            <v>45622</v>
          </cell>
          <cell r="I130" t="str">
            <v>0071001126701</v>
          </cell>
          <cell r="J130" t="str">
            <v>Vietcombank</v>
          </cell>
          <cell r="K130" t="str">
            <v>anh.dang@medigoapp.com</v>
          </cell>
        </row>
        <row r="131">
          <cell r="C131" t="str">
            <v>Nguyen Thi Anh Hong</v>
          </cell>
          <cell r="D131" t="str">
            <v>Nguyễn Thị Ánh Hồng</v>
          </cell>
          <cell r="E131" t="str">
            <v>HĐLĐ</v>
          </cell>
          <cell r="F131" t="str">
            <v>Kế toán</v>
          </cell>
          <cell r="G131" t="str">
            <v>Kế toán tổng hợp</v>
          </cell>
          <cell r="H131">
            <v>45628</v>
          </cell>
          <cell r="I131" t="str">
            <v>013348479001</v>
          </cell>
          <cell r="J131" t="str">
            <v>Ngân hàng HSBC</v>
          </cell>
          <cell r="K131" t="str">
            <v>hong.nguyen@medigoapp.com</v>
          </cell>
        </row>
        <row r="132">
          <cell r="C132" t="str">
            <v>Phan Thi Kim Hien</v>
          </cell>
          <cell r="D132" t="str">
            <v>Phan Thị Kim Hiên</v>
          </cell>
          <cell r="E132" t="str">
            <v>HĐLĐ</v>
          </cell>
          <cell r="F132" t="str">
            <v>Kế toán</v>
          </cell>
          <cell r="G132" t="str">
            <v>Kế toán viên</v>
          </cell>
          <cell r="H132" t="str">
            <v>14/7/2025</v>
          </cell>
          <cell r="I132" t="str">
            <v>1020484770</v>
          </cell>
          <cell r="J132" t="str">
            <v>Vietcombank</v>
          </cell>
          <cell r="K132" t="str">
            <v>hien.phan@medigoapp.com</v>
          </cell>
        </row>
        <row r="133">
          <cell r="C133" t="str">
            <v>Le Thi Phuong Thao</v>
          </cell>
          <cell r="D133" t="str">
            <v>Lê Thị Phương Thảo</v>
          </cell>
          <cell r="E133" t="str">
            <v>HĐLĐ</v>
          </cell>
          <cell r="F133" t="str">
            <v>Kế toán</v>
          </cell>
          <cell r="G133" t="str">
            <v>Kế toán viên</v>
          </cell>
          <cell r="H133" t="str">
            <v>25/8/2025</v>
          </cell>
          <cell r="I133" t="str">
            <v>0913814991</v>
          </cell>
          <cell r="J133" t="str">
            <v>Nam Á Bank</v>
          </cell>
          <cell r="K133" t="str">
            <v>thao.le@medigoapp.com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C135" t="str">
            <v>Huynh Tan Nhan</v>
          </cell>
          <cell r="D135" t="str">
            <v>Huỳnh Tấn Nhân</v>
          </cell>
          <cell r="E135" t="str">
            <v>HĐLĐ</v>
          </cell>
          <cell r="F135" t="str">
            <v>Marketing</v>
          </cell>
          <cell r="G135" t="str">
            <v>Trưởng phòng phát triển doanh nghiệp</v>
          </cell>
          <cell r="H135" t="str">
            <v>01/08/2025</v>
          </cell>
          <cell r="I135" t="str">
            <v>196682719</v>
          </cell>
          <cell r="J135" t="str">
            <v>ACB</v>
          </cell>
          <cell r="K135" t="str">
            <v>nhan.tan.huynh@medigoapp.com</v>
          </cell>
        </row>
        <row r="136">
          <cell r="C136" t="str">
            <v>Nguyen Thi Kim Ngoc</v>
          </cell>
          <cell r="D136" t="str">
            <v>Nguyễn Thị Kim Ngọc</v>
          </cell>
          <cell r="E136" t="str">
            <v>HĐLĐ</v>
          </cell>
          <cell r="F136" t="str">
            <v>Marketing</v>
          </cell>
          <cell r="G136" t="str">
            <v>TTS Marketing</v>
          </cell>
          <cell r="H136" t="str">
            <v>11/8/2025</v>
          </cell>
          <cell r="I136" t="str">
            <v>14330267</v>
          </cell>
          <cell r="J136" t="str">
            <v>Á Châu (ACB)</v>
          </cell>
          <cell r="K136" t="str">
            <v>ngoc.nguyen@medigoapp.com</v>
          </cell>
        </row>
        <row r="137">
          <cell r="C137" t="str">
            <v>Le Thi Phuong Anh</v>
          </cell>
          <cell r="D137" t="str">
            <v>Lê Thị Phương Anh</v>
          </cell>
          <cell r="E137" t="str">
            <v>HĐLĐ</v>
          </cell>
          <cell r="F137" t="str">
            <v>Marketing</v>
          </cell>
          <cell r="G137" t="str">
            <v>Nhân viên Thiết kế đồ họa</v>
          </cell>
          <cell r="H137" t="str">
            <v>11/9/2025</v>
          </cell>
          <cell r="I137" t="str">
            <v>0334984447</v>
          </cell>
          <cell r="J137" t="str">
            <v>Eximbank</v>
          </cell>
          <cell r="K137" t="str">
            <v>anh.le@medigoapp.com</v>
          </cell>
        </row>
        <row r="138">
          <cell r="C138" t="str">
            <v>Nguyen Vu Khoi</v>
          </cell>
          <cell r="D138" t="str">
            <v>Nguyễn Vũ Khôi</v>
          </cell>
          <cell r="E138" t="str">
            <v>HĐCTV</v>
          </cell>
          <cell r="F138" t="str">
            <v>Marketing</v>
          </cell>
          <cell r="G138" t="str">
            <v>Thực tập sinh Marketing</v>
          </cell>
          <cell r="H138">
            <v>46016</v>
          </cell>
          <cell r="I138" t="str">
            <v>1025444220</v>
          </cell>
          <cell r="J138" t="str">
            <v>Vietcombank</v>
          </cell>
          <cell r="K138" t="str">
            <v>khoi.nguyen@medigoapp.com</v>
          </cell>
        </row>
        <row r="139">
          <cell r="C139" t="str">
            <v>Nguyen Thi Thu Hue</v>
          </cell>
          <cell r="D139" t="str">
            <v>Nguyễn Thị Thu Huệ</v>
          </cell>
          <cell r="E139" t="str">
            <v>HĐCTV</v>
          </cell>
          <cell r="F139" t="str">
            <v>Marketing</v>
          </cell>
          <cell r="G139" t="str">
            <v>Thực tập sinh Marketing</v>
          </cell>
          <cell r="H139">
            <v>46020</v>
          </cell>
          <cell r="I139" t="str">
            <v>41042747</v>
          </cell>
          <cell r="J139" t="str">
            <v>Á Châu (ACB)</v>
          </cell>
          <cell r="K139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d 2025"/>
      <sheetName val="Medigo 2025"/>
      <sheetName val="Med 2024"/>
      <sheetName val="Medigo 2024"/>
      <sheetName val="Tong hop"/>
      <sheetName val="Total"/>
    </sheetNames>
    <sheetDataSet>
      <sheetData sheetId="0"/>
      <sheetData sheetId="1"/>
      <sheetData sheetId="2"/>
      <sheetData sheetId="3"/>
      <sheetData sheetId="4">
        <row r="8">
          <cell r="B8" t="str">
            <v>Hứa Thị Kim Thoa</v>
          </cell>
          <cell r="C8">
            <v>8712383131</v>
          </cell>
          <cell r="D8" t="str">
            <v>015198000800</v>
          </cell>
          <cell r="E8" t="str">
            <v>x</v>
          </cell>
          <cell r="F8">
            <v>136035915</v>
          </cell>
          <cell r="H8">
            <v>132000000</v>
          </cell>
          <cell r="J8">
            <v>6501600</v>
          </cell>
          <cell r="L8">
            <v>0</v>
          </cell>
          <cell r="M8">
            <v>257279</v>
          </cell>
          <cell r="O8">
            <v>0</v>
          </cell>
          <cell r="P8">
            <v>257279</v>
          </cell>
        </row>
        <row r="9">
          <cell r="B9" t="str">
            <v>Lê Thị Soạn</v>
          </cell>
          <cell r="C9">
            <v>8643805693</v>
          </cell>
          <cell r="D9" t="str">
            <v>022182003066</v>
          </cell>
          <cell r="E9" t="str">
            <v>x</v>
          </cell>
          <cell r="F9">
            <v>184924672</v>
          </cell>
          <cell r="H9">
            <v>132000000</v>
          </cell>
          <cell r="J9">
            <v>6501600</v>
          </cell>
          <cell r="L9">
            <v>46423072</v>
          </cell>
          <cell r="M9">
            <v>1993152</v>
          </cell>
          <cell r="O9">
            <v>2321154</v>
          </cell>
          <cell r="Q9">
            <v>328002</v>
          </cell>
        </row>
        <row r="10">
          <cell r="B10" t="str">
            <v>Nguyễn Thị Tâm</v>
          </cell>
          <cell r="C10">
            <v>8874288555</v>
          </cell>
          <cell r="D10" t="str">
            <v>038199016130</v>
          </cell>
          <cell r="E10" t="str">
            <v>x</v>
          </cell>
          <cell r="F10">
            <v>108376973</v>
          </cell>
          <cell r="H10">
            <v>132000000</v>
          </cell>
          <cell r="J10">
            <v>4923450</v>
          </cell>
          <cell r="L10">
            <v>0</v>
          </cell>
          <cell r="M10">
            <v>909431</v>
          </cell>
          <cell r="O10">
            <v>0</v>
          </cell>
          <cell r="P10">
            <v>909431</v>
          </cell>
        </row>
        <row r="11">
          <cell r="B11" t="str">
            <v>Triệu Thị Ngọc Lý</v>
          </cell>
          <cell r="C11">
            <v>8826944493</v>
          </cell>
          <cell r="D11" t="str">
            <v>094194006375</v>
          </cell>
          <cell r="E11" t="str">
            <v>x</v>
          </cell>
          <cell r="F11">
            <v>128054321</v>
          </cell>
          <cell r="H11">
            <v>132000000</v>
          </cell>
          <cell r="J11">
            <v>6501600</v>
          </cell>
          <cell r="L11">
            <v>0</v>
          </cell>
          <cell r="M11">
            <v>262759</v>
          </cell>
          <cell r="O11">
            <v>0</v>
          </cell>
          <cell r="P11">
            <v>262759</v>
          </cell>
        </row>
        <row r="12">
          <cell r="B12" t="str">
            <v>Thái Thùy Linh</v>
          </cell>
          <cell r="C12" t="str">
            <v>8874288509</v>
          </cell>
          <cell r="D12" t="str">
            <v>091197002901</v>
          </cell>
          <cell r="E12" t="str">
            <v>x</v>
          </cell>
          <cell r="F12">
            <v>165016803</v>
          </cell>
          <cell r="H12">
            <v>132000000</v>
          </cell>
          <cell r="J12">
            <v>5975550</v>
          </cell>
          <cell r="L12">
            <v>27041253</v>
          </cell>
          <cell r="M12">
            <v>1077705</v>
          </cell>
          <cell r="O12">
            <v>1352063</v>
          </cell>
          <cell r="P12">
            <v>0</v>
          </cell>
          <cell r="Q12">
            <v>274358</v>
          </cell>
        </row>
        <row r="13">
          <cell r="B13" t="str">
            <v>Tổng 2024</v>
          </cell>
          <cell r="O13">
            <v>3673217</v>
          </cell>
          <cell r="P13">
            <v>1429469</v>
          </cell>
          <cell r="Q13">
            <v>602360</v>
          </cell>
        </row>
        <row r="15">
          <cell r="B15" t="str">
            <v>Đinh Thị Lan Anh</v>
          </cell>
          <cell r="C15" t="str">
            <v>8874288717</v>
          </cell>
          <cell r="D15" t="str">
            <v>017302002141</v>
          </cell>
          <cell r="E15" t="str">
            <v>x</v>
          </cell>
          <cell r="F15">
            <v>165855290</v>
          </cell>
          <cell r="H15">
            <v>132000000</v>
          </cell>
          <cell r="J15">
            <v>6690600</v>
          </cell>
          <cell r="L15">
            <v>27164690</v>
          </cell>
          <cell r="M15">
            <v>2507975</v>
          </cell>
          <cell r="O15">
            <v>1358235</v>
          </cell>
          <cell r="P15">
            <v>1149740</v>
          </cell>
        </row>
        <row r="16">
          <cell r="B16" t="str">
            <v>Hồ Ngọc Lý</v>
          </cell>
          <cell r="C16" t="str">
            <v>8921866703</v>
          </cell>
          <cell r="D16" t="str">
            <v>083196003987</v>
          </cell>
          <cell r="E16" t="str">
            <v>x</v>
          </cell>
          <cell r="F16">
            <v>173265725</v>
          </cell>
          <cell r="H16">
            <v>132000000</v>
          </cell>
          <cell r="J16">
            <v>6690600</v>
          </cell>
          <cell r="L16">
            <v>34575125</v>
          </cell>
          <cell r="M16">
            <v>715926</v>
          </cell>
          <cell r="O16">
            <v>1728756</v>
          </cell>
          <cell r="Q16">
            <v>1012830</v>
          </cell>
        </row>
        <row r="17">
          <cell r="B17" t="str">
            <v>Huỳnh Thị Huệ Hiền</v>
          </cell>
          <cell r="C17" t="str">
            <v>8667897735</v>
          </cell>
          <cell r="D17" t="str">
            <v>079195003976</v>
          </cell>
          <cell r="E17" t="str">
            <v>x</v>
          </cell>
          <cell r="F17">
            <v>167385380</v>
          </cell>
          <cell r="H17">
            <v>132000000</v>
          </cell>
          <cell r="J17">
            <v>6690600</v>
          </cell>
          <cell r="L17">
            <v>28694780</v>
          </cell>
          <cell r="M17">
            <v>1898612</v>
          </cell>
          <cell r="O17">
            <v>1434739</v>
          </cell>
          <cell r="P17">
            <v>463873</v>
          </cell>
        </row>
        <row r="18">
          <cell r="B18" t="str">
            <v>Lê Thị Huyền Trân</v>
          </cell>
          <cell r="C18" t="str">
            <v>8816393021</v>
          </cell>
          <cell r="D18" t="str">
            <v>056196004563</v>
          </cell>
          <cell r="E18" t="str">
            <v>x</v>
          </cell>
          <cell r="F18">
            <v>159107309</v>
          </cell>
          <cell r="H18">
            <v>132000000</v>
          </cell>
          <cell r="J18">
            <v>6690600</v>
          </cell>
          <cell r="L18">
            <v>20416709</v>
          </cell>
          <cell r="M18">
            <v>1099949</v>
          </cell>
          <cell r="O18">
            <v>1020835</v>
          </cell>
          <cell r="P18">
            <v>79114</v>
          </cell>
        </row>
        <row r="19">
          <cell r="B19" t="str">
            <v>Ngô Thị Thanh Thắm</v>
          </cell>
          <cell r="C19" t="str">
            <v>8550966842</v>
          </cell>
          <cell r="D19" t="str">
            <v>052196004048</v>
          </cell>
          <cell r="E19" t="str">
            <v>x</v>
          </cell>
          <cell r="F19">
            <v>124755616</v>
          </cell>
          <cell r="H19">
            <v>132000000</v>
          </cell>
          <cell r="J19">
            <v>6690600</v>
          </cell>
          <cell r="L19">
            <v>5432516</v>
          </cell>
          <cell r="M19">
            <v>346622</v>
          </cell>
          <cell r="O19">
            <v>0</v>
          </cell>
          <cell r="P19">
            <v>346622</v>
          </cell>
        </row>
        <row r="20">
          <cell r="B20" t="str">
            <v>Nguyễn Đức Việt Khoa</v>
          </cell>
          <cell r="C20" t="str">
            <v>8921514490</v>
          </cell>
          <cell r="D20" t="str">
            <v>051203000423</v>
          </cell>
          <cell r="E20" t="str">
            <v>x</v>
          </cell>
          <cell r="F20">
            <v>128148000</v>
          </cell>
          <cell r="H20">
            <v>132000000</v>
          </cell>
          <cell r="J20">
            <v>6690600</v>
          </cell>
          <cell r="L20">
            <v>7975150</v>
          </cell>
          <cell r="M20">
            <v>398761</v>
          </cell>
          <cell r="O20">
            <v>0</v>
          </cell>
          <cell r="P20">
            <v>398761</v>
          </cell>
        </row>
        <row r="21">
          <cell r="B21" t="str">
            <v>Nguyễn Thị Hồng Hạnh</v>
          </cell>
          <cell r="C21" t="str">
            <v>8773492240</v>
          </cell>
          <cell r="D21" t="str">
            <v>031194016852</v>
          </cell>
          <cell r="E21" t="str">
            <v>x</v>
          </cell>
          <cell r="F21">
            <v>155349402</v>
          </cell>
          <cell r="H21">
            <v>132000000</v>
          </cell>
          <cell r="J21">
            <v>6690600</v>
          </cell>
          <cell r="L21">
            <v>16658802</v>
          </cell>
          <cell r="M21">
            <v>971217</v>
          </cell>
          <cell r="O21">
            <v>832940</v>
          </cell>
          <cell r="P21">
            <v>138277</v>
          </cell>
        </row>
        <row r="22">
          <cell r="B22" t="str">
            <v>Nguyễn Thị Hương Giang</v>
          </cell>
          <cell r="C22" t="str">
            <v>8763088945</v>
          </cell>
          <cell r="D22" t="str">
            <v>077198004696</v>
          </cell>
          <cell r="E22" t="str">
            <v>x</v>
          </cell>
          <cell r="F22">
            <v>117193262</v>
          </cell>
          <cell r="H22">
            <v>132000000</v>
          </cell>
          <cell r="J22">
            <v>6690600</v>
          </cell>
          <cell r="L22" t="str">
            <v>-</v>
          </cell>
          <cell r="M22" t="str">
            <v>-</v>
          </cell>
        </row>
        <row r="23">
          <cell r="B23" t="str">
            <v>Nguyễn Thị Kim Huệ</v>
          </cell>
          <cell r="C23" t="str">
            <v>8753496060</v>
          </cell>
          <cell r="D23" t="str">
            <v>068301009893</v>
          </cell>
          <cell r="E23" t="str">
            <v>x</v>
          </cell>
          <cell r="F23">
            <v>107875067</v>
          </cell>
          <cell r="H23">
            <v>132000000</v>
          </cell>
          <cell r="J23">
            <v>6690600</v>
          </cell>
          <cell r="L23">
            <v>0</v>
          </cell>
          <cell r="M23">
            <v>12700</v>
          </cell>
          <cell r="O23">
            <v>0</v>
          </cell>
          <cell r="P23">
            <v>12700</v>
          </cell>
        </row>
        <row r="24">
          <cell r="B24" t="str">
            <v>Phạm Thị Nghĩa Hương</v>
          </cell>
          <cell r="C24" t="str">
            <v>8551346288</v>
          </cell>
          <cell r="D24" t="str">
            <v>020199005510</v>
          </cell>
          <cell r="E24" t="str">
            <v>x</v>
          </cell>
          <cell r="F24">
            <v>125128612</v>
          </cell>
          <cell r="H24">
            <v>132000000</v>
          </cell>
          <cell r="J24">
            <v>6690600</v>
          </cell>
          <cell r="L24">
            <v>9154862</v>
          </cell>
          <cell r="M24">
            <v>432003</v>
          </cell>
          <cell r="O24">
            <v>0</v>
          </cell>
          <cell r="P24">
            <v>432003</v>
          </cell>
        </row>
        <row r="25">
          <cell r="B25" t="str">
            <v>Triệu Thị Ngọc Lý</v>
          </cell>
          <cell r="C25" t="str">
            <v>8826944493</v>
          </cell>
          <cell r="D25" t="str">
            <v>094194006375</v>
          </cell>
          <cell r="E25" t="str">
            <v>x</v>
          </cell>
          <cell r="F25">
            <v>166437283</v>
          </cell>
          <cell r="H25">
            <v>132000000</v>
          </cell>
          <cell r="J25">
            <v>6690600</v>
          </cell>
          <cell r="L25">
            <v>27746683</v>
          </cell>
          <cell r="M25">
            <v>1862399</v>
          </cell>
          <cell r="O25">
            <v>1387334</v>
          </cell>
          <cell r="P25">
            <v>475065</v>
          </cell>
        </row>
        <row r="26">
          <cell r="B26" t="str">
            <v>Trương Nguyễn Khánh An</v>
          </cell>
          <cell r="C26" t="str">
            <v>8451284221</v>
          </cell>
          <cell r="D26" t="str">
            <v>075198018331</v>
          </cell>
          <cell r="E26" t="str">
            <v>x</v>
          </cell>
          <cell r="F26">
            <v>116831330</v>
          </cell>
          <cell r="H26">
            <v>132000000</v>
          </cell>
          <cell r="J26">
            <v>6690600</v>
          </cell>
          <cell r="L26">
            <v>1632101</v>
          </cell>
          <cell r="M26">
            <v>81605</v>
          </cell>
          <cell r="O26">
            <v>0</v>
          </cell>
          <cell r="P26">
            <v>81605</v>
          </cell>
        </row>
        <row r="27">
          <cell r="B27" t="str">
            <v>Võ Ngọc Giàu Sang</v>
          </cell>
          <cell r="C27" t="str">
            <v>8671700702</v>
          </cell>
          <cell r="D27" t="str">
            <v>056199009974</v>
          </cell>
          <cell r="E27" t="str">
            <v>x</v>
          </cell>
          <cell r="F27">
            <v>125881080</v>
          </cell>
          <cell r="H27">
            <v>132000000</v>
          </cell>
          <cell r="J27">
            <v>6690600</v>
          </cell>
          <cell r="L27">
            <v>3800268</v>
          </cell>
          <cell r="M27">
            <v>190014</v>
          </cell>
          <cell r="O27">
            <v>0</v>
          </cell>
          <cell r="P27">
            <v>190014</v>
          </cell>
        </row>
        <row r="28">
          <cell r="B28" t="str">
            <v>Tổng 2025</v>
          </cell>
          <cell r="O28">
            <v>7762839</v>
          </cell>
          <cell r="P28">
            <v>3767774</v>
          </cell>
          <cell r="Q28">
            <v>1012830</v>
          </cell>
        </row>
        <row r="29">
          <cell r="B29" t="str">
            <v>TỔNG MED</v>
          </cell>
          <cell r="O29">
            <v>11436056</v>
          </cell>
          <cell r="P29">
            <v>5197243</v>
          </cell>
          <cell r="Q29">
            <v>1615190</v>
          </cell>
        </row>
        <row r="32">
          <cell r="B32" t="str">
            <v>Nguyễn Hồ Phương Anh</v>
          </cell>
          <cell r="C32" t="str">
            <v>8735382529</v>
          </cell>
          <cell r="D32" t="str">
            <v>056300004837</v>
          </cell>
          <cell r="E32" t="str">
            <v>x</v>
          </cell>
          <cell r="F32">
            <v>132584538</v>
          </cell>
          <cell r="H32">
            <v>132000000</v>
          </cell>
          <cell r="J32">
            <v>6501600</v>
          </cell>
          <cell r="L32">
            <v>0</v>
          </cell>
          <cell r="M32">
            <v>615938</v>
          </cell>
          <cell r="O32">
            <v>0</v>
          </cell>
          <cell r="P32">
            <v>615938</v>
          </cell>
        </row>
        <row r="33">
          <cell r="B33" t="str">
            <v>Nguyễn Thành Tài</v>
          </cell>
          <cell r="C33" t="str">
            <v>8630306993</v>
          </cell>
          <cell r="D33" t="str">
            <v>079098000684</v>
          </cell>
          <cell r="E33" t="str">
            <v>x</v>
          </cell>
          <cell r="F33">
            <v>138681333</v>
          </cell>
          <cell r="H33">
            <v>132000000</v>
          </cell>
          <cell r="J33">
            <v>6501600</v>
          </cell>
          <cell r="L33">
            <v>179733</v>
          </cell>
          <cell r="M33">
            <v>349462</v>
          </cell>
          <cell r="O33">
            <v>8987</v>
          </cell>
          <cell r="P33">
            <v>340475</v>
          </cell>
        </row>
        <row r="34">
          <cell r="B34" t="str">
            <v>Nguyễn Thị Cẩm Bình</v>
          </cell>
          <cell r="C34" t="str">
            <v>8568236357</v>
          </cell>
          <cell r="D34" t="str">
            <v>052199009624</v>
          </cell>
          <cell r="E34" t="str">
            <v>x</v>
          </cell>
          <cell r="F34">
            <v>123764667</v>
          </cell>
          <cell r="H34">
            <v>132000000</v>
          </cell>
          <cell r="J34">
            <v>6501600</v>
          </cell>
          <cell r="L34">
            <v>0</v>
          </cell>
          <cell r="M34">
            <v>62054</v>
          </cell>
          <cell r="O34">
            <v>0</v>
          </cell>
          <cell r="P34">
            <v>62054</v>
          </cell>
        </row>
        <row r="35">
          <cell r="B35" t="str">
            <v>Nguyễn Thị Ngọc Hân</v>
          </cell>
          <cell r="C35" t="str">
            <v>8537809223</v>
          </cell>
          <cell r="D35" t="str">
            <v>082199007534</v>
          </cell>
          <cell r="E35" t="str">
            <v>x</v>
          </cell>
          <cell r="F35">
            <v>132742232</v>
          </cell>
          <cell r="H35">
            <v>132000000</v>
          </cell>
          <cell r="J35">
            <v>6501600</v>
          </cell>
          <cell r="L35">
            <v>0</v>
          </cell>
          <cell r="M35">
            <v>724592</v>
          </cell>
          <cell r="O35">
            <v>0</v>
          </cell>
          <cell r="P35">
            <v>724592</v>
          </cell>
        </row>
        <row r="36">
          <cell r="B36" t="str">
            <v>Trương Hoàng Ngân</v>
          </cell>
          <cell r="C36" t="str">
            <v>8576109144</v>
          </cell>
          <cell r="D36" t="str">
            <v>079300024213</v>
          </cell>
          <cell r="E36" t="str">
            <v>x</v>
          </cell>
          <cell r="F36">
            <v>132646077</v>
          </cell>
          <cell r="H36">
            <v>132000000</v>
          </cell>
          <cell r="J36">
            <v>6501600</v>
          </cell>
          <cell r="L36">
            <v>0</v>
          </cell>
          <cell r="M36">
            <v>625635</v>
          </cell>
          <cell r="O36">
            <v>0</v>
          </cell>
          <cell r="P36">
            <v>625635</v>
          </cell>
        </row>
        <row r="37">
          <cell r="B37" t="str">
            <v>Tổng 2024</v>
          </cell>
          <cell r="O37">
            <v>8987</v>
          </cell>
          <cell r="P37">
            <v>2368694</v>
          </cell>
          <cell r="Q37">
            <v>0</v>
          </cell>
        </row>
        <row r="39">
          <cell r="B39" t="str">
            <v>Lê Phú Quí</v>
          </cell>
          <cell r="C39">
            <v>8774327497</v>
          </cell>
          <cell r="D39" t="str">
            <v>080099000398</v>
          </cell>
          <cell r="E39" t="str">
            <v>x</v>
          </cell>
          <cell r="F39">
            <v>169339667</v>
          </cell>
          <cell r="H39">
            <v>132000000</v>
          </cell>
          <cell r="J39">
            <v>6690600</v>
          </cell>
          <cell r="L39">
            <v>30649067</v>
          </cell>
          <cell r="M39">
            <v>1536865</v>
          </cell>
          <cell r="O39">
            <v>1532453</v>
          </cell>
          <cell r="P39">
            <v>4412</v>
          </cell>
        </row>
        <row r="40">
          <cell r="B40" t="str">
            <v>Nguyễn Hồ Phương Anh</v>
          </cell>
          <cell r="C40" t="str">
            <v>8735382529</v>
          </cell>
          <cell r="D40" t="str">
            <v>056300004837</v>
          </cell>
          <cell r="E40" t="str">
            <v>x</v>
          </cell>
          <cell r="F40">
            <v>149548713</v>
          </cell>
          <cell r="H40">
            <v>132000000</v>
          </cell>
          <cell r="J40">
            <v>6690600</v>
          </cell>
          <cell r="L40">
            <v>10858113</v>
          </cell>
          <cell r="M40">
            <v>1197412</v>
          </cell>
          <cell r="O40">
            <v>542906</v>
          </cell>
          <cell r="P40">
            <v>654506</v>
          </cell>
        </row>
        <row r="41">
          <cell r="B41" t="str">
            <v>Nguyễn Thị Cẩm Bình</v>
          </cell>
          <cell r="C41" t="str">
            <v>8568236357</v>
          </cell>
          <cell r="D41" t="str">
            <v>052199009624</v>
          </cell>
          <cell r="E41" t="str">
            <v>x</v>
          </cell>
          <cell r="F41">
            <v>134848000</v>
          </cell>
          <cell r="H41">
            <v>132000000</v>
          </cell>
          <cell r="J41">
            <v>6690600</v>
          </cell>
          <cell r="L41">
            <v>9785800</v>
          </cell>
          <cell r="M41">
            <v>489292</v>
          </cell>
          <cell r="O41">
            <v>0</v>
          </cell>
          <cell r="P41">
            <v>489292</v>
          </cell>
        </row>
        <row r="42">
          <cell r="B42" t="str">
            <v>Nguyễn Thị Ngọc Hân</v>
          </cell>
          <cell r="C42" t="str">
            <v>8537809223</v>
          </cell>
          <cell r="D42" t="str">
            <v>082199007534</v>
          </cell>
          <cell r="E42" t="str">
            <v>x</v>
          </cell>
          <cell r="F42">
            <v>153006319</v>
          </cell>
          <cell r="H42">
            <v>132000000</v>
          </cell>
          <cell r="J42">
            <v>6690600</v>
          </cell>
          <cell r="L42">
            <v>14315719</v>
          </cell>
          <cell r="M42">
            <v>1177658</v>
          </cell>
          <cell r="O42">
            <v>715786</v>
          </cell>
          <cell r="P42">
            <v>461872</v>
          </cell>
        </row>
        <row r="43">
          <cell r="B43" t="str">
            <v>Võ Thị Diệu Hiền</v>
          </cell>
          <cell r="C43" t="str">
            <v>8700217524</v>
          </cell>
          <cell r="D43" t="str">
            <v>080197008421</v>
          </cell>
          <cell r="E43" t="str">
            <v>x</v>
          </cell>
          <cell r="F43">
            <v>114207293</v>
          </cell>
          <cell r="H43">
            <v>132000000</v>
          </cell>
          <cell r="J43">
            <v>6690600</v>
          </cell>
          <cell r="L43">
            <v>5511835</v>
          </cell>
          <cell r="M43">
            <v>301184</v>
          </cell>
          <cell r="P43">
            <v>301184</v>
          </cell>
        </row>
        <row r="44">
          <cell r="B44" t="str">
            <v>Tổng 2025</v>
          </cell>
          <cell r="O44">
            <v>2791145</v>
          </cell>
          <cell r="P44">
            <v>1911266</v>
          </cell>
        </row>
        <row r="45">
          <cell r="B45" t="str">
            <v>TỔNG MEDIGO</v>
          </cell>
          <cell r="O45">
            <v>2800132</v>
          </cell>
          <cell r="P45">
            <v>4279960</v>
          </cell>
          <cell r="Q45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hat.tran@medigoapp.com" TargetMode="External"/><Relationship Id="rId13" Type="http://schemas.openxmlformats.org/officeDocument/2006/relationships/hyperlink" Target="mailto:thuy.tran@medigoapp.com" TargetMode="External"/><Relationship Id="rId18" Type="http://schemas.openxmlformats.org/officeDocument/2006/relationships/hyperlink" Target="mailto:hoa.ho@medigoapp.com" TargetMode="External"/><Relationship Id="rId3" Type="http://schemas.openxmlformats.org/officeDocument/2006/relationships/hyperlink" Target="mailto:tran.le@medigoapp.com" TargetMode="External"/><Relationship Id="rId21" Type="http://schemas.openxmlformats.org/officeDocument/2006/relationships/vmlDrawing" Target="../drawings/vmlDrawing1.vml"/><Relationship Id="rId7" Type="http://schemas.openxmlformats.org/officeDocument/2006/relationships/hyperlink" Target="mailto:huong.pham@medigoapp.com" TargetMode="External"/><Relationship Id="rId12" Type="http://schemas.openxmlformats.org/officeDocument/2006/relationships/hyperlink" Target="mailto:ha.le@medigoapp.com" TargetMode="External"/><Relationship Id="rId17" Type="http://schemas.openxmlformats.org/officeDocument/2006/relationships/hyperlink" Target="mailto:quy.pham@medigoapp.com" TargetMode="External"/><Relationship Id="rId2" Type="http://schemas.openxmlformats.org/officeDocument/2006/relationships/hyperlink" Target="mailto:ha.le@medigoapp.com" TargetMode="External"/><Relationship Id="rId16" Type="http://schemas.openxmlformats.org/officeDocument/2006/relationships/hyperlink" Target="mailto:hoa.ho@medigoapp.com" TargetMode="External"/><Relationship Id="rId20" Type="http://schemas.openxmlformats.org/officeDocument/2006/relationships/hyperlink" Target="mailto:tram.bui@medigoapp.com" TargetMode="External"/><Relationship Id="rId1" Type="http://schemas.openxmlformats.org/officeDocument/2006/relationships/hyperlink" Target="mailto:ha.le@medigoapp.com" TargetMode="External"/><Relationship Id="rId6" Type="http://schemas.openxmlformats.org/officeDocument/2006/relationships/hyperlink" Target="mailto:ha.le@medigoapp.com" TargetMode="External"/><Relationship Id="rId11" Type="http://schemas.openxmlformats.org/officeDocument/2006/relationships/hyperlink" Target="mailto:phuong.nguyen@medigoapp.com" TargetMode="External"/><Relationship Id="rId5" Type="http://schemas.openxmlformats.org/officeDocument/2006/relationships/hyperlink" Target="mailto:ha.le@medigoapp.com" TargetMode="External"/><Relationship Id="rId15" Type="http://schemas.openxmlformats.org/officeDocument/2006/relationships/hyperlink" Target="mailto:thuy.ngo@medigoapp.com" TargetMode="External"/><Relationship Id="rId10" Type="http://schemas.openxmlformats.org/officeDocument/2006/relationships/hyperlink" Target="mailto:phuong.trinh@medigoapp.com" TargetMode="External"/><Relationship Id="rId19" Type="http://schemas.openxmlformats.org/officeDocument/2006/relationships/hyperlink" Target="mailto:tram.bui@medigoapp.com" TargetMode="External"/><Relationship Id="rId4" Type="http://schemas.openxmlformats.org/officeDocument/2006/relationships/hyperlink" Target="mailto:tham.ngo@medigoapp.com" TargetMode="External"/><Relationship Id="rId9" Type="http://schemas.openxmlformats.org/officeDocument/2006/relationships/hyperlink" Target="mailto:linh.thai@medigoapp.com" TargetMode="External"/><Relationship Id="rId14" Type="http://schemas.openxmlformats.org/officeDocument/2006/relationships/hyperlink" Target="mailto:bao.dinh@medigoapp.com" TargetMode="External"/><Relationship Id="rId22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CFF"/>
    <outlinePr summaryRight="0"/>
  </sheetPr>
  <dimension ref="A1:DG750"/>
  <sheetViews>
    <sheetView topLeftCell="A9" zoomScale="78" zoomScaleNormal="78" workbookViewId="0">
      <pane xSplit="12" ySplit="1" topLeftCell="CD10" activePane="bottomRight" state="frozen"/>
      <selection pane="topRight"/>
      <selection pane="bottomLeft"/>
      <selection pane="bottomRight" activeCell="T47" sqref="T47"/>
    </sheetView>
  </sheetViews>
  <sheetFormatPr defaultColWidth="14.44140625" defaultRowHeight="15" customHeight="1" outlineLevelCol="1"/>
  <cols>
    <col min="1" max="1" width="2.88671875" style="116" customWidth="1"/>
    <col min="2" max="2" width="8.6640625" style="116" customWidth="1"/>
    <col min="3" max="3" width="26" style="116" customWidth="1"/>
    <col min="4" max="4" width="33.44140625" style="115" customWidth="1"/>
    <col min="5" max="5" width="7.33203125" style="116" customWidth="1" outlineLevel="1"/>
    <col min="6" max="6" width="9.88671875" style="116" customWidth="1"/>
    <col min="7" max="7" width="7.109375" style="116" customWidth="1" outlineLevel="1"/>
    <col min="8" max="8" width="10.44140625" style="116" customWidth="1" outlineLevel="1"/>
    <col min="9" max="9" width="16.6640625" style="116" customWidth="1" outlineLevel="1"/>
    <col min="10" max="10" width="16.109375" style="116" customWidth="1" outlineLevel="1"/>
    <col min="11" max="11" width="10" style="116" customWidth="1" outlineLevel="1"/>
    <col min="12" max="12" width="8.88671875" style="117" customWidth="1"/>
    <col min="13" max="14" width="10" style="118" customWidth="1"/>
    <col min="15" max="15" width="7.88671875" style="116" customWidth="1"/>
    <col min="16" max="18" width="5" style="116" customWidth="1" outlineLevel="1"/>
    <col min="19" max="19" width="17.109375" style="116" customWidth="1" outlineLevel="1"/>
    <col min="20" max="20" width="16" style="116" customWidth="1" outlineLevel="1"/>
    <col min="21" max="21" width="6" style="116" customWidth="1" outlineLevel="1"/>
    <col min="22" max="22" width="6.21875" style="116" customWidth="1" outlineLevel="1"/>
    <col min="23" max="25" width="6" style="116" customWidth="1" outlineLevel="1"/>
    <col min="26" max="26" width="7.77734375" style="116" customWidth="1" outlineLevel="1"/>
    <col min="27" max="27" width="15.109375" style="116" customWidth="1"/>
    <col min="28" max="29" width="11.6640625" style="116" customWidth="1" outlineLevel="1"/>
    <col min="30" max="31" width="11.6640625" style="116" customWidth="1"/>
    <col min="32" max="32" width="11.6640625" style="119" customWidth="1"/>
    <col min="33" max="33" width="19.77734375" style="119" customWidth="1" outlineLevel="1"/>
    <col min="34" max="38" width="10.5546875" style="119" customWidth="1" outlineLevel="1"/>
    <col min="39" max="39" width="13.44140625" style="119" customWidth="1" outlineLevel="1"/>
    <col min="40" max="40" width="15.21875" style="119" customWidth="1" outlineLevel="1"/>
    <col min="41" max="41" width="14" style="119" customWidth="1" outlineLevel="1"/>
    <col min="42" max="43" width="10.5546875" style="119" customWidth="1" outlineLevel="1"/>
    <col min="44" max="44" width="13.5546875" style="119" customWidth="1" outlineLevel="1"/>
    <col min="45" max="46" width="9.88671875" style="119" customWidth="1" outlineLevel="1"/>
    <col min="47" max="47" width="13.109375" style="119" customWidth="1" outlineLevel="1"/>
    <col min="48" max="48" width="13.33203125" style="120" customWidth="1"/>
    <col min="49" max="49" width="14.6640625" style="119" customWidth="1"/>
    <col min="50" max="50" width="12.44140625" style="119" customWidth="1" outlineLevel="1"/>
    <col min="51" max="51" width="13.5546875" style="119" customWidth="1"/>
    <col min="52" max="52" width="12.88671875" style="119" customWidth="1"/>
    <col min="53" max="56" width="9.6640625" style="119" customWidth="1" outlineLevel="1"/>
    <col min="57" max="57" width="12.5546875" style="119" customWidth="1"/>
    <col min="58" max="58" width="9.6640625" style="119" customWidth="1"/>
    <col min="59" max="59" width="17.33203125" style="121" customWidth="1"/>
    <col min="60" max="60" width="14.6640625" style="119" customWidth="1" outlineLevel="1"/>
    <col min="61" max="61" width="12" style="119" customWidth="1" outlineLevel="1"/>
    <col min="62" max="63" width="10.5546875" style="119" customWidth="1" outlineLevel="1"/>
    <col min="64" max="64" width="12.5546875" style="119" customWidth="1"/>
    <col min="65" max="65" width="13.33203125" style="119" customWidth="1" outlineLevel="1"/>
    <col min="66" max="66" width="11" style="119" customWidth="1" outlineLevel="1"/>
    <col min="67" max="68" width="10.5546875" style="119" customWidth="1" outlineLevel="1"/>
    <col min="69" max="69" width="13" style="119" customWidth="1"/>
    <col min="70" max="70" width="14.6640625" style="119" customWidth="1"/>
    <col min="71" max="71" width="11.88671875" style="119" customWidth="1" outlineLevel="1"/>
    <col min="72" max="72" width="15" style="119" customWidth="1" outlineLevel="1"/>
    <col min="73" max="73" width="12.44140625" style="119" customWidth="1" outlineLevel="1"/>
    <col min="74" max="74" width="9.6640625" style="119" customWidth="1" outlineLevel="1"/>
    <col min="75" max="75" width="14.5546875" style="119" customWidth="1" outlineLevel="1"/>
    <col min="76" max="76" width="12.6640625" style="119" customWidth="1" outlineLevel="1"/>
    <col min="77" max="77" width="14.109375" style="119" customWidth="1"/>
    <col min="78" max="78" width="11.88671875" style="119" customWidth="1"/>
    <col min="79" max="79" width="12.5546875" style="119" customWidth="1" outlineLevel="1"/>
    <col min="80" max="80" width="18" style="122" customWidth="1"/>
    <col min="81" max="81" width="10.44140625" style="119" customWidth="1"/>
    <col min="82" max="82" width="15.5546875" style="119" customWidth="1"/>
    <col min="83" max="83" width="17.33203125" style="119" customWidth="1"/>
    <col min="84" max="84" width="14" style="119" customWidth="1"/>
    <col min="85" max="85" width="18" style="123" customWidth="1"/>
    <col min="86" max="86" width="14.33203125" style="116" customWidth="1"/>
    <col min="87" max="87" width="33.44140625" style="124" customWidth="1"/>
    <col min="88" max="88" width="12.44140625" style="125" customWidth="1"/>
    <col min="89" max="89" width="8.33203125" style="118" customWidth="1"/>
    <col min="90" max="90" width="14.44140625" style="116" customWidth="1"/>
    <col min="91" max="93" width="8.5546875" style="116" customWidth="1"/>
    <col min="94" max="99" width="14.44140625" style="116" customWidth="1"/>
    <col min="100" max="100" width="18.5546875" style="116" customWidth="1"/>
    <col min="101" max="101" width="17" style="116" customWidth="1"/>
    <col min="102" max="102" width="21.33203125" style="116" customWidth="1"/>
    <col min="103" max="103" width="23.44140625" style="116" customWidth="1"/>
    <col min="104" max="105" width="14.44140625" style="116" customWidth="1"/>
    <col min="106" max="106" width="74.33203125" style="116" customWidth="1"/>
    <col min="107" max="107" width="14.44140625" style="116" customWidth="1"/>
    <col min="108" max="108" width="12.44140625" style="116" customWidth="1"/>
    <col min="109" max="109" width="14.44140625" style="126" customWidth="1"/>
    <col min="110" max="110" width="14.44140625" style="127" customWidth="1"/>
    <col min="111" max="119" width="14.44140625" style="116" customWidth="1"/>
    <col min="120" max="16384" width="14.44140625" style="116"/>
  </cols>
  <sheetData>
    <row r="1" spans="1:111" ht="15" hidden="1" customHeight="1">
      <c r="D1" s="115">
        <v>1</v>
      </c>
      <c r="E1" s="116">
        <v>2</v>
      </c>
      <c r="F1" s="116">
        <v>3</v>
      </c>
      <c r="G1" s="115">
        <v>4</v>
      </c>
      <c r="H1" s="116">
        <v>5</v>
      </c>
      <c r="I1" s="116">
        <v>6</v>
      </c>
      <c r="J1" s="115">
        <v>7</v>
      </c>
      <c r="K1" s="116">
        <v>8</v>
      </c>
      <c r="L1" s="116">
        <v>9</v>
      </c>
      <c r="M1" s="115">
        <v>10</v>
      </c>
      <c r="N1" s="116">
        <v>11</v>
      </c>
      <c r="O1" s="116">
        <v>12</v>
      </c>
      <c r="P1" s="115">
        <v>13</v>
      </c>
      <c r="Q1" s="116">
        <v>14</v>
      </c>
      <c r="R1" s="116">
        <v>15</v>
      </c>
      <c r="S1" s="115">
        <v>16</v>
      </c>
      <c r="T1" s="116">
        <v>17</v>
      </c>
      <c r="U1" s="116">
        <v>18</v>
      </c>
      <c r="V1" s="115">
        <v>19</v>
      </c>
      <c r="W1" s="116">
        <v>20</v>
      </c>
      <c r="X1" s="116">
        <v>21</v>
      </c>
      <c r="Y1" s="115">
        <v>22</v>
      </c>
      <c r="Z1" s="116">
        <v>23</v>
      </c>
      <c r="AA1" s="116">
        <v>26</v>
      </c>
      <c r="AB1" s="116">
        <v>27</v>
      </c>
      <c r="AC1" s="115">
        <v>28</v>
      </c>
      <c r="AD1" s="116">
        <v>29</v>
      </c>
      <c r="AE1" s="116">
        <v>30</v>
      </c>
      <c r="AF1" s="120">
        <v>31</v>
      </c>
      <c r="AG1" s="119">
        <v>35</v>
      </c>
      <c r="AH1" s="119">
        <v>36</v>
      </c>
      <c r="AI1" s="120">
        <v>37</v>
      </c>
      <c r="AJ1" s="120"/>
      <c r="AK1" s="120"/>
      <c r="AL1" s="119">
        <v>38</v>
      </c>
      <c r="AM1" s="119">
        <v>39</v>
      </c>
      <c r="AN1" s="120">
        <v>40</v>
      </c>
      <c r="AO1" s="119">
        <v>41</v>
      </c>
      <c r="AP1" s="119">
        <v>42</v>
      </c>
      <c r="AQ1" s="120">
        <v>43</v>
      </c>
      <c r="AR1" s="119">
        <v>44</v>
      </c>
      <c r="AS1" s="119">
        <v>45</v>
      </c>
      <c r="AT1" s="120">
        <v>46</v>
      </c>
      <c r="AU1" s="119">
        <v>47</v>
      </c>
      <c r="AV1" s="119">
        <v>48</v>
      </c>
      <c r="AW1" s="120">
        <v>49</v>
      </c>
      <c r="AX1" s="119">
        <v>50</v>
      </c>
      <c r="AY1" s="119">
        <v>51</v>
      </c>
      <c r="AZ1" s="120">
        <v>52</v>
      </c>
      <c r="BA1" s="119">
        <v>53</v>
      </c>
      <c r="BB1" s="119">
        <v>54</v>
      </c>
      <c r="BC1" s="120">
        <v>55</v>
      </c>
      <c r="BD1" s="119">
        <v>56</v>
      </c>
      <c r="BE1" s="119">
        <v>57</v>
      </c>
      <c r="BF1" s="120">
        <v>58</v>
      </c>
      <c r="BG1" s="119">
        <v>59</v>
      </c>
      <c r="BH1" s="119">
        <v>60</v>
      </c>
      <c r="BI1" s="120">
        <v>61</v>
      </c>
      <c r="BJ1" s="119">
        <v>62</v>
      </c>
      <c r="BK1" s="119">
        <v>63</v>
      </c>
      <c r="BL1" s="120">
        <v>64</v>
      </c>
      <c r="BM1" s="119">
        <v>65</v>
      </c>
      <c r="BN1" s="119">
        <v>66</v>
      </c>
      <c r="BO1" s="120">
        <v>67</v>
      </c>
      <c r="BP1" s="119">
        <v>68</v>
      </c>
      <c r="BQ1" s="119">
        <v>69</v>
      </c>
      <c r="BS1" s="120">
        <v>70</v>
      </c>
      <c r="BT1" s="119">
        <v>71</v>
      </c>
      <c r="BU1" s="119">
        <v>72</v>
      </c>
      <c r="BV1" s="120">
        <v>73</v>
      </c>
      <c r="BW1" s="119">
        <v>74</v>
      </c>
      <c r="BX1" s="119">
        <v>75</v>
      </c>
      <c r="BY1" s="120">
        <v>76</v>
      </c>
      <c r="BZ1" s="119">
        <v>77</v>
      </c>
      <c r="CA1" s="119">
        <v>78</v>
      </c>
      <c r="CB1" s="120">
        <v>79</v>
      </c>
      <c r="CC1" s="119">
        <v>80</v>
      </c>
      <c r="CD1" s="119">
        <v>81</v>
      </c>
      <c r="CE1" s="120">
        <v>82</v>
      </c>
      <c r="CF1" s="119">
        <v>83</v>
      </c>
      <c r="CG1" s="123">
        <v>84</v>
      </c>
      <c r="CH1" s="115">
        <v>85</v>
      </c>
      <c r="CI1" s="116">
        <v>86</v>
      </c>
      <c r="CJ1" s="125">
        <v>87</v>
      </c>
      <c r="CK1" s="128">
        <v>88</v>
      </c>
      <c r="CL1" s="116">
        <v>89</v>
      </c>
      <c r="CM1" s="116">
        <v>90</v>
      </c>
      <c r="CN1" s="115">
        <v>91</v>
      </c>
      <c r="CO1" s="116">
        <v>92</v>
      </c>
      <c r="CP1" s="116">
        <v>93</v>
      </c>
      <c r="CQ1" s="115">
        <v>94</v>
      </c>
      <c r="CR1" s="116">
        <v>95</v>
      </c>
      <c r="CS1" s="116">
        <v>96</v>
      </c>
      <c r="CT1" s="115">
        <v>97</v>
      </c>
      <c r="CU1" s="116">
        <v>98</v>
      </c>
      <c r="CV1" s="116">
        <v>99</v>
      </c>
      <c r="CW1" s="115">
        <v>100</v>
      </c>
      <c r="CX1" s="116">
        <v>101</v>
      </c>
      <c r="CY1" s="116">
        <v>102</v>
      </c>
      <c r="CZ1" s="115">
        <v>103</v>
      </c>
      <c r="DA1" s="116">
        <v>104</v>
      </c>
    </row>
    <row r="2" spans="1:111" ht="18" hidden="1" customHeight="1">
      <c r="A2" s="129"/>
      <c r="B2" s="129"/>
      <c r="C2" s="129"/>
      <c r="D2" s="130"/>
      <c r="E2" s="131"/>
      <c r="F2" s="132"/>
      <c r="G2" s="133"/>
      <c r="H2" s="131" t="s">
        <v>0</v>
      </c>
      <c r="I2" s="134"/>
      <c r="J2" s="135"/>
      <c r="K2" s="136"/>
      <c r="L2" s="137"/>
      <c r="M2" s="131"/>
      <c r="N2" s="131"/>
      <c r="O2" s="138"/>
      <c r="P2" s="136"/>
      <c r="Q2" s="136"/>
      <c r="R2" s="139"/>
      <c r="S2" s="140"/>
      <c r="T2" s="139"/>
      <c r="U2" s="141"/>
      <c r="V2" s="139"/>
      <c r="W2" s="139"/>
      <c r="X2" s="139"/>
      <c r="Y2" s="139"/>
      <c r="Z2" s="139"/>
      <c r="AA2" s="139"/>
      <c r="AB2" s="139"/>
      <c r="AC2" s="141"/>
      <c r="AD2" s="139"/>
      <c r="AE2" s="139"/>
      <c r="AF2" s="139"/>
      <c r="AG2" s="142"/>
      <c r="AH2" s="139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43"/>
      <c r="AW2" s="144"/>
      <c r="AX2" s="139"/>
      <c r="AY2" s="139"/>
      <c r="AZ2" s="139"/>
      <c r="BA2" s="144"/>
      <c r="BB2" s="144"/>
      <c r="BC2" s="144"/>
      <c r="BD2" s="144"/>
      <c r="BE2" s="144"/>
      <c r="BF2" s="139"/>
      <c r="BG2" s="145"/>
      <c r="BH2" s="139"/>
      <c r="BI2" s="139"/>
      <c r="BJ2" s="139"/>
      <c r="BK2" s="139"/>
      <c r="BL2" s="139"/>
      <c r="BM2" s="139"/>
      <c r="BN2" s="139"/>
      <c r="BO2" s="139"/>
      <c r="BP2" s="139"/>
      <c r="BQ2" s="139"/>
      <c r="BR2" s="139"/>
      <c r="BS2" s="139"/>
      <c r="BT2" s="139"/>
      <c r="BU2" s="139"/>
      <c r="BV2" s="139"/>
      <c r="BW2" s="139"/>
      <c r="BX2" s="139"/>
      <c r="BY2" s="141"/>
      <c r="BZ2" s="139"/>
      <c r="CA2" s="144"/>
      <c r="CB2" s="146"/>
      <c r="CC2" s="139"/>
      <c r="CD2" s="139"/>
      <c r="CE2" s="147"/>
      <c r="CF2" s="148"/>
      <c r="CG2" s="149"/>
      <c r="CH2" s="150"/>
      <c r="CI2" s="150"/>
      <c r="CK2" s="151"/>
    </row>
    <row r="3" spans="1:111" ht="18" hidden="1" customHeight="1">
      <c r="A3" s="152"/>
      <c r="B3" s="152"/>
      <c r="C3" s="152"/>
      <c r="D3" s="153"/>
      <c r="E3" s="154"/>
      <c r="F3" s="155"/>
      <c r="G3" s="156" t="s">
        <v>1</v>
      </c>
      <c r="H3" s="157">
        <v>46235</v>
      </c>
      <c r="I3" s="158" t="s">
        <v>2</v>
      </c>
      <c r="J3" s="157">
        <v>46265</v>
      </c>
      <c r="K3" s="159"/>
      <c r="L3" s="160"/>
      <c r="M3" s="154"/>
      <c r="N3" s="154"/>
      <c r="O3" s="161"/>
      <c r="P3" s="159"/>
      <c r="Q3" s="159"/>
      <c r="R3" s="162"/>
      <c r="S3" s="163"/>
      <c r="T3" s="141"/>
      <c r="U3" s="164"/>
      <c r="V3" s="141"/>
      <c r="W3" s="141"/>
      <c r="X3" s="141"/>
      <c r="Y3" s="141"/>
      <c r="Z3" s="141"/>
      <c r="AA3" s="165"/>
      <c r="AB3" s="141"/>
      <c r="AC3" s="141"/>
      <c r="AD3" s="141"/>
      <c r="AE3" s="141"/>
      <c r="AF3" s="141"/>
      <c r="AG3" s="166">
        <v>20</v>
      </c>
      <c r="AH3" s="167">
        <v>21</v>
      </c>
      <c r="AI3" s="167">
        <v>22</v>
      </c>
      <c r="AJ3" s="167"/>
      <c r="AK3" s="167"/>
      <c r="AL3" s="168">
        <v>28</v>
      </c>
      <c r="AM3" s="168">
        <v>29</v>
      </c>
      <c r="AN3" s="168">
        <v>30</v>
      </c>
      <c r="AO3" s="168">
        <v>31</v>
      </c>
      <c r="AP3" s="168">
        <v>32</v>
      </c>
      <c r="AQ3" s="168">
        <v>33</v>
      </c>
      <c r="AR3" s="141"/>
      <c r="AS3" s="169">
        <v>25</v>
      </c>
      <c r="AT3" s="169">
        <v>26</v>
      </c>
      <c r="AU3" s="169">
        <v>27</v>
      </c>
      <c r="AW3" s="144"/>
      <c r="AX3" s="141"/>
      <c r="AY3" s="170"/>
      <c r="AZ3" s="141"/>
      <c r="BA3" s="167">
        <v>35</v>
      </c>
      <c r="BB3" s="167">
        <v>36</v>
      </c>
      <c r="BC3" s="167">
        <v>37</v>
      </c>
      <c r="BD3" s="167">
        <v>38</v>
      </c>
      <c r="BE3" s="167">
        <v>39</v>
      </c>
      <c r="BF3" s="141"/>
      <c r="BG3" s="171"/>
      <c r="BH3" s="141"/>
      <c r="BI3" s="139"/>
      <c r="BJ3" s="141"/>
      <c r="BK3" s="141"/>
      <c r="BL3" s="141"/>
      <c r="BM3" s="141"/>
      <c r="BN3" s="139"/>
      <c r="BO3" s="141"/>
      <c r="BP3" s="141"/>
      <c r="BQ3" s="141"/>
      <c r="BR3" s="141"/>
      <c r="BS3" s="141"/>
      <c r="BT3" s="141"/>
      <c r="BU3" s="141"/>
      <c r="BV3" s="141"/>
      <c r="BW3" s="141"/>
      <c r="BX3" s="141"/>
      <c r="BY3" s="141"/>
      <c r="BZ3" s="141"/>
      <c r="CA3" s="172"/>
      <c r="CB3" s="173"/>
      <c r="CC3" s="141"/>
      <c r="CD3" s="141"/>
      <c r="CE3" s="174" t="e">
        <f>#REF!</f>
        <v>#REF!</v>
      </c>
      <c r="CF3" s="148"/>
      <c r="CG3" s="175"/>
      <c r="CH3" s="176"/>
      <c r="CI3" s="176"/>
      <c r="CK3" s="177"/>
    </row>
    <row r="4" spans="1:111" ht="13.5" hidden="1" customHeight="1">
      <c r="A4" s="154"/>
      <c r="B4" s="154"/>
      <c r="C4" s="154"/>
      <c r="D4" s="178"/>
      <c r="E4" s="154"/>
      <c r="F4" s="179"/>
      <c r="G4" s="180"/>
      <c r="H4" s="181"/>
      <c r="I4" s="158"/>
      <c r="J4" s="181"/>
      <c r="K4" s="159"/>
      <c r="L4" s="160"/>
      <c r="M4" s="159"/>
      <c r="N4" s="159"/>
      <c r="O4" s="161"/>
      <c r="P4" s="159"/>
      <c r="Q4" s="182"/>
      <c r="R4" s="183"/>
      <c r="S4" s="184"/>
      <c r="T4" s="185"/>
      <c r="U4" s="185"/>
      <c r="V4" s="185"/>
      <c r="W4" s="185"/>
      <c r="X4" s="185"/>
      <c r="Y4" s="185"/>
      <c r="Z4" s="185"/>
      <c r="AA4" s="186"/>
      <c r="AB4" s="185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  <c r="AP4" s="185"/>
      <c r="AQ4" s="185"/>
      <c r="AR4" s="185"/>
      <c r="AS4" s="185"/>
      <c r="AT4" s="185"/>
      <c r="AU4" s="185"/>
      <c r="AV4" s="187"/>
      <c r="AW4" s="188"/>
      <c r="AX4" s="185"/>
      <c r="AY4" s="185"/>
      <c r="AZ4" s="185"/>
      <c r="BA4" s="189"/>
      <c r="BB4" s="189"/>
      <c r="BC4" s="189"/>
      <c r="BD4" s="189"/>
      <c r="BE4" s="185"/>
      <c r="BF4" s="185"/>
      <c r="BG4" s="190"/>
      <c r="BH4" s="185"/>
      <c r="BI4" s="186"/>
      <c r="BJ4" s="185"/>
      <c r="BK4" s="185"/>
      <c r="BL4" s="185"/>
      <c r="BM4" s="185"/>
      <c r="BN4" s="186"/>
      <c r="BO4" s="185"/>
      <c r="BP4" s="185"/>
      <c r="BQ4" s="185"/>
      <c r="BR4" s="185"/>
      <c r="BS4" s="185"/>
      <c r="BT4" s="185"/>
      <c r="BU4" s="185"/>
      <c r="BV4" s="185"/>
      <c r="BW4" s="185"/>
      <c r="BX4" s="185"/>
      <c r="BY4" s="191"/>
      <c r="BZ4" s="185"/>
      <c r="CA4" s="189"/>
      <c r="CB4" s="192"/>
      <c r="CC4" s="185"/>
      <c r="CD4" s="185"/>
      <c r="CE4" s="193"/>
      <c r="CF4" s="194"/>
      <c r="CG4" s="195"/>
      <c r="CH4" s="196"/>
      <c r="CI4" s="196"/>
      <c r="CK4" s="197"/>
    </row>
    <row r="5" spans="1:111" ht="12.75" hidden="1" customHeight="1">
      <c r="A5" s="152"/>
      <c r="B5" s="152"/>
      <c r="C5" s="152"/>
      <c r="D5" s="153"/>
      <c r="E5" s="154"/>
      <c r="F5" s="155"/>
      <c r="G5" s="180"/>
      <c r="H5" s="181"/>
      <c r="I5" s="158"/>
      <c r="J5" s="181"/>
      <c r="K5" s="159"/>
      <c r="L5" s="160"/>
      <c r="M5" s="159"/>
      <c r="N5" s="159"/>
      <c r="O5" s="161"/>
      <c r="P5" s="159"/>
      <c r="Q5" s="159"/>
      <c r="R5" s="141"/>
      <c r="S5" s="141"/>
      <c r="T5" s="141"/>
      <c r="U5" s="141"/>
      <c r="V5" s="141"/>
      <c r="W5" s="141"/>
      <c r="X5" s="141"/>
      <c r="Y5" s="141"/>
      <c r="Z5" s="141"/>
      <c r="AA5" s="139"/>
      <c r="AB5" s="141"/>
      <c r="AC5" s="141"/>
      <c r="AD5" s="141"/>
      <c r="AE5" s="141"/>
      <c r="AF5" s="141"/>
      <c r="AG5" s="141"/>
      <c r="AH5" s="141"/>
      <c r="AI5" s="141"/>
      <c r="AJ5" s="141"/>
      <c r="AK5" s="141"/>
      <c r="AL5" s="141"/>
      <c r="AM5" s="141"/>
      <c r="AN5" s="141"/>
      <c r="AO5" s="141"/>
      <c r="AP5" s="141"/>
      <c r="AQ5" s="141"/>
      <c r="AR5" s="141"/>
      <c r="AS5" s="141"/>
      <c r="AT5" s="141"/>
      <c r="AU5" s="141"/>
      <c r="AV5" s="198"/>
      <c r="AW5" s="144"/>
      <c r="AX5" s="141"/>
      <c r="AY5" s="141"/>
      <c r="AZ5" s="141"/>
      <c r="BA5" s="172"/>
      <c r="BB5" s="172"/>
      <c r="BC5" s="172"/>
      <c r="BD5" s="172"/>
      <c r="BE5" s="141"/>
      <c r="BF5" s="141"/>
      <c r="BG5" s="171"/>
      <c r="BH5" s="141"/>
      <c r="BI5" s="139"/>
      <c r="BJ5" s="141"/>
      <c r="BK5" s="141"/>
      <c r="BL5" s="141"/>
      <c r="BM5" s="141"/>
      <c r="BN5" s="139"/>
      <c r="BO5" s="141"/>
      <c r="BP5" s="141"/>
      <c r="BQ5" s="141"/>
      <c r="BR5" s="141"/>
      <c r="BS5" s="141"/>
      <c r="BT5" s="141"/>
      <c r="BU5" s="141"/>
      <c r="BV5" s="141"/>
      <c r="BW5" s="141"/>
      <c r="BX5" s="141"/>
      <c r="BY5" s="141"/>
      <c r="BZ5" s="141"/>
      <c r="CA5" s="172"/>
      <c r="CB5" s="173"/>
      <c r="CC5" s="141"/>
      <c r="CD5" s="141"/>
      <c r="CE5" s="174"/>
      <c r="CF5" s="148"/>
      <c r="CG5" s="175"/>
      <c r="CH5" s="176"/>
      <c r="CI5" s="176"/>
      <c r="CK5" s="177"/>
    </row>
    <row r="6" spans="1:111" ht="12.75" hidden="1" customHeight="1">
      <c r="A6" s="152"/>
      <c r="B6" s="152"/>
      <c r="C6" s="152"/>
      <c r="D6" s="153"/>
      <c r="E6" s="154"/>
      <c r="F6" s="155"/>
      <c r="G6" s="180"/>
      <c r="H6" s="181"/>
      <c r="I6" s="158"/>
      <c r="J6" s="181"/>
      <c r="K6" s="159"/>
      <c r="L6" s="160"/>
      <c r="M6" s="159"/>
      <c r="N6" s="159"/>
      <c r="O6" s="161"/>
      <c r="P6" s="159"/>
      <c r="Q6" s="159"/>
      <c r="R6" s="141"/>
      <c r="S6" s="141"/>
      <c r="T6" s="141"/>
      <c r="U6" s="141"/>
      <c r="V6" s="141"/>
      <c r="W6" s="141"/>
      <c r="X6" s="141"/>
      <c r="Y6" s="141"/>
      <c r="Z6" s="141"/>
      <c r="AA6" s="139"/>
      <c r="AB6" s="141"/>
      <c r="AC6" s="184"/>
      <c r="AD6" s="184"/>
      <c r="AE6" s="184"/>
      <c r="AF6" s="164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98"/>
      <c r="AW6" s="144"/>
      <c r="AX6" s="141"/>
      <c r="AY6" s="141"/>
      <c r="AZ6" s="141"/>
      <c r="BA6" s="172"/>
      <c r="BB6" s="172"/>
      <c r="BC6" s="172"/>
      <c r="BD6" s="172"/>
      <c r="BE6" s="141"/>
      <c r="BF6" s="141"/>
      <c r="BG6" s="171"/>
      <c r="BH6" s="141"/>
      <c r="BI6" s="139"/>
      <c r="BJ6" s="141"/>
      <c r="BK6" s="141"/>
      <c r="BL6" s="141"/>
      <c r="BM6" s="141"/>
      <c r="BN6" s="139"/>
      <c r="BO6" s="141"/>
      <c r="BP6" s="141"/>
      <c r="BQ6" s="141"/>
      <c r="BR6" s="141"/>
      <c r="BS6" s="141"/>
      <c r="BT6" s="141"/>
      <c r="BU6" s="141"/>
      <c r="BV6" s="141"/>
      <c r="BW6" s="141"/>
      <c r="BX6" s="141"/>
      <c r="BY6" s="141"/>
      <c r="BZ6" s="141"/>
      <c r="CA6" s="172"/>
      <c r="CB6" s="173"/>
      <c r="CC6" s="141"/>
      <c r="CD6" s="141"/>
      <c r="CE6" s="174" t="e">
        <f>#REF!-#REF!-#REF!-#REF!+#REF!</f>
        <v>#REF!</v>
      </c>
      <c r="CF6" s="148" t="e">
        <f>CG6-#REF!</f>
        <v>#REF!</v>
      </c>
      <c r="CG6" s="175" t="e">
        <f>#REF!+#REF!+#REF!</f>
        <v>#REF!</v>
      </c>
      <c r="CH6" s="176" t="s">
        <v>3</v>
      </c>
      <c r="CI6" s="176"/>
      <c r="CK6" s="177"/>
    </row>
    <row r="7" spans="1:111" ht="12.75" hidden="1" customHeight="1">
      <c r="A7" s="152"/>
      <c r="B7" s="152"/>
      <c r="C7" s="152"/>
      <c r="D7" s="153"/>
      <c r="E7" s="154"/>
      <c r="F7" s="155"/>
      <c r="G7" s="180"/>
      <c r="H7" s="181"/>
      <c r="I7" s="158"/>
      <c r="J7" s="181"/>
      <c r="K7" s="159"/>
      <c r="L7" s="160"/>
      <c r="M7" s="159"/>
      <c r="N7" s="159"/>
      <c r="O7" s="161"/>
      <c r="P7" s="159"/>
      <c r="Q7" s="159"/>
      <c r="R7" s="141"/>
      <c r="S7" s="141"/>
      <c r="T7" s="141"/>
      <c r="U7" s="141"/>
      <c r="V7" s="141"/>
      <c r="W7" s="141"/>
      <c r="X7" s="141"/>
      <c r="Y7" s="141"/>
      <c r="Z7" s="141"/>
      <c r="AA7" s="139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98"/>
      <c r="AW7" s="144"/>
      <c r="AX7" s="141"/>
      <c r="AY7" s="141"/>
      <c r="AZ7" s="141"/>
      <c r="BA7" s="172"/>
      <c r="BB7" s="172"/>
      <c r="BC7" s="172"/>
      <c r="BD7" s="172"/>
      <c r="BE7" s="141"/>
      <c r="BF7" s="141"/>
      <c r="BG7" s="171"/>
      <c r="BH7" s="141"/>
      <c r="BI7" s="139"/>
      <c r="BJ7" s="141"/>
      <c r="BK7" s="141"/>
      <c r="BL7" s="141"/>
      <c r="BM7" s="141"/>
      <c r="BN7" s="139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72"/>
      <c r="CB7" s="173"/>
      <c r="CC7" s="141"/>
      <c r="CD7" s="141"/>
      <c r="CE7" s="174"/>
      <c r="CF7" s="148" t="e">
        <f>CG7-#REF!</f>
        <v>#REF!</v>
      </c>
      <c r="CG7" s="175" t="e">
        <f>#REF!</f>
        <v>#REF!</v>
      </c>
      <c r="CH7" s="176" t="s">
        <v>4</v>
      </c>
      <c r="CI7" s="176"/>
      <c r="CK7" s="177"/>
    </row>
    <row r="8" spans="1:111" ht="12.75" hidden="1" customHeight="1">
      <c r="A8" s="152"/>
      <c r="B8" s="152"/>
      <c r="C8" s="152"/>
      <c r="D8" s="153"/>
      <c r="E8" s="154"/>
      <c r="F8" s="155"/>
      <c r="G8" s="180"/>
      <c r="H8" s="181"/>
      <c r="I8" s="158"/>
      <c r="J8" s="181"/>
      <c r="K8" s="159"/>
      <c r="L8" s="160"/>
      <c r="M8" s="159"/>
      <c r="N8" s="199"/>
      <c r="O8" s="161"/>
      <c r="P8" s="159"/>
      <c r="Q8" s="159"/>
      <c r="R8" s="200"/>
      <c r="S8" s="141"/>
      <c r="T8" s="141"/>
      <c r="U8" s="141"/>
      <c r="V8" s="141"/>
      <c r="W8" s="141"/>
      <c r="X8" s="141"/>
      <c r="Y8" s="141"/>
      <c r="Z8" s="141"/>
      <c r="AA8" s="139"/>
      <c r="AB8" s="141"/>
      <c r="AC8" s="141"/>
      <c r="AD8" s="201"/>
      <c r="AE8" s="201"/>
      <c r="AF8" s="202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98"/>
      <c r="AW8" s="144"/>
      <c r="AX8" s="141"/>
      <c r="AY8" s="141"/>
      <c r="AZ8" s="141"/>
      <c r="BA8" s="172"/>
      <c r="BB8" s="172"/>
      <c r="BC8" s="172"/>
      <c r="BD8" s="172"/>
      <c r="BE8" s="141"/>
      <c r="BF8" s="141"/>
      <c r="BG8" s="171">
        <f>BG89+BG83+BG77+BG70+BG65+BG56+BG49+BG41+BG32+BG26+BG18</f>
        <v>685829850.38754594</v>
      </c>
      <c r="BH8" s="141"/>
      <c r="BI8" s="139"/>
      <c r="BJ8" s="141"/>
      <c r="BK8" s="141"/>
      <c r="BL8" s="141"/>
      <c r="BM8" s="141"/>
      <c r="BN8" s="139"/>
      <c r="BO8" s="141"/>
      <c r="BP8" s="141"/>
      <c r="BQ8" s="141"/>
      <c r="BR8" s="141"/>
      <c r="BS8" s="141"/>
      <c r="BT8" s="141"/>
      <c r="BU8" s="141"/>
      <c r="BV8" s="141"/>
      <c r="BW8" s="141"/>
      <c r="BX8" s="141"/>
      <c r="BY8" s="141"/>
      <c r="BZ8" s="141"/>
      <c r="CA8" s="172"/>
      <c r="CB8" s="173"/>
      <c r="CC8" s="141"/>
      <c r="CD8" s="141"/>
      <c r="CE8" s="174"/>
      <c r="CF8" s="148"/>
      <c r="CG8" s="175"/>
      <c r="CH8" s="176"/>
      <c r="CI8" s="176"/>
      <c r="CK8" s="177"/>
      <c r="CM8" s="203">
        <v>1</v>
      </c>
      <c r="CN8" s="203">
        <v>4</v>
      </c>
      <c r="CO8" s="203">
        <v>2024</v>
      </c>
      <c r="CP8" s="204">
        <v>5</v>
      </c>
      <c r="CQ8" s="205">
        <v>2026</v>
      </c>
      <c r="DA8" s="456" t="s">
        <v>5</v>
      </c>
      <c r="DB8" s="457" t="s">
        <v>5</v>
      </c>
    </row>
    <row r="9" spans="1:111" ht="71.25" customHeight="1">
      <c r="A9" s="206" t="s">
        <v>6</v>
      </c>
      <c r="B9" s="206" t="s">
        <v>7</v>
      </c>
      <c r="C9" s="206" t="s">
        <v>8</v>
      </c>
      <c r="D9" s="207" t="s">
        <v>9</v>
      </c>
      <c r="E9" s="208" t="s">
        <v>10</v>
      </c>
      <c r="F9" s="209" t="s">
        <v>11</v>
      </c>
      <c r="G9" s="210" t="s">
        <v>12</v>
      </c>
      <c r="H9" s="208" t="s">
        <v>13</v>
      </c>
      <c r="I9" s="211" t="s">
        <v>14</v>
      </c>
      <c r="J9" s="208" t="s">
        <v>15</v>
      </c>
      <c r="K9" s="212" t="s">
        <v>16</v>
      </c>
      <c r="L9" s="212" t="s">
        <v>17</v>
      </c>
      <c r="M9" s="213" t="s">
        <v>18</v>
      </c>
      <c r="N9" s="213" t="s">
        <v>19</v>
      </c>
      <c r="O9" s="214" t="s">
        <v>20</v>
      </c>
      <c r="P9" s="214" t="s">
        <v>21</v>
      </c>
      <c r="Q9" s="214" t="s">
        <v>22</v>
      </c>
      <c r="R9" s="215" t="s">
        <v>23</v>
      </c>
      <c r="S9" s="216" t="s">
        <v>24</v>
      </c>
      <c r="T9" s="216" t="s">
        <v>25</v>
      </c>
      <c r="U9" s="216" t="s">
        <v>26</v>
      </c>
      <c r="V9" s="216" t="s">
        <v>27</v>
      </c>
      <c r="W9" s="216" t="s">
        <v>28</v>
      </c>
      <c r="X9" s="216" t="s">
        <v>29</v>
      </c>
      <c r="Y9" s="216" t="s">
        <v>30</v>
      </c>
      <c r="Z9" s="216" t="s">
        <v>31</v>
      </c>
      <c r="AA9" s="217" t="s">
        <v>32</v>
      </c>
      <c r="AB9" s="216" t="s">
        <v>33</v>
      </c>
      <c r="AC9" s="218" t="s">
        <v>34</v>
      </c>
      <c r="AD9" s="218" t="s">
        <v>35</v>
      </c>
      <c r="AE9" s="219" t="s">
        <v>36</v>
      </c>
      <c r="AF9" s="220" t="s">
        <v>37</v>
      </c>
      <c r="AG9" s="221" t="s">
        <v>38</v>
      </c>
      <c r="AH9" s="222" t="s">
        <v>39</v>
      </c>
      <c r="AI9" s="222" t="s">
        <v>40</v>
      </c>
      <c r="AJ9" s="223" t="s">
        <v>41</v>
      </c>
      <c r="AK9" s="223" t="s">
        <v>42</v>
      </c>
      <c r="AL9" s="223" t="s">
        <v>43</v>
      </c>
      <c r="AM9" s="223" t="s">
        <v>44</v>
      </c>
      <c r="AN9" s="223" t="s">
        <v>45</v>
      </c>
      <c r="AO9" s="223" t="s">
        <v>46</v>
      </c>
      <c r="AP9" s="223" t="s">
        <v>47</v>
      </c>
      <c r="AQ9" s="223" t="s">
        <v>48</v>
      </c>
      <c r="AR9" s="222" t="s">
        <v>49</v>
      </c>
      <c r="AS9" s="222" t="s">
        <v>50</v>
      </c>
      <c r="AT9" s="222" t="s">
        <v>51</v>
      </c>
      <c r="AU9" s="222" t="s">
        <v>52</v>
      </c>
      <c r="AV9" s="224" t="s">
        <v>53</v>
      </c>
      <c r="AW9" s="225" t="s">
        <v>54</v>
      </c>
      <c r="AX9" s="225" t="s">
        <v>55</v>
      </c>
      <c r="AY9" s="225" t="s">
        <v>56</v>
      </c>
      <c r="AZ9" s="225" t="s">
        <v>57</v>
      </c>
      <c r="BA9" s="226" t="s">
        <v>58</v>
      </c>
      <c r="BB9" s="226" t="s">
        <v>59</v>
      </c>
      <c r="BC9" s="226" t="s">
        <v>60</v>
      </c>
      <c r="BD9" s="226" t="s">
        <v>61</v>
      </c>
      <c r="BE9" s="227" t="s">
        <v>62</v>
      </c>
      <c r="BF9" s="227" t="s">
        <v>63</v>
      </c>
      <c r="BG9" s="228" t="s">
        <v>64</v>
      </c>
      <c r="BH9" s="229" t="s">
        <v>65</v>
      </c>
      <c r="BI9" s="229" t="s">
        <v>66</v>
      </c>
      <c r="BJ9" s="229" t="s">
        <v>67</v>
      </c>
      <c r="BK9" s="229" t="s">
        <v>68</v>
      </c>
      <c r="BL9" s="229" t="s">
        <v>69</v>
      </c>
      <c r="BM9" s="229" t="s">
        <v>70</v>
      </c>
      <c r="BN9" s="229" t="s">
        <v>71</v>
      </c>
      <c r="BO9" s="229" t="s">
        <v>72</v>
      </c>
      <c r="BP9" s="229" t="s">
        <v>73</v>
      </c>
      <c r="BQ9" s="229" t="s">
        <v>74</v>
      </c>
      <c r="BR9" s="230" t="s">
        <v>75</v>
      </c>
      <c r="BS9" s="231" t="s">
        <v>76</v>
      </c>
      <c r="BT9" s="232" t="s">
        <v>77</v>
      </c>
      <c r="BU9" s="218" t="s">
        <v>78</v>
      </c>
      <c r="BV9" s="218" t="s">
        <v>79</v>
      </c>
      <c r="BW9" s="218" t="s">
        <v>80</v>
      </c>
      <c r="BX9" s="218" t="s">
        <v>81</v>
      </c>
      <c r="BY9" s="233" t="s">
        <v>82</v>
      </c>
      <c r="BZ9" s="234" t="s">
        <v>83</v>
      </c>
      <c r="CA9" s="235" t="s">
        <v>84</v>
      </c>
      <c r="CB9" s="236" t="s">
        <v>85</v>
      </c>
      <c r="CC9" s="237" t="s">
        <v>86</v>
      </c>
      <c r="CD9" s="218" t="s">
        <v>87</v>
      </c>
      <c r="CE9" s="238" t="s">
        <v>88</v>
      </c>
      <c r="CF9" s="239" t="s">
        <v>89</v>
      </c>
      <c r="CG9" s="240" t="s">
        <v>90</v>
      </c>
      <c r="CH9" s="241" t="s">
        <v>91</v>
      </c>
      <c r="CI9" s="242" t="s">
        <v>92</v>
      </c>
      <c r="CJ9" s="243"/>
      <c r="CK9" s="244" t="s">
        <v>93</v>
      </c>
      <c r="CL9" s="245" t="s">
        <v>94</v>
      </c>
      <c r="CM9" s="246" t="s">
        <v>95</v>
      </c>
      <c r="CN9" s="246" t="s">
        <v>96</v>
      </c>
      <c r="CO9" s="246" t="s">
        <v>97</v>
      </c>
      <c r="CP9" s="247" t="s">
        <v>98</v>
      </c>
      <c r="CQ9" s="247" t="s">
        <v>99</v>
      </c>
      <c r="CR9" s="247" t="s">
        <v>100</v>
      </c>
      <c r="CS9" s="248" t="s">
        <v>101</v>
      </c>
      <c r="CT9" s="248" t="s">
        <v>102</v>
      </c>
      <c r="CU9" s="248" t="s">
        <v>103</v>
      </c>
      <c r="CV9" s="246" t="s">
        <v>104</v>
      </c>
      <c r="CW9" s="246" t="s">
        <v>105</v>
      </c>
      <c r="CX9" s="246" t="s">
        <v>106</v>
      </c>
      <c r="CY9" s="245" t="s">
        <v>107</v>
      </c>
      <c r="CZ9" s="242" t="s">
        <v>108</v>
      </c>
      <c r="DA9" s="242" t="s">
        <v>109</v>
      </c>
      <c r="DB9" s="242" t="s">
        <v>110</v>
      </c>
      <c r="DC9" s="242"/>
      <c r="DD9" s="249"/>
    </row>
    <row r="10" spans="1:111" s="107" customFormat="1" ht="28.95" customHeight="1">
      <c r="A10" s="250" t="s">
        <v>111</v>
      </c>
      <c r="B10" s="250" t="s">
        <v>112</v>
      </c>
      <c r="C10" s="251"/>
      <c r="D10" s="252"/>
      <c r="E10" s="253"/>
      <c r="F10" s="253"/>
      <c r="G10" s="253"/>
      <c r="H10" s="253"/>
      <c r="I10" s="254"/>
      <c r="J10" s="254"/>
      <c r="K10" s="254"/>
      <c r="L10" s="255">
        <f t="shared" ref="L10:AC10" si="0">L18+L26+L32+L49+L56+L65+L70+L77+L83+L89+L41</f>
        <v>1457</v>
      </c>
      <c r="M10" s="255">
        <f t="shared" si="0"/>
        <v>8114.19</v>
      </c>
      <c r="N10" s="255">
        <f t="shared" si="0"/>
        <v>5123.3900000000003</v>
      </c>
      <c r="O10" s="255">
        <f t="shared" si="0"/>
        <v>296</v>
      </c>
      <c r="P10" s="255">
        <f t="shared" si="0"/>
        <v>0</v>
      </c>
      <c r="Q10" s="255">
        <f t="shared" si="0"/>
        <v>0</v>
      </c>
      <c r="R10" s="255">
        <f t="shared" si="0"/>
        <v>0</v>
      </c>
      <c r="S10" s="255">
        <f t="shared" si="0"/>
        <v>201780000</v>
      </c>
      <c r="T10" s="255">
        <f t="shared" si="0"/>
        <v>24910714.285714298</v>
      </c>
      <c r="U10" s="255">
        <f t="shared" si="0"/>
        <v>0</v>
      </c>
      <c r="V10" s="255">
        <f t="shared" si="0"/>
        <v>0</v>
      </c>
      <c r="W10" s="255">
        <f t="shared" si="0"/>
        <v>0</v>
      </c>
      <c r="X10" s="255">
        <f t="shared" si="0"/>
        <v>0</v>
      </c>
      <c r="Y10" s="255">
        <f t="shared" si="0"/>
        <v>0</v>
      </c>
      <c r="Z10" s="255">
        <f t="shared" si="0"/>
        <v>0</v>
      </c>
      <c r="AA10" s="255">
        <f t="shared" si="0"/>
        <v>412929058</v>
      </c>
      <c r="AB10" s="255">
        <f t="shared" si="0"/>
        <v>178500000</v>
      </c>
      <c r="AC10" s="256">
        <f t="shared" si="0"/>
        <v>102000000</v>
      </c>
      <c r="AD10" s="256"/>
      <c r="AE10" s="256">
        <f t="shared" ref="AE10:BJ10" si="1">AE18+AE26+AE32+AE49+AE56+AE65+AE70+AE77+AE83+AE89+AE41</f>
        <v>220678989.73696399</v>
      </c>
      <c r="AF10" s="256">
        <f t="shared" si="1"/>
        <v>212441975.751964</v>
      </c>
      <c r="AG10" s="256">
        <f t="shared" si="1"/>
        <v>11000000</v>
      </c>
      <c r="AH10" s="256">
        <f t="shared" si="1"/>
        <v>0</v>
      </c>
      <c r="AI10" s="256">
        <f t="shared" si="1"/>
        <v>27428582</v>
      </c>
      <c r="AJ10" s="256">
        <f t="shared" si="1"/>
        <v>1500000</v>
      </c>
      <c r="AK10" s="256">
        <f t="shared" si="1"/>
        <v>2000000</v>
      </c>
      <c r="AL10" s="256">
        <f t="shared" si="1"/>
        <v>34166666</v>
      </c>
      <c r="AM10" s="256">
        <f t="shared" si="1"/>
        <v>23754990</v>
      </c>
      <c r="AN10" s="256">
        <f t="shared" si="1"/>
        <v>105271755</v>
      </c>
      <c r="AO10" s="256">
        <f t="shared" si="1"/>
        <v>1879270</v>
      </c>
      <c r="AP10" s="256">
        <f t="shared" si="1"/>
        <v>660</v>
      </c>
      <c r="AQ10" s="256">
        <f t="shared" si="1"/>
        <v>9651400</v>
      </c>
      <c r="AR10" s="256">
        <f t="shared" si="1"/>
        <v>0</v>
      </c>
      <c r="AS10" s="256">
        <f t="shared" si="1"/>
        <v>723000</v>
      </c>
      <c r="AT10" s="256">
        <f t="shared" si="1"/>
        <v>1350000</v>
      </c>
      <c r="AU10" s="256">
        <f t="shared" si="1"/>
        <v>9739907</v>
      </c>
      <c r="AV10" s="256">
        <f t="shared" si="1"/>
        <v>0</v>
      </c>
      <c r="AW10" s="256">
        <f t="shared" si="1"/>
        <v>0</v>
      </c>
      <c r="AX10" s="256">
        <f t="shared" si="1"/>
        <v>0</v>
      </c>
      <c r="AY10" s="256">
        <f t="shared" si="1"/>
        <v>400000</v>
      </c>
      <c r="AZ10" s="256">
        <f t="shared" si="1"/>
        <v>5806451.6129032299</v>
      </c>
      <c r="BA10" s="256">
        <f t="shared" si="1"/>
        <v>177000</v>
      </c>
      <c r="BB10" s="256">
        <f t="shared" si="1"/>
        <v>0</v>
      </c>
      <c r="BC10" s="256">
        <f t="shared" si="1"/>
        <v>600000</v>
      </c>
      <c r="BD10" s="256">
        <f t="shared" si="1"/>
        <v>0</v>
      </c>
      <c r="BE10" s="256">
        <f t="shared" si="1"/>
        <v>4597511</v>
      </c>
      <c r="BF10" s="256">
        <f t="shared" si="1"/>
        <v>1500000</v>
      </c>
      <c r="BG10" s="256">
        <f t="shared" si="1"/>
        <v>685829850.38754594</v>
      </c>
      <c r="BH10" s="256">
        <f t="shared" si="1"/>
        <v>35311500</v>
      </c>
      <c r="BI10" s="256">
        <f t="shared" si="1"/>
        <v>6053400</v>
      </c>
      <c r="BJ10" s="256">
        <f t="shared" si="1"/>
        <v>2017800</v>
      </c>
      <c r="BK10" s="256">
        <f t="shared" ref="BK10:CG10" si="2">BK18+BK26+BK32+BK49+BK56+BK65+BK70+BK77+BK83+BK89+BK41</f>
        <v>0</v>
      </c>
      <c r="BL10" s="256">
        <f t="shared" si="2"/>
        <v>43382700</v>
      </c>
      <c r="BM10" s="256">
        <f t="shared" si="2"/>
        <v>16142400</v>
      </c>
      <c r="BN10" s="256">
        <f t="shared" si="2"/>
        <v>3026700</v>
      </c>
      <c r="BO10" s="256">
        <f t="shared" si="2"/>
        <v>2017800</v>
      </c>
      <c r="BP10" s="256">
        <f t="shared" si="2"/>
        <v>0</v>
      </c>
      <c r="BQ10" s="256">
        <f t="shared" si="2"/>
        <v>21186900</v>
      </c>
      <c r="BR10" s="256">
        <f t="shared" si="2"/>
        <v>193702757.001964</v>
      </c>
      <c r="BS10" s="256">
        <f t="shared" si="2"/>
        <v>21797442.857142899</v>
      </c>
      <c r="BT10" s="256">
        <f t="shared" si="2"/>
        <v>470329650.52843899</v>
      </c>
      <c r="BU10" s="256">
        <f t="shared" si="2"/>
        <v>728500000</v>
      </c>
      <c r="BV10" s="256">
        <f t="shared" si="2"/>
        <v>1</v>
      </c>
      <c r="BW10" s="256">
        <f t="shared" si="2"/>
        <v>6200000</v>
      </c>
      <c r="BX10" s="256">
        <f t="shared" si="2"/>
        <v>21186900</v>
      </c>
      <c r="BY10" s="256">
        <f t="shared" si="2"/>
        <v>755886900</v>
      </c>
      <c r="BZ10" s="256">
        <f t="shared" si="2"/>
        <v>105487036.910714</v>
      </c>
      <c r="CA10" s="256">
        <f t="shared" si="2"/>
        <v>8431244.5785714295</v>
      </c>
      <c r="CB10" s="256">
        <f t="shared" si="2"/>
        <v>656211707</v>
      </c>
      <c r="CC10" s="256">
        <f t="shared" si="2"/>
        <v>696428</v>
      </c>
      <c r="CD10" s="256">
        <f t="shared" si="2"/>
        <v>11000000</v>
      </c>
      <c r="CE10" s="256">
        <f t="shared" si="2"/>
        <v>645908135</v>
      </c>
      <c r="CF10" s="256">
        <f t="shared" si="2"/>
        <v>0</v>
      </c>
      <c r="CG10" s="256">
        <f t="shared" si="2"/>
        <v>645908135</v>
      </c>
      <c r="CH10" s="255">
        <f>CH18+CH26+CH32+CH49+CH56+CH65+CH70+CH77+CH83+CH89</f>
        <v>0</v>
      </c>
      <c r="CI10" s="255"/>
      <c r="CJ10" s="255"/>
      <c r="CK10" s="257"/>
      <c r="CL10" s="258">
        <f>CL18+CL26+CL32+CL49+CL56+CL65+CL70+CL77+CL83+CL89</f>
        <v>0</v>
      </c>
      <c r="CM10" s="251"/>
      <c r="CN10" s="251"/>
      <c r="CO10" s="251"/>
      <c r="CP10" s="251"/>
      <c r="CQ10" s="251"/>
      <c r="CR10" s="251"/>
      <c r="CS10" s="251"/>
      <c r="CT10" s="251"/>
      <c r="CU10" s="251"/>
      <c r="CV10" s="251"/>
      <c r="CW10" s="251"/>
      <c r="CX10" s="251"/>
      <c r="CY10" s="251"/>
      <c r="CZ10" s="251"/>
      <c r="DA10" s="251"/>
      <c r="DB10" s="259"/>
      <c r="DC10" s="251"/>
      <c r="DE10" s="260"/>
      <c r="DF10" s="261"/>
    </row>
    <row r="11" spans="1:111" s="108" customFormat="1" ht="27" customHeight="1">
      <c r="A11" s="262">
        <v>1</v>
      </c>
      <c r="B11" s="263" t="s">
        <v>113</v>
      </c>
      <c r="C11" s="264" t="s">
        <v>114</v>
      </c>
      <c r="D11" s="265" t="s">
        <v>115</v>
      </c>
      <c r="E11" s="262" t="str">
        <f t="shared" ref="E11:E14" si="3">IF(OR(G11="CHT",G11="DSBC"),"HĐLĐ",IF(OR(G11="DSTV",G11="Q.CHT"),"HĐTV","HĐCTV"))</f>
        <v>HĐLĐ</v>
      </c>
      <c r="F11" s="262" t="s">
        <v>116</v>
      </c>
      <c r="G11" s="262" t="s">
        <v>117</v>
      </c>
      <c r="H11" s="266">
        <v>45352</v>
      </c>
      <c r="I11" s="267" t="s">
        <v>118</v>
      </c>
      <c r="J11" s="267" t="s">
        <v>119</v>
      </c>
      <c r="K11" s="268">
        <v>26</v>
      </c>
      <c r="L11" s="269">
        <v>2</v>
      </c>
      <c r="M11" s="269">
        <v>31.69</v>
      </c>
      <c r="N11" s="269">
        <v>0</v>
      </c>
      <c r="O11" s="270">
        <v>16</v>
      </c>
      <c r="P11" s="271"/>
      <c r="Q11" s="270"/>
      <c r="R11" s="272"/>
      <c r="S11" s="270"/>
      <c r="T11" s="273"/>
      <c r="U11" s="274"/>
      <c r="V11" s="271"/>
      <c r="W11" s="271"/>
      <c r="X11" s="271"/>
      <c r="Y11" s="271"/>
      <c r="Z11" s="271"/>
      <c r="AA11" s="270">
        <f>CY11</f>
        <v>6500000</v>
      </c>
      <c r="AB11" s="271"/>
      <c r="AC11" s="271"/>
      <c r="AD11" s="271"/>
      <c r="AE11" s="275">
        <f>IF(E11="HĐTV",AC11/28/8*M11,AA11/28/8*M11)</f>
        <v>919575.89285714296</v>
      </c>
      <c r="AF11" s="276">
        <f>IF(E11="HĐTV",AC11/28/8*N11*1.5,AA11/28/8*N11*1.5)</f>
        <v>0</v>
      </c>
      <c r="AG11" s="276">
        <v>0</v>
      </c>
      <c r="AH11" s="276">
        <v>0</v>
      </c>
      <c r="AI11" s="276">
        <v>0</v>
      </c>
      <c r="AJ11" s="276"/>
      <c r="AK11" s="276"/>
      <c r="AL11" s="276">
        <v>0</v>
      </c>
      <c r="AM11" s="276">
        <v>0</v>
      </c>
      <c r="AN11" s="276">
        <v>0</v>
      </c>
      <c r="AO11" s="276">
        <v>0</v>
      </c>
      <c r="AP11" s="276">
        <v>0</v>
      </c>
      <c r="AQ11" s="276">
        <v>0</v>
      </c>
      <c r="AR11" s="276"/>
      <c r="AS11" s="276">
        <v>0</v>
      </c>
      <c r="AT11" s="276"/>
      <c r="AU11" s="276">
        <v>0</v>
      </c>
      <c r="AV11" s="276"/>
      <c r="AW11" s="276"/>
      <c r="AX11" s="277"/>
      <c r="AY11" s="276"/>
      <c r="AZ11" s="278"/>
      <c r="BA11" s="276">
        <v>0</v>
      </c>
      <c r="BB11" s="276">
        <v>0</v>
      </c>
      <c r="BC11" s="276">
        <v>0</v>
      </c>
      <c r="BD11" s="276">
        <v>0</v>
      </c>
      <c r="BE11" s="276">
        <v>0</v>
      </c>
      <c r="BF11" s="276">
        <v>0</v>
      </c>
      <c r="BG11" s="279">
        <f>SUM(T11:Z11)+SUM(AD11:AZ11)-SUM(BA11:BF11)</f>
        <v>919575.89285714296</v>
      </c>
      <c r="BH11" s="277">
        <f>S11*17.5%</f>
        <v>0</v>
      </c>
      <c r="BI11" s="277">
        <f>S11*3%</f>
        <v>0</v>
      </c>
      <c r="BJ11" s="277">
        <f>S11*1%</f>
        <v>0</v>
      </c>
      <c r="BK11" s="277"/>
      <c r="BL11" s="280">
        <f>SUM(BH11:BK11)</f>
        <v>0</v>
      </c>
      <c r="BM11" s="277">
        <f>S11*8%</f>
        <v>0</v>
      </c>
      <c r="BN11" s="277">
        <f>S11*1.5%</f>
        <v>0</v>
      </c>
      <c r="BO11" s="277">
        <f>S11*1%</f>
        <v>0</v>
      </c>
      <c r="BP11" s="277"/>
      <c r="BQ11" s="280">
        <f>SUM(BM11:BP11)</f>
        <v>0</v>
      </c>
      <c r="BR11" s="280">
        <f>AF11</f>
        <v>0</v>
      </c>
      <c r="BS11" s="277">
        <f>T11+U11+V11+W11</f>
        <v>0</v>
      </c>
      <c r="BT11" s="281">
        <f>BG11-BS11-BR11</f>
        <v>919575.89285714296</v>
      </c>
      <c r="BU11" s="282">
        <f>IF(E11="HĐLĐ",15500000,0)</f>
        <v>15500000</v>
      </c>
      <c r="BV11" s="283"/>
      <c r="BW11" s="277">
        <f>BV11*6200000</f>
        <v>0</v>
      </c>
      <c r="BX11" s="277">
        <f>BQ11</f>
        <v>0</v>
      </c>
      <c r="BY11" s="284">
        <f>BU11+BW11+BX11</f>
        <v>15500000</v>
      </c>
      <c r="BZ11" s="277">
        <f>IF(BT11-BY11&gt;0,BT11-BY11,0)</f>
        <v>0</v>
      </c>
      <c r="CA11" s="277">
        <f>IF(AND(OR($E11="HĐTV",$E11="HĐCTV"),$BZ11&lt;5000000),0,IF(OR($E11="HĐTV",$E11="HĐCTV"),$BZ11*10%,ROUND(IF($BZ11&lt;=10000000,$BZ11*5%,IF($BZ11&lt;=30000000,$BZ11*10%-500000,IF($BZ11&lt;=60000000,$BZ11*20%-3500000,IF($BZ11&lt;=100000000,$BZ11*30%-9500000,$BZ11*35%-14500000)))),0)))</f>
        <v>0</v>
      </c>
      <c r="CB11" s="283">
        <f>ROUND(BG11-BQ11-CA11,0)</f>
        <v>919576</v>
      </c>
      <c r="CC11" s="283"/>
      <c r="CD11" s="278">
        <f t="shared" ref="CD11:CD16" si="4">AV11+AW11</f>
        <v>0</v>
      </c>
      <c r="CE11" s="285">
        <f>CB11+CC11-CD11</f>
        <v>919576</v>
      </c>
      <c r="CF11" s="280">
        <f t="shared" ref="CF11:CF16" si="5">CE11-CG11</f>
        <v>0</v>
      </c>
      <c r="CG11" s="286">
        <f t="shared" ref="CG11:CG17" si="6">CE11</f>
        <v>919576</v>
      </c>
      <c r="CH11" s="287"/>
      <c r="CI11" s="288" t="s">
        <v>120</v>
      </c>
      <c r="CJ11" s="270">
        <f>VLOOKUP(D11,[1]CNT!$C$6:$AP$113,40,0)</f>
        <v>0</v>
      </c>
      <c r="CK11" s="289">
        <v>11</v>
      </c>
      <c r="CL11" s="270"/>
      <c r="CM11" s="289">
        <v>1</v>
      </c>
      <c r="CN11" s="289">
        <v>3</v>
      </c>
      <c r="CO11" s="289">
        <v>2024</v>
      </c>
      <c r="CP11" s="290">
        <f>IF((($CO$8-CO11)*12)+($CN$8-CN11)&gt;=12,((($CO$8-CO11)*12)+($CN$8-CN11))-1,0)</f>
        <v>0</v>
      </c>
      <c r="CQ11" s="290">
        <f>IF(CP11&lt;12,(($CQ$8-CO11)*12)+($CP$8-CN11),0)</f>
        <v>26</v>
      </c>
      <c r="CR11" s="290">
        <f>IF(OR(CP11&gt;12,CP11=12),((CP11-(CS11*12))+((($CQ$8-2024)*12)+($CP$8-4)))+1,0)</f>
        <v>0</v>
      </c>
      <c r="CS11" s="271">
        <f>IF(OR(CP11&gt;12,CP11=12),ROUNDDOWN(CP11/12,0),0)</f>
        <v>0</v>
      </c>
      <c r="CT11" s="271">
        <f>IF(CQ11&gt;11,ROUNDDOWN(CQ11/12,0),0)</f>
        <v>2</v>
      </c>
      <c r="CU11" s="271">
        <f>IF(CR11&gt;11,ROUNDDOWN(CR11/12,0),0)</f>
        <v>0</v>
      </c>
      <c r="CV11" s="272">
        <f>IF(CP11=0,0,6000000*1.07^CS11)</f>
        <v>0</v>
      </c>
      <c r="CW11" s="272">
        <f>IF(CT11&lt;2,0,6000000+(CT11-1)*500000)</f>
        <v>6500000</v>
      </c>
      <c r="CX11" s="272">
        <f>IF(CU11=0,CV11,IF(CU11&lt;1,0,CV11+CU11*500000))</f>
        <v>0</v>
      </c>
      <c r="CY11" s="291">
        <f t="shared" ref="CY11" si="7">IF(CX11&gt;0,CX11,IF(CW11&gt;0,CW11,6000000))</f>
        <v>6500000</v>
      </c>
      <c r="CZ11" s="292"/>
      <c r="DA11" s="293"/>
      <c r="DB11" s="292" t="str">
        <f>CZ11&amp;";"&amp;" "&amp;DA11</f>
        <v>;</v>
      </c>
      <c r="DC11" s="292"/>
      <c r="DE11" s="294"/>
      <c r="DF11" s="295">
        <f>VLOOKUP($D11,'[2]Med Service'!$D$11:$DI$87,110,0)</f>
        <v>1035547</v>
      </c>
      <c r="DG11" s="270" t="str">
        <f>VLOOKUP($D11,'[3]BẢNG LƯƠNG'!$C$3:$AH$102,32,0)</f>
        <v/>
      </c>
    </row>
    <row r="12" spans="1:111" s="108" customFormat="1" ht="27" customHeight="1">
      <c r="A12" s="262">
        <v>3</v>
      </c>
      <c r="B12" s="263" t="s">
        <v>113</v>
      </c>
      <c r="C12" s="264" t="s">
        <v>121</v>
      </c>
      <c r="D12" s="296" t="s">
        <v>122</v>
      </c>
      <c r="E12" s="262" t="str">
        <f t="shared" si="3"/>
        <v>HĐTV</v>
      </c>
      <c r="F12" s="262" t="s">
        <v>116</v>
      </c>
      <c r="G12" s="262" t="s">
        <v>123</v>
      </c>
      <c r="H12" s="266">
        <v>46196</v>
      </c>
      <c r="I12" s="458" t="s">
        <v>124</v>
      </c>
      <c r="J12" s="267" t="s">
        <v>119</v>
      </c>
      <c r="K12" s="268">
        <v>28</v>
      </c>
      <c r="L12" s="269">
        <v>26</v>
      </c>
      <c r="M12" s="269">
        <v>186.64</v>
      </c>
      <c r="N12" s="269">
        <v>28.38</v>
      </c>
      <c r="O12" s="270">
        <v>0</v>
      </c>
      <c r="P12" s="271"/>
      <c r="Q12" s="297"/>
      <c r="R12" s="272"/>
      <c r="S12" s="270">
        <f t="shared" ref="S12:S17" si="8">IF(E12="HĐLĐ",5310000,0)</f>
        <v>0</v>
      </c>
      <c r="T12" s="273">
        <f t="shared" ref="T12:T13" si="9">IF(500000/28*L12&gt;500000,500000,500000/28*L12)</f>
        <v>464285.71428571403</v>
      </c>
      <c r="U12" s="271"/>
      <c r="V12" s="298"/>
      <c r="W12" s="271"/>
      <c r="X12" s="271"/>
      <c r="Y12" s="271"/>
      <c r="Z12" s="271"/>
      <c r="AA12" s="299">
        <f>CY12</f>
        <v>6000000</v>
      </c>
      <c r="AB12" s="271"/>
      <c r="AC12" s="290">
        <f>AA12</f>
        <v>6000000</v>
      </c>
      <c r="AD12" s="271"/>
      <c r="AE12" s="275">
        <f t="shared" ref="AE12:AE17" si="10">IF(E12="HĐTV",AC12/28/8*M12,AA12/28/8*M12)</f>
        <v>4999285.7142857099</v>
      </c>
      <c r="AF12" s="276">
        <f t="shared" ref="AF12:AF74" si="11">IF(E12="HĐTV",AC12/28/8*N12*1.5,AA12/28/8*N12*1.5)</f>
        <v>1140267.8571428601</v>
      </c>
      <c r="AG12" s="276" t="s">
        <v>125</v>
      </c>
      <c r="AH12" s="276">
        <v>0</v>
      </c>
      <c r="AI12" s="276">
        <v>0</v>
      </c>
      <c r="AJ12" s="276"/>
      <c r="AK12" s="276"/>
      <c r="AL12" s="276">
        <v>1000000</v>
      </c>
      <c r="AM12" s="276">
        <v>0</v>
      </c>
      <c r="AN12" s="276">
        <v>1280200</v>
      </c>
      <c r="AO12" s="300">
        <v>6601</v>
      </c>
      <c r="AP12" s="276">
        <v>0</v>
      </c>
      <c r="AQ12" s="276">
        <v>0</v>
      </c>
      <c r="AR12" s="276"/>
      <c r="AS12" s="276">
        <v>0</v>
      </c>
      <c r="AT12" s="276">
        <v>300000</v>
      </c>
      <c r="AU12" s="276">
        <v>0</v>
      </c>
      <c r="AV12" s="276"/>
      <c r="AW12" s="276"/>
      <c r="AX12" s="277"/>
      <c r="AY12" s="283"/>
      <c r="AZ12" s="278"/>
      <c r="BA12" s="276">
        <v>0</v>
      </c>
      <c r="BB12" s="276">
        <v>0</v>
      </c>
      <c r="BC12" s="276">
        <v>0</v>
      </c>
      <c r="BD12" s="276">
        <v>0</v>
      </c>
      <c r="BE12" s="276">
        <v>0</v>
      </c>
      <c r="BF12" s="276">
        <v>0</v>
      </c>
      <c r="BG12" s="279">
        <f t="shared" ref="BG12:BG17" si="12">SUM(T12:Z12)+SUM(AD12:AZ12)-SUM(BA12:BF12)</f>
        <v>9190640.2857142892</v>
      </c>
      <c r="BH12" s="277">
        <f t="shared" ref="BH12:BH17" si="13">S12*17.5%</f>
        <v>0</v>
      </c>
      <c r="BI12" s="277">
        <f t="shared" ref="BI12:BI17" si="14">S12*3%</f>
        <v>0</v>
      </c>
      <c r="BJ12" s="277">
        <f t="shared" ref="BJ12:BJ17" si="15">S12*1%</f>
        <v>0</v>
      </c>
      <c r="BK12" s="277"/>
      <c r="BL12" s="280">
        <f t="shared" ref="BL12:BL17" si="16">SUM(BH12:BK12)</f>
        <v>0</v>
      </c>
      <c r="BM12" s="277">
        <f t="shared" ref="BM12:BM17" si="17">S12*8%</f>
        <v>0</v>
      </c>
      <c r="BN12" s="277">
        <f t="shared" ref="BN12:BN17" si="18">S12*1.5%</f>
        <v>0</v>
      </c>
      <c r="BO12" s="277">
        <f t="shared" ref="BO12:BO17" si="19">S12*1%</f>
        <v>0</v>
      </c>
      <c r="BP12" s="277"/>
      <c r="BQ12" s="280">
        <f t="shared" ref="BQ12:BQ17" si="20">SUM(BM12:BP12)</f>
        <v>0</v>
      </c>
      <c r="BR12" s="280">
        <f>AF12</f>
        <v>1140267.8571428601</v>
      </c>
      <c r="BS12" s="277">
        <f>T12+U12+V12+W12</f>
        <v>464285.71428571403</v>
      </c>
      <c r="BT12" s="281">
        <f t="shared" ref="BT12:BT17" si="21">BG12-BS12-BR12</f>
        <v>7586086.7142857099</v>
      </c>
      <c r="BU12" s="282">
        <f t="shared" ref="BU12:BU17" si="22">IF(E12="HĐLĐ",15500000,0)</f>
        <v>0</v>
      </c>
      <c r="BV12" s="283"/>
      <c r="BW12" s="277">
        <f t="shared" ref="BW12:BW17" si="23">BV12*6200000</f>
        <v>0</v>
      </c>
      <c r="BX12" s="277">
        <f t="shared" ref="BX12:BX17" si="24">BQ12</f>
        <v>0</v>
      </c>
      <c r="BY12" s="284">
        <f t="shared" ref="BY12:BY17" si="25">BU12+BW12+BX12</f>
        <v>0</v>
      </c>
      <c r="BZ12" s="277">
        <f t="shared" ref="BZ12:BZ17" si="26">IF(BT12-BY12&gt;0,BT12-BY12,0)</f>
        <v>7586086.7142857099</v>
      </c>
      <c r="CA12" s="277">
        <f t="shared" ref="CA12:CA17" si="27">IF(AND(OR($E12="HĐTV",$E12="HĐCTV"),$BZ12&lt;5000000),0,IF(OR($E12="HĐTV",$E12="HĐCTV"),$BZ12*10%,ROUND(IF($BZ12&lt;=10000000,$BZ12*5%,IF($BZ12&lt;=30000000,$BZ12*10%-500000,IF($BZ12&lt;=60000000,$BZ12*20%-3500000,IF($BZ12&lt;=100000000,$BZ12*30%-9500000,$BZ12*35%-14500000)))),0)))</f>
        <v>758608.67142857099</v>
      </c>
      <c r="CB12" s="283">
        <f t="shared" ref="CB12:CB17" si="28">ROUND(BG12-BQ12-CA12,0)</f>
        <v>8432032</v>
      </c>
      <c r="CC12" s="283"/>
      <c r="CD12" s="278">
        <f t="shared" si="4"/>
        <v>0</v>
      </c>
      <c r="CE12" s="285">
        <f t="shared" ref="CE12:CE17" si="29">CB12+CC12-CD12</f>
        <v>8432032</v>
      </c>
      <c r="CF12" s="301">
        <f t="shared" si="5"/>
        <v>0</v>
      </c>
      <c r="CG12" s="286">
        <f t="shared" si="6"/>
        <v>8432032</v>
      </c>
      <c r="CH12" s="287"/>
      <c r="CI12" s="302" t="s">
        <v>126</v>
      </c>
      <c r="CJ12" s="303"/>
      <c r="CK12" s="289">
        <v>9</v>
      </c>
      <c r="CL12" s="270">
        <f>VLOOKUP(D12,[1]CNT!C7:AJ70,15,0)</f>
        <v>0</v>
      </c>
      <c r="CM12" s="289">
        <v>23</v>
      </c>
      <c r="CN12" s="289">
        <v>6</v>
      </c>
      <c r="CO12" s="289">
        <v>2026</v>
      </c>
      <c r="CP12" s="290">
        <f>IF((($CO$8-CO12)*12)+($CN$8-CN12)&gt;=12,((($CO$8-CO12)*12)+($CN$8-CN12))-1,0)</f>
        <v>0</v>
      </c>
      <c r="CQ12" s="290">
        <f>IF(CP12&lt;12,(($CQ$8-CO12)*12)+($CP$8-CN12),0)</f>
        <v>-1</v>
      </c>
      <c r="CR12" s="290">
        <f>IF(OR(CP12&gt;12,CP12=12),((CP12-(CS12*12))+((($CQ$8-2024)*12)+($CP$8-4)))+1,0)</f>
        <v>0</v>
      </c>
      <c r="CS12" s="271">
        <f>IF(OR(CP12&gt;12,CP12=12),ROUNDDOWN(CP12/12,0),0)</f>
        <v>0</v>
      </c>
      <c r="CT12" s="271">
        <f>IF(CQ12&gt;11,ROUNDDOWN(CQ12/12,0),0)</f>
        <v>0</v>
      </c>
      <c r="CU12" s="271">
        <f>IF(CR12&gt;11,ROUNDDOWN(CR12/12,0),0)</f>
        <v>0</v>
      </c>
      <c r="CV12" s="272">
        <f>IF(CP12=0,0,6000000*1.07^CS12)</f>
        <v>0</v>
      </c>
      <c r="CW12" s="272">
        <f>IF(CT12&lt;2,0,6000000+(CT12-1)*500000)</f>
        <v>0</v>
      </c>
      <c r="CX12" s="272">
        <f>IF(CU12=0,CV12,IF(CU12&lt;1,0,CV12+CU12*500000))</f>
        <v>0</v>
      </c>
      <c r="CY12" s="291">
        <f t="shared" ref="CY12:CY17" si="30">IF(CX12&gt;0,CX12,IF(CW12&gt;0,CW12,6000000))</f>
        <v>6000000</v>
      </c>
      <c r="CZ12" s="292"/>
      <c r="DA12" s="293"/>
      <c r="DB12" s="292" t="str">
        <f>CZ12&amp;";"&amp;" "&amp;DA12</f>
        <v>;</v>
      </c>
      <c r="DC12" s="292"/>
      <c r="DE12" s="294"/>
      <c r="DF12" s="295" t="e">
        <f>VLOOKUP($D12,'[2]Med Service'!$D$11:$DI$87,110,0)</f>
        <v>#N/A</v>
      </c>
      <c r="DG12" s="270" t="e">
        <f>VLOOKUP($D12,'[3]BẢNG LƯƠNG'!$C$3:$AH$102,32,0)</f>
        <v>#N/A</v>
      </c>
    </row>
    <row r="13" spans="1:111" s="108" customFormat="1" ht="27" customHeight="1">
      <c r="A13" s="262">
        <v>2</v>
      </c>
      <c r="B13" s="263">
        <v>8</v>
      </c>
      <c r="C13" s="264" t="s">
        <v>127</v>
      </c>
      <c r="D13" s="296" t="s">
        <v>128</v>
      </c>
      <c r="E13" s="262" t="str">
        <f t="shared" si="3"/>
        <v>HĐTV</v>
      </c>
      <c r="F13" s="262" t="s">
        <v>116</v>
      </c>
      <c r="G13" s="262" t="s">
        <v>129</v>
      </c>
      <c r="H13" s="459" t="s">
        <v>130</v>
      </c>
      <c r="I13" s="267" t="s">
        <v>131</v>
      </c>
      <c r="J13" s="267" t="s">
        <v>132</v>
      </c>
      <c r="K13" s="268">
        <v>28</v>
      </c>
      <c r="L13" s="269">
        <v>29</v>
      </c>
      <c r="M13" s="269">
        <v>26.98</v>
      </c>
      <c r="N13" s="269">
        <v>219.5</v>
      </c>
      <c r="O13" s="270">
        <v>8</v>
      </c>
      <c r="P13" s="271"/>
      <c r="Q13" s="270"/>
      <c r="R13" s="272"/>
      <c r="S13" s="270">
        <f t="shared" si="8"/>
        <v>0</v>
      </c>
      <c r="T13" s="273">
        <f t="shared" si="9"/>
        <v>500000</v>
      </c>
      <c r="U13" s="274"/>
      <c r="V13" s="271"/>
      <c r="W13" s="271"/>
      <c r="X13" s="271"/>
      <c r="Y13" s="271"/>
      <c r="Z13" s="271"/>
      <c r="AA13" s="304">
        <f>VLOOKUP(D13,'[4]Med Service'!D$42:AC$140,26,0)</f>
        <v>6000000</v>
      </c>
      <c r="AB13" s="283">
        <f>AA13</f>
        <v>6000000</v>
      </c>
      <c r="AC13" s="304">
        <f>AA13</f>
        <v>6000000</v>
      </c>
      <c r="AD13" s="305"/>
      <c r="AE13" s="275">
        <f t="shared" si="10"/>
        <v>722678.57142857101</v>
      </c>
      <c r="AF13" s="276">
        <f t="shared" si="11"/>
        <v>8819196.4285714291</v>
      </c>
      <c r="AG13" s="276">
        <v>0</v>
      </c>
      <c r="AH13" s="276">
        <v>0</v>
      </c>
      <c r="AI13" s="276">
        <v>1446429</v>
      </c>
      <c r="AJ13" s="276"/>
      <c r="AK13" s="276"/>
      <c r="AL13" s="276">
        <v>933333</v>
      </c>
      <c r="AM13" s="276">
        <v>0</v>
      </c>
      <c r="AN13" s="300">
        <v>579960</v>
      </c>
      <c r="AO13" s="300">
        <v>7700</v>
      </c>
      <c r="AP13" s="276">
        <v>0</v>
      </c>
      <c r="AQ13" s="276">
        <v>0</v>
      </c>
      <c r="AR13" s="276"/>
      <c r="AS13" s="276">
        <v>0</v>
      </c>
      <c r="AT13" s="276">
        <v>0</v>
      </c>
      <c r="AU13" s="276">
        <v>0</v>
      </c>
      <c r="AV13" s="276"/>
      <c r="AW13" s="276"/>
      <c r="AX13" s="277"/>
      <c r="AY13" s="276"/>
      <c r="AZ13" s="278"/>
      <c r="BA13" s="276">
        <v>0</v>
      </c>
      <c r="BB13" s="276">
        <v>0</v>
      </c>
      <c r="BC13" s="276">
        <v>0</v>
      </c>
      <c r="BD13" s="276">
        <v>0</v>
      </c>
      <c r="BE13" s="276">
        <v>0</v>
      </c>
      <c r="BF13" s="276">
        <v>0</v>
      </c>
      <c r="BG13" s="279">
        <f t="shared" si="12"/>
        <v>13009297</v>
      </c>
      <c r="BH13" s="277">
        <f t="shared" si="13"/>
        <v>0</v>
      </c>
      <c r="BI13" s="277">
        <f t="shared" si="14"/>
        <v>0</v>
      </c>
      <c r="BJ13" s="277">
        <f t="shared" si="15"/>
        <v>0</v>
      </c>
      <c r="BK13" s="277"/>
      <c r="BL13" s="280">
        <f t="shared" si="16"/>
        <v>0</v>
      </c>
      <c r="BM13" s="277">
        <f t="shared" si="17"/>
        <v>0</v>
      </c>
      <c r="BN13" s="277">
        <f t="shared" si="18"/>
        <v>0</v>
      </c>
      <c r="BO13" s="277">
        <f t="shared" si="19"/>
        <v>0</v>
      </c>
      <c r="BP13" s="277"/>
      <c r="BQ13" s="280">
        <f t="shared" si="20"/>
        <v>0</v>
      </c>
      <c r="BR13" s="280">
        <f>AF13</f>
        <v>8819196.4285714291</v>
      </c>
      <c r="BS13" s="277">
        <f>T13+U13+V13+W13</f>
        <v>500000</v>
      </c>
      <c r="BT13" s="281">
        <f t="shared" si="21"/>
        <v>3690100.57142857</v>
      </c>
      <c r="BU13" s="282">
        <f t="shared" si="22"/>
        <v>0</v>
      </c>
      <c r="BV13" s="283"/>
      <c r="BW13" s="277">
        <f t="shared" si="23"/>
        <v>0</v>
      </c>
      <c r="BX13" s="277">
        <f t="shared" si="24"/>
        <v>0</v>
      </c>
      <c r="BY13" s="284">
        <f t="shared" si="25"/>
        <v>0</v>
      </c>
      <c r="BZ13" s="277">
        <f t="shared" si="26"/>
        <v>3690100.57142857</v>
      </c>
      <c r="CA13" s="277">
        <f t="shared" si="27"/>
        <v>0</v>
      </c>
      <c r="CB13" s="283">
        <f t="shared" si="28"/>
        <v>13009297</v>
      </c>
      <c r="CC13" s="283"/>
      <c r="CD13" s="278">
        <f t="shared" si="4"/>
        <v>0</v>
      </c>
      <c r="CE13" s="285">
        <f t="shared" si="29"/>
        <v>13009297</v>
      </c>
      <c r="CF13" s="301">
        <f t="shared" si="5"/>
        <v>0</v>
      </c>
      <c r="CG13" s="286">
        <f t="shared" si="6"/>
        <v>13009297</v>
      </c>
      <c r="CH13" s="287"/>
      <c r="CI13" s="302" t="s">
        <v>133</v>
      </c>
      <c r="CJ13" s="303"/>
      <c r="CK13" s="289">
        <v>1</v>
      </c>
      <c r="CL13" s="306"/>
      <c r="CM13" s="289"/>
      <c r="CN13" s="289"/>
      <c r="CO13" s="289"/>
      <c r="CP13" s="290"/>
      <c r="CQ13" s="290"/>
      <c r="CR13" s="290"/>
      <c r="CS13" s="271"/>
      <c r="CT13" s="271"/>
      <c r="CU13" s="271"/>
      <c r="CV13" s="272"/>
      <c r="CW13" s="272"/>
      <c r="CX13" s="272"/>
      <c r="CY13" s="291">
        <f t="shared" si="30"/>
        <v>6000000</v>
      </c>
      <c r="CZ13" s="292"/>
      <c r="DA13" s="293"/>
      <c r="DB13" s="292"/>
      <c r="DC13" s="292"/>
      <c r="DE13" s="294"/>
      <c r="DF13" s="295"/>
      <c r="DG13" s="270"/>
    </row>
    <row r="14" spans="1:111" s="108" customFormat="1" ht="27" customHeight="1">
      <c r="A14" s="262"/>
      <c r="B14" s="263" t="s">
        <v>113</v>
      </c>
      <c r="C14" s="307" t="s">
        <v>134</v>
      </c>
      <c r="D14" s="265" t="s">
        <v>135</v>
      </c>
      <c r="E14" s="262" t="str">
        <f t="shared" si="3"/>
        <v>HĐLĐ</v>
      </c>
      <c r="F14" s="262" t="s">
        <v>116</v>
      </c>
      <c r="G14" s="262" t="s">
        <v>117</v>
      </c>
      <c r="H14" s="308">
        <v>45096</v>
      </c>
      <c r="I14" s="309" t="s">
        <v>136</v>
      </c>
      <c r="J14" s="309" t="s">
        <v>137</v>
      </c>
      <c r="K14" s="268">
        <v>26</v>
      </c>
      <c r="L14" s="269">
        <v>21</v>
      </c>
      <c r="M14" s="269">
        <v>0.38</v>
      </c>
      <c r="N14" s="269">
        <v>164.21</v>
      </c>
      <c r="O14" s="270">
        <v>0</v>
      </c>
      <c r="P14" s="271"/>
      <c r="Q14" s="297"/>
      <c r="R14" s="272"/>
      <c r="S14" s="270"/>
      <c r="T14" s="273">
        <f t="shared" ref="T14:T76" si="31">IF(500000/28*L14&gt;500000,500000,500000/28*L14)</f>
        <v>375000</v>
      </c>
      <c r="U14" s="271"/>
      <c r="V14" s="271"/>
      <c r="W14" s="271"/>
      <c r="X14" s="271"/>
      <c r="Y14" s="271"/>
      <c r="Z14" s="271"/>
      <c r="AA14" s="310">
        <v>6500000</v>
      </c>
      <c r="AB14" s="311">
        <f>AA14</f>
        <v>6500000</v>
      </c>
      <c r="AC14" s="312">
        <f>IF(E14="HĐTV",AB14*85%,0)</f>
        <v>0</v>
      </c>
      <c r="AD14" s="313"/>
      <c r="AE14" s="275">
        <f t="shared" si="10"/>
        <v>11026.785714285699</v>
      </c>
      <c r="AF14" s="276">
        <f t="shared" si="11"/>
        <v>7147533.4821428601</v>
      </c>
      <c r="AG14" s="276">
        <v>0</v>
      </c>
      <c r="AH14" s="276">
        <v>0</v>
      </c>
      <c r="AI14" s="276">
        <v>1125000</v>
      </c>
      <c r="AJ14" s="276"/>
      <c r="AK14" s="276"/>
      <c r="AL14" s="276">
        <v>2200000</v>
      </c>
      <c r="AM14" s="276">
        <v>0</v>
      </c>
      <c r="AN14" s="276">
        <v>3537750</v>
      </c>
      <c r="AO14" s="300">
        <v>11205</v>
      </c>
      <c r="AP14" s="276">
        <v>0</v>
      </c>
      <c r="AQ14" s="276">
        <v>0</v>
      </c>
      <c r="AR14" s="276"/>
      <c r="AS14" s="276">
        <v>0</v>
      </c>
      <c r="AT14" s="276">
        <v>0</v>
      </c>
      <c r="AU14" s="276">
        <v>0</v>
      </c>
      <c r="AV14" s="278"/>
      <c r="AW14" s="278"/>
      <c r="AX14" s="277"/>
      <c r="AY14" s="277"/>
      <c r="AZ14" s="278"/>
      <c r="BA14" s="276">
        <v>0</v>
      </c>
      <c r="BB14" s="276">
        <v>0</v>
      </c>
      <c r="BC14" s="276">
        <v>0</v>
      </c>
      <c r="BD14" s="276">
        <v>0</v>
      </c>
      <c r="BE14" s="276">
        <v>0</v>
      </c>
      <c r="BF14" s="276">
        <v>0</v>
      </c>
      <c r="BG14" s="279">
        <f t="shared" si="12"/>
        <v>14407515.267857101</v>
      </c>
      <c r="BH14" s="277">
        <f t="shared" si="13"/>
        <v>0</v>
      </c>
      <c r="BI14" s="277">
        <f t="shared" si="14"/>
        <v>0</v>
      </c>
      <c r="BJ14" s="277">
        <f t="shared" si="15"/>
        <v>0</v>
      </c>
      <c r="BK14" s="277"/>
      <c r="BL14" s="280">
        <f t="shared" si="16"/>
        <v>0</v>
      </c>
      <c r="BM14" s="277">
        <f t="shared" si="17"/>
        <v>0</v>
      </c>
      <c r="BN14" s="277">
        <f t="shared" si="18"/>
        <v>0</v>
      </c>
      <c r="BO14" s="277">
        <f t="shared" si="19"/>
        <v>0</v>
      </c>
      <c r="BP14" s="277"/>
      <c r="BQ14" s="280">
        <f t="shared" si="20"/>
        <v>0</v>
      </c>
      <c r="BR14" s="280"/>
      <c r="BS14" s="277"/>
      <c r="BT14" s="281">
        <f t="shared" si="21"/>
        <v>14407515.267857101</v>
      </c>
      <c r="BU14" s="282">
        <f t="shared" si="22"/>
        <v>15500000</v>
      </c>
      <c r="BV14" s="277"/>
      <c r="BW14" s="277">
        <f t="shared" si="23"/>
        <v>0</v>
      </c>
      <c r="BX14" s="277">
        <f t="shared" si="24"/>
        <v>0</v>
      </c>
      <c r="BY14" s="284">
        <f t="shared" si="25"/>
        <v>15500000</v>
      </c>
      <c r="BZ14" s="277">
        <f t="shared" si="26"/>
        <v>0</v>
      </c>
      <c r="CA14" s="277">
        <f t="shared" si="27"/>
        <v>0</v>
      </c>
      <c r="CB14" s="283">
        <f t="shared" si="28"/>
        <v>14407515</v>
      </c>
      <c r="CC14" s="283"/>
      <c r="CD14" s="278">
        <f t="shared" si="4"/>
        <v>0</v>
      </c>
      <c r="CE14" s="285">
        <f t="shared" si="29"/>
        <v>14407515</v>
      </c>
      <c r="CF14" s="301">
        <f t="shared" si="5"/>
        <v>0</v>
      </c>
      <c r="CG14" s="286">
        <f t="shared" si="6"/>
        <v>14407515</v>
      </c>
      <c r="CH14" s="287"/>
      <c r="CI14" s="302"/>
      <c r="CJ14" s="270"/>
      <c r="CK14" s="271">
        <v>2</v>
      </c>
      <c r="CL14" s="270"/>
      <c r="CM14" s="271"/>
      <c r="CN14" s="271"/>
      <c r="CO14" s="271"/>
      <c r="CP14" s="290"/>
      <c r="CQ14" s="290"/>
      <c r="CR14" s="290"/>
      <c r="CS14" s="271"/>
      <c r="CT14" s="271"/>
      <c r="CU14" s="271"/>
      <c r="CV14" s="272"/>
      <c r="CW14" s="272"/>
      <c r="CX14" s="272"/>
      <c r="CY14" s="314">
        <f t="shared" si="30"/>
        <v>6000000</v>
      </c>
      <c r="CZ14" s="292"/>
      <c r="DA14" s="293"/>
      <c r="DB14" s="292"/>
      <c r="DC14" s="292"/>
      <c r="DE14" s="294"/>
      <c r="DF14" s="295"/>
      <c r="DG14" s="270"/>
    </row>
    <row r="15" spans="1:111" s="108" customFormat="1" ht="27" customHeight="1">
      <c r="A15" s="262">
        <v>4</v>
      </c>
      <c r="B15" s="263">
        <v>8</v>
      </c>
      <c r="C15" s="315" t="s">
        <v>138</v>
      </c>
      <c r="D15" s="316" t="s">
        <v>139</v>
      </c>
      <c r="E15" s="262" t="str">
        <f t="shared" ref="E15:E16" si="32">IF(OR(G15="CHT",G15="DSBC"),"HĐLĐ",IF(OR(G15="DSTV",G15="Q.CHT"),"HĐTV","HĐCTV"))</f>
        <v>HĐLĐ</v>
      </c>
      <c r="F15" s="262" t="s">
        <v>116</v>
      </c>
      <c r="G15" s="262" t="s">
        <v>117</v>
      </c>
      <c r="H15" s="317">
        <v>44743</v>
      </c>
      <c r="I15" s="290" t="s">
        <v>140</v>
      </c>
      <c r="J15" s="290" t="s">
        <v>141</v>
      </c>
      <c r="K15" s="268">
        <v>28</v>
      </c>
      <c r="L15" s="269">
        <v>11</v>
      </c>
      <c r="M15" s="269">
        <v>66.260000000000005</v>
      </c>
      <c r="N15" s="269">
        <v>23.12</v>
      </c>
      <c r="O15" s="270">
        <v>0</v>
      </c>
      <c r="P15" s="271"/>
      <c r="Q15" s="297"/>
      <c r="R15" s="272"/>
      <c r="S15" s="270">
        <f t="shared" si="8"/>
        <v>5310000</v>
      </c>
      <c r="T15" s="273">
        <f t="shared" si="31"/>
        <v>196428.57142857101</v>
      </c>
      <c r="U15" s="271"/>
      <c r="V15" s="271"/>
      <c r="W15" s="271"/>
      <c r="X15" s="271"/>
      <c r="Y15" s="271"/>
      <c r="Z15" s="271"/>
      <c r="AA15" s="299">
        <f>CY15</f>
        <v>8350258</v>
      </c>
      <c r="AB15" s="271"/>
      <c r="AC15" s="271"/>
      <c r="AD15" s="271"/>
      <c r="AE15" s="275">
        <f t="shared" si="10"/>
        <v>2470036.1387499999</v>
      </c>
      <c r="AF15" s="276">
        <f t="shared" si="11"/>
        <v>1292798.8725000001</v>
      </c>
      <c r="AG15" s="276">
        <v>0</v>
      </c>
      <c r="AH15" s="276">
        <v>0</v>
      </c>
      <c r="AI15" s="276">
        <v>0</v>
      </c>
      <c r="AJ15" s="276"/>
      <c r="AK15" s="276"/>
      <c r="AL15" s="276">
        <v>0</v>
      </c>
      <c r="AM15" s="276">
        <v>0</v>
      </c>
      <c r="AN15" s="276">
        <v>1011600</v>
      </c>
      <c r="AO15" s="300">
        <v>0</v>
      </c>
      <c r="AP15" s="276">
        <v>0</v>
      </c>
      <c r="AQ15" s="276">
        <v>0</v>
      </c>
      <c r="AR15" s="276"/>
      <c r="AS15" s="276">
        <v>0</v>
      </c>
      <c r="AT15" s="276">
        <v>0</v>
      </c>
      <c r="AU15" s="276">
        <v>0</v>
      </c>
      <c r="AV15" s="278"/>
      <c r="AW15" s="278"/>
      <c r="AX15" s="277"/>
      <c r="AY15" s="277"/>
      <c r="AZ15" s="278"/>
      <c r="BA15" s="276">
        <v>0</v>
      </c>
      <c r="BB15" s="276">
        <v>0</v>
      </c>
      <c r="BC15" s="276">
        <v>0</v>
      </c>
      <c r="BD15" s="276">
        <v>0</v>
      </c>
      <c r="BE15" s="276">
        <v>0</v>
      </c>
      <c r="BF15" s="276">
        <v>0</v>
      </c>
      <c r="BG15" s="279">
        <f t="shared" si="12"/>
        <v>4970863.5826785704</v>
      </c>
      <c r="BH15" s="277">
        <f t="shared" si="13"/>
        <v>929250</v>
      </c>
      <c r="BI15" s="277">
        <f t="shared" si="14"/>
        <v>159300</v>
      </c>
      <c r="BJ15" s="277">
        <f t="shared" si="15"/>
        <v>53100</v>
      </c>
      <c r="BK15" s="277"/>
      <c r="BL15" s="280">
        <f t="shared" si="16"/>
        <v>1141650</v>
      </c>
      <c r="BM15" s="277">
        <f t="shared" si="17"/>
        <v>424800</v>
      </c>
      <c r="BN15" s="277">
        <f t="shared" si="18"/>
        <v>79650</v>
      </c>
      <c r="BO15" s="277">
        <f t="shared" si="19"/>
        <v>53100</v>
      </c>
      <c r="BP15" s="277"/>
      <c r="BQ15" s="280">
        <f t="shared" si="20"/>
        <v>557550</v>
      </c>
      <c r="BR15" s="280">
        <f>AF15</f>
        <v>1292798.8725000001</v>
      </c>
      <c r="BS15" s="277">
        <f>T15+U15+V15+W15</f>
        <v>196428.57142857101</v>
      </c>
      <c r="BT15" s="281">
        <f t="shared" si="21"/>
        <v>3481636.1387499999</v>
      </c>
      <c r="BU15" s="282">
        <f t="shared" si="22"/>
        <v>15500000</v>
      </c>
      <c r="BV15" s="277"/>
      <c r="BW15" s="277">
        <f t="shared" si="23"/>
        <v>0</v>
      </c>
      <c r="BX15" s="277">
        <f t="shared" si="24"/>
        <v>557550</v>
      </c>
      <c r="BY15" s="284">
        <f t="shared" si="25"/>
        <v>16057550</v>
      </c>
      <c r="BZ15" s="277">
        <f t="shared" si="26"/>
        <v>0</v>
      </c>
      <c r="CA15" s="277">
        <f t="shared" si="27"/>
        <v>0</v>
      </c>
      <c r="CB15" s="283">
        <f t="shared" si="28"/>
        <v>4413314</v>
      </c>
      <c r="CC15" s="283"/>
      <c r="CD15" s="278">
        <f t="shared" si="4"/>
        <v>0</v>
      </c>
      <c r="CE15" s="285">
        <f t="shared" si="29"/>
        <v>4413314</v>
      </c>
      <c r="CF15" s="277">
        <f t="shared" si="5"/>
        <v>0</v>
      </c>
      <c r="CG15" s="286">
        <f t="shared" si="6"/>
        <v>4413314</v>
      </c>
      <c r="CH15" s="287"/>
      <c r="CI15" s="302" t="str">
        <f>VLOOKUP($C15,[5]Sheet1!$C$5:$K$139,9,0)</f>
        <v>vy.ngo@medigoapp.com</v>
      </c>
      <c r="CJ15" s="270">
        <f>VLOOKUP(D15,[1]CNT!$C$6:$AP$113,40,0)</f>
        <v>0</v>
      </c>
      <c r="CK15" s="271">
        <v>3</v>
      </c>
      <c r="CL15" s="270">
        <f>VLOOKUP(D15,[1]CNT!C7:AJ70,15,0)</f>
        <v>0</v>
      </c>
      <c r="CM15" s="271">
        <v>14</v>
      </c>
      <c r="CN15" s="271">
        <v>2</v>
      </c>
      <c r="CO15" s="271">
        <v>2021</v>
      </c>
      <c r="CP15" s="290">
        <f>IF((($CO$8-CO15)*12)+($CN$8-CN15)&gt;=12,((($CO$8-CO15)*12)+($CN$8-CN15))-1,0)</f>
        <v>37</v>
      </c>
      <c r="CQ15" s="290">
        <f>IF(CP15&lt;12,(($CQ$8-CO15)*12)+($CP$8-CN15),0)</f>
        <v>0</v>
      </c>
      <c r="CR15" s="290">
        <f>IF(OR(CP15&gt;12,CP15=12),((CP15-(CS15*12))+((($CQ$8-2024)*12)+($CP$8-4)))+1,0)</f>
        <v>27</v>
      </c>
      <c r="CS15" s="271">
        <f>IF(OR(CP15&gt;12,CP15=12),ROUNDDOWN(CP15/12,0),0)</f>
        <v>3</v>
      </c>
      <c r="CT15" s="271">
        <f>IF(CQ15&gt;11,ROUNDDOWN(CQ15/12,0),0)</f>
        <v>0</v>
      </c>
      <c r="CU15" s="271">
        <f>IF(CR15&gt;11,ROUNDDOWN(CR15/12,0),0)</f>
        <v>2</v>
      </c>
      <c r="CV15" s="272">
        <f>IF(CP15=0,0,6000000*1.07^CS15)</f>
        <v>7350258</v>
      </c>
      <c r="CW15" s="272">
        <f>IF(CT15&lt;2,0,6000000+(CT15-1)*500000)</f>
        <v>0</v>
      </c>
      <c r="CX15" s="272">
        <f>IF(CU15=0,CV15,IF(CU15&lt;1,0,CV15+CU15*500000))</f>
        <v>8350258</v>
      </c>
      <c r="CY15" s="291">
        <f t="shared" si="30"/>
        <v>8350258</v>
      </c>
      <c r="CZ15" s="292"/>
      <c r="DA15" s="293"/>
      <c r="DB15" s="292" t="str">
        <f>CZ15&amp;";"&amp;" "&amp;DA15</f>
        <v>;</v>
      </c>
      <c r="DC15" s="292"/>
      <c r="DE15" s="294"/>
      <c r="DF15" s="295">
        <f>VLOOKUP($D15,'[2]Med Service'!$D$11:$DI$87,110,0)</f>
        <v>0</v>
      </c>
      <c r="DG15" s="270" t="str">
        <f>VLOOKUP($D15,'[3]BẢNG LƯƠNG'!$C$3:$AH$102,32,0)</f>
        <v/>
      </c>
    </row>
    <row r="16" spans="1:111" s="108" customFormat="1" ht="27" customHeight="1">
      <c r="A16" s="262">
        <v>5</v>
      </c>
      <c r="B16" s="263" t="s">
        <v>113</v>
      </c>
      <c r="C16" s="264" t="s">
        <v>142</v>
      </c>
      <c r="D16" s="296" t="s">
        <v>143</v>
      </c>
      <c r="E16" s="262" t="str">
        <f t="shared" si="32"/>
        <v>HĐLĐ</v>
      </c>
      <c r="F16" s="262" t="s">
        <v>116</v>
      </c>
      <c r="G16" s="262" t="s">
        <v>117</v>
      </c>
      <c r="H16" s="266" t="s">
        <v>144</v>
      </c>
      <c r="I16" s="267" t="s">
        <v>145</v>
      </c>
      <c r="J16" s="267" t="s">
        <v>119</v>
      </c>
      <c r="K16" s="268">
        <v>28</v>
      </c>
      <c r="L16" s="269">
        <v>23</v>
      </c>
      <c r="M16" s="269">
        <v>164.33</v>
      </c>
      <c r="N16" s="269">
        <v>24.07</v>
      </c>
      <c r="O16" s="270">
        <v>0</v>
      </c>
      <c r="P16" s="271"/>
      <c r="Q16" s="297"/>
      <c r="R16" s="272"/>
      <c r="S16" s="270">
        <f t="shared" si="8"/>
        <v>5310000</v>
      </c>
      <c r="T16" s="273">
        <f t="shared" si="31"/>
        <v>410714.28571428597</v>
      </c>
      <c r="U16" s="271"/>
      <c r="V16" s="271"/>
      <c r="W16" s="271"/>
      <c r="X16" s="271"/>
      <c r="Y16" s="271"/>
      <c r="Z16" s="271"/>
      <c r="AA16" s="270">
        <f>CY16</f>
        <v>6000000</v>
      </c>
      <c r="AB16" s="271"/>
      <c r="AC16" s="271"/>
      <c r="AD16" s="271"/>
      <c r="AE16" s="275">
        <f t="shared" si="10"/>
        <v>4401696.42857143</v>
      </c>
      <c r="AF16" s="276">
        <f t="shared" si="11"/>
        <v>967098.21428571397</v>
      </c>
      <c r="AG16" s="276">
        <v>0</v>
      </c>
      <c r="AH16" s="276">
        <v>0</v>
      </c>
      <c r="AI16" s="276">
        <v>0</v>
      </c>
      <c r="AJ16" s="276"/>
      <c r="AK16" s="276"/>
      <c r="AL16" s="276">
        <v>0</v>
      </c>
      <c r="AM16" s="276">
        <v>0</v>
      </c>
      <c r="AN16" s="276">
        <v>1686900</v>
      </c>
      <c r="AO16" s="300">
        <v>18300</v>
      </c>
      <c r="AP16" s="276">
        <v>0</v>
      </c>
      <c r="AQ16" s="276">
        <v>0</v>
      </c>
      <c r="AR16" s="276"/>
      <c r="AS16" s="276">
        <v>0</v>
      </c>
      <c r="AT16" s="276">
        <v>0</v>
      </c>
      <c r="AU16" s="276">
        <v>0</v>
      </c>
      <c r="AV16" s="276"/>
      <c r="AW16" s="276"/>
      <c r="AX16" s="277"/>
      <c r="AY16" s="318"/>
      <c r="AZ16" s="278"/>
      <c r="BA16" s="276">
        <v>0</v>
      </c>
      <c r="BB16" s="276">
        <v>0</v>
      </c>
      <c r="BC16" s="276">
        <v>0</v>
      </c>
      <c r="BD16" s="276">
        <v>0</v>
      </c>
      <c r="BE16" s="276">
        <v>0</v>
      </c>
      <c r="BF16" s="276">
        <v>0</v>
      </c>
      <c r="BG16" s="279">
        <f t="shared" si="12"/>
        <v>7484708.92857143</v>
      </c>
      <c r="BH16" s="277">
        <f t="shared" si="13"/>
        <v>929250</v>
      </c>
      <c r="BI16" s="277">
        <f t="shared" si="14"/>
        <v>159300</v>
      </c>
      <c r="BJ16" s="277">
        <f t="shared" si="15"/>
        <v>53100</v>
      </c>
      <c r="BK16" s="277"/>
      <c r="BL16" s="280">
        <f t="shared" si="16"/>
        <v>1141650</v>
      </c>
      <c r="BM16" s="277">
        <f t="shared" si="17"/>
        <v>424800</v>
      </c>
      <c r="BN16" s="277">
        <f t="shared" si="18"/>
        <v>79650</v>
      </c>
      <c r="BO16" s="277">
        <f t="shared" si="19"/>
        <v>53100</v>
      </c>
      <c r="BP16" s="277"/>
      <c r="BQ16" s="280">
        <f t="shared" si="20"/>
        <v>557550</v>
      </c>
      <c r="BR16" s="280">
        <f>AF16</f>
        <v>967098.21428571397</v>
      </c>
      <c r="BS16" s="277">
        <f>T16+U16+V16+W16</f>
        <v>410714.28571428597</v>
      </c>
      <c r="BT16" s="281">
        <f t="shared" si="21"/>
        <v>6106896.42857143</v>
      </c>
      <c r="BU16" s="282">
        <f t="shared" si="22"/>
        <v>15500000</v>
      </c>
      <c r="BV16" s="283"/>
      <c r="BW16" s="277">
        <f t="shared" si="23"/>
        <v>0</v>
      </c>
      <c r="BX16" s="277">
        <f t="shared" si="24"/>
        <v>557550</v>
      </c>
      <c r="BY16" s="284">
        <f t="shared" si="25"/>
        <v>16057550</v>
      </c>
      <c r="BZ16" s="277">
        <f t="shared" si="26"/>
        <v>0</v>
      </c>
      <c r="CA16" s="277">
        <f t="shared" si="27"/>
        <v>0</v>
      </c>
      <c r="CB16" s="283">
        <f t="shared" si="28"/>
        <v>6927159</v>
      </c>
      <c r="CC16" s="283"/>
      <c r="CD16" s="278">
        <f t="shared" si="4"/>
        <v>0</v>
      </c>
      <c r="CE16" s="285">
        <f t="shared" si="29"/>
        <v>6927159</v>
      </c>
      <c r="CF16" s="280">
        <f t="shared" si="5"/>
        <v>0</v>
      </c>
      <c r="CG16" s="286">
        <f t="shared" si="6"/>
        <v>6927159</v>
      </c>
      <c r="CH16" s="287"/>
      <c r="CI16" s="288" t="s">
        <v>146</v>
      </c>
      <c r="CJ16" s="270">
        <f>VLOOKUP(D16,[1]CNT!$C$6:$AP$113,40,0)</f>
        <v>0</v>
      </c>
      <c r="CK16" s="289">
        <v>6</v>
      </c>
      <c r="CL16" s="270">
        <f>VLOOKUP(D16,[1]CNT!C7:AJ70,15,0)</f>
        <v>0</v>
      </c>
      <c r="CM16" s="289">
        <v>1</v>
      </c>
      <c r="CN16" s="289">
        <v>11</v>
      </c>
      <c r="CO16" s="289">
        <v>2024</v>
      </c>
      <c r="CP16" s="290">
        <f>IF((($CO$8-CO16)*12)+($CN$8-CN16)&gt;=12,((($CO$8-CO16)*12)+($CN$8-CN16))-1,0)</f>
        <v>0</v>
      </c>
      <c r="CQ16" s="290">
        <f>IF(CP16&lt;12,(($CQ$8-CO16)*12)+($CP$8-CN16),0)</f>
        <v>18</v>
      </c>
      <c r="CR16" s="290">
        <f>IF(OR(CP16&gt;12,CP16=12),((CP16-(CS16*12))+((($CQ$8-2024)*12)+($CP$8-4)))+1,0)</f>
        <v>0</v>
      </c>
      <c r="CS16" s="271">
        <f>IF(OR(CP16&gt;12,CP16=12),ROUNDDOWN(CP16/12,0),0)</f>
        <v>0</v>
      </c>
      <c r="CT16" s="271">
        <f>IF(CQ16&gt;11,ROUNDDOWN(CQ16/12,0),0)</f>
        <v>1</v>
      </c>
      <c r="CU16" s="271">
        <f>IF(CR16&gt;11,ROUNDDOWN(CR16/12,0),0)</f>
        <v>0</v>
      </c>
      <c r="CV16" s="272">
        <f>IF(CP16=0,0,6000000*1.07^CS16)</f>
        <v>0</v>
      </c>
      <c r="CW16" s="272">
        <f>IF(CT16&lt;2,0,6000000+(CT16-1)*500000)</f>
        <v>0</v>
      </c>
      <c r="CX16" s="272">
        <f>IF(CU16=0,CV16,IF(CU16&lt;1,0,CV16+CU16*500000))</f>
        <v>0</v>
      </c>
      <c r="CY16" s="291">
        <f t="shared" si="30"/>
        <v>6000000</v>
      </c>
      <c r="CZ16" s="292"/>
      <c r="DA16" s="293"/>
      <c r="DB16" s="292" t="str">
        <f>CZ16&amp;";"&amp;" "&amp;DA16</f>
        <v>;</v>
      </c>
      <c r="DC16" s="292"/>
      <c r="DE16" s="294"/>
      <c r="DF16" s="295">
        <f>VLOOKUP($D16,'[2]Med Service'!$D$11:$DI$87,110,0)</f>
        <v>0</v>
      </c>
      <c r="DG16" s="270" t="str">
        <f>VLOOKUP($D16,'[3]BẢNG LƯƠNG'!$C$3:$AH$102,32,0)</f>
        <v/>
      </c>
    </row>
    <row r="17" spans="1:111" s="108" customFormat="1" ht="14.4" customHeight="1">
      <c r="A17" s="262"/>
      <c r="B17" s="263"/>
      <c r="C17" s="307" t="s">
        <v>147</v>
      </c>
      <c r="D17" s="265" t="s">
        <v>148</v>
      </c>
      <c r="E17" s="262" t="str">
        <f t="shared" ref="E17" si="33">IF(OR(G17="CHT",G17="DSBC"),"HĐLĐ",IF(OR(G17="DSTV",G17="Q.CHT"),"HĐTV","HĐCTV"))</f>
        <v>HĐLĐ</v>
      </c>
      <c r="F17" s="262" t="s">
        <v>116</v>
      </c>
      <c r="G17" s="262" t="s">
        <v>117</v>
      </c>
      <c r="H17" s="308">
        <v>45099</v>
      </c>
      <c r="I17" s="309" t="s">
        <v>149</v>
      </c>
      <c r="J17" s="309" t="s">
        <v>150</v>
      </c>
      <c r="K17" s="268">
        <v>26</v>
      </c>
      <c r="L17" s="269">
        <v>29</v>
      </c>
      <c r="M17" s="269">
        <v>253.43</v>
      </c>
      <c r="N17" s="269">
        <v>31.43</v>
      </c>
      <c r="O17" s="270">
        <v>8</v>
      </c>
      <c r="P17" s="271"/>
      <c r="Q17" s="297"/>
      <c r="R17" s="272"/>
      <c r="S17" s="270">
        <f t="shared" si="8"/>
        <v>5310000</v>
      </c>
      <c r="T17" s="273">
        <f t="shared" si="31"/>
        <v>500000</v>
      </c>
      <c r="U17" s="271"/>
      <c r="V17" s="271"/>
      <c r="W17" s="271"/>
      <c r="X17" s="271"/>
      <c r="Y17" s="271"/>
      <c r="Z17" s="271"/>
      <c r="AA17" s="310">
        <v>6500000</v>
      </c>
      <c r="AB17" s="311">
        <f>AA17</f>
        <v>6500000</v>
      </c>
      <c r="AC17" s="312">
        <f>IF(E17="HĐTV",AB17*85%,0)</f>
        <v>0</v>
      </c>
      <c r="AD17" s="313"/>
      <c r="AE17" s="275">
        <f t="shared" si="10"/>
        <v>7353995.5357142901</v>
      </c>
      <c r="AF17" s="276">
        <f t="shared" si="11"/>
        <v>1368046.875</v>
      </c>
      <c r="AG17" s="276">
        <v>0</v>
      </c>
      <c r="AH17" s="276">
        <v>0</v>
      </c>
      <c r="AI17" s="276">
        <v>0</v>
      </c>
      <c r="AJ17" s="276"/>
      <c r="AK17" s="276"/>
      <c r="AL17" s="276">
        <v>2800000</v>
      </c>
      <c r="AM17" s="276">
        <v>2472797</v>
      </c>
      <c r="AN17" s="276">
        <v>3808150</v>
      </c>
      <c r="AO17" s="300">
        <v>46851</v>
      </c>
      <c r="AP17" s="276">
        <v>0</v>
      </c>
      <c r="AQ17" s="276">
        <v>0</v>
      </c>
      <c r="AR17" s="276"/>
      <c r="AS17" s="276">
        <v>0</v>
      </c>
      <c r="AT17" s="276">
        <v>0</v>
      </c>
      <c r="AU17" s="276">
        <v>0</v>
      </c>
      <c r="AV17" s="276"/>
      <c r="AW17" s="276"/>
      <c r="AX17" s="277"/>
      <c r="AY17" s="318"/>
      <c r="AZ17" s="278"/>
      <c r="BA17" s="276">
        <v>0</v>
      </c>
      <c r="BB17" s="276">
        <v>0</v>
      </c>
      <c r="BC17" s="276">
        <v>0</v>
      </c>
      <c r="BD17" s="276">
        <v>0</v>
      </c>
      <c r="BE17" s="276">
        <v>0</v>
      </c>
      <c r="BF17" s="276">
        <v>0</v>
      </c>
      <c r="BG17" s="279">
        <f t="shared" si="12"/>
        <v>18349840.410714298</v>
      </c>
      <c r="BH17" s="277">
        <f t="shared" si="13"/>
        <v>929250</v>
      </c>
      <c r="BI17" s="277">
        <f t="shared" si="14"/>
        <v>159300</v>
      </c>
      <c r="BJ17" s="277">
        <f t="shared" si="15"/>
        <v>53100</v>
      </c>
      <c r="BK17" s="277"/>
      <c r="BL17" s="280">
        <f t="shared" si="16"/>
        <v>1141650</v>
      </c>
      <c r="BM17" s="277">
        <f t="shared" si="17"/>
        <v>424800</v>
      </c>
      <c r="BN17" s="277">
        <f t="shared" si="18"/>
        <v>79650</v>
      </c>
      <c r="BO17" s="277">
        <f t="shared" si="19"/>
        <v>53100</v>
      </c>
      <c r="BP17" s="277"/>
      <c r="BQ17" s="280">
        <f t="shared" si="20"/>
        <v>557550</v>
      </c>
      <c r="BR17" s="280"/>
      <c r="BS17" s="277"/>
      <c r="BT17" s="281">
        <f t="shared" si="21"/>
        <v>18349840.410714298</v>
      </c>
      <c r="BU17" s="282">
        <f t="shared" si="22"/>
        <v>15500000</v>
      </c>
      <c r="BV17" s="283"/>
      <c r="BW17" s="277">
        <f t="shared" si="23"/>
        <v>0</v>
      </c>
      <c r="BX17" s="277">
        <f t="shared" si="24"/>
        <v>557550</v>
      </c>
      <c r="BY17" s="284">
        <f t="shared" si="25"/>
        <v>16057550</v>
      </c>
      <c r="BZ17" s="277">
        <f t="shared" si="26"/>
        <v>2292290.4107142799</v>
      </c>
      <c r="CA17" s="277">
        <f t="shared" si="27"/>
        <v>114615</v>
      </c>
      <c r="CB17" s="283">
        <f t="shared" si="28"/>
        <v>17677675</v>
      </c>
      <c r="CC17" s="283"/>
      <c r="CD17" s="278"/>
      <c r="CE17" s="285">
        <f t="shared" si="29"/>
        <v>17677675</v>
      </c>
      <c r="CF17" s="280"/>
      <c r="CG17" s="286">
        <f t="shared" si="6"/>
        <v>17677675</v>
      </c>
      <c r="CH17" s="319"/>
      <c r="CI17" s="288"/>
      <c r="CJ17" s="270"/>
      <c r="CK17" s="289"/>
      <c r="CL17" s="270"/>
      <c r="CM17" s="289"/>
      <c r="CN17" s="289"/>
      <c r="CO17" s="289"/>
      <c r="CP17" s="290"/>
      <c r="CQ17" s="290"/>
      <c r="CR17" s="290"/>
      <c r="CS17" s="271"/>
      <c r="CT17" s="271"/>
      <c r="CU17" s="271"/>
      <c r="CV17" s="272"/>
      <c r="CW17" s="272"/>
      <c r="CX17" s="272"/>
      <c r="CY17" s="314">
        <f t="shared" si="30"/>
        <v>6000000</v>
      </c>
      <c r="CZ17" s="292"/>
      <c r="DA17" s="293"/>
      <c r="DB17" s="292"/>
      <c r="DC17" s="292"/>
      <c r="DE17" s="294"/>
      <c r="DF17" s="295"/>
      <c r="DG17" s="270"/>
    </row>
    <row r="18" spans="1:111" s="109" customFormat="1" ht="16.5" customHeight="1">
      <c r="A18" s="320"/>
      <c r="B18" s="321"/>
      <c r="C18" s="322"/>
      <c r="D18" s="323"/>
      <c r="E18" s="320"/>
      <c r="F18" s="320"/>
      <c r="G18" s="320"/>
      <c r="H18" s="324"/>
      <c r="I18" s="325"/>
      <c r="J18" s="326"/>
      <c r="K18" s="327"/>
      <c r="L18" s="326">
        <f>SUM(L11:L17)</f>
        <v>141</v>
      </c>
      <c r="M18" s="326">
        <f t="shared" ref="M18:AF18" si="34">SUM(M11:M17)</f>
        <v>729.71</v>
      </c>
      <c r="N18" s="326">
        <f t="shared" si="34"/>
        <v>490.71</v>
      </c>
      <c r="O18" s="326">
        <f t="shared" si="34"/>
        <v>32</v>
      </c>
      <c r="P18" s="326">
        <f t="shared" si="34"/>
        <v>0</v>
      </c>
      <c r="Q18" s="326">
        <f t="shared" si="34"/>
        <v>0</v>
      </c>
      <c r="R18" s="326">
        <f t="shared" si="34"/>
        <v>0</v>
      </c>
      <c r="S18" s="326">
        <f t="shared" si="34"/>
        <v>15930000</v>
      </c>
      <c r="T18" s="326">
        <f t="shared" si="34"/>
        <v>2446428.57142857</v>
      </c>
      <c r="U18" s="326">
        <f t="shared" si="34"/>
        <v>0</v>
      </c>
      <c r="V18" s="326">
        <f t="shared" si="34"/>
        <v>0</v>
      </c>
      <c r="W18" s="326">
        <f t="shared" si="34"/>
        <v>0</v>
      </c>
      <c r="X18" s="326">
        <f t="shared" si="34"/>
        <v>0</v>
      </c>
      <c r="Y18" s="326">
        <f t="shared" si="34"/>
        <v>0</v>
      </c>
      <c r="Z18" s="326">
        <f t="shared" si="34"/>
        <v>0</v>
      </c>
      <c r="AA18" s="326">
        <f t="shared" si="34"/>
        <v>45850258</v>
      </c>
      <c r="AB18" s="326">
        <f t="shared" si="34"/>
        <v>19000000</v>
      </c>
      <c r="AC18" s="326">
        <f t="shared" si="34"/>
        <v>12000000</v>
      </c>
      <c r="AD18" s="326"/>
      <c r="AE18" s="326">
        <f t="shared" si="34"/>
        <v>20878295.067321401</v>
      </c>
      <c r="AF18" s="326">
        <f t="shared" si="34"/>
        <v>20734941.729642902</v>
      </c>
      <c r="AG18" s="326">
        <f t="shared" ref="AG18:CG18" si="35">SUM(AG11:AG17)</f>
        <v>0</v>
      </c>
      <c r="AH18" s="326">
        <f t="shared" si="35"/>
        <v>0</v>
      </c>
      <c r="AI18" s="326">
        <f t="shared" si="35"/>
        <v>2571429</v>
      </c>
      <c r="AJ18" s="326">
        <f t="shared" si="35"/>
        <v>0</v>
      </c>
      <c r="AK18" s="326">
        <f t="shared" si="35"/>
        <v>0</v>
      </c>
      <c r="AL18" s="326">
        <f t="shared" si="35"/>
        <v>6933333</v>
      </c>
      <c r="AM18" s="326">
        <f t="shared" si="35"/>
        <v>2472797</v>
      </c>
      <c r="AN18" s="326">
        <f t="shared" si="35"/>
        <v>11904560</v>
      </c>
      <c r="AO18" s="326">
        <f t="shared" si="35"/>
        <v>90657</v>
      </c>
      <c r="AP18" s="326">
        <f t="shared" si="35"/>
        <v>0</v>
      </c>
      <c r="AQ18" s="326">
        <f t="shared" si="35"/>
        <v>0</v>
      </c>
      <c r="AR18" s="326">
        <f t="shared" si="35"/>
        <v>0</v>
      </c>
      <c r="AS18" s="326">
        <f t="shared" si="35"/>
        <v>0</v>
      </c>
      <c r="AT18" s="326">
        <f t="shared" si="35"/>
        <v>300000</v>
      </c>
      <c r="AU18" s="326">
        <f t="shared" si="35"/>
        <v>0</v>
      </c>
      <c r="AV18" s="326">
        <f t="shared" si="35"/>
        <v>0</v>
      </c>
      <c r="AW18" s="326">
        <f t="shared" si="35"/>
        <v>0</v>
      </c>
      <c r="AX18" s="326">
        <f t="shared" si="35"/>
        <v>0</v>
      </c>
      <c r="AY18" s="326">
        <f t="shared" si="35"/>
        <v>0</v>
      </c>
      <c r="AZ18" s="326">
        <f t="shared" si="35"/>
        <v>0</v>
      </c>
      <c r="BA18" s="326">
        <f t="shared" si="35"/>
        <v>0</v>
      </c>
      <c r="BB18" s="326">
        <f t="shared" si="35"/>
        <v>0</v>
      </c>
      <c r="BC18" s="326">
        <f t="shared" si="35"/>
        <v>0</v>
      </c>
      <c r="BD18" s="326">
        <f t="shared" si="35"/>
        <v>0</v>
      </c>
      <c r="BE18" s="326">
        <f t="shared" si="35"/>
        <v>0</v>
      </c>
      <c r="BF18" s="326">
        <f t="shared" si="35"/>
        <v>0</v>
      </c>
      <c r="BG18" s="326">
        <f t="shared" si="35"/>
        <v>68332441.3683929</v>
      </c>
      <c r="BH18" s="326">
        <f t="shared" si="35"/>
        <v>2787750</v>
      </c>
      <c r="BI18" s="326">
        <f t="shared" si="35"/>
        <v>477900</v>
      </c>
      <c r="BJ18" s="326">
        <f t="shared" si="35"/>
        <v>159300</v>
      </c>
      <c r="BK18" s="326">
        <f t="shared" si="35"/>
        <v>0</v>
      </c>
      <c r="BL18" s="326">
        <f t="shared" si="35"/>
        <v>3424950</v>
      </c>
      <c r="BM18" s="326">
        <f t="shared" si="35"/>
        <v>1274400</v>
      </c>
      <c r="BN18" s="326">
        <f t="shared" si="35"/>
        <v>238950</v>
      </c>
      <c r="BO18" s="326">
        <f t="shared" si="35"/>
        <v>159300</v>
      </c>
      <c r="BP18" s="326">
        <f t="shared" si="35"/>
        <v>0</v>
      </c>
      <c r="BQ18" s="326">
        <f t="shared" si="35"/>
        <v>1672650</v>
      </c>
      <c r="BR18" s="326">
        <f t="shared" si="35"/>
        <v>12219361.372500001</v>
      </c>
      <c r="BS18" s="326">
        <f t="shared" si="35"/>
        <v>1571428.57142857</v>
      </c>
      <c r="BT18" s="326">
        <f t="shared" si="35"/>
        <v>54541651.4244643</v>
      </c>
      <c r="BU18" s="326">
        <f t="shared" si="35"/>
        <v>77500000</v>
      </c>
      <c r="BV18" s="326">
        <f t="shared" si="35"/>
        <v>0</v>
      </c>
      <c r="BW18" s="326">
        <f t="shared" si="35"/>
        <v>0</v>
      </c>
      <c r="BX18" s="326">
        <f t="shared" si="35"/>
        <v>1672650</v>
      </c>
      <c r="BY18" s="326">
        <f t="shared" si="35"/>
        <v>79172650</v>
      </c>
      <c r="BZ18" s="326">
        <f t="shared" si="35"/>
        <v>13568477.696428601</v>
      </c>
      <c r="CA18" s="326">
        <f t="shared" si="35"/>
        <v>873223.67142857099</v>
      </c>
      <c r="CB18" s="326">
        <f t="shared" si="35"/>
        <v>65786568</v>
      </c>
      <c r="CC18" s="326">
        <f t="shared" si="35"/>
        <v>0</v>
      </c>
      <c r="CD18" s="326">
        <f t="shared" si="35"/>
        <v>0</v>
      </c>
      <c r="CE18" s="326">
        <f t="shared" si="35"/>
        <v>65786568</v>
      </c>
      <c r="CF18" s="326">
        <f t="shared" si="35"/>
        <v>0</v>
      </c>
      <c r="CG18" s="326">
        <f t="shared" si="35"/>
        <v>65786568</v>
      </c>
      <c r="CH18" s="326">
        <f t="shared" ref="CH18:DG18" si="36">SUM(CH11:CH16)</f>
        <v>0</v>
      </c>
      <c r="CI18" s="326">
        <f t="shared" si="36"/>
        <v>0</v>
      </c>
      <c r="CJ18" s="326">
        <f t="shared" si="36"/>
        <v>0</v>
      </c>
      <c r="CK18" s="326">
        <f t="shared" si="36"/>
        <v>32</v>
      </c>
      <c r="CL18" s="326">
        <f t="shared" si="36"/>
        <v>0</v>
      </c>
      <c r="CM18" s="326">
        <f t="shared" si="36"/>
        <v>39</v>
      </c>
      <c r="CN18" s="326">
        <f t="shared" si="36"/>
        <v>22</v>
      </c>
      <c r="CO18" s="326">
        <f t="shared" si="36"/>
        <v>8095</v>
      </c>
      <c r="CP18" s="326">
        <f t="shared" si="36"/>
        <v>37</v>
      </c>
      <c r="CQ18" s="326">
        <f t="shared" si="36"/>
        <v>43</v>
      </c>
      <c r="CR18" s="326">
        <f t="shared" si="36"/>
        <v>27</v>
      </c>
      <c r="CS18" s="326">
        <f t="shared" si="36"/>
        <v>3</v>
      </c>
      <c r="CT18" s="326">
        <f t="shared" si="36"/>
        <v>3</v>
      </c>
      <c r="CU18" s="326">
        <f t="shared" si="36"/>
        <v>2</v>
      </c>
      <c r="CV18" s="326">
        <f t="shared" si="36"/>
        <v>7350258</v>
      </c>
      <c r="CW18" s="326">
        <f t="shared" si="36"/>
        <v>6500000</v>
      </c>
      <c r="CX18" s="326">
        <f t="shared" si="36"/>
        <v>8350258</v>
      </c>
      <c r="CY18" s="326">
        <f t="shared" si="36"/>
        <v>38850258</v>
      </c>
      <c r="CZ18" s="326">
        <f t="shared" si="36"/>
        <v>0</v>
      </c>
      <c r="DA18" s="326">
        <f t="shared" si="36"/>
        <v>0</v>
      </c>
      <c r="DB18" s="326">
        <f t="shared" si="36"/>
        <v>0</v>
      </c>
      <c r="DC18" s="326">
        <f t="shared" si="36"/>
        <v>0</v>
      </c>
      <c r="DD18" s="326">
        <f t="shared" si="36"/>
        <v>0</v>
      </c>
      <c r="DE18" s="326">
        <f t="shared" si="36"/>
        <v>0</v>
      </c>
      <c r="DF18" s="326" t="e">
        <f t="shared" si="36"/>
        <v>#N/A</v>
      </c>
      <c r="DG18" s="326" t="e">
        <f t="shared" si="36"/>
        <v>#N/A</v>
      </c>
    </row>
    <row r="19" spans="1:111" s="110" customFormat="1" ht="27.75" customHeight="1">
      <c r="A19" s="262">
        <v>13</v>
      </c>
      <c r="B19" s="263">
        <v>7</v>
      </c>
      <c r="C19" s="307" t="s">
        <v>151</v>
      </c>
      <c r="D19" s="265" t="s">
        <v>152</v>
      </c>
      <c r="E19" s="262" t="str">
        <f>IF(OR(G19="CHT",G19="DSBC"),"HĐLĐ",IF(OR(G19="DSTV",G19="Q.CHT"),"HĐTV","HĐCTV"))</f>
        <v>HĐLĐ</v>
      </c>
      <c r="F19" s="262" t="s">
        <v>153</v>
      </c>
      <c r="G19" s="262" t="s">
        <v>154</v>
      </c>
      <c r="H19" s="308">
        <v>45524</v>
      </c>
      <c r="I19" s="309" t="s">
        <v>155</v>
      </c>
      <c r="J19" s="309" t="s">
        <v>119</v>
      </c>
      <c r="K19" s="268">
        <v>28</v>
      </c>
      <c r="L19" s="270">
        <v>23</v>
      </c>
      <c r="M19" s="328">
        <v>183.01</v>
      </c>
      <c r="N19" s="328">
        <v>0</v>
      </c>
      <c r="O19" s="270">
        <v>0</v>
      </c>
      <c r="P19" s="270"/>
      <c r="Q19" s="329"/>
      <c r="R19" s="270"/>
      <c r="S19" s="270">
        <f t="shared" ref="S19:S25" si="37">IF(E19="HĐLĐ",5310000,0)</f>
        <v>5310000</v>
      </c>
      <c r="T19" s="273">
        <f t="shared" si="31"/>
        <v>410714.28571428597</v>
      </c>
      <c r="U19" s="270"/>
      <c r="V19" s="330"/>
      <c r="W19" s="270"/>
      <c r="X19" s="270"/>
      <c r="Y19" s="270"/>
      <c r="Z19" s="270"/>
      <c r="AA19" s="331">
        <f>CY19</f>
        <v>6000000</v>
      </c>
      <c r="AB19" s="270"/>
      <c r="AC19" s="270"/>
      <c r="AD19" s="270"/>
      <c r="AE19" s="275">
        <f t="shared" ref="AE19:AE25" si="38">IF(E19="HĐTV",AC19/28/8*M19,AA19/28/8*M19)</f>
        <v>4902053.57142857</v>
      </c>
      <c r="AF19" s="276">
        <f t="shared" si="11"/>
        <v>0</v>
      </c>
      <c r="AG19" s="276" t="s">
        <v>156</v>
      </c>
      <c r="AH19" s="276">
        <v>0</v>
      </c>
      <c r="AI19" s="276">
        <v>0</v>
      </c>
      <c r="AJ19" s="276"/>
      <c r="AK19" s="276"/>
      <c r="AL19" s="276">
        <v>0</v>
      </c>
      <c r="AM19" s="276">
        <v>0</v>
      </c>
      <c r="AN19" s="300">
        <v>688400</v>
      </c>
      <c r="AO19" s="300">
        <v>14067</v>
      </c>
      <c r="AP19" s="300">
        <v>0</v>
      </c>
      <c r="AQ19" s="276">
        <v>1000000</v>
      </c>
      <c r="AR19" s="276"/>
      <c r="AS19" s="276">
        <v>0</v>
      </c>
      <c r="AT19" s="276">
        <v>0</v>
      </c>
      <c r="AU19" s="276">
        <v>2681852</v>
      </c>
      <c r="AV19" s="276"/>
      <c r="AW19" s="276"/>
      <c r="AX19" s="276"/>
      <c r="AY19" s="276"/>
      <c r="AZ19" s="276"/>
      <c r="BA19" s="276">
        <v>0</v>
      </c>
      <c r="BB19" s="276">
        <v>0</v>
      </c>
      <c r="BC19" s="276">
        <v>0</v>
      </c>
      <c r="BD19" s="276">
        <v>0</v>
      </c>
      <c r="BE19" s="332">
        <v>0</v>
      </c>
      <c r="BF19" s="276">
        <v>0</v>
      </c>
      <c r="BG19" s="279">
        <f t="shared" ref="BG19:BG20" si="39">SUM(T19:Z19)+SUM(AD19:AZ19)-SUM(BA19:BF19)</f>
        <v>9697086.8571428601</v>
      </c>
      <c r="BH19" s="277">
        <f t="shared" ref="BH19:BH25" si="40">S19*17.5%</f>
        <v>929250</v>
      </c>
      <c r="BI19" s="277">
        <f t="shared" ref="BI19:BI25" si="41">S19*3%</f>
        <v>159300</v>
      </c>
      <c r="BJ19" s="277">
        <f t="shared" ref="BJ19:BJ25" si="42">S19*1%</f>
        <v>53100</v>
      </c>
      <c r="BK19" s="277"/>
      <c r="BL19" s="280">
        <f t="shared" ref="BL19:BL25" si="43">SUM(BH19:BK19)</f>
        <v>1141650</v>
      </c>
      <c r="BM19" s="277">
        <f t="shared" ref="BM19:BM25" si="44">S19*8%</f>
        <v>424800</v>
      </c>
      <c r="BN19" s="277">
        <f t="shared" ref="BN19:BN25" si="45">S19*1.5%</f>
        <v>79650</v>
      </c>
      <c r="BO19" s="277">
        <f t="shared" ref="BO19:BO25" si="46">S19*1%</f>
        <v>53100</v>
      </c>
      <c r="BP19" s="277"/>
      <c r="BQ19" s="280">
        <f t="shared" ref="BQ19:BQ25" si="47">SUM(BM19:BP19)</f>
        <v>557550</v>
      </c>
      <c r="BR19" s="333">
        <f>AF19</f>
        <v>0</v>
      </c>
      <c r="BS19" s="312">
        <f>T19+U19+V19+W19</f>
        <v>410714.28571428597</v>
      </c>
      <c r="BT19" s="281">
        <f t="shared" ref="BT19:BT25" si="48">BG19-BS19-BR19</f>
        <v>9286372.5714285709</v>
      </c>
      <c r="BU19" s="282">
        <f t="shared" ref="BU19:BU25" si="49">IF(E19="HĐLĐ",15500000,0)</f>
        <v>15500000</v>
      </c>
      <c r="BV19" s="311"/>
      <c r="BW19" s="277">
        <f t="shared" ref="BW19:BW25" si="50">BV19*6200000</f>
        <v>0</v>
      </c>
      <c r="BX19" s="277">
        <f t="shared" ref="BX19:BX25" si="51">BQ19</f>
        <v>557550</v>
      </c>
      <c r="BY19" s="284">
        <f t="shared" ref="BY19:BY25" si="52">BU19+BW19+BX19</f>
        <v>16057550</v>
      </c>
      <c r="BZ19" s="277">
        <f t="shared" ref="BZ19:BZ25" si="53">IF(BT19-BY19&gt;0,BT19-BY19,0)</f>
        <v>0</v>
      </c>
      <c r="CA19" s="277">
        <f t="shared" ref="CA19:CA25" si="54">IF(AND(OR($E19="HĐTV",$E19="HĐCTV"),$BZ19&lt;5000000),0,IF(OR($E19="HĐTV",$E19="HĐCTV"),$BZ19*10%,ROUND(IF($BZ19&lt;=10000000,$BZ19*5%,IF($BZ19&lt;=30000000,$BZ19*10%-500000,IF($BZ19&lt;=60000000,$BZ19*20%-3500000,IF($BZ19&lt;=100000000,$BZ19*30%-9500000,$BZ19*35%-14500000)))),0)))</f>
        <v>0</v>
      </c>
      <c r="CB19" s="283">
        <f t="shared" ref="CB19:CB25" si="55">ROUND(BG19-BQ19-CA19,0)</f>
        <v>9139537</v>
      </c>
      <c r="CC19" s="311"/>
      <c r="CD19" s="278">
        <f t="shared" ref="CD19:CD24" si="56">AV19+AW19</f>
        <v>0</v>
      </c>
      <c r="CE19" s="285">
        <f t="shared" ref="CE19:CE25" si="57">CB19+CC19-CD19</f>
        <v>9139537</v>
      </c>
      <c r="CF19" s="333">
        <f t="shared" ref="CF19:CF25" si="58">CE19-CG19</f>
        <v>0</v>
      </c>
      <c r="CG19" s="286">
        <f t="shared" ref="CG19:CG25" si="59">CE19</f>
        <v>9139537</v>
      </c>
      <c r="CH19" s="334"/>
      <c r="CI19" s="335" t="s">
        <v>157</v>
      </c>
      <c r="CJ19" s="270">
        <f>VLOOKUP(D19,[1]CNT!$C$6:$AP$113,40,0)</f>
        <v>0</v>
      </c>
      <c r="CK19" s="289">
        <v>12</v>
      </c>
      <c r="CL19" s="270">
        <f>VLOOKUP(D19,[1]CNT!C10:AJ73,15,0)</f>
        <v>0</v>
      </c>
      <c r="CM19" s="336">
        <v>20</v>
      </c>
      <c r="CN19" s="336">
        <v>8</v>
      </c>
      <c r="CO19" s="336">
        <v>2024</v>
      </c>
      <c r="CP19" s="337">
        <f>IF((($CO$8-CO19)*12)+($CN$8-CN19)&gt;=12,((($CO$8-CO19)*12)+($CN$8-CN19))-1,0)</f>
        <v>0</v>
      </c>
      <c r="CQ19" s="338">
        <f>IF(CP19&lt;12,(($CQ$8-CO19)*12)+($CP$8-CN19),0)</f>
        <v>21</v>
      </c>
      <c r="CR19" s="337">
        <f>IF(OR(CP19&gt;12,CP19=12),((CP19-(CS19*12))+((($CQ$8-2024)*12)+($CP$8-4)))+1,0)</f>
        <v>0</v>
      </c>
      <c r="CS19" s="339">
        <f>IF(OR(CP19&gt;12,CP19=12),ROUNDDOWN(CP19/12,0),0)</f>
        <v>0</v>
      </c>
      <c r="CT19" s="339">
        <f>IF(CQ19&gt;11,ROUNDDOWN(CQ19/12,0),0)</f>
        <v>1</v>
      </c>
      <c r="CU19" s="339">
        <f>IF(CR19&gt;11,ROUNDDOWN(CR19/12,0),0)</f>
        <v>0</v>
      </c>
      <c r="CV19" s="340">
        <f>IF(CP19=0,0,6000000*1.07^CS19)</f>
        <v>0</v>
      </c>
      <c r="CW19" s="340">
        <f>IF(CT19&lt;2,0,6000000+(CT19-1)*500000)</f>
        <v>0</v>
      </c>
      <c r="CX19" s="340">
        <f>IF(CU19=0,CV19,IF(CU19&lt;1,0,CV19+CU19*500000))</f>
        <v>0</v>
      </c>
      <c r="CY19" s="314">
        <f t="shared" ref="CY19:CY25" si="60">IF(CX19&gt;0,CX19,IF(CW19&gt;0,CW19,6000000))</f>
        <v>6000000</v>
      </c>
      <c r="CZ19" s="341"/>
      <c r="DA19" s="342">
        <f>CJ19</f>
        <v>0</v>
      </c>
      <c r="DB19" s="343"/>
      <c r="DC19" s="344"/>
      <c r="DE19" s="345">
        <f>VLOOKUP($D19,'[6]Tong hop'!$B$8:$Q$45,15,0)</f>
        <v>346622</v>
      </c>
      <c r="DF19" s="346">
        <f>VLOOKUP($D19,'[2]Med Service'!$D$11:$DI$87,110,0)</f>
        <v>0</v>
      </c>
      <c r="DG19" s="270" t="str">
        <f>VLOOKUP($D19,'[3]BẢNG LƯƠNG'!$C$3:$AH$102,32,0)</f>
        <v>Vi phạm chấm điểm checklist  28/05/2026: 10.000đ</v>
      </c>
    </row>
    <row r="20" spans="1:111" s="111" customFormat="1" ht="27" customHeight="1">
      <c r="A20" s="262">
        <v>8</v>
      </c>
      <c r="B20" s="263" t="s">
        <v>113</v>
      </c>
      <c r="C20" s="307" t="s">
        <v>158</v>
      </c>
      <c r="D20" s="265" t="s">
        <v>159</v>
      </c>
      <c r="E20" s="262" t="str">
        <f>IF(OR(G20="CHT",G20="DSBC"),"HĐLĐ",IF(OR(G20="DSTV",G20="Q.CHT"),"HĐTV","HĐCTV"))</f>
        <v>HĐTV</v>
      </c>
      <c r="F20" s="262" t="s">
        <v>153</v>
      </c>
      <c r="G20" s="262" t="s">
        <v>129</v>
      </c>
      <c r="H20" s="460" t="s">
        <v>160</v>
      </c>
      <c r="I20" s="461" t="s">
        <v>161</v>
      </c>
      <c r="J20" s="309" t="s">
        <v>162</v>
      </c>
      <c r="K20" s="268">
        <v>28</v>
      </c>
      <c r="L20" s="270">
        <v>4</v>
      </c>
      <c r="M20" s="328">
        <v>32.49</v>
      </c>
      <c r="N20" s="328">
        <v>0</v>
      </c>
      <c r="O20" s="270">
        <v>0</v>
      </c>
      <c r="P20" s="347"/>
      <c r="Q20" s="329"/>
      <c r="R20" s="348"/>
      <c r="S20" s="270">
        <f t="shared" si="37"/>
        <v>0</v>
      </c>
      <c r="T20" s="273">
        <f t="shared" si="31"/>
        <v>71428.571428571406</v>
      </c>
      <c r="U20" s="347"/>
      <c r="V20" s="330"/>
      <c r="W20" s="347"/>
      <c r="X20" s="347"/>
      <c r="Y20" s="347"/>
      <c r="Z20" s="347"/>
      <c r="AA20" s="310">
        <v>6000000</v>
      </c>
      <c r="AB20" s="311">
        <f>AA20</f>
        <v>6000000</v>
      </c>
      <c r="AC20" s="312">
        <v>6000000</v>
      </c>
      <c r="AD20" s="313"/>
      <c r="AE20" s="275">
        <f t="shared" si="38"/>
        <v>870267.85714285704</v>
      </c>
      <c r="AF20" s="276">
        <f t="shared" si="11"/>
        <v>0</v>
      </c>
      <c r="AG20" s="276">
        <v>0</v>
      </c>
      <c r="AH20" s="276">
        <v>0</v>
      </c>
      <c r="AI20" s="276">
        <v>0</v>
      </c>
      <c r="AJ20" s="276"/>
      <c r="AK20" s="276"/>
      <c r="AL20" s="276">
        <v>0</v>
      </c>
      <c r="AM20" s="276">
        <v>0</v>
      </c>
      <c r="AN20" s="300">
        <v>0</v>
      </c>
      <c r="AO20" s="300">
        <v>0</v>
      </c>
      <c r="AP20" s="300">
        <v>0</v>
      </c>
      <c r="AQ20" s="276">
        <v>0</v>
      </c>
      <c r="AR20" s="276"/>
      <c r="AS20" s="276">
        <v>0</v>
      </c>
      <c r="AT20" s="276">
        <v>0</v>
      </c>
      <c r="AU20" s="276">
        <v>0</v>
      </c>
      <c r="AV20" s="276"/>
      <c r="AW20" s="276"/>
      <c r="AX20" s="349"/>
      <c r="AY20" s="350"/>
      <c r="AZ20" s="351"/>
      <c r="BA20" s="276">
        <v>0</v>
      </c>
      <c r="BB20" s="276">
        <v>0</v>
      </c>
      <c r="BC20" s="276">
        <v>0</v>
      </c>
      <c r="BD20" s="276">
        <v>0</v>
      </c>
      <c r="BE20" s="332">
        <v>0</v>
      </c>
      <c r="BF20" s="276">
        <v>0</v>
      </c>
      <c r="BG20" s="279">
        <f t="shared" si="39"/>
        <v>941696.42857142899</v>
      </c>
      <c r="BH20" s="277">
        <f t="shared" si="40"/>
        <v>0</v>
      </c>
      <c r="BI20" s="277">
        <f t="shared" si="41"/>
        <v>0</v>
      </c>
      <c r="BJ20" s="277">
        <f t="shared" si="42"/>
        <v>0</v>
      </c>
      <c r="BK20" s="277"/>
      <c r="BL20" s="280">
        <f t="shared" si="43"/>
        <v>0</v>
      </c>
      <c r="BM20" s="277">
        <f t="shared" si="44"/>
        <v>0</v>
      </c>
      <c r="BN20" s="277">
        <f t="shared" si="45"/>
        <v>0</v>
      </c>
      <c r="BO20" s="277">
        <f t="shared" si="46"/>
        <v>0</v>
      </c>
      <c r="BP20" s="277"/>
      <c r="BQ20" s="280">
        <f t="shared" si="47"/>
        <v>0</v>
      </c>
      <c r="BR20" s="333">
        <f>AF20</f>
        <v>0</v>
      </c>
      <c r="BS20" s="312">
        <f>T20+U20+V20+W20</f>
        <v>71428.571428571406</v>
      </c>
      <c r="BT20" s="281">
        <f t="shared" si="48"/>
        <v>870267.85714285704</v>
      </c>
      <c r="BU20" s="282">
        <f t="shared" si="49"/>
        <v>0</v>
      </c>
      <c r="BV20" s="311"/>
      <c r="BW20" s="277">
        <f t="shared" si="50"/>
        <v>0</v>
      </c>
      <c r="BX20" s="277">
        <f t="shared" si="51"/>
        <v>0</v>
      </c>
      <c r="BY20" s="284">
        <f t="shared" si="52"/>
        <v>0</v>
      </c>
      <c r="BZ20" s="277">
        <f t="shared" si="53"/>
        <v>870267.85714285704</v>
      </c>
      <c r="CA20" s="277">
        <f t="shared" si="54"/>
        <v>0</v>
      </c>
      <c r="CB20" s="283">
        <f t="shared" si="55"/>
        <v>941696</v>
      </c>
      <c r="CC20" s="311"/>
      <c r="CD20" s="278">
        <f t="shared" si="56"/>
        <v>0</v>
      </c>
      <c r="CE20" s="285">
        <f t="shared" si="57"/>
        <v>941696</v>
      </c>
      <c r="CF20" s="352">
        <f t="shared" si="58"/>
        <v>0</v>
      </c>
      <c r="CG20" s="286">
        <f t="shared" si="59"/>
        <v>941696</v>
      </c>
      <c r="CH20" s="334"/>
      <c r="CI20" s="335" t="s">
        <v>163</v>
      </c>
      <c r="CJ20" s="353"/>
      <c r="CK20" s="289">
        <v>9</v>
      </c>
      <c r="CL20" s="270"/>
      <c r="CM20" s="336"/>
      <c r="CN20" s="336"/>
      <c r="CO20" s="336"/>
      <c r="CP20" s="337"/>
      <c r="CQ20" s="338"/>
      <c r="CR20" s="337"/>
      <c r="CS20" s="339"/>
      <c r="CT20" s="339"/>
      <c r="CU20" s="339"/>
      <c r="CV20" s="340"/>
      <c r="CW20" s="340"/>
      <c r="CX20" s="340"/>
      <c r="CY20" s="314">
        <f t="shared" si="60"/>
        <v>6000000</v>
      </c>
      <c r="CZ20" s="341"/>
      <c r="DA20" s="342"/>
      <c r="DB20" s="343"/>
      <c r="DC20" s="341"/>
      <c r="DE20" s="345"/>
      <c r="DF20" s="346"/>
      <c r="DG20" s="270"/>
    </row>
    <row r="21" spans="1:111" s="110" customFormat="1" ht="24" customHeight="1">
      <c r="A21" s="262">
        <v>15</v>
      </c>
      <c r="B21" s="263">
        <v>7</v>
      </c>
      <c r="C21" s="307" t="s">
        <v>164</v>
      </c>
      <c r="D21" s="265" t="s">
        <v>165</v>
      </c>
      <c r="E21" s="262" t="s">
        <v>166</v>
      </c>
      <c r="F21" s="262" t="s">
        <v>153</v>
      </c>
      <c r="G21" s="262" t="s">
        <v>117</v>
      </c>
      <c r="H21" s="308">
        <v>45575</v>
      </c>
      <c r="I21" s="461" t="s">
        <v>167</v>
      </c>
      <c r="J21" s="309" t="s">
        <v>168</v>
      </c>
      <c r="K21" s="268">
        <v>28</v>
      </c>
      <c r="L21" s="270">
        <v>29</v>
      </c>
      <c r="M21" s="328">
        <v>11.02</v>
      </c>
      <c r="N21" s="328">
        <v>230.26</v>
      </c>
      <c r="O21" s="270">
        <v>8</v>
      </c>
      <c r="P21" s="347"/>
      <c r="Q21" s="329"/>
      <c r="R21" s="348"/>
      <c r="S21" s="270">
        <f t="shared" si="37"/>
        <v>5310000</v>
      </c>
      <c r="T21" s="273">
        <f t="shared" si="31"/>
        <v>500000</v>
      </c>
      <c r="U21" s="347"/>
      <c r="V21" s="330"/>
      <c r="W21" s="347"/>
      <c r="X21" s="347"/>
      <c r="Y21" s="347"/>
      <c r="Z21" s="347"/>
      <c r="AA21" s="331">
        <f>CY21</f>
        <v>6000000</v>
      </c>
      <c r="AB21" s="347"/>
      <c r="AC21" s="347"/>
      <c r="AD21" s="347"/>
      <c r="AE21" s="275">
        <f t="shared" si="38"/>
        <v>295178.57142857101</v>
      </c>
      <c r="AF21" s="276">
        <f t="shared" si="11"/>
        <v>9251517.8571428601</v>
      </c>
      <c r="AG21" s="276">
        <v>0</v>
      </c>
      <c r="AH21" s="276">
        <v>0</v>
      </c>
      <c r="AI21" s="276">
        <v>1500000</v>
      </c>
      <c r="AJ21" s="276"/>
      <c r="AK21" s="276"/>
      <c r="AL21" s="276">
        <v>0</v>
      </c>
      <c r="AM21" s="276">
        <v>0</v>
      </c>
      <c r="AN21" s="300">
        <v>629100</v>
      </c>
      <c r="AO21" s="300">
        <v>7550</v>
      </c>
      <c r="AP21" s="300">
        <v>0</v>
      </c>
      <c r="AQ21" s="276">
        <v>0</v>
      </c>
      <c r="AR21" s="276"/>
      <c r="AS21" s="276">
        <v>0</v>
      </c>
      <c r="AT21" s="276">
        <v>0</v>
      </c>
      <c r="AU21" s="276">
        <v>340044</v>
      </c>
      <c r="AV21" s="276"/>
      <c r="AW21" s="276"/>
      <c r="AX21" s="349"/>
      <c r="AY21" s="350"/>
      <c r="AZ21" s="351"/>
      <c r="BA21" s="276">
        <v>0</v>
      </c>
      <c r="BB21" s="276">
        <v>0</v>
      </c>
      <c r="BC21" s="276">
        <v>100000</v>
      </c>
      <c r="BD21" s="276">
        <v>0</v>
      </c>
      <c r="BE21" s="332">
        <v>0</v>
      </c>
      <c r="BF21" s="276">
        <v>0</v>
      </c>
      <c r="BG21" s="279">
        <f t="shared" ref="BG21:BG74" si="61">SUM(T21:Z21)+SUM(AD21:AZ21)-SUM(BA21:BF21)</f>
        <v>12423390.428571399</v>
      </c>
      <c r="BH21" s="277">
        <f t="shared" si="40"/>
        <v>929250</v>
      </c>
      <c r="BI21" s="277">
        <f t="shared" si="41"/>
        <v>159300</v>
      </c>
      <c r="BJ21" s="277">
        <f t="shared" si="42"/>
        <v>53100</v>
      </c>
      <c r="BK21" s="277"/>
      <c r="BL21" s="280">
        <f t="shared" si="43"/>
        <v>1141650</v>
      </c>
      <c r="BM21" s="277">
        <f t="shared" si="44"/>
        <v>424800</v>
      </c>
      <c r="BN21" s="277">
        <f t="shared" si="45"/>
        <v>79650</v>
      </c>
      <c r="BO21" s="277">
        <f t="shared" si="46"/>
        <v>53100</v>
      </c>
      <c r="BP21" s="277"/>
      <c r="BQ21" s="280">
        <f t="shared" si="47"/>
        <v>557550</v>
      </c>
      <c r="BR21" s="333">
        <f>AF21</f>
        <v>9251517.8571428601</v>
      </c>
      <c r="BS21" s="333">
        <f>SUM(BN21:BQ21)</f>
        <v>690300</v>
      </c>
      <c r="BT21" s="281">
        <f t="shared" si="48"/>
        <v>2481572.57142857</v>
      </c>
      <c r="BU21" s="282">
        <f t="shared" si="49"/>
        <v>15500000</v>
      </c>
      <c r="BV21" s="311"/>
      <c r="BW21" s="277">
        <f t="shared" si="50"/>
        <v>0</v>
      </c>
      <c r="BX21" s="277">
        <f t="shared" si="51"/>
        <v>557550</v>
      </c>
      <c r="BY21" s="284">
        <f t="shared" si="52"/>
        <v>16057550</v>
      </c>
      <c r="BZ21" s="277">
        <f t="shared" si="53"/>
        <v>0</v>
      </c>
      <c r="CA21" s="277">
        <f t="shared" si="54"/>
        <v>0</v>
      </c>
      <c r="CB21" s="283">
        <f t="shared" si="55"/>
        <v>11865840</v>
      </c>
      <c r="CC21" s="311"/>
      <c r="CD21" s="278">
        <f t="shared" si="56"/>
        <v>0</v>
      </c>
      <c r="CE21" s="285">
        <f t="shared" si="57"/>
        <v>11865840</v>
      </c>
      <c r="CF21" s="333">
        <f t="shared" si="58"/>
        <v>0</v>
      </c>
      <c r="CG21" s="286">
        <f t="shared" si="59"/>
        <v>11865840</v>
      </c>
      <c r="CH21" s="334"/>
      <c r="CI21" s="335" t="s">
        <v>169</v>
      </c>
      <c r="CJ21" s="270">
        <f>VLOOKUP(D21,[1]CNT!$C$6:$AP$113,40,0)</f>
        <v>0</v>
      </c>
      <c r="CK21" s="289">
        <v>10</v>
      </c>
      <c r="CL21" s="270">
        <f>VLOOKUP(D21,[1]CNT!C12:AJ75,15,0)</f>
        <v>0</v>
      </c>
      <c r="CM21" s="336">
        <v>10</v>
      </c>
      <c r="CN21" s="336">
        <v>10</v>
      </c>
      <c r="CO21" s="336">
        <v>2024</v>
      </c>
      <c r="CP21" s="337">
        <v>0</v>
      </c>
      <c r="CQ21" s="338">
        <v>17</v>
      </c>
      <c r="CR21" s="337">
        <f>IF(OR(CP21&gt;12,CP21=12),((CP21-(CS21*12))+((($CQ$8-2024)*12)+($CP$8-4)))+1,0)</f>
        <v>0</v>
      </c>
      <c r="CS21" s="339">
        <v>0</v>
      </c>
      <c r="CT21" s="339">
        <v>1</v>
      </c>
      <c r="CU21" s="339">
        <v>0</v>
      </c>
      <c r="CV21" s="340">
        <v>0</v>
      </c>
      <c r="CW21" s="340">
        <v>0</v>
      </c>
      <c r="CX21" s="340">
        <v>0</v>
      </c>
      <c r="CY21" s="314">
        <f t="shared" si="60"/>
        <v>6000000</v>
      </c>
      <c r="CZ21" s="341"/>
      <c r="DA21" s="342">
        <f>CJ21</f>
        <v>0</v>
      </c>
      <c r="DB21" s="354" t="s">
        <v>170</v>
      </c>
      <c r="DC21" s="344"/>
      <c r="DE21" s="345">
        <f>VLOOKUP($D21,'[6]Tong hop'!$B$8:$Q$45,15,0)</f>
        <v>432003</v>
      </c>
      <c r="DF21" s="346">
        <f>VLOOKUP($D21,'[2]Med Service'!$D$11:$DI$87,110,0)</f>
        <v>0</v>
      </c>
      <c r="DG21" s="270" t="str">
        <f>VLOOKUP($D21,'[3]BẢNG LƯƠNG'!$C$3:$AH$102,32,0)</f>
        <v/>
      </c>
    </row>
    <row r="22" spans="1:111" s="110" customFormat="1" ht="27.75" customHeight="1">
      <c r="A22" s="262">
        <v>16</v>
      </c>
      <c r="B22" s="263">
        <v>7</v>
      </c>
      <c r="C22" s="307" t="s">
        <v>171</v>
      </c>
      <c r="D22" s="265" t="s">
        <v>172</v>
      </c>
      <c r="E22" s="262" t="str">
        <f>IF(OR(G22="CHT",G22="DSBC"),"HĐLĐ",IF(OR(G22="DSTV",G22="Q.CHT"),"HĐTV","HĐCTV"))</f>
        <v>HĐLĐ</v>
      </c>
      <c r="F22" s="262" t="s">
        <v>153</v>
      </c>
      <c r="G22" s="262" t="s">
        <v>117</v>
      </c>
      <c r="H22" s="308" t="s">
        <v>173</v>
      </c>
      <c r="I22" s="309" t="s">
        <v>174</v>
      </c>
      <c r="J22" s="309" t="s">
        <v>175</v>
      </c>
      <c r="K22" s="268">
        <v>28</v>
      </c>
      <c r="L22" s="270">
        <v>31</v>
      </c>
      <c r="M22" s="328">
        <v>16</v>
      </c>
      <c r="N22" s="328">
        <v>245.44</v>
      </c>
      <c r="O22" s="270">
        <v>16</v>
      </c>
      <c r="P22" s="347"/>
      <c r="Q22" s="329"/>
      <c r="R22" s="348"/>
      <c r="S22" s="270">
        <f t="shared" si="37"/>
        <v>5310000</v>
      </c>
      <c r="T22" s="273">
        <f t="shared" si="31"/>
        <v>500000</v>
      </c>
      <c r="U22" s="347"/>
      <c r="V22" s="330"/>
      <c r="W22" s="347"/>
      <c r="X22" s="347"/>
      <c r="Y22" s="347"/>
      <c r="Z22" s="347"/>
      <c r="AA22" s="331">
        <f>CY22</f>
        <v>6000000</v>
      </c>
      <c r="AB22" s="347"/>
      <c r="AC22" s="347"/>
      <c r="AD22" s="347"/>
      <c r="AE22" s="275">
        <f t="shared" si="38"/>
        <v>428571.42857142899</v>
      </c>
      <c r="AF22" s="276">
        <f t="shared" si="11"/>
        <v>9861428.5714285709</v>
      </c>
      <c r="AG22" s="276">
        <v>0</v>
      </c>
      <c r="AH22" s="276">
        <v>0</v>
      </c>
      <c r="AI22" s="276">
        <v>1500000</v>
      </c>
      <c r="AJ22" s="276"/>
      <c r="AK22" s="276"/>
      <c r="AL22" s="276">
        <v>0</v>
      </c>
      <c r="AM22" s="276">
        <v>0</v>
      </c>
      <c r="AN22" s="300">
        <v>867600</v>
      </c>
      <c r="AO22" s="300">
        <v>4035</v>
      </c>
      <c r="AP22" s="300">
        <v>0</v>
      </c>
      <c r="AQ22" s="276">
        <v>0</v>
      </c>
      <c r="AR22" s="276"/>
      <c r="AS22" s="276">
        <v>0</v>
      </c>
      <c r="AT22" s="276">
        <v>0</v>
      </c>
      <c r="AU22" s="276">
        <v>375112</v>
      </c>
      <c r="AV22" s="276"/>
      <c r="AW22" s="276"/>
      <c r="AX22" s="276"/>
      <c r="AY22" s="355">
        <v>100000</v>
      </c>
      <c r="AZ22" s="355"/>
      <c r="BA22" s="276">
        <v>0</v>
      </c>
      <c r="BB22" s="276">
        <v>0</v>
      </c>
      <c r="BC22" s="276">
        <v>0</v>
      </c>
      <c r="BD22" s="276">
        <v>0</v>
      </c>
      <c r="BE22" s="332">
        <v>0</v>
      </c>
      <c r="BF22" s="276">
        <v>0</v>
      </c>
      <c r="BG22" s="279">
        <f t="shared" si="61"/>
        <v>13636747</v>
      </c>
      <c r="BH22" s="277">
        <f t="shared" si="40"/>
        <v>929250</v>
      </c>
      <c r="BI22" s="277">
        <f t="shared" si="41"/>
        <v>159300</v>
      </c>
      <c r="BJ22" s="277">
        <f t="shared" si="42"/>
        <v>53100</v>
      </c>
      <c r="BK22" s="277"/>
      <c r="BL22" s="280">
        <f t="shared" si="43"/>
        <v>1141650</v>
      </c>
      <c r="BM22" s="277">
        <f t="shared" si="44"/>
        <v>424800</v>
      </c>
      <c r="BN22" s="277">
        <f t="shared" si="45"/>
        <v>79650</v>
      </c>
      <c r="BO22" s="277">
        <f t="shared" si="46"/>
        <v>53100</v>
      </c>
      <c r="BP22" s="277"/>
      <c r="BQ22" s="280">
        <f t="shared" si="47"/>
        <v>557550</v>
      </c>
      <c r="BR22" s="333">
        <f>AF22</f>
        <v>9861428.5714285709</v>
      </c>
      <c r="BS22" s="312">
        <f>T22+U22+V22+W22</f>
        <v>500000</v>
      </c>
      <c r="BT22" s="281">
        <f t="shared" si="48"/>
        <v>3275318.42857143</v>
      </c>
      <c r="BU22" s="282">
        <f t="shared" si="49"/>
        <v>15500000</v>
      </c>
      <c r="BV22" s="311"/>
      <c r="BW22" s="277">
        <f t="shared" si="50"/>
        <v>0</v>
      </c>
      <c r="BX22" s="277">
        <f t="shared" si="51"/>
        <v>557550</v>
      </c>
      <c r="BY22" s="284">
        <f t="shared" si="52"/>
        <v>16057550</v>
      </c>
      <c r="BZ22" s="277">
        <f t="shared" si="53"/>
        <v>0</v>
      </c>
      <c r="CA22" s="277">
        <f t="shared" si="54"/>
        <v>0</v>
      </c>
      <c r="CB22" s="283">
        <f t="shared" si="55"/>
        <v>13079197</v>
      </c>
      <c r="CC22" s="311"/>
      <c r="CD22" s="278">
        <f t="shared" si="56"/>
        <v>0</v>
      </c>
      <c r="CE22" s="285">
        <f t="shared" si="57"/>
        <v>13079197</v>
      </c>
      <c r="CF22" s="333">
        <f t="shared" si="58"/>
        <v>0</v>
      </c>
      <c r="CG22" s="286">
        <f t="shared" si="59"/>
        <v>13079197</v>
      </c>
      <c r="CH22" s="334"/>
      <c r="CI22" s="335" t="s">
        <v>176</v>
      </c>
      <c r="CJ22" s="270">
        <f>VLOOKUP(D22,[1]CNT!$C$6:$AP$113,40,0)</f>
        <v>0</v>
      </c>
      <c r="CK22" s="289">
        <v>8</v>
      </c>
      <c r="CL22" s="270">
        <f>VLOOKUP(D22,[1]CNT!C13:AJ76,15,0)</f>
        <v>0</v>
      </c>
      <c r="CM22" s="336">
        <v>21</v>
      </c>
      <c r="CN22" s="336">
        <v>7</v>
      </c>
      <c r="CO22" s="336">
        <v>2025</v>
      </c>
      <c r="CP22" s="337">
        <f>IF((($CO$8-CO22)*12)+($CN$8-CN22)&gt;=12,((($CO$8-CO22)*12)+($CN$8-CN22))-1,0)</f>
        <v>0</v>
      </c>
      <c r="CQ22" s="338">
        <f>IF(CP22&lt;12,(($CQ$8-CO22)*12)+($CP$8-CN22),0)</f>
        <v>10</v>
      </c>
      <c r="CR22" s="337">
        <f>IF(OR(CP22&gt;12,CP22=12),((CP22-(CS22*12))+((($CQ$8-2024)*12)+($CP$8-4)))+1,0)</f>
        <v>0</v>
      </c>
      <c r="CS22" s="339">
        <f>IF(OR(CP22&gt;12,CP22=12),ROUNDDOWN(CP22/12,0),0)</f>
        <v>0</v>
      </c>
      <c r="CT22" s="339">
        <f>IF(CQ22&gt;11,ROUNDDOWN(CQ22/12,0),0)</f>
        <v>0</v>
      </c>
      <c r="CU22" s="339">
        <f>IF(CR22&gt;11,ROUNDDOWN(CR22/12,0),0)</f>
        <v>0</v>
      </c>
      <c r="CV22" s="340">
        <f>IF(CP22=0,0,6000000*1.07^CS22)</f>
        <v>0</v>
      </c>
      <c r="CW22" s="340">
        <f>IF(CT22&lt;2,0,6000000+(CT22-1)*500000)</f>
        <v>0</v>
      </c>
      <c r="CX22" s="340">
        <f>IF(CU22=0,CV22,IF(CU22&lt;1,0,CV22+CU22*500000))</f>
        <v>0</v>
      </c>
      <c r="CY22" s="314">
        <f t="shared" si="60"/>
        <v>6000000</v>
      </c>
      <c r="CZ22" s="341"/>
      <c r="DA22" s="342">
        <f>CJ22</f>
        <v>0</v>
      </c>
      <c r="DB22" s="343"/>
      <c r="DC22" s="344"/>
      <c r="DE22" s="345"/>
      <c r="DF22" s="346">
        <f>VLOOKUP($D22,'[2]Med Service'!$D$11:$DI$87,110,0)</f>
        <v>0</v>
      </c>
      <c r="DG22" s="270" t="str">
        <f>VLOOKUP($D22,'[3]BẢNG LƯƠNG'!$C$3:$AH$102,32,0)</f>
        <v/>
      </c>
    </row>
    <row r="23" spans="1:111" s="111" customFormat="1" ht="27" customHeight="1">
      <c r="A23" s="262"/>
      <c r="B23" s="263" t="s">
        <v>177</v>
      </c>
      <c r="C23" s="356" t="s">
        <v>178</v>
      </c>
      <c r="D23" s="357" t="s">
        <v>179</v>
      </c>
      <c r="E23" s="262" t="str">
        <f t="shared" ref="E23:E25" si="62">IF(OR(G23="CHT",G23="DSBC"),"HĐLĐ",IF(OR(G23="DSTV",G23="Q.CHT"),"HĐTV","HĐCTV"))</f>
        <v>HĐLĐ</v>
      </c>
      <c r="F23" s="262" t="s">
        <v>153</v>
      </c>
      <c r="G23" s="262" t="s">
        <v>117</v>
      </c>
      <c r="H23" s="462" t="s">
        <v>180</v>
      </c>
      <c r="I23" s="358" t="s">
        <v>181</v>
      </c>
      <c r="J23" s="358" t="s">
        <v>141</v>
      </c>
      <c r="K23" s="268">
        <v>28</v>
      </c>
      <c r="L23" s="270">
        <v>4</v>
      </c>
      <c r="M23" s="328">
        <v>44.77</v>
      </c>
      <c r="N23" s="328">
        <v>0.5</v>
      </c>
      <c r="O23" s="270">
        <v>16</v>
      </c>
      <c r="P23" s="347"/>
      <c r="Q23" s="329"/>
      <c r="R23" s="348"/>
      <c r="S23" s="270"/>
      <c r="T23" s="273">
        <f>500000-T37-T61</f>
        <v>17857.1428571428</v>
      </c>
      <c r="U23" s="347"/>
      <c r="V23" s="347"/>
      <c r="W23" s="347"/>
      <c r="X23" s="347"/>
      <c r="Y23" s="347"/>
      <c r="Z23" s="347"/>
      <c r="AA23" s="310">
        <f>CY23</f>
        <v>6000000</v>
      </c>
      <c r="AB23" s="311">
        <f>AA23</f>
        <v>6000000</v>
      </c>
      <c r="AC23" s="312">
        <f>IF(E23="HĐTV",AB23*85%,0)</f>
        <v>0</v>
      </c>
      <c r="AD23" s="313"/>
      <c r="AE23" s="275">
        <f t="shared" si="38"/>
        <v>1199196.42857143</v>
      </c>
      <c r="AF23" s="276">
        <f t="shared" si="11"/>
        <v>20089.285714285699</v>
      </c>
      <c r="AG23" s="276">
        <v>0</v>
      </c>
      <c r="AH23" s="276">
        <v>0</v>
      </c>
      <c r="AI23" s="276">
        <v>0</v>
      </c>
      <c r="AJ23" s="276"/>
      <c r="AK23" s="276"/>
      <c r="AL23" s="276">
        <v>0</v>
      </c>
      <c r="AM23" s="276">
        <v>0</v>
      </c>
      <c r="AN23" s="300">
        <v>0</v>
      </c>
      <c r="AO23" s="300">
        <v>0</v>
      </c>
      <c r="AP23" s="300">
        <v>0</v>
      </c>
      <c r="AQ23" s="276">
        <v>0</v>
      </c>
      <c r="AR23" s="276"/>
      <c r="AS23" s="276">
        <v>0</v>
      </c>
      <c r="AT23" s="276">
        <v>0</v>
      </c>
      <c r="AU23" s="276">
        <v>0</v>
      </c>
      <c r="AV23" s="276"/>
      <c r="AW23" s="276"/>
      <c r="AX23" s="276"/>
      <c r="AY23" s="276"/>
      <c r="AZ23" s="276"/>
      <c r="BA23" s="276">
        <v>0</v>
      </c>
      <c r="BB23" s="276">
        <v>0</v>
      </c>
      <c r="BC23" s="276">
        <v>0</v>
      </c>
      <c r="BD23" s="276">
        <v>0</v>
      </c>
      <c r="BE23" s="332">
        <v>0</v>
      </c>
      <c r="BF23" s="276">
        <v>0</v>
      </c>
      <c r="BG23" s="279">
        <f t="shared" si="61"/>
        <v>1237142.8571428601</v>
      </c>
      <c r="BH23" s="277">
        <f t="shared" si="40"/>
        <v>0</v>
      </c>
      <c r="BI23" s="277">
        <f t="shared" si="41"/>
        <v>0</v>
      </c>
      <c r="BJ23" s="277">
        <f t="shared" si="42"/>
        <v>0</v>
      </c>
      <c r="BK23" s="277"/>
      <c r="BL23" s="280">
        <f t="shared" si="43"/>
        <v>0</v>
      </c>
      <c r="BM23" s="277">
        <f t="shared" si="44"/>
        <v>0</v>
      </c>
      <c r="BN23" s="277">
        <f t="shared" si="45"/>
        <v>0</v>
      </c>
      <c r="BO23" s="277">
        <f t="shared" si="46"/>
        <v>0</v>
      </c>
      <c r="BP23" s="277"/>
      <c r="BQ23" s="280">
        <f t="shared" si="47"/>
        <v>0</v>
      </c>
      <c r="BR23" s="333"/>
      <c r="BS23" s="312"/>
      <c r="BT23" s="281">
        <f t="shared" si="48"/>
        <v>1237142.8571428601</v>
      </c>
      <c r="BU23" s="282">
        <f t="shared" si="49"/>
        <v>15500000</v>
      </c>
      <c r="BV23" s="311"/>
      <c r="BW23" s="277">
        <f t="shared" si="50"/>
        <v>0</v>
      </c>
      <c r="BX23" s="277">
        <f t="shared" si="51"/>
        <v>0</v>
      </c>
      <c r="BY23" s="284">
        <f t="shared" si="52"/>
        <v>15500000</v>
      </c>
      <c r="BZ23" s="277">
        <f t="shared" si="53"/>
        <v>0</v>
      </c>
      <c r="CA23" s="277">
        <f t="shared" si="54"/>
        <v>0</v>
      </c>
      <c r="CB23" s="283">
        <f t="shared" si="55"/>
        <v>1237143</v>
      </c>
      <c r="CC23" s="311"/>
      <c r="CD23" s="278">
        <f t="shared" si="56"/>
        <v>0</v>
      </c>
      <c r="CE23" s="285">
        <f t="shared" si="57"/>
        <v>1237143</v>
      </c>
      <c r="CF23" s="333">
        <f t="shared" si="58"/>
        <v>0</v>
      </c>
      <c r="CG23" s="286">
        <f t="shared" si="59"/>
        <v>1237143</v>
      </c>
      <c r="CH23" s="334"/>
      <c r="CI23" s="335"/>
      <c r="CJ23" s="270"/>
      <c r="CK23" s="289">
        <v>11</v>
      </c>
      <c r="CL23" s="270"/>
      <c r="CM23" s="336"/>
      <c r="CN23" s="336"/>
      <c r="CO23" s="336"/>
      <c r="CP23" s="337"/>
      <c r="CQ23" s="338"/>
      <c r="CR23" s="337"/>
      <c r="CS23" s="339"/>
      <c r="CT23" s="339"/>
      <c r="CU23" s="339"/>
      <c r="CV23" s="340"/>
      <c r="CW23" s="340"/>
      <c r="CX23" s="340"/>
      <c r="CY23" s="314">
        <f t="shared" si="60"/>
        <v>6000000</v>
      </c>
      <c r="CZ23" s="341"/>
      <c r="DA23" s="342"/>
      <c r="DB23" s="343"/>
      <c r="DC23" s="341"/>
      <c r="DE23" s="345"/>
      <c r="DF23" s="346"/>
      <c r="DG23" s="270"/>
    </row>
    <row r="24" spans="1:111" s="111" customFormat="1" ht="27" customHeight="1">
      <c r="A24" s="262">
        <v>9</v>
      </c>
      <c r="B24" s="263">
        <v>7</v>
      </c>
      <c r="C24" s="307" t="s">
        <v>182</v>
      </c>
      <c r="D24" s="265" t="s">
        <v>183</v>
      </c>
      <c r="E24" s="262" t="str">
        <f t="shared" si="62"/>
        <v>HĐLĐ</v>
      </c>
      <c r="F24" s="262" t="s">
        <v>153</v>
      </c>
      <c r="G24" s="262" t="s">
        <v>117</v>
      </c>
      <c r="H24" s="308" t="s">
        <v>184</v>
      </c>
      <c r="I24" s="461" t="s">
        <v>185</v>
      </c>
      <c r="J24" s="309" t="s">
        <v>186</v>
      </c>
      <c r="K24" s="268">
        <v>28</v>
      </c>
      <c r="L24" s="270">
        <v>30</v>
      </c>
      <c r="M24" s="328">
        <v>262.37</v>
      </c>
      <c r="N24" s="328">
        <v>1.1000000000000001</v>
      </c>
      <c r="O24" s="270">
        <v>16</v>
      </c>
      <c r="P24" s="347"/>
      <c r="Q24" s="329"/>
      <c r="R24" s="348"/>
      <c r="S24" s="270">
        <f t="shared" si="37"/>
        <v>5310000</v>
      </c>
      <c r="T24" s="273">
        <f t="shared" si="31"/>
        <v>500000</v>
      </c>
      <c r="U24" s="347"/>
      <c r="V24" s="330"/>
      <c r="W24" s="347"/>
      <c r="X24" s="347"/>
      <c r="Y24" s="347"/>
      <c r="Z24" s="347"/>
      <c r="AA24" s="331">
        <f>CY24</f>
        <v>6000000</v>
      </c>
      <c r="AB24" s="347"/>
      <c r="AC24" s="347"/>
      <c r="AD24" s="347"/>
      <c r="AE24" s="275">
        <f t="shared" si="38"/>
        <v>7027767.8571428601</v>
      </c>
      <c r="AF24" s="276">
        <f t="shared" si="11"/>
        <v>44196.428571428602</v>
      </c>
      <c r="AG24" s="276">
        <v>0</v>
      </c>
      <c r="AH24" s="276">
        <v>0</v>
      </c>
      <c r="AI24" s="276">
        <v>0</v>
      </c>
      <c r="AJ24" s="276"/>
      <c r="AK24" s="276"/>
      <c r="AL24" s="276">
        <v>0</v>
      </c>
      <c r="AM24" s="276">
        <v>0</v>
      </c>
      <c r="AN24" s="300">
        <v>1723400</v>
      </c>
      <c r="AO24" s="300">
        <v>40230</v>
      </c>
      <c r="AP24" s="300">
        <v>0</v>
      </c>
      <c r="AQ24" s="276">
        <v>0</v>
      </c>
      <c r="AR24" s="276"/>
      <c r="AS24" s="276">
        <v>0</v>
      </c>
      <c r="AT24" s="276">
        <v>0</v>
      </c>
      <c r="AU24" s="276">
        <v>3697588</v>
      </c>
      <c r="AV24" s="276"/>
      <c r="AW24" s="276"/>
      <c r="AX24" s="349"/>
      <c r="AY24" s="359"/>
      <c r="AZ24" s="351"/>
      <c r="BA24" s="276">
        <v>0</v>
      </c>
      <c r="BB24" s="276">
        <v>0</v>
      </c>
      <c r="BC24" s="276">
        <v>100000</v>
      </c>
      <c r="BD24" s="276">
        <v>0</v>
      </c>
      <c r="BE24" s="332">
        <v>0</v>
      </c>
      <c r="BF24" s="276">
        <v>0</v>
      </c>
      <c r="BG24" s="279">
        <f t="shared" si="61"/>
        <v>12933182.2857143</v>
      </c>
      <c r="BH24" s="277">
        <f t="shared" si="40"/>
        <v>929250</v>
      </c>
      <c r="BI24" s="277">
        <f t="shared" si="41"/>
        <v>159300</v>
      </c>
      <c r="BJ24" s="277">
        <f t="shared" si="42"/>
        <v>53100</v>
      </c>
      <c r="BK24" s="277"/>
      <c r="BL24" s="280">
        <f t="shared" si="43"/>
        <v>1141650</v>
      </c>
      <c r="BM24" s="277">
        <f t="shared" si="44"/>
        <v>424800</v>
      </c>
      <c r="BN24" s="277">
        <f t="shared" si="45"/>
        <v>79650</v>
      </c>
      <c r="BO24" s="277">
        <f t="shared" si="46"/>
        <v>53100</v>
      </c>
      <c r="BP24" s="277"/>
      <c r="BQ24" s="280">
        <f t="shared" si="47"/>
        <v>557550</v>
      </c>
      <c r="BR24" s="333">
        <f>AF24</f>
        <v>44196.428571428602</v>
      </c>
      <c r="BS24" s="312">
        <f>T24+U24+V24+W24</f>
        <v>500000</v>
      </c>
      <c r="BT24" s="281">
        <f t="shared" si="48"/>
        <v>12388985.857142899</v>
      </c>
      <c r="BU24" s="282">
        <f t="shared" si="49"/>
        <v>15500000</v>
      </c>
      <c r="BV24" s="311"/>
      <c r="BW24" s="277">
        <f t="shared" si="50"/>
        <v>0</v>
      </c>
      <c r="BX24" s="277">
        <f t="shared" si="51"/>
        <v>557550</v>
      </c>
      <c r="BY24" s="284">
        <f t="shared" si="52"/>
        <v>16057550</v>
      </c>
      <c r="BZ24" s="277">
        <f t="shared" si="53"/>
        <v>0</v>
      </c>
      <c r="CA24" s="277">
        <f t="shared" si="54"/>
        <v>0</v>
      </c>
      <c r="CB24" s="283">
        <f t="shared" si="55"/>
        <v>12375632</v>
      </c>
      <c r="CC24" s="311"/>
      <c r="CD24" s="278">
        <f t="shared" si="56"/>
        <v>0</v>
      </c>
      <c r="CE24" s="285">
        <f t="shared" si="57"/>
        <v>12375632</v>
      </c>
      <c r="CF24" s="333">
        <f t="shared" si="58"/>
        <v>0</v>
      </c>
      <c r="CG24" s="286">
        <f t="shared" si="59"/>
        <v>12375632</v>
      </c>
      <c r="CH24" s="334"/>
      <c r="CI24" s="335" t="str">
        <f>VLOOKUP($C24,[5]Sheet1!$C$5:$K$139,9,0)</f>
        <v>thuy.hoang@medigoapp.com</v>
      </c>
      <c r="CJ24" s="270" t="str">
        <f>VLOOKUP(D24,[1]CNT!$C$6:$AP$113,40,0)</f>
        <v>Sai kênh bán HD1155007 : 100.000đ</v>
      </c>
      <c r="CK24" s="289">
        <v>3</v>
      </c>
      <c r="CL24" s="270">
        <f>VLOOKUP(D24,[1]CNT!C7:AJ70,15,0)</f>
        <v>0</v>
      </c>
      <c r="CM24" s="336">
        <v>27</v>
      </c>
      <c r="CN24" s="336">
        <v>10</v>
      </c>
      <c r="CO24" s="336">
        <v>2025</v>
      </c>
      <c r="CP24" s="337">
        <f>IF((($CO$8-CO24)*12)+($CN$8-CN24)&gt;=12,((($CO$8-CO24)*12)+($CN$8-CN24))-1,0)</f>
        <v>0</v>
      </c>
      <c r="CQ24" s="338">
        <f>IF(CP24&lt;12,(($CQ$8-CO24)*12)+($CP$8-CN24),0)</f>
        <v>7</v>
      </c>
      <c r="CR24" s="337">
        <f>IF(OR(CP24&gt;12,CP24=12),((CP24-(CS24*12))+((($CQ$8-2024)*12)+($CP$8-4)))+1,0)</f>
        <v>0</v>
      </c>
      <c r="CS24" s="339">
        <f>IF(OR(CP24&gt;12,CP24=12),ROUNDDOWN(CP24/12,0),0)</f>
        <v>0</v>
      </c>
      <c r="CT24" s="339">
        <f>IF(CQ24&gt;11,ROUNDDOWN(CQ24/12,0),0)</f>
        <v>0</v>
      </c>
      <c r="CU24" s="339">
        <f>IF(CR24&gt;11,ROUNDDOWN(CR24/12,0),0)</f>
        <v>0</v>
      </c>
      <c r="CV24" s="340">
        <f>IF(CP24=0,0,6000000*1.07^CS24)</f>
        <v>0</v>
      </c>
      <c r="CW24" s="340">
        <f>IF(CT24&lt;2,0,6000000+(CT24-1)*500000)</f>
        <v>0</v>
      </c>
      <c r="CX24" s="340">
        <f>IF(CU24=0,CV24,IF(CU24&lt;1,0,CV24+CU24*500000))</f>
        <v>0</v>
      </c>
      <c r="CY24" s="314">
        <f t="shared" si="60"/>
        <v>6000000</v>
      </c>
      <c r="CZ24" s="341"/>
      <c r="DA24" s="342" t="str">
        <f>CJ24</f>
        <v>Sai kênh bán HD1155007 : 100.000đ</v>
      </c>
      <c r="DB24" s="354" t="s">
        <v>187</v>
      </c>
      <c r="DC24" s="341"/>
      <c r="DE24" s="345"/>
      <c r="DF24" s="346">
        <f>VLOOKUP($D24,'[2]Med Service'!$D$11:$DI$87,110,0)</f>
        <v>0</v>
      </c>
      <c r="DG24" s="270" t="str">
        <f>VLOOKUP($D24,'[3]BẢNG LƯƠNG'!$C$3:$AH$102,32,0)</f>
        <v/>
      </c>
    </row>
    <row r="25" spans="1:111" s="111" customFormat="1" ht="27" customHeight="1">
      <c r="A25" s="262">
        <v>10</v>
      </c>
      <c r="B25" s="263">
        <v>7</v>
      </c>
      <c r="C25" s="307" t="s">
        <v>188</v>
      </c>
      <c r="D25" s="265" t="s">
        <v>189</v>
      </c>
      <c r="E25" s="262" t="str">
        <f t="shared" si="62"/>
        <v>HĐLĐ</v>
      </c>
      <c r="F25" s="262" t="s">
        <v>153</v>
      </c>
      <c r="G25" s="262" t="s">
        <v>117</v>
      </c>
      <c r="H25" s="308">
        <v>45510</v>
      </c>
      <c r="I25" s="309" t="s">
        <v>190</v>
      </c>
      <c r="J25" s="309" t="s">
        <v>191</v>
      </c>
      <c r="K25" s="268">
        <v>28</v>
      </c>
      <c r="L25" s="270">
        <v>30</v>
      </c>
      <c r="M25" s="328">
        <v>252.16</v>
      </c>
      <c r="N25" s="328">
        <v>8.08</v>
      </c>
      <c r="O25" s="270">
        <v>16</v>
      </c>
      <c r="P25" s="347"/>
      <c r="Q25" s="329"/>
      <c r="R25" s="348"/>
      <c r="S25" s="270">
        <f t="shared" si="37"/>
        <v>5310000</v>
      </c>
      <c r="T25" s="273">
        <f t="shared" si="31"/>
        <v>500000</v>
      </c>
      <c r="U25" s="347"/>
      <c r="V25" s="347"/>
      <c r="W25" s="347"/>
      <c r="X25" s="347"/>
      <c r="Y25" s="347"/>
      <c r="Z25" s="347"/>
      <c r="AA25" s="331">
        <f>CY25</f>
        <v>6000000</v>
      </c>
      <c r="AB25" s="347"/>
      <c r="AC25" s="347"/>
      <c r="AD25" s="347"/>
      <c r="AE25" s="275">
        <f t="shared" si="38"/>
        <v>6754285.7142857099</v>
      </c>
      <c r="AF25" s="276">
        <f t="shared" si="11"/>
        <v>324642.85714285698</v>
      </c>
      <c r="AG25" s="276">
        <v>0</v>
      </c>
      <c r="AH25" s="276">
        <v>0</v>
      </c>
      <c r="AI25" s="276">
        <v>0</v>
      </c>
      <c r="AJ25" s="276"/>
      <c r="AK25" s="276"/>
      <c r="AL25" s="276">
        <v>0</v>
      </c>
      <c r="AM25" s="276">
        <v>0</v>
      </c>
      <c r="AN25" s="300">
        <v>1139700</v>
      </c>
      <c r="AO25" s="300">
        <v>37807</v>
      </c>
      <c r="AP25" s="300">
        <v>160</v>
      </c>
      <c r="AQ25" s="276">
        <v>0</v>
      </c>
      <c r="AR25" s="276"/>
      <c r="AS25" s="276">
        <v>0</v>
      </c>
      <c r="AT25" s="276">
        <v>0</v>
      </c>
      <c r="AU25" s="276">
        <v>2352976</v>
      </c>
      <c r="AV25" s="276"/>
      <c r="AW25" s="276"/>
      <c r="AX25" s="276"/>
      <c r="AY25" s="276"/>
      <c r="AZ25" s="276"/>
      <c r="BA25" s="276">
        <v>0</v>
      </c>
      <c r="BB25" s="276">
        <v>0</v>
      </c>
      <c r="BC25" s="276">
        <v>0</v>
      </c>
      <c r="BD25" s="276">
        <v>0</v>
      </c>
      <c r="BE25" s="332">
        <v>0</v>
      </c>
      <c r="BF25" s="276">
        <v>0</v>
      </c>
      <c r="BG25" s="279">
        <f t="shared" si="61"/>
        <v>11109571.571428601</v>
      </c>
      <c r="BH25" s="277">
        <f t="shared" si="40"/>
        <v>929250</v>
      </c>
      <c r="BI25" s="277">
        <f t="shared" si="41"/>
        <v>159300</v>
      </c>
      <c r="BJ25" s="277">
        <f t="shared" si="42"/>
        <v>53100</v>
      </c>
      <c r="BK25" s="277"/>
      <c r="BL25" s="280">
        <f t="shared" si="43"/>
        <v>1141650</v>
      </c>
      <c r="BM25" s="277">
        <f t="shared" si="44"/>
        <v>424800</v>
      </c>
      <c r="BN25" s="277">
        <f t="shared" si="45"/>
        <v>79650</v>
      </c>
      <c r="BO25" s="277">
        <f t="shared" si="46"/>
        <v>53100</v>
      </c>
      <c r="BP25" s="277"/>
      <c r="BQ25" s="280">
        <f t="shared" si="47"/>
        <v>557550</v>
      </c>
      <c r="BR25" s="333">
        <f>AF25</f>
        <v>324642.85714285698</v>
      </c>
      <c r="BS25" s="312">
        <f>T25+U25+V25+W25</f>
        <v>500000</v>
      </c>
      <c r="BT25" s="281">
        <f t="shared" si="48"/>
        <v>10284928.7142857</v>
      </c>
      <c r="BU25" s="282">
        <f t="shared" si="49"/>
        <v>15500000</v>
      </c>
      <c r="BV25" s="311"/>
      <c r="BW25" s="277">
        <f t="shared" si="50"/>
        <v>0</v>
      </c>
      <c r="BX25" s="277">
        <f t="shared" si="51"/>
        <v>557550</v>
      </c>
      <c r="BY25" s="284">
        <f t="shared" si="52"/>
        <v>16057550</v>
      </c>
      <c r="BZ25" s="277">
        <f t="shared" si="53"/>
        <v>0</v>
      </c>
      <c r="CA25" s="277">
        <f t="shared" si="54"/>
        <v>0</v>
      </c>
      <c r="CB25" s="283">
        <f t="shared" si="55"/>
        <v>10552022</v>
      </c>
      <c r="CC25" s="311"/>
      <c r="CD25" s="278">
        <f t="shared" ref="CD25:CD31" si="63">AV25+AW25</f>
        <v>0</v>
      </c>
      <c r="CE25" s="285">
        <f t="shared" si="57"/>
        <v>10552022</v>
      </c>
      <c r="CF25" s="333">
        <f t="shared" si="58"/>
        <v>0</v>
      </c>
      <c r="CG25" s="286">
        <f t="shared" si="59"/>
        <v>10552022</v>
      </c>
      <c r="CH25" s="334"/>
      <c r="CI25" s="335" t="s">
        <v>192</v>
      </c>
      <c r="CJ25" s="270">
        <f>VLOOKUP(D25,[1]CNT!$C$6:$AP$113,40,0)</f>
        <v>0</v>
      </c>
      <c r="CK25" s="289">
        <v>1</v>
      </c>
      <c r="CL25" s="270">
        <f>VLOOKUP(D25,[1]CNT!C8:AJ71,15,0)</f>
        <v>0</v>
      </c>
      <c r="CM25" s="336">
        <v>6</v>
      </c>
      <c r="CN25" s="336">
        <v>8</v>
      </c>
      <c r="CO25" s="336">
        <v>2024</v>
      </c>
      <c r="CP25" s="337">
        <f>IF((($CO$8-CO25)*12)+($CN$8-CN25)&gt;=12,((($CO$8-CO25)*12)+($CN$8-CN25))-1,0)</f>
        <v>0</v>
      </c>
      <c r="CQ25" s="338">
        <f>IF(CP25&lt;12,(($CQ$8-CO25)*12)+($CP$8-CN25),0)</f>
        <v>21</v>
      </c>
      <c r="CR25" s="337">
        <f>IF(OR(CP25&gt;12,CP25=12),((CP25-(CS25*12))+((($CQ$8-2024)*12)+($CP$8-4)))+1,0)</f>
        <v>0</v>
      </c>
      <c r="CS25" s="339">
        <f>IF(OR(CP25&gt;12,CP25=12),ROUNDDOWN(CP25/12,0),0)</f>
        <v>0</v>
      </c>
      <c r="CT25" s="339">
        <f>IF(CQ25&gt;11,ROUNDDOWN(CQ25/12,0),0)</f>
        <v>1</v>
      </c>
      <c r="CU25" s="339">
        <f>IF(CR25&gt;11,ROUNDDOWN(CR25/12,0),0)</f>
        <v>0</v>
      </c>
      <c r="CV25" s="340">
        <f>IF(CP25=0,0,6000000*1.07^CS25)</f>
        <v>0</v>
      </c>
      <c r="CW25" s="340">
        <f>IF(CT25&lt;2,0,6000000+(CT25-1)*500000)</f>
        <v>0</v>
      </c>
      <c r="CX25" s="340">
        <f>IF(CU25=0,CV25,IF(CU25&lt;1,0,CV25+CU25*500000))</f>
        <v>0</v>
      </c>
      <c r="CY25" s="314">
        <f t="shared" si="60"/>
        <v>6000000</v>
      </c>
      <c r="CZ25" s="341"/>
      <c r="DA25" s="342">
        <f>CJ25</f>
        <v>0</v>
      </c>
      <c r="DB25" s="343"/>
      <c r="DC25" s="341"/>
      <c r="DE25" s="345">
        <f>VLOOKUP($D25,'[6]Tong hop'!$B$8:$Q$45,15,0)</f>
        <v>79114</v>
      </c>
      <c r="DF25" s="346">
        <f>VLOOKUP($D25,'[2]Med Service'!$D$11:$DI$87,110,0)</f>
        <v>0</v>
      </c>
      <c r="DG25" s="270" t="str">
        <f>VLOOKUP($D25,'[3]BẢNG LƯƠNG'!$C$3:$AH$102,32,0)</f>
        <v/>
      </c>
    </row>
    <row r="26" spans="1:111" s="112" customFormat="1" ht="24" customHeight="1">
      <c r="A26" s="320"/>
      <c r="B26" s="321"/>
      <c r="C26" s="360"/>
      <c r="D26" s="323"/>
      <c r="E26" s="320"/>
      <c r="F26" s="320"/>
      <c r="G26" s="326">
        <f ca="1">SUM(G19:G88)</f>
        <v>0</v>
      </c>
      <c r="H26" s="326"/>
      <c r="I26" s="326">
        <f ca="1">SUM(I19:I88)</f>
        <v>0</v>
      </c>
      <c r="J26" s="326">
        <f ca="1">SUM(J19:J88)</f>
        <v>0</v>
      </c>
      <c r="K26" s="327"/>
      <c r="L26" s="326">
        <f>SUM(L19:L25)</f>
        <v>151</v>
      </c>
      <c r="M26" s="326">
        <f t="shared" ref="M26:BX26" si="64">SUM(M19:M25)</f>
        <v>801.82</v>
      </c>
      <c r="N26" s="326">
        <f t="shared" si="64"/>
        <v>485.38</v>
      </c>
      <c r="O26" s="326">
        <f t="shared" si="64"/>
        <v>72</v>
      </c>
      <c r="P26" s="326">
        <f t="shared" si="64"/>
        <v>0</v>
      </c>
      <c r="Q26" s="326">
        <f t="shared" si="64"/>
        <v>0</v>
      </c>
      <c r="R26" s="326">
        <f t="shared" si="64"/>
        <v>0</v>
      </c>
      <c r="S26" s="326">
        <f t="shared" si="64"/>
        <v>26550000</v>
      </c>
      <c r="T26" s="326">
        <f t="shared" si="64"/>
        <v>2500000</v>
      </c>
      <c r="U26" s="326">
        <f t="shared" si="64"/>
        <v>0</v>
      </c>
      <c r="V26" s="326">
        <f t="shared" si="64"/>
        <v>0</v>
      </c>
      <c r="W26" s="326">
        <f t="shared" si="64"/>
        <v>0</v>
      </c>
      <c r="X26" s="326">
        <f t="shared" si="64"/>
        <v>0</v>
      </c>
      <c r="Y26" s="326">
        <f t="shared" si="64"/>
        <v>0</v>
      </c>
      <c r="Z26" s="326">
        <f t="shared" si="64"/>
        <v>0</v>
      </c>
      <c r="AA26" s="326">
        <f t="shared" si="64"/>
        <v>42000000</v>
      </c>
      <c r="AB26" s="326">
        <f t="shared" si="64"/>
        <v>12000000</v>
      </c>
      <c r="AC26" s="326">
        <f t="shared" si="64"/>
        <v>6000000</v>
      </c>
      <c r="AD26" s="326"/>
      <c r="AE26" s="326">
        <f t="shared" si="64"/>
        <v>21477321.428571399</v>
      </c>
      <c r="AF26" s="326">
        <f t="shared" si="64"/>
        <v>19501875</v>
      </c>
      <c r="AG26" s="326">
        <f t="shared" si="64"/>
        <v>0</v>
      </c>
      <c r="AH26" s="326">
        <f t="shared" si="64"/>
        <v>0</v>
      </c>
      <c r="AI26" s="326">
        <f t="shared" si="64"/>
        <v>3000000</v>
      </c>
      <c r="AJ26" s="326">
        <f t="shared" si="64"/>
        <v>0</v>
      </c>
      <c r="AK26" s="326">
        <f t="shared" si="64"/>
        <v>0</v>
      </c>
      <c r="AL26" s="326">
        <f t="shared" si="64"/>
        <v>0</v>
      </c>
      <c r="AM26" s="326">
        <f t="shared" si="64"/>
        <v>0</v>
      </c>
      <c r="AN26" s="326">
        <f t="shared" si="64"/>
        <v>5048200</v>
      </c>
      <c r="AO26" s="326">
        <f t="shared" si="64"/>
        <v>103689</v>
      </c>
      <c r="AP26" s="326">
        <f t="shared" si="64"/>
        <v>160</v>
      </c>
      <c r="AQ26" s="326">
        <f t="shared" si="64"/>
        <v>1000000</v>
      </c>
      <c r="AR26" s="326">
        <f t="shared" si="64"/>
        <v>0</v>
      </c>
      <c r="AS26" s="326">
        <f t="shared" si="64"/>
        <v>0</v>
      </c>
      <c r="AT26" s="326">
        <f t="shared" si="64"/>
        <v>0</v>
      </c>
      <c r="AU26" s="326">
        <f t="shared" si="64"/>
        <v>9447572</v>
      </c>
      <c r="AV26" s="326">
        <f t="shared" si="64"/>
        <v>0</v>
      </c>
      <c r="AW26" s="326">
        <f t="shared" si="64"/>
        <v>0</v>
      </c>
      <c r="AX26" s="326">
        <f t="shared" si="64"/>
        <v>0</v>
      </c>
      <c r="AY26" s="326">
        <f t="shared" si="64"/>
        <v>100000</v>
      </c>
      <c r="AZ26" s="326">
        <f t="shared" si="64"/>
        <v>0</v>
      </c>
      <c r="BA26" s="326">
        <f t="shared" si="64"/>
        <v>0</v>
      </c>
      <c r="BB26" s="326">
        <f t="shared" si="64"/>
        <v>0</v>
      </c>
      <c r="BC26" s="326">
        <f t="shared" si="64"/>
        <v>200000</v>
      </c>
      <c r="BD26" s="326">
        <f t="shared" si="64"/>
        <v>0</v>
      </c>
      <c r="BE26" s="326">
        <f t="shared" si="64"/>
        <v>0</v>
      </c>
      <c r="BF26" s="326">
        <f t="shared" si="64"/>
        <v>0</v>
      </c>
      <c r="BG26" s="326">
        <f t="shared" si="64"/>
        <v>61978817.428571403</v>
      </c>
      <c r="BH26" s="326">
        <f t="shared" si="64"/>
        <v>4646250</v>
      </c>
      <c r="BI26" s="326">
        <f t="shared" si="64"/>
        <v>796500</v>
      </c>
      <c r="BJ26" s="326">
        <f t="shared" si="64"/>
        <v>265500</v>
      </c>
      <c r="BK26" s="326">
        <f t="shared" si="64"/>
        <v>0</v>
      </c>
      <c r="BL26" s="326">
        <f t="shared" si="64"/>
        <v>5708250</v>
      </c>
      <c r="BM26" s="326">
        <f t="shared" si="64"/>
        <v>2124000</v>
      </c>
      <c r="BN26" s="326">
        <f t="shared" si="64"/>
        <v>398250</v>
      </c>
      <c r="BO26" s="326">
        <f t="shared" si="64"/>
        <v>265500</v>
      </c>
      <c r="BP26" s="326">
        <f t="shared" si="64"/>
        <v>0</v>
      </c>
      <c r="BQ26" s="326">
        <f t="shared" si="64"/>
        <v>2787750</v>
      </c>
      <c r="BR26" s="326">
        <f t="shared" si="64"/>
        <v>19481785.714285702</v>
      </c>
      <c r="BS26" s="326">
        <f t="shared" si="64"/>
        <v>2672442.8571428601</v>
      </c>
      <c r="BT26" s="326">
        <f t="shared" si="64"/>
        <v>39824588.857142903</v>
      </c>
      <c r="BU26" s="326">
        <f t="shared" si="64"/>
        <v>93000000</v>
      </c>
      <c r="BV26" s="326">
        <f t="shared" si="64"/>
        <v>0</v>
      </c>
      <c r="BW26" s="326">
        <f t="shared" si="64"/>
        <v>0</v>
      </c>
      <c r="BX26" s="326">
        <f t="shared" si="64"/>
        <v>2787750</v>
      </c>
      <c r="BY26" s="326">
        <f t="shared" ref="BY26:CY26" si="65">SUM(BY19:BY25)</f>
        <v>95787750</v>
      </c>
      <c r="BZ26" s="326">
        <f t="shared" si="65"/>
        <v>870267.85714285704</v>
      </c>
      <c r="CA26" s="326">
        <f t="shared" si="65"/>
        <v>0</v>
      </c>
      <c r="CB26" s="326">
        <f t="shared" si="65"/>
        <v>59191067</v>
      </c>
      <c r="CC26" s="326">
        <f t="shared" si="65"/>
        <v>0</v>
      </c>
      <c r="CD26" s="326">
        <f t="shared" si="65"/>
        <v>0</v>
      </c>
      <c r="CE26" s="326">
        <f t="shared" si="65"/>
        <v>59191067</v>
      </c>
      <c r="CF26" s="326">
        <f t="shared" si="65"/>
        <v>0</v>
      </c>
      <c r="CG26" s="326">
        <f t="shared" si="65"/>
        <v>59191067</v>
      </c>
      <c r="CH26" s="326">
        <f t="shared" si="65"/>
        <v>0</v>
      </c>
      <c r="CI26" s="326">
        <f t="shared" si="65"/>
        <v>0</v>
      </c>
      <c r="CJ26" s="326">
        <f t="shared" si="65"/>
        <v>0</v>
      </c>
      <c r="CK26" s="326">
        <f t="shared" si="65"/>
        <v>54</v>
      </c>
      <c r="CL26" s="326">
        <f t="shared" si="65"/>
        <v>0</v>
      </c>
      <c r="CM26" s="326">
        <f t="shared" si="65"/>
        <v>84</v>
      </c>
      <c r="CN26" s="326">
        <f t="shared" si="65"/>
        <v>43</v>
      </c>
      <c r="CO26" s="326">
        <f t="shared" si="65"/>
        <v>10122</v>
      </c>
      <c r="CP26" s="326">
        <f t="shared" si="65"/>
        <v>0</v>
      </c>
      <c r="CQ26" s="326">
        <f t="shared" si="65"/>
        <v>76</v>
      </c>
      <c r="CR26" s="326">
        <f t="shared" si="65"/>
        <v>0</v>
      </c>
      <c r="CS26" s="326">
        <f t="shared" si="65"/>
        <v>0</v>
      </c>
      <c r="CT26" s="326">
        <f t="shared" si="65"/>
        <v>3</v>
      </c>
      <c r="CU26" s="326">
        <f t="shared" si="65"/>
        <v>0</v>
      </c>
      <c r="CV26" s="326">
        <f t="shared" si="65"/>
        <v>0</v>
      </c>
      <c r="CW26" s="326">
        <f t="shared" si="65"/>
        <v>0</v>
      </c>
      <c r="CX26" s="326">
        <f t="shared" si="65"/>
        <v>0</v>
      </c>
      <c r="CY26" s="326">
        <f t="shared" si="65"/>
        <v>42000000</v>
      </c>
      <c r="CZ26" s="326">
        <f t="shared" ref="CZ26:DC26" si="66">SUM(CZ19:CZ25)</f>
        <v>0</v>
      </c>
      <c r="DA26" s="326">
        <f t="shared" si="66"/>
        <v>0</v>
      </c>
      <c r="DB26" s="326">
        <f t="shared" si="66"/>
        <v>0</v>
      </c>
      <c r="DC26" s="326">
        <f t="shared" si="66"/>
        <v>0</v>
      </c>
      <c r="DD26" s="361"/>
      <c r="DE26" s="362"/>
      <c r="DF26" s="346">
        <f>VLOOKUP($D26,'[2]Med Service'!$D$11:$DI$87,110,0)</f>
        <v>0</v>
      </c>
      <c r="DG26" s="270"/>
    </row>
    <row r="27" spans="1:111" s="111" customFormat="1" ht="27" customHeight="1">
      <c r="A27" s="262" t="s">
        <v>193</v>
      </c>
      <c r="B27" s="263">
        <v>7</v>
      </c>
      <c r="C27" s="307" t="s">
        <v>194</v>
      </c>
      <c r="D27" s="265" t="s">
        <v>195</v>
      </c>
      <c r="E27" s="262" t="str">
        <f>IF(OR(G27="CHT",G27="DSBC"),"HĐLĐ",IF(OR(G27="DSTV",G27="Q.CHT"),"HĐTV","HĐCTV"))</f>
        <v>HĐLĐ</v>
      </c>
      <c r="F27" s="262" t="s">
        <v>196</v>
      </c>
      <c r="G27" s="262" t="s">
        <v>154</v>
      </c>
      <c r="H27" s="308">
        <v>44644</v>
      </c>
      <c r="I27" s="309" t="s">
        <v>197</v>
      </c>
      <c r="J27" s="309" t="s">
        <v>141</v>
      </c>
      <c r="K27" s="268">
        <v>28</v>
      </c>
      <c r="L27" s="270">
        <v>27</v>
      </c>
      <c r="M27" s="328">
        <v>202.49</v>
      </c>
      <c r="N27" s="328">
        <v>49.04</v>
      </c>
      <c r="O27" s="270">
        <v>0</v>
      </c>
      <c r="P27" s="270"/>
      <c r="Q27" s="329"/>
      <c r="R27" s="270"/>
      <c r="S27" s="270">
        <f t="shared" ref="S27:S31" si="67">IF(E27="HĐLĐ",5310000,0)</f>
        <v>5310000</v>
      </c>
      <c r="T27" s="273">
        <f t="shared" si="31"/>
        <v>482142.85714285698</v>
      </c>
      <c r="U27" s="270"/>
      <c r="V27" s="270"/>
      <c r="W27" s="270"/>
      <c r="X27" s="270"/>
      <c r="Y27" s="270"/>
      <c r="Z27" s="270"/>
      <c r="AA27" s="331">
        <f>CY27</f>
        <v>7869400</v>
      </c>
      <c r="AB27" s="270"/>
      <c r="AC27" s="270"/>
      <c r="AD27" s="270"/>
      <c r="AE27" s="275">
        <f>IF(E27="HĐTV",AC27/28/8*M27,AA27/28/8*M27)</f>
        <v>7113726.8125</v>
      </c>
      <c r="AF27" s="276">
        <f t="shared" si="11"/>
        <v>2584254.75</v>
      </c>
      <c r="AG27" s="276" t="s">
        <v>125</v>
      </c>
      <c r="AH27" s="278">
        <v>0</v>
      </c>
      <c r="AI27" s="363">
        <v>0</v>
      </c>
      <c r="AJ27" s="363"/>
      <c r="AK27" s="363"/>
      <c r="AL27" s="278">
        <v>0</v>
      </c>
      <c r="AM27" s="278">
        <v>0</v>
      </c>
      <c r="AN27" s="363">
        <v>1446150</v>
      </c>
      <c r="AO27" s="363">
        <v>107427</v>
      </c>
      <c r="AP27" s="278">
        <v>0</v>
      </c>
      <c r="AQ27" s="278">
        <v>500000</v>
      </c>
      <c r="AR27" s="276"/>
      <c r="AS27" s="278">
        <v>0</v>
      </c>
      <c r="AT27" s="278">
        <v>300000</v>
      </c>
      <c r="AU27" s="276">
        <v>0</v>
      </c>
      <c r="AV27" s="276"/>
      <c r="AW27" s="276"/>
      <c r="AX27" s="276"/>
      <c r="AY27" s="276"/>
      <c r="AZ27" s="276"/>
      <c r="BA27" s="276">
        <v>0</v>
      </c>
      <c r="BB27" s="278">
        <v>0</v>
      </c>
      <c r="BC27" s="278">
        <v>0</v>
      </c>
      <c r="BD27" s="278">
        <v>0</v>
      </c>
      <c r="BE27" s="278">
        <v>0</v>
      </c>
      <c r="BF27" s="276">
        <v>0</v>
      </c>
      <c r="BG27" s="279">
        <f t="shared" si="61"/>
        <v>12533701.419642899</v>
      </c>
      <c r="BH27" s="277">
        <f t="shared" ref="BH27:BH31" si="68">S27*17.5%</f>
        <v>929250</v>
      </c>
      <c r="BI27" s="277">
        <f t="shared" ref="BI27:BI31" si="69">S27*3%</f>
        <v>159300</v>
      </c>
      <c r="BJ27" s="277">
        <f t="shared" ref="BJ27:BJ31" si="70">S27*1%</f>
        <v>53100</v>
      </c>
      <c r="BK27" s="277"/>
      <c r="BL27" s="280">
        <f t="shared" ref="BL27:BL31" si="71">SUM(BH27:BK27)</f>
        <v>1141650</v>
      </c>
      <c r="BM27" s="277">
        <f t="shared" ref="BM27:BM31" si="72">S27*8%</f>
        <v>424800</v>
      </c>
      <c r="BN27" s="277">
        <f t="shared" ref="BN27:BN31" si="73">S27*1.5%</f>
        <v>79650</v>
      </c>
      <c r="BO27" s="277">
        <f t="shared" ref="BO27:BO31" si="74">S27*1%</f>
        <v>53100</v>
      </c>
      <c r="BP27" s="277"/>
      <c r="BQ27" s="280">
        <f t="shared" ref="BQ27:BQ31" si="75">SUM(BM27:BP27)</f>
        <v>557550</v>
      </c>
      <c r="BR27" s="333">
        <f>AF27</f>
        <v>2584254.75</v>
      </c>
      <c r="BS27" s="312">
        <f>T27+U27+V27+W27</f>
        <v>482142.85714285698</v>
      </c>
      <c r="BT27" s="281">
        <f t="shared" ref="BT27:BT31" si="76">BG27-BS27-BR27</f>
        <v>9467303.8125</v>
      </c>
      <c r="BU27" s="282">
        <f t="shared" ref="BU27:BU31" si="77">IF(E27="HĐLĐ",15500000,0)</f>
        <v>15500000</v>
      </c>
      <c r="BV27" s="311"/>
      <c r="BW27" s="277">
        <f t="shared" ref="BW27:BW31" si="78">BV27*6200000</f>
        <v>0</v>
      </c>
      <c r="BX27" s="277">
        <f t="shared" ref="BX27:BX31" si="79">BQ27</f>
        <v>557550</v>
      </c>
      <c r="BY27" s="284">
        <f t="shared" ref="BY27:BY31" si="80">BU27+BW27+BX27</f>
        <v>16057550</v>
      </c>
      <c r="BZ27" s="277">
        <f t="shared" ref="BZ27:BZ31" si="81">IF(BT27-BY27&gt;0,BT27-BY27,0)</f>
        <v>0</v>
      </c>
      <c r="CA27" s="277">
        <f t="shared" ref="CA27:CA31" si="82">IF(AND(OR($E27="HĐTV",$E27="HĐCTV"),$BZ27&lt;5000000),0,IF(OR($E27="HĐTV",$E27="HĐCTV"),$BZ27*10%,ROUND(IF($BZ27&lt;=10000000,$BZ27*5%,IF($BZ27&lt;=30000000,$BZ27*10%-500000,IF($BZ27&lt;=60000000,$BZ27*20%-3500000,IF($BZ27&lt;=100000000,$BZ27*30%-9500000,$BZ27*35%-14500000)))),0)))</f>
        <v>0</v>
      </c>
      <c r="CB27" s="283">
        <f t="shared" ref="CB27:CB31" si="83">ROUND(BG27-BQ27-CA27,0)</f>
        <v>11976151</v>
      </c>
      <c r="CC27" s="276"/>
      <c r="CD27" s="278">
        <f t="shared" si="63"/>
        <v>0</v>
      </c>
      <c r="CE27" s="285">
        <f t="shared" ref="CE27:CE31" si="84">CB27+CC27-CD27</f>
        <v>11976151</v>
      </c>
      <c r="CF27" s="333">
        <f>CE27-CG27</f>
        <v>0</v>
      </c>
      <c r="CG27" s="286">
        <f>CE27</f>
        <v>11976151</v>
      </c>
      <c r="CH27" s="364"/>
      <c r="CI27" s="365" t="s">
        <v>198</v>
      </c>
      <c r="CJ27" s="366">
        <f>CG27-CH27</f>
        <v>11976151</v>
      </c>
      <c r="CK27" s="289">
        <v>12</v>
      </c>
      <c r="CL27" s="299">
        <f>VLOOKUP(D27,[1]CNT!C9:AJ72,15,0)</f>
        <v>0</v>
      </c>
      <c r="CM27" s="336">
        <v>24</v>
      </c>
      <c r="CN27" s="336">
        <v>3</v>
      </c>
      <c r="CO27" s="336">
        <v>2022</v>
      </c>
      <c r="CP27" s="337">
        <f>IF((($CO$8-CO27)*12)+($CN$8-CN27)&gt;=12,((($CO$8-CO27)*12)+($CN$8-CN27))-1,0)</f>
        <v>24</v>
      </c>
      <c r="CQ27" s="338">
        <f>IF(CP27&lt;12,(($CQ$8-CO27)*12)+($CP$8-CN27),0)</f>
        <v>0</v>
      </c>
      <c r="CR27" s="337">
        <f>IF(OR(CP27&gt;12,CP27=12),((CP27-(CS27*12))+((($CQ$8-2024)*12)+($CP$8-4)))+1,0)</f>
        <v>26</v>
      </c>
      <c r="CS27" s="339">
        <f>IF(OR(CP27&gt;12,CP27=12),ROUNDDOWN(CP27/12,0),0)</f>
        <v>2</v>
      </c>
      <c r="CT27" s="339">
        <f>IF(CQ27&gt;11,ROUNDDOWN(CQ27/12,0),0)</f>
        <v>0</v>
      </c>
      <c r="CU27" s="339">
        <f>IF(CR27&gt;11,ROUNDDOWN(CR27/12,0),0)</f>
        <v>2</v>
      </c>
      <c r="CV27" s="340">
        <f>IF(CP27=0,0,6000000*1.07^CS27)</f>
        <v>6869400</v>
      </c>
      <c r="CW27" s="340">
        <f>IF(CT27&lt;2,0,6000000+(CT27-1)*500000)</f>
        <v>0</v>
      </c>
      <c r="CX27" s="340">
        <f>IF(CU27=0,CV27,IF(CU27&lt;1,0,CV27+CU27*500000))</f>
        <v>7869400</v>
      </c>
      <c r="CY27" s="314">
        <f t="shared" ref="CY27:CY28" si="85">IF(CX27&gt;0,CX27,IF(CW27&gt;0,CW27,6000000))</f>
        <v>7869400</v>
      </c>
      <c r="CZ27" s="341"/>
      <c r="DA27" s="342">
        <f>CJ27</f>
        <v>11976151</v>
      </c>
      <c r="DB27" s="343"/>
      <c r="DC27" s="341"/>
      <c r="DE27" s="345">
        <f>VLOOKUP($D27,'[6]Tong hop'!$B$8:$Q$45,15,0)</f>
        <v>0</v>
      </c>
      <c r="DF27" s="346">
        <f>VLOOKUP($D27,'[2]Med Service'!$D$11:$DI$87,110,0)</f>
        <v>3028734</v>
      </c>
      <c r="DG27" s="270" t="str">
        <f>VLOOKUP($D27,'[3]BẢNG LƯƠNG'!$C$3:$AH$102,32,0)</f>
        <v>Lệch doanh thu HD.BY98NJKV: 60.000đ</v>
      </c>
    </row>
    <row r="28" spans="1:111" s="111" customFormat="1" ht="27" customHeight="1">
      <c r="A28" s="262">
        <v>24</v>
      </c>
      <c r="B28" s="263" t="s">
        <v>113</v>
      </c>
      <c r="C28" s="307" t="s">
        <v>134</v>
      </c>
      <c r="D28" s="265" t="s">
        <v>135</v>
      </c>
      <c r="E28" s="262" t="str">
        <f>IF(OR(G28="CHT",G28="DSBC"),"HĐLĐ",IF(OR(G28="DSTV",G28="Q.CHT"),"HĐTV","HĐCTV"))</f>
        <v>HĐLĐ</v>
      </c>
      <c r="F28" s="262" t="s">
        <v>196</v>
      </c>
      <c r="G28" s="262" t="s">
        <v>117</v>
      </c>
      <c r="H28" s="308">
        <v>45096</v>
      </c>
      <c r="I28" s="309" t="s">
        <v>136</v>
      </c>
      <c r="J28" s="309" t="s">
        <v>137</v>
      </c>
      <c r="K28" s="268">
        <v>28</v>
      </c>
      <c r="L28" s="270">
        <v>6</v>
      </c>
      <c r="M28" s="328">
        <v>0</v>
      </c>
      <c r="N28" s="328">
        <v>46.45</v>
      </c>
      <c r="O28" s="270">
        <v>0</v>
      </c>
      <c r="P28" s="347"/>
      <c r="Q28" s="329"/>
      <c r="R28" s="348"/>
      <c r="S28" s="270">
        <f t="shared" si="67"/>
        <v>5310000</v>
      </c>
      <c r="T28" s="273">
        <f t="shared" si="31"/>
        <v>107142.857142857</v>
      </c>
      <c r="U28" s="347"/>
      <c r="V28" s="347"/>
      <c r="W28" s="347"/>
      <c r="X28" s="347"/>
      <c r="Y28" s="347"/>
      <c r="Z28" s="347"/>
      <c r="AA28" s="331">
        <f>CY28</f>
        <v>6500000</v>
      </c>
      <c r="AB28" s="347"/>
      <c r="AC28" s="347"/>
      <c r="AD28" s="347"/>
      <c r="AE28" s="275">
        <f>IF(E28="HĐTV",AC28/28/8*M28,AA28/28/8*M28)</f>
        <v>0</v>
      </c>
      <c r="AF28" s="276">
        <f t="shared" si="11"/>
        <v>2021819.19642857</v>
      </c>
      <c r="AG28" s="276">
        <v>0</v>
      </c>
      <c r="AH28" s="278">
        <v>0</v>
      </c>
      <c r="AI28" s="363">
        <v>321439</v>
      </c>
      <c r="AJ28" s="363"/>
      <c r="AK28" s="363"/>
      <c r="AL28" s="278">
        <v>0</v>
      </c>
      <c r="AM28" s="278">
        <v>1301447</v>
      </c>
      <c r="AN28" s="363">
        <v>0</v>
      </c>
      <c r="AO28" s="363">
        <v>11205</v>
      </c>
      <c r="AP28" s="278">
        <v>0</v>
      </c>
      <c r="AQ28" s="278">
        <v>0</v>
      </c>
      <c r="AR28" s="276"/>
      <c r="AS28" s="278">
        <v>0</v>
      </c>
      <c r="AT28" s="278">
        <v>0</v>
      </c>
      <c r="AU28" s="276">
        <v>0</v>
      </c>
      <c r="AV28" s="276"/>
      <c r="AW28" s="276"/>
      <c r="AX28" s="276"/>
      <c r="AY28" s="367"/>
      <c r="AZ28" s="276"/>
      <c r="BA28" s="276">
        <v>0</v>
      </c>
      <c r="BB28" s="278">
        <v>0</v>
      </c>
      <c r="BC28" s="278">
        <v>0</v>
      </c>
      <c r="BD28" s="278">
        <v>0</v>
      </c>
      <c r="BE28" s="278">
        <v>0</v>
      </c>
      <c r="BF28" s="276">
        <v>0</v>
      </c>
      <c r="BG28" s="279">
        <f t="shared" si="61"/>
        <v>3763053.05357143</v>
      </c>
      <c r="BH28" s="277">
        <f t="shared" si="68"/>
        <v>929250</v>
      </c>
      <c r="BI28" s="277">
        <f t="shared" si="69"/>
        <v>159300</v>
      </c>
      <c r="BJ28" s="277">
        <f t="shared" si="70"/>
        <v>53100</v>
      </c>
      <c r="BK28" s="277"/>
      <c r="BL28" s="280">
        <f t="shared" si="71"/>
        <v>1141650</v>
      </c>
      <c r="BM28" s="277">
        <f t="shared" si="72"/>
        <v>424800</v>
      </c>
      <c r="BN28" s="277">
        <f t="shared" si="73"/>
        <v>79650</v>
      </c>
      <c r="BO28" s="277">
        <f t="shared" si="74"/>
        <v>53100</v>
      </c>
      <c r="BP28" s="277"/>
      <c r="BQ28" s="280">
        <f t="shared" si="75"/>
        <v>557550</v>
      </c>
      <c r="BR28" s="333">
        <f>AF28</f>
        <v>2021819.19642857</v>
      </c>
      <c r="BS28" s="312">
        <f>T28+U28+V28+W28</f>
        <v>107142.857142857</v>
      </c>
      <c r="BT28" s="281">
        <f t="shared" si="76"/>
        <v>1634091</v>
      </c>
      <c r="BU28" s="282">
        <f t="shared" si="77"/>
        <v>15500000</v>
      </c>
      <c r="BV28" s="311">
        <v>1</v>
      </c>
      <c r="BW28" s="277">
        <f t="shared" si="78"/>
        <v>6200000</v>
      </c>
      <c r="BX28" s="277">
        <f t="shared" si="79"/>
        <v>557550</v>
      </c>
      <c r="BY28" s="284">
        <f t="shared" si="80"/>
        <v>22257550</v>
      </c>
      <c r="BZ28" s="277">
        <f t="shared" si="81"/>
        <v>0</v>
      </c>
      <c r="CA28" s="277">
        <f t="shared" si="82"/>
        <v>0</v>
      </c>
      <c r="CB28" s="283">
        <f t="shared" si="83"/>
        <v>3205503</v>
      </c>
      <c r="CC28" s="311"/>
      <c r="CD28" s="278">
        <f t="shared" si="63"/>
        <v>0</v>
      </c>
      <c r="CE28" s="285">
        <f t="shared" si="84"/>
        <v>3205503</v>
      </c>
      <c r="CF28" s="333">
        <f>CE28-CG28</f>
        <v>0</v>
      </c>
      <c r="CG28" s="286">
        <f>CE28</f>
        <v>3205503</v>
      </c>
      <c r="CH28" s="334"/>
      <c r="CI28" s="335" t="s">
        <v>199</v>
      </c>
      <c r="CJ28" s="270">
        <f>VLOOKUP(D28,[1]CNT!$C$6:$AP$113,40,0)</f>
        <v>0</v>
      </c>
      <c r="CK28" s="289">
        <v>4</v>
      </c>
      <c r="CL28" s="299">
        <f>VLOOKUP(D28,[1]CNT!C10:AJ73,15,0)</f>
        <v>0</v>
      </c>
      <c r="CM28" s="336">
        <v>19</v>
      </c>
      <c r="CN28" s="336">
        <v>6</v>
      </c>
      <c r="CO28" s="336">
        <v>2023</v>
      </c>
      <c r="CP28" s="337">
        <f>IF((($CO$8-CO28)*12)+($CN$8-CN28)&gt;=12,((($CO$8-CO28)*12)+($CN$8-CN28))-1,0)</f>
        <v>0</v>
      </c>
      <c r="CQ28" s="338">
        <f>IF(CP28&lt;12,(($CQ$8-CO28)*12)+($CP$8-CN28),0)</f>
        <v>35</v>
      </c>
      <c r="CR28" s="337">
        <f>IF(OR(CP28&gt;12,CP28=12),((CP28-(CS28*12))+((($CQ$8-2024)*12)+($CP$8-4)))+1,0)</f>
        <v>0</v>
      </c>
      <c r="CS28" s="339">
        <f>IF(OR(CP28&gt;12,CP28=12),ROUNDDOWN(CP28/12,0),0)</f>
        <v>0</v>
      </c>
      <c r="CT28" s="339">
        <f>IF(CQ28&gt;11,ROUNDDOWN(CQ28/12,0),0)</f>
        <v>2</v>
      </c>
      <c r="CU28" s="339">
        <f>IF(CR28&gt;11,ROUNDDOWN(CR28/12,0),0)</f>
        <v>0</v>
      </c>
      <c r="CV28" s="340">
        <f>IF(CP28=0,0,6000000*1.07^CS28)</f>
        <v>0</v>
      </c>
      <c r="CW28" s="340">
        <f>IF(CT28&lt;2,0,6000000+(CT28-1)*500000)</f>
        <v>6500000</v>
      </c>
      <c r="CX28" s="340">
        <f>IF(CU28=0,CV28,IF(CU28&lt;1,0,CV28+CU28*500000))</f>
        <v>0</v>
      </c>
      <c r="CY28" s="314">
        <f t="shared" si="85"/>
        <v>6500000</v>
      </c>
      <c r="CZ28" s="341"/>
      <c r="DA28" s="342">
        <f>CJ28</f>
        <v>0</v>
      </c>
      <c r="DB28" s="343"/>
      <c r="DC28" s="341"/>
      <c r="DE28" s="345"/>
      <c r="DF28" s="346">
        <f>VLOOKUP($D28,'[2]Med Service'!$D$11:$DI$87,110,0)</f>
        <v>0</v>
      </c>
      <c r="DG28" s="270" t="str">
        <f>VLOOKUP($D28,'[3]BẢNG LƯƠNG'!$C$3:$AH$102,32,0)</f>
        <v/>
      </c>
    </row>
    <row r="29" spans="1:111" s="110" customFormat="1" ht="27.75" customHeight="1">
      <c r="A29" s="262" t="s">
        <v>193</v>
      </c>
      <c r="B29" s="263" t="s">
        <v>177</v>
      </c>
      <c r="C29" s="307" t="s">
        <v>200</v>
      </c>
      <c r="D29" s="368" t="s">
        <v>201</v>
      </c>
      <c r="E29" s="262" t="str">
        <f>IF(OR(G29="CHT",G29="DSBC"),"HĐLĐ",IF(OR(G29="DSTV",G29="Q.CHT"),"HĐTV","HĐCTV"))</f>
        <v>HĐLĐ</v>
      </c>
      <c r="F29" s="262" t="s">
        <v>196</v>
      </c>
      <c r="G29" s="262" t="s">
        <v>117</v>
      </c>
      <c r="H29" s="308" t="s">
        <v>202</v>
      </c>
      <c r="I29" s="309" t="s">
        <v>203</v>
      </c>
      <c r="J29" s="309" t="s">
        <v>204</v>
      </c>
      <c r="K29" s="268">
        <v>28</v>
      </c>
      <c r="L29" s="270">
        <v>28</v>
      </c>
      <c r="M29" s="328">
        <v>69.75</v>
      </c>
      <c r="N29" s="328">
        <v>185.25</v>
      </c>
      <c r="O29" s="270">
        <v>16</v>
      </c>
      <c r="P29" s="347"/>
      <c r="Q29" s="329"/>
      <c r="R29" s="348"/>
      <c r="S29" s="270">
        <f t="shared" si="67"/>
        <v>5310000</v>
      </c>
      <c r="T29" s="273">
        <f t="shared" si="31"/>
        <v>500000</v>
      </c>
      <c r="U29" s="369"/>
      <c r="V29" s="330"/>
      <c r="W29" s="347"/>
      <c r="X29" s="347"/>
      <c r="Y29" s="347"/>
      <c r="Z29" s="347"/>
      <c r="AA29" s="331">
        <f>CY29</f>
        <v>6000000</v>
      </c>
      <c r="AB29" s="347"/>
      <c r="AC29" s="347"/>
      <c r="AD29" s="347"/>
      <c r="AE29" s="275">
        <f>IF(E29="HĐTV",AC29/28/8*M29,AA29/28/8*M29)</f>
        <v>1868303.57142857</v>
      </c>
      <c r="AF29" s="276">
        <f t="shared" si="11"/>
        <v>7443080.3571428601</v>
      </c>
      <c r="AG29" s="276">
        <v>0</v>
      </c>
      <c r="AH29" s="278">
        <v>0</v>
      </c>
      <c r="AI29" s="363">
        <v>1285714</v>
      </c>
      <c r="AJ29" s="363"/>
      <c r="AK29" s="363"/>
      <c r="AL29" s="278">
        <v>4000000</v>
      </c>
      <c r="AM29" s="278">
        <v>2145059</v>
      </c>
      <c r="AN29" s="363">
        <v>4854450</v>
      </c>
      <c r="AO29" s="363">
        <v>15362</v>
      </c>
      <c r="AP29" s="278">
        <v>0</v>
      </c>
      <c r="AQ29" s="278">
        <v>0</v>
      </c>
      <c r="AR29" s="276"/>
      <c r="AS29" s="278">
        <v>0</v>
      </c>
      <c r="AT29" s="278">
        <v>0</v>
      </c>
      <c r="AU29" s="276">
        <v>0</v>
      </c>
      <c r="AV29" s="276"/>
      <c r="AW29" s="276"/>
      <c r="AX29" s="276"/>
      <c r="AY29" s="367"/>
      <c r="AZ29" s="276"/>
      <c r="BA29" s="276">
        <v>0</v>
      </c>
      <c r="BB29" s="278">
        <v>0</v>
      </c>
      <c r="BC29" s="278">
        <v>100000</v>
      </c>
      <c r="BD29" s="278">
        <v>0</v>
      </c>
      <c r="BE29" s="278">
        <v>90000</v>
      </c>
      <c r="BF29" s="276">
        <v>0</v>
      </c>
      <c r="BG29" s="279">
        <f t="shared" si="61"/>
        <v>21921968.928571399</v>
      </c>
      <c r="BH29" s="277">
        <f t="shared" si="68"/>
        <v>929250</v>
      </c>
      <c r="BI29" s="277">
        <f t="shared" si="69"/>
        <v>159300</v>
      </c>
      <c r="BJ29" s="277">
        <f t="shared" si="70"/>
        <v>53100</v>
      </c>
      <c r="BK29" s="277"/>
      <c r="BL29" s="280">
        <f t="shared" si="71"/>
        <v>1141650</v>
      </c>
      <c r="BM29" s="277">
        <f t="shared" si="72"/>
        <v>424800</v>
      </c>
      <c r="BN29" s="277">
        <f t="shared" si="73"/>
        <v>79650</v>
      </c>
      <c r="BO29" s="277">
        <f t="shared" si="74"/>
        <v>53100</v>
      </c>
      <c r="BP29" s="277"/>
      <c r="BQ29" s="280">
        <f t="shared" si="75"/>
        <v>557550</v>
      </c>
      <c r="BR29" s="333">
        <f>AF29</f>
        <v>7443080.3571428601</v>
      </c>
      <c r="BS29" s="312">
        <f>T29+U29+V29+W29</f>
        <v>500000</v>
      </c>
      <c r="BT29" s="281">
        <f t="shared" si="76"/>
        <v>13978888.571428601</v>
      </c>
      <c r="BU29" s="282">
        <f t="shared" si="77"/>
        <v>15500000</v>
      </c>
      <c r="BV29" s="311"/>
      <c r="BW29" s="277">
        <f t="shared" si="78"/>
        <v>0</v>
      </c>
      <c r="BX29" s="277">
        <f t="shared" si="79"/>
        <v>557550</v>
      </c>
      <c r="BY29" s="284">
        <f t="shared" si="80"/>
        <v>16057550</v>
      </c>
      <c r="BZ29" s="277">
        <f t="shared" si="81"/>
        <v>0</v>
      </c>
      <c r="CA29" s="370">
        <v>1660605</v>
      </c>
      <c r="CB29" s="283">
        <f t="shared" si="83"/>
        <v>19703814</v>
      </c>
      <c r="CC29" s="311"/>
      <c r="CD29" s="278">
        <v>6000000</v>
      </c>
      <c r="CE29" s="285">
        <f t="shared" si="84"/>
        <v>13703814</v>
      </c>
      <c r="CF29" s="333">
        <f>CE29-CG29</f>
        <v>0</v>
      </c>
      <c r="CG29" s="286">
        <f>CE29</f>
        <v>13703814</v>
      </c>
      <c r="CH29" s="364"/>
      <c r="CI29" s="365" t="str">
        <f>VLOOKUP($C29,[5]Sheet1!$C$5:$K$139,9,0)</f>
        <v>tai.phan@medigoapp.com</v>
      </c>
      <c r="CJ29" s="366">
        <f t="shared" ref="CJ29" si="86">CG29-CH29</f>
        <v>13703814</v>
      </c>
      <c r="CK29" s="289">
        <v>4</v>
      </c>
      <c r="CL29" s="299">
        <f>VLOOKUP(D29,[1]CNT!C8:AJ71,15,0)</f>
        <v>0</v>
      </c>
      <c r="CM29" s="336">
        <v>26</v>
      </c>
      <c r="CN29" s="336">
        <v>1</v>
      </c>
      <c r="CO29" s="336">
        <v>2026</v>
      </c>
      <c r="CP29" s="337">
        <f t="shared" ref="CP29" si="87">IF((($CO$8-CO29)*12)+($CN$8-CN29)&gt;=12,((($CO$8-CO29)*12)+($CN$8-CN29))-1,0)</f>
        <v>0</v>
      </c>
      <c r="CQ29" s="338">
        <f t="shared" ref="CQ29" si="88">IF(CP29&lt;12,(($CQ$8-CO29)*12)+($CP$8-CN29),0)</f>
        <v>4</v>
      </c>
      <c r="CR29" s="337">
        <f t="shared" ref="CR29" si="89">IF(OR(CP29&gt;12,CP29=12),((CP29-(CS29*12))+((($CQ$8-2024)*12)+($CP$8-4)))+1,0)</f>
        <v>0</v>
      </c>
      <c r="CS29" s="339">
        <f t="shared" ref="CS29" si="90">IF(OR(CP29&gt;12,CP29=12),ROUNDDOWN(CP29/12,0),0)</f>
        <v>0</v>
      </c>
      <c r="CT29" s="339">
        <f t="shared" ref="CT29:CU29" si="91">IF(CQ29&gt;11,ROUNDDOWN(CQ29/12,0),0)</f>
        <v>0</v>
      </c>
      <c r="CU29" s="339">
        <f t="shared" si="91"/>
        <v>0</v>
      </c>
      <c r="CV29" s="340">
        <f t="shared" ref="CV29" si="92">IF(CP29=0,0,6000000*1.07^CS29)</f>
        <v>0</v>
      </c>
      <c r="CW29" s="340">
        <f t="shared" ref="CW29" si="93">IF(CT29&lt;2,0,6000000+(CT29-1)*500000)</f>
        <v>0</v>
      </c>
      <c r="CX29" s="340">
        <f t="shared" ref="CX29" si="94">IF(CU29=0,CV29,IF(CU29&lt;1,0,CV29+CU29*500000))</f>
        <v>0</v>
      </c>
      <c r="CY29" s="314">
        <v>6000000</v>
      </c>
      <c r="CZ29" s="341"/>
      <c r="DA29" s="342">
        <f t="shared" ref="DA29" si="95">CJ29</f>
        <v>13703814</v>
      </c>
      <c r="DB29" s="354" t="s">
        <v>205</v>
      </c>
      <c r="DC29" s="344"/>
      <c r="DE29" s="345"/>
      <c r="DF29" s="346">
        <f>VLOOKUP($D29,'[2]Med Service'!$D$11:$DI$87,110,0)</f>
        <v>0</v>
      </c>
      <c r="DG29" s="270" t="str">
        <f>VLOOKUP($D29,'[3]BẢNG LƯƠNG'!$C$3:$AH$102,32,0)</f>
        <v/>
      </c>
    </row>
    <row r="30" spans="1:111" s="110" customFormat="1" ht="27.75" customHeight="1">
      <c r="A30" s="262"/>
      <c r="B30" s="263"/>
      <c r="C30" s="307" t="s">
        <v>206</v>
      </c>
      <c r="D30" s="371" t="s">
        <v>206</v>
      </c>
      <c r="E30" s="262" t="str">
        <f>IF(OR(G30="CHT",G30="DSBC"),"HĐLĐ",IF(OR(G30="DSTV",G30="Q.CHT"),"HĐTV","HĐCTV"))</f>
        <v>HĐLĐ</v>
      </c>
      <c r="F30" s="262" t="s">
        <v>196</v>
      </c>
      <c r="G30" s="262" t="s">
        <v>117</v>
      </c>
      <c r="H30" s="308" t="s">
        <v>207</v>
      </c>
      <c r="I30" s="372">
        <v>23241857</v>
      </c>
      <c r="J30" s="309" t="s">
        <v>208</v>
      </c>
      <c r="K30" s="268">
        <v>28</v>
      </c>
      <c r="L30" s="270">
        <v>30</v>
      </c>
      <c r="M30" s="328">
        <v>283.54000000000002</v>
      </c>
      <c r="N30" s="328">
        <v>55.74</v>
      </c>
      <c r="O30" s="270">
        <v>16</v>
      </c>
      <c r="P30" s="347"/>
      <c r="Q30" s="329"/>
      <c r="R30" s="348"/>
      <c r="S30" s="270">
        <f t="shared" si="67"/>
        <v>5310000</v>
      </c>
      <c r="T30" s="273">
        <f t="shared" si="31"/>
        <v>500000</v>
      </c>
      <c r="U30" s="369"/>
      <c r="V30" s="330"/>
      <c r="W30" s="347"/>
      <c r="X30" s="347"/>
      <c r="Y30" s="347"/>
      <c r="Z30" s="347"/>
      <c r="AA30" s="310">
        <v>6500000</v>
      </c>
      <c r="AB30" s="311">
        <f>AA30</f>
        <v>6500000</v>
      </c>
      <c r="AC30" s="312">
        <f>IF(E30="HĐTV",AB30*85%,0)</f>
        <v>0</v>
      </c>
      <c r="AD30" s="313"/>
      <c r="AE30" s="275">
        <f>IF(E30="HĐTV",AC30/28/8*M30,AA30/28/8*M30)</f>
        <v>8227723.2142857099</v>
      </c>
      <c r="AF30" s="276">
        <f t="shared" si="11"/>
        <v>2426183.0357142901</v>
      </c>
      <c r="AG30" s="276">
        <v>0</v>
      </c>
      <c r="AH30" s="278">
        <v>0</v>
      </c>
      <c r="AI30" s="363"/>
      <c r="AJ30" s="363"/>
      <c r="AK30" s="363"/>
      <c r="AL30" s="278">
        <v>1000000</v>
      </c>
      <c r="AM30" s="278">
        <v>0</v>
      </c>
      <c r="AN30" s="363">
        <v>3048900</v>
      </c>
      <c r="AO30" s="363">
        <v>68625</v>
      </c>
      <c r="AP30" s="278">
        <v>0</v>
      </c>
      <c r="AQ30" s="278">
        <v>0</v>
      </c>
      <c r="AR30" s="276"/>
      <c r="AS30" s="278">
        <v>0</v>
      </c>
      <c r="AT30" s="278">
        <v>0</v>
      </c>
      <c r="AU30" s="276">
        <v>0</v>
      </c>
      <c r="AV30" s="276"/>
      <c r="AW30" s="276"/>
      <c r="AX30" s="276"/>
      <c r="AY30" s="367"/>
      <c r="AZ30" s="276"/>
      <c r="BA30" s="276">
        <v>0</v>
      </c>
      <c r="BB30" s="278">
        <v>0</v>
      </c>
      <c r="BC30" s="278">
        <v>0</v>
      </c>
      <c r="BD30" s="278">
        <v>0</v>
      </c>
      <c r="BE30" s="278">
        <v>0</v>
      </c>
      <c r="BF30" s="276">
        <v>0</v>
      </c>
      <c r="BG30" s="279">
        <f t="shared" si="61"/>
        <v>15271431.25</v>
      </c>
      <c r="BH30" s="277">
        <f t="shared" si="68"/>
        <v>929250</v>
      </c>
      <c r="BI30" s="277">
        <f t="shared" si="69"/>
        <v>159300</v>
      </c>
      <c r="BJ30" s="277">
        <f t="shared" si="70"/>
        <v>53100</v>
      </c>
      <c r="BK30" s="277"/>
      <c r="BL30" s="280">
        <f t="shared" si="71"/>
        <v>1141650</v>
      </c>
      <c r="BM30" s="277">
        <f t="shared" si="72"/>
        <v>424800</v>
      </c>
      <c r="BN30" s="277">
        <f t="shared" si="73"/>
        <v>79650</v>
      </c>
      <c r="BO30" s="277">
        <f t="shared" si="74"/>
        <v>53100</v>
      </c>
      <c r="BP30" s="277"/>
      <c r="BQ30" s="280">
        <f t="shared" si="75"/>
        <v>557550</v>
      </c>
      <c r="BR30" s="333"/>
      <c r="BS30" s="312"/>
      <c r="BT30" s="281">
        <f t="shared" si="76"/>
        <v>15271431.25</v>
      </c>
      <c r="BU30" s="282">
        <f t="shared" si="77"/>
        <v>15500000</v>
      </c>
      <c r="BV30" s="311"/>
      <c r="BW30" s="277">
        <f t="shared" si="78"/>
        <v>0</v>
      </c>
      <c r="BX30" s="277">
        <f t="shared" si="79"/>
        <v>557550</v>
      </c>
      <c r="BY30" s="284">
        <f t="shared" si="80"/>
        <v>16057550</v>
      </c>
      <c r="BZ30" s="277">
        <f t="shared" si="81"/>
        <v>0</v>
      </c>
      <c r="CA30" s="277">
        <f t="shared" si="82"/>
        <v>0</v>
      </c>
      <c r="CB30" s="283">
        <f t="shared" si="83"/>
        <v>14713881</v>
      </c>
      <c r="CC30" s="311"/>
      <c r="CD30" s="278">
        <f t="shared" si="63"/>
        <v>0</v>
      </c>
      <c r="CE30" s="285">
        <f t="shared" si="84"/>
        <v>14713881</v>
      </c>
      <c r="CF30" s="333">
        <f>CE30-CG30</f>
        <v>0</v>
      </c>
      <c r="CG30" s="286">
        <f>CE30</f>
        <v>14713881</v>
      </c>
      <c r="CH30" s="364"/>
      <c r="CI30" s="365"/>
      <c r="CJ30" s="366"/>
      <c r="CK30" s="289"/>
      <c r="CL30" s="299"/>
      <c r="CM30" s="336"/>
      <c r="CN30" s="336"/>
      <c r="CO30" s="336"/>
      <c r="CP30" s="337"/>
      <c r="CQ30" s="338"/>
      <c r="CR30" s="337"/>
      <c r="CS30" s="339"/>
      <c r="CT30" s="339"/>
      <c r="CU30" s="339"/>
      <c r="CV30" s="340"/>
      <c r="CW30" s="340"/>
      <c r="CX30" s="340"/>
      <c r="CY30" s="314">
        <f>IF(CX30&gt;0,CX30,IF(CW30&gt;0,CW30,6000000))</f>
        <v>6000000</v>
      </c>
      <c r="CZ30" s="341"/>
      <c r="DA30" s="342"/>
      <c r="DB30" s="343"/>
      <c r="DC30" s="344"/>
      <c r="DE30" s="345"/>
      <c r="DF30" s="346"/>
      <c r="DG30" s="270"/>
    </row>
    <row r="31" spans="1:111" s="111" customFormat="1" ht="27" customHeight="1">
      <c r="A31" s="262">
        <v>20</v>
      </c>
      <c r="B31" s="263">
        <v>7</v>
      </c>
      <c r="C31" s="356" t="s">
        <v>209</v>
      </c>
      <c r="D31" s="357" t="s">
        <v>210</v>
      </c>
      <c r="E31" s="262" t="str">
        <f>IF(OR(G31="CHT",G31="DSBC"),"HĐLĐ",IF(OR(G31="DSTV",G31="Q.CHT"),"HĐTV","HĐCTV"))</f>
        <v>HĐTV</v>
      </c>
      <c r="F31" s="262" t="s">
        <v>196</v>
      </c>
      <c r="G31" s="317" t="s">
        <v>129</v>
      </c>
      <c r="H31" s="462" t="s">
        <v>130</v>
      </c>
      <c r="I31" s="309" t="s">
        <v>211</v>
      </c>
      <c r="J31" s="309" t="s">
        <v>212</v>
      </c>
      <c r="K31" s="268">
        <v>28</v>
      </c>
      <c r="L31" s="270">
        <v>28</v>
      </c>
      <c r="M31" s="328">
        <v>206.43</v>
      </c>
      <c r="N31" s="328">
        <v>32.22</v>
      </c>
      <c r="O31" s="270">
        <v>0</v>
      </c>
      <c r="P31" s="347"/>
      <c r="Q31" s="329"/>
      <c r="R31" s="348"/>
      <c r="S31" s="270">
        <f t="shared" si="67"/>
        <v>0</v>
      </c>
      <c r="T31" s="273">
        <f t="shared" si="31"/>
        <v>500000</v>
      </c>
      <c r="U31" s="347"/>
      <c r="V31" s="347"/>
      <c r="W31" s="347"/>
      <c r="X31" s="347"/>
      <c r="Y31" s="347"/>
      <c r="Z31" s="347"/>
      <c r="AA31" s="310">
        <v>6000000</v>
      </c>
      <c r="AB31" s="311">
        <f>AA31</f>
        <v>6000000</v>
      </c>
      <c r="AC31" s="312">
        <v>6000000</v>
      </c>
      <c r="AD31" s="313"/>
      <c r="AE31" s="275">
        <f>IF(E31="HĐTV",AC31/28/8*M31,AA31/28/8*M31)</f>
        <v>5529375</v>
      </c>
      <c r="AF31" s="276">
        <f t="shared" si="11"/>
        <v>1294553.57142857</v>
      </c>
      <c r="AG31" s="276">
        <v>0</v>
      </c>
      <c r="AH31" s="278">
        <v>0</v>
      </c>
      <c r="AI31" s="363"/>
      <c r="AJ31" s="363"/>
      <c r="AK31" s="363"/>
      <c r="AL31" s="278">
        <v>1000000</v>
      </c>
      <c r="AM31" s="278">
        <v>0</v>
      </c>
      <c r="AN31" s="363">
        <v>380880</v>
      </c>
      <c r="AO31" s="363">
        <v>0</v>
      </c>
      <c r="AP31" s="278">
        <v>0</v>
      </c>
      <c r="AQ31" s="278">
        <v>0</v>
      </c>
      <c r="AR31" s="276"/>
      <c r="AS31" s="278">
        <v>0</v>
      </c>
      <c r="AT31" s="278">
        <v>0</v>
      </c>
      <c r="AU31" s="276">
        <v>0</v>
      </c>
      <c r="AV31" s="276"/>
      <c r="AW31" s="278"/>
      <c r="AX31" s="349"/>
      <c r="AY31" s="351"/>
      <c r="AZ31" s="351"/>
      <c r="BA31" s="276">
        <v>0</v>
      </c>
      <c r="BB31" s="278">
        <v>0</v>
      </c>
      <c r="BC31" s="278">
        <v>0</v>
      </c>
      <c r="BD31" s="278">
        <v>0</v>
      </c>
      <c r="BE31" s="278">
        <v>0</v>
      </c>
      <c r="BF31" s="276">
        <v>500000</v>
      </c>
      <c r="BG31" s="279">
        <f t="shared" si="61"/>
        <v>8204808.57142857</v>
      </c>
      <c r="BH31" s="277">
        <f t="shared" si="68"/>
        <v>0</v>
      </c>
      <c r="BI31" s="277">
        <f t="shared" si="69"/>
        <v>0</v>
      </c>
      <c r="BJ31" s="277">
        <f t="shared" si="70"/>
        <v>0</v>
      </c>
      <c r="BK31" s="277"/>
      <c r="BL31" s="280">
        <f t="shared" si="71"/>
        <v>0</v>
      </c>
      <c r="BM31" s="277">
        <f t="shared" si="72"/>
        <v>0</v>
      </c>
      <c r="BN31" s="277">
        <f t="shared" si="73"/>
        <v>0</v>
      </c>
      <c r="BO31" s="277">
        <f t="shared" si="74"/>
        <v>0</v>
      </c>
      <c r="BP31" s="277"/>
      <c r="BQ31" s="280">
        <f t="shared" si="75"/>
        <v>0</v>
      </c>
      <c r="BR31" s="333">
        <f>AF31</f>
        <v>1294553.57142857</v>
      </c>
      <c r="BS31" s="312">
        <f>T31+U31+V31+W31</f>
        <v>500000</v>
      </c>
      <c r="BT31" s="281">
        <f t="shared" si="76"/>
        <v>6410255</v>
      </c>
      <c r="BU31" s="282">
        <f t="shared" si="77"/>
        <v>0</v>
      </c>
      <c r="BV31" s="312"/>
      <c r="BW31" s="277">
        <f t="shared" si="78"/>
        <v>0</v>
      </c>
      <c r="BX31" s="277">
        <f t="shared" si="79"/>
        <v>0</v>
      </c>
      <c r="BY31" s="284">
        <f t="shared" si="80"/>
        <v>0</v>
      </c>
      <c r="BZ31" s="277">
        <f t="shared" si="81"/>
        <v>6410255</v>
      </c>
      <c r="CA31" s="277">
        <f t="shared" si="82"/>
        <v>641025.5</v>
      </c>
      <c r="CB31" s="283">
        <f t="shared" si="83"/>
        <v>7563783</v>
      </c>
      <c r="CC31" s="312"/>
      <c r="CD31" s="278">
        <f t="shared" si="63"/>
        <v>0</v>
      </c>
      <c r="CE31" s="285">
        <f t="shared" si="84"/>
        <v>7563783</v>
      </c>
      <c r="CF31" s="352">
        <f>CE31-CG31</f>
        <v>0</v>
      </c>
      <c r="CG31" s="286">
        <f>CE31</f>
        <v>7563783</v>
      </c>
      <c r="CH31" s="334"/>
      <c r="CI31" s="373" t="s">
        <v>213</v>
      </c>
      <c r="CJ31" s="353"/>
      <c r="CK31" s="271">
        <v>2</v>
      </c>
      <c r="CL31" s="299"/>
      <c r="CM31" s="374"/>
      <c r="CN31" s="374"/>
      <c r="CO31" s="374"/>
      <c r="CP31" s="337"/>
      <c r="CQ31" s="338"/>
      <c r="CR31" s="337"/>
      <c r="CS31" s="339"/>
      <c r="CT31" s="339"/>
      <c r="CU31" s="339"/>
      <c r="CV31" s="340"/>
      <c r="CW31" s="340"/>
      <c r="CX31" s="340"/>
      <c r="CY31" s="314">
        <f>IF(CX31&gt;0,CX31,IF(CW31&gt;0,CW31,6000000))</f>
        <v>6000000</v>
      </c>
      <c r="CZ31" s="341"/>
      <c r="DA31" s="342"/>
      <c r="DB31" s="354" t="s">
        <v>214</v>
      </c>
      <c r="DC31" s="341"/>
      <c r="DE31" s="345"/>
      <c r="DF31" s="346"/>
      <c r="DG31" s="299"/>
    </row>
    <row r="32" spans="1:111" s="109" customFormat="1" ht="27" customHeight="1">
      <c r="A32" s="320"/>
      <c r="B32" s="321"/>
      <c r="C32" s="322"/>
      <c r="D32" s="323"/>
      <c r="E32" s="320"/>
      <c r="F32" s="320"/>
      <c r="G32" s="320"/>
      <c r="H32" s="324"/>
      <c r="I32" s="325"/>
      <c r="J32" s="326">
        <f ca="1">SUM(J27:J88)</f>
        <v>0</v>
      </c>
      <c r="K32" s="327"/>
      <c r="L32" s="326">
        <f t="shared" ref="L32:AC32" si="96">SUM(L27:L31)</f>
        <v>119</v>
      </c>
      <c r="M32" s="326">
        <f t="shared" si="96"/>
        <v>762.21</v>
      </c>
      <c r="N32" s="326">
        <f t="shared" si="96"/>
        <v>368.7</v>
      </c>
      <c r="O32" s="326">
        <f t="shared" si="96"/>
        <v>32</v>
      </c>
      <c r="P32" s="326">
        <f t="shared" si="96"/>
        <v>0</v>
      </c>
      <c r="Q32" s="326">
        <f t="shared" si="96"/>
        <v>0</v>
      </c>
      <c r="R32" s="326">
        <f t="shared" si="96"/>
        <v>0</v>
      </c>
      <c r="S32" s="326">
        <f t="shared" si="96"/>
        <v>21240000</v>
      </c>
      <c r="T32" s="326">
        <f t="shared" si="96"/>
        <v>2089285.7142857099</v>
      </c>
      <c r="U32" s="326">
        <f t="shared" si="96"/>
        <v>0</v>
      </c>
      <c r="V32" s="326">
        <f t="shared" si="96"/>
        <v>0</v>
      </c>
      <c r="W32" s="326">
        <f t="shared" si="96"/>
        <v>0</v>
      </c>
      <c r="X32" s="326">
        <f t="shared" si="96"/>
        <v>0</v>
      </c>
      <c r="Y32" s="326">
        <f t="shared" si="96"/>
        <v>0</v>
      </c>
      <c r="Z32" s="326">
        <f t="shared" si="96"/>
        <v>0</v>
      </c>
      <c r="AA32" s="326">
        <f t="shared" si="96"/>
        <v>32869400</v>
      </c>
      <c r="AB32" s="326">
        <f t="shared" si="96"/>
        <v>12500000</v>
      </c>
      <c r="AC32" s="326">
        <f t="shared" si="96"/>
        <v>6000000</v>
      </c>
      <c r="AD32" s="326"/>
      <c r="AE32" s="326">
        <f t="shared" ref="AE32:BJ32" si="97">SUM(AE27:AE31)</f>
        <v>22739128.598214298</v>
      </c>
      <c r="AF32" s="326">
        <f t="shared" si="97"/>
        <v>15769890.9107143</v>
      </c>
      <c r="AG32" s="326">
        <f t="shared" si="97"/>
        <v>0</v>
      </c>
      <c r="AH32" s="326">
        <f t="shared" si="97"/>
        <v>0</v>
      </c>
      <c r="AI32" s="326">
        <f t="shared" si="97"/>
        <v>1607153</v>
      </c>
      <c r="AJ32" s="326">
        <f t="shared" si="97"/>
        <v>0</v>
      </c>
      <c r="AK32" s="326">
        <f t="shared" si="97"/>
        <v>0</v>
      </c>
      <c r="AL32" s="326">
        <f t="shared" si="97"/>
        <v>6000000</v>
      </c>
      <c r="AM32" s="326">
        <f t="shared" si="97"/>
        <v>3446506</v>
      </c>
      <c r="AN32" s="326">
        <f t="shared" si="97"/>
        <v>9730380</v>
      </c>
      <c r="AO32" s="326">
        <f t="shared" si="97"/>
        <v>202619</v>
      </c>
      <c r="AP32" s="326">
        <f t="shared" si="97"/>
        <v>0</v>
      </c>
      <c r="AQ32" s="326">
        <f t="shared" si="97"/>
        <v>500000</v>
      </c>
      <c r="AR32" s="326">
        <f t="shared" si="97"/>
        <v>0</v>
      </c>
      <c r="AS32" s="326">
        <f t="shared" si="97"/>
        <v>0</v>
      </c>
      <c r="AT32" s="326">
        <f t="shared" si="97"/>
        <v>300000</v>
      </c>
      <c r="AU32" s="326">
        <f t="shared" si="97"/>
        <v>0</v>
      </c>
      <c r="AV32" s="326">
        <f t="shared" si="97"/>
        <v>0</v>
      </c>
      <c r="AW32" s="326">
        <f t="shared" si="97"/>
        <v>0</v>
      </c>
      <c r="AX32" s="326">
        <f t="shared" si="97"/>
        <v>0</v>
      </c>
      <c r="AY32" s="326">
        <f t="shared" si="97"/>
        <v>0</v>
      </c>
      <c r="AZ32" s="326">
        <f t="shared" si="97"/>
        <v>0</v>
      </c>
      <c r="BA32" s="326">
        <f t="shared" si="97"/>
        <v>0</v>
      </c>
      <c r="BB32" s="326">
        <f t="shared" si="97"/>
        <v>0</v>
      </c>
      <c r="BC32" s="326">
        <f t="shared" si="97"/>
        <v>100000</v>
      </c>
      <c r="BD32" s="326">
        <f t="shared" si="97"/>
        <v>0</v>
      </c>
      <c r="BE32" s="326">
        <f t="shared" si="97"/>
        <v>90000</v>
      </c>
      <c r="BF32" s="326">
        <f t="shared" si="97"/>
        <v>500000</v>
      </c>
      <c r="BG32" s="326">
        <f t="shared" si="97"/>
        <v>61694963.223214298</v>
      </c>
      <c r="BH32" s="326">
        <f t="shared" si="97"/>
        <v>3717000</v>
      </c>
      <c r="BI32" s="326">
        <f t="shared" si="97"/>
        <v>637200</v>
      </c>
      <c r="BJ32" s="326">
        <f t="shared" si="97"/>
        <v>212400</v>
      </c>
      <c r="BK32" s="326">
        <f t="shared" ref="BK32:CP32" si="98">SUM(BK27:BK31)</f>
        <v>0</v>
      </c>
      <c r="BL32" s="326">
        <f t="shared" si="98"/>
        <v>4566600</v>
      </c>
      <c r="BM32" s="326">
        <f t="shared" si="98"/>
        <v>1699200</v>
      </c>
      <c r="BN32" s="326">
        <f t="shared" si="98"/>
        <v>318600</v>
      </c>
      <c r="BO32" s="326">
        <f t="shared" si="98"/>
        <v>212400</v>
      </c>
      <c r="BP32" s="326">
        <f t="shared" si="98"/>
        <v>0</v>
      </c>
      <c r="BQ32" s="326">
        <f t="shared" si="98"/>
        <v>2230200</v>
      </c>
      <c r="BR32" s="326">
        <f t="shared" si="98"/>
        <v>13343707.875</v>
      </c>
      <c r="BS32" s="326">
        <f t="shared" si="98"/>
        <v>1589285.7142857099</v>
      </c>
      <c r="BT32" s="326">
        <f t="shared" si="98"/>
        <v>46761969.633928597</v>
      </c>
      <c r="BU32" s="326">
        <f t="shared" si="98"/>
        <v>62000000</v>
      </c>
      <c r="BV32" s="326">
        <f t="shared" si="98"/>
        <v>1</v>
      </c>
      <c r="BW32" s="326">
        <f t="shared" si="98"/>
        <v>6200000</v>
      </c>
      <c r="BX32" s="326">
        <f t="shared" si="98"/>
        <v>2230200</v>
      </c>
      <c r="BY32" s="326">
        <f t="shared" si="98"/>
        <v>70430200</v>
      </c>
      <c r="BZ32" s="326">
        <f t="shared" si="98"/>
        <v>6410255</v>
      </c>
      <c r="CA32" s="326">
        <f t="shared" si="98"/>
        <v>2301630.5</v>
      </c>
      <c r="CB32" s="326">
        <f t="shared" si="98"/>
        <v>57163132</v>
      </c>
      <c r="CC32" s="326">
        <f t="shared" si="98"/>
        <v>0</v>
      </c>
      <c r="CD32" s="326">
        <f t="shared" si="98"/>
        <v>6000000</v>
      </c>
      <c r="CE32" s="326">
        <f t="shared" si="98"/>
        <v>51163132</v>
      </c>
      <c r="CF32" s="326">
        <f t="shared" si="98"/>
        <v>0</v>
      </c>
      <c r="CG32" s="326">
        <f t="shared" si="98"/>
        <v>51163132</v>
      </c>
      <c r="CH32" s="326">
        <f t="shared" si="98"/>
        <v>0</v>
      </c>
      <c r="CI32" s="326">
        <f t="shared" si="98"/>
        <v>0</v>
      </c>
      <c r="CJ32" s="326">
        <f t="shared" si="98"/>
        <v>25679965</v>
      </c>
      <c r="CK32" s="326">
        <f t="shared" si="98"/>
        <v>22</v>
      </c>
      <c r="CL32" s="326">
        <f t="shared" si="98"/>
        <v>0</v>
      </c>
      <c r="CM32" s="326">
        <f t="shared" si="98"/>
        <v>69</v>
      </c>
      <c r="CN32" s="326">
        <f t="shared" si="98"/>
        <v>10</v>
      </c>
      <c r="CO32" s="326">
        <f t="shared" si="98"/>
        <v>6071</v>
      </c>
      <c r="CP32" s="326">
        <f t="shared" si="98"/>
        <v>24</v>
      </c>
      <c r="CQ32" s="326">
        <f t="shared" ref="CQ32:DC32" si="99">SUM(CQ27:CQ31)</f>
        <v>39</v>
      </c>
      <c r="CR32" s="326">
        <f t="shared" si="99"/>
        <v>26</v>
      </c>
      <c r="CS32" s="326">
        <f t="shared" si="99"/>
        <v>2</v>
      </c>
      <c r="CT32" s="326">
        <f t="shared" si="99"/>
        <v>2</v>
      </c>
      <c r="CU32" s="326">
        <f t="shared" si="99"/>
        <v>2</v>
      </c>
      <c r="CV32" s="326">
        <f t="shared" si="99"/>
        <v>6869400</v>
      </c>
      <c r="CW32" s="326">
        <f t="shared" si="99"/>
        <v>6500000</v>
      </c>
      <c r="CX32" s="326">
        <f t="shared" si="99"/>
        <v>7869400</v>
      </c>
      <c r="CY32" s="326">
        <f t="shared" si="99"/>
        <v>32369400</v>
      </c>
      <c r="CZ32" s="326">
        <f t="shared" si="99"/>
        <v>0</v>
      </c>
      <c r="DA32" s="326">
        <f t="shared" si="99"/>
        <v>25679965</v>
      </c>
      <c r="DB32" s="326">
        <f t="shared" si="99"/>
        <v>0</v>
      </c>
      <c r="DC32" s="326">
        <f t="shared" si="99"/>
        <v>0</v>
      </c>
      <c r="DD32" s="361"/>
      <c r="DE32" s="362"/>
      <c r="DF32" s="346">
        <f>VLOOKUP($D32,'[2]Med Service'!$D$11:$DI$87,110,0)</f>
        <v>0</v>
      </c>
      <c r="DG32" s="270"/>
    </row>
    <row r="33" spans="1:111" s="111" customFormat="1" ht="21.75" customHeight="1">
      <c r="A33" s="262">
        <v>27</v>
      </c>
      <c r="B33" s="263" t="s">
        <v>113</v>
      </c>
      <c r="C33" s="307" t="s">
        <v>114</v>
      </c>
      <c r="D33" s="265" t="s">
        <v>115</v>
      </c>
      <c r="E33" s="262" t="str">
        <f>IF(OR(G33="CHT",G33="DSBC"),"HĐLĐ",IF(OR(G33="DSTV",G33="Q.CHT"),"HĐTV","HĐCTV"))</f>
        <v>HĐLĐ</v>
      </c>
      <c r="F33" s="262" t="s">
        <v>215</v>
      </c>
      <c r="G33" s="262" t="s">
        <v>154</v>
      </c>
      <c r="H33" s="308">
        <v>45352</v>
      </c>
      <c r="I33" s="309" t="s">
        <v>118</v>
      </c>
      <c r="J33" s="309" t="s">
        <v>119</v>
      </c>
      <c r="K33" s="268">
        <v>28</v>
      </c>
      <c r="L33" s="299">
        <v>28</v>
      </c>
      <c r="M33" s="375">
        <v>272.06</v>
      </c>
      <c r="N33" s="375">
        <v>6.88</v>
      </c>
      <c r="O33" s="270">
        <v>0</v>
      </c>
      <c r="P33" s="347"/>
      <c r="Q33" s="270"/>
      <c r="R33" s="348"/>
      <c r="S33" s="270">
        <f t="shared" ref="S33:S40" si="100">IF(E33="HĐLĐ",5310000,0)</f>
        <v>5310000</v>
      </c>
      <c r="T33" s="273">
        <f t="shared" si="31"/>
        <v>500000</v>
      </c>
      <c r="U33" s="376"/>
      <c r="V33" s="347"/>
      <c r="W33" s="347"/>
      <c r="X33" s="347"/>
      <c r="Y33" s="347"/>
      <c r="Z33" s="347"/>
      <c r="AA33" s="331">
        <f>CY33</f>
        <v>6500000</v>
      </c>
      <c r="AB33" s="347"/>
      <c r="AC33" s="347"/>
      <c r="AD33" s="347"/>
      <c r="AE33" s="275">
        <f t="shared" ref="AE33:AE40" si="101">IF(E33="HĐTV",AC33/28/8*M33,AA33/28/8*M33)</f>
        <v>7894598.2142857099</v>
      </c>
      <c r="AF33" s="276">
        <f t="shared" si="11"/>
        <v>299464.28571428597</v>
      </c>
      <c r="AG33" s="377">
        <v>1500000</v>
      </c>
      <c r="AH33" s="377">
        <v>0</v>
      </c>
      <c r="AI33" s="377">
        <v>0</v>
      </c>
      <c r="AJ33" s="377"/>
      <c r="AK33" s="377"/>
      <c r="AL33" s="377">
        <v>0</v>
      </c>
      <c r="AM33" s="377">
        <v>0</v>
      </c>
      <c r="AN33" s="377">
        <v>1265850</v>
      </c>
      <c r="AO33" s="377">
        <v>0</v>
      </c>
      <c r="AP33" s="377">
        <v>60</v>
      </c>
      <c r="AQ33" s="377">
        <v>0</v>
      </c>
      <c r="AR33" s="276"/>
      <c r="AS33" s="300">
        <v>45000</v>
      </c>
      <c r="AT33" s="300">
        <v>300000</v>
      </c>
      <c r="AU33" s="276">
        <v>0</v>
      </c>
      <c r="AV33" s="276"/>
      <c r="AW33" s="276"/>
      <c r="AX33" s="349"/>
      <c r="AY33" s="350"/>
      <c r="AZ33" s="351"/>
      <c r="BA33" s="276">
        <v>0</v>
      </c>
      <c r="BB33" s="276">
        <v>0</v>
      </c>
      <c r="BC33" s="276">
        <v>0</v>
      </c>
      <c r="BD33" s="276">
        <v>0</v>
      </c>
      <c r="BE33" s="276">
        <v>0</v>
      </c>
      <c r="BF33" s="276">
        <v>0</v>
      </c>
      <c r="BG33" s="279">
        <f t="shared" si="61"/>
        <v>11804972.5</v>
      </c>
      <c r="BH33" s="277">
        <f t="shared" ref="BH33:BH40" si="102">S33*17.5%</f>
        <v>929250</v>
      </c>
      <c r="BI33" s="277">
        <f t="shared" ref="BI33:BI40" si="103">S33*3%</f>
        <v>159300</v>
      </c>
      <c r="BJ33" s="277">
        <f t="shared" ref="BJ33:BJ40" si="104">S33*1%</f>
        <v>53100</v>
      </c>
      <c r="BK33" s="277"/>
      <c r="BL33" s="280">
        <f t="shared" ref="BL33:BL40" si="105">SUM(BH33:BK33)</f>
        <v>1141650</v>
      </c>
      <c r="BM33" s="277">
        <f t="shared" ref="BM33:BM40" si="106">S33*8%</f>
        <v>424800</v>
      </c>
      <c r="BN33" s="277">
        <f t="shared" ref="BN33:BN40" si="107">S33*1.5%</f>
        <v>79650</v>
      </c>
      <c r="BO33" s="277">
        <f t="shared" ref="BO33:BO40" si="108">S33*1%</f>
        <v>53100</v>
      </c>
      <c r="BP33" s="277"/>
      <c r="BQ33" s="280">
        <f t="shared" ref="BQ33:BQ40" si="109">SUM(BM33:BP33)</f>
        <v>557550</v>
      </c>
      <c r="BR33" s="333">
        <f>AF33</f>
        <v>299464.28571428597</v>
      </c>
      <c r="BS33" s="312">
        <f>T33+U33+V33+W33</f>
        <v>500000</v>
      </c>
      <c r="BT33" s="281">
        <f t="shared" ref="BT33:BT40" si="110">BG33-BS33-BR33</f>
        <v>11005508.2142857</v>
      </c>
      <c r="BU33" s="282">
        <f t="shared" ref="BU33:BU40" si="111">IF(E33="HĐLĐ",15500000,0)</f>
        <v>15500000</v>
      </c>
      <c r="BV33" s="311"/>
      <c r="BW33" s="277">
        <f t="shared" ref="BW33:BW40" si="112">BV33*6200000</f>
        <v>0</v>
      </c>
      <c r="BX33" s="277">
        <f t="shared" ref="BX33:BX40" si="113">BQ33</f>
        <v>557550</v>
      </c>
      <c r="BY33" s="284">
        <f t="shared" ref="BY33:BY40" si="114">BU33+BW33+BX33</f>
        <v>16057550</v>
      </c>
      <c r="BZ33" s="277">
        <f t="shared" ref="BZ33:BZ40" si="115">IF(BT33-BY33&gt;0,BT33-BY33,0)</f>
        <v>0</v>
      </c>
      <c r="CA33" s="277">
        <f t="shared" ref="CA33:CA40" si="116">IF(AND(OR($E33="HĐTV",$E33="HĐCTV"),$BZ33&lt;5000000),0,IF(OR($E33="HĐTV",$E33="HĐCTV"),$BZ33*10%,ROUND(IF($BZ33&lt;=10000000,$BZ33*5%,IF($BZ33&lt;=30000000,$BZ33*10%-500000,IF($BZ33&lt;=60000000,$BZ33*20%-3500000,IF($BZ33&lt;=100000000,$BZ33*30%-9500000,$BZ33*35%-14500000)))),0)))</f>
        <v>0</v>
      </c>
      <c r="CB33" s="283">
        <f t="shared" ref="CB33:CB40" si="117">ROUND(BG33-BQ33-CA33,0)</f>
        <v>11247423</v>
      </c>
      <c r="CC33" s="311"/>
      <c r="CD33" s="278">
        <f t="shared" ref="CD33:CD40" si="118">AV33+AW33</f>
        <v>0</v>
      </c>
      <c r="CE33" s="285">
        <f t="shared" ref="CE33:CE40" si="119">CB33+CC33-CD33</f>
        <v>11247423</v>
      </c>
      <c r="CF33" s="333">
        <f t="shared" ref="CF33:CF40" si="120">CE33-CG33</f>
        <v>0</v>
      </c>
      <c r="CG33" s="286">
        <f t="shared" ref="CG33:CG40" si="121">CE33</f>
        <v>11247423</v>
      </c>
      <c r="CH33" s="334"/>
      <c r="CI33" s="378" t="s">
        <v>120</v>
      </c>
      <c r="CJ33" s="270">
        <f>VLOOKUP(D33,[1]CNT!$C$6:$AP$113,40,0)</f>
        <v>0</v>
      </c>
      <c r="CK33" s="289">
        <v>11</v>
      </c>
      <c r="CL33" s="270">
        <f>VLOOKUP(D33,[1]CNT!C36:AJ99,15,0)</f>
        <v>0</v>
      </c>
      <c r="CM33" s="336">
        <v>1</v>
      </c>
      <c r="CN33" s="336">
        <v>3</v>
      </c>
      <c r="CO33" s="336">
        <v>2024</v>
      </c>
      <c r="CP33" s="337">
        <f>IF((($CO$8-CO33)*12)+($CN$8-CN33)&gt;=12,((($CO$8-CO33)*12)+($CN$8-CN33))-1,0)</f>
        <v>0</v>
      </c>
      <c r="CQ33" s="338">
        <f>IF(CP33&lt;12,(($CQ$8-CO33)*12)+($CP$8-CN33),0)</f>
        <v>26</v>
      </c>
      <c r="CR33" s="337">
        <f>IF(OR(CP33&gt;12,CP33=12),((CP33-(CS33*12))+((($CQ$8-2024)*12)+($CP$8-4)))+1,0)</f>
        <v>0</v>
      </c>
      <c r="CS33" s="339">
        <f>IF(OR(CP33&gt;12,CP33=12),ROUNDDOWN(CP33/12,0),0)</f>
        <v>0</v>
      </c>
      <c r="CT33" s="339">
        <f>IF(CQ33&gt;11,ROUNDDOWN(CQ33/12,0),0)</f>
        <v>2</v>
      </c>
      <c r="CU33" s="339">
        <f>IF(CR33&gt;11,ROUNDDOWN(CR33/12,0),0)</f>
        <v>0</v>
      </c>
      <c r="CV33" s="340">
        <f>IF(CP33=0,0,6000000*1.07^CS33)</f>
        <v>0</v>
      </c>
      <c r="CW33" s="340">
        <f>IF(CT33&lt;2,0,6000000+(CT33-1)*500000)</f>
        <v>6500000</v>
      </c>
      <c r="CX33" s="340">
        <f>IF(CU33=0,CV33,IF(CU33&lt;1,0,CV33+CU33*500000))</f>
        <v>0</v>
      </c>
      <c r="CY33" s="314">
        <f>IF(CX33&gt;0,CX33,IF(CW33&gt;0,CW33,6000000))</f>
        <v>6500000</v>
      </c>
      <c r="CZ33" s="341"/>
      <c r="DA33" s="379"/>
      <c r="DB33" s="343"/>
      <c r="DC33" s="341"/>
      <c r="DE33" s="345"/>
      <c r="DF33" s="346">
        <f>VLOOKUP($D33,'[2]Med Service'!$D$11:$DI$87,110,0)</f>
        <v>1035547</v>
      </c>
      <c r="DG33" s="270" t="str">
        <f>VLOOKUP($D33,'[3]BẢNG LƯƠNG'!$C$3:$AH$102,32,0)</f>
        <v/>
      </c>
    </row>
    <row r="34" spans="1:111" s="110" customFormat="1" ht="21.75" customHeight="1">
      <c r="A34" s="262"/>
      <c r="B34" s="263" t="s">
        <v>113</v>
      </c>
      <c r="C34" s="307" t="s">
        <v>121</v>
      </c>
      <c r="D34" s="265" t="s">
        <v>122</v>
      </c>
      <c r="E34" s="262" t="str">
        <f t="shared" ref="E34:E37" si="122">IF(OR(G34="CHT",G34="DSBC"),"HĐLĐ",IF(OR(G34="DSTV",G34="Q.CHT"),"HĐTV","HĐCTV"))</f>
        <v>HĐTV</v>
      </c>
      <c r="F34" s="262" t="s">
        <v>215</v>
      </c>
      <c r="G34" s="262" t="s">
        <v>123</v>
      </c>
      <c r="H34" s="308">
        <v>46196</v>
      </c>
      <c r="I34" s="461" t="s">
        <v>124</v>
      </c>
      <c r="J34" s="309" t="s">
        <v>119</v>
      </c>
      <c r="K34" s="380">
        <v>26</v>
      </c>
      <c r="L34" s="299">
        <v>1</v>
      </c>
      <c r="M34" s="375">
        <v>10</v>
      </c>
      <c r="N34" s="375">
        <v>0</v>
      </c>
      <c r="O34" s="270">
        <v>0</v>
      </c>
      <c r="P34" s="347"/>
      <c r="Q34" s="347"/>
      <c r="R34" s="348"/>
      <c r="S34" s="270">
        <f t="shared" si="100"/>
        <v>0</v>
      </c>
      <c r="T34" s="273">
        <f t="shared" si="31"/>
        <v>17857.142857142899</v>
      </c>
      <c r="U34" s="347"/>
      <c r="V34" s="347"/>
      <c r="W34" s="347"/>
      <c r="X34" s="347"/>
      <c r="Y34" s="347"/>
      <c r="Z34" s="347"/>
      <c r="AA34" s="310">
        <f>CY34</f>
        <v>6000000</v>
      </c>
      <c r="AB34" s="311">
        <f t="shared" ref="AB34:AB39" si="123">AA34</f>
        <v>6000000</v>
      </c>
      <c r="AC34" s="312">
        <v>6000000</v>
      </c>
      <c r="AD34" s="313"/>
      <c r="AE34" s="275">
        <f t="shared" si="101"/>
        <v>267857.14285714302</v>
      </c>
      <c r="AF34" s="276">
        <f t="shared" si="11"/>
        <v>0</v>
      </c>
      <c r="AG34" s="377">
        <v>0</v>
      </c>
      <c r="AH34" s="377">
        <v>0</v>
      </c>
      <c r="AI34" s="377">
        <v>0</v>
      </c>
      <c r="AJ34" s="377"/>
      <c r="AK34" s="377"/>
      <c r="AL34" s="377">
        <v>0</v>
      </c>
      <c r="AM34" s="377">
        <v>0</v>
      </c>
      <c r="AN34" s="377">
        <v>0</v>
      </c>
      <c r="AO34" s="377">
        <v>6601</v>
      </c>
      <c r="AP34" s="377">
        <v>0</v>
      </c>
      <c r="AQ34" s="377">
        <v>0</v>
      </c>
      <c r="AR34" s="276"/>
      <c r="AS34" s="300">
        <v>0</v>
      </c>
      <c r="AT34" s="300">
        <v>0</v>
      </c>
      <c r="AU34" s="276">
        <v>0</v>
      </c>
      <c r="AV34" s="276"/>
      <c r="AW34" s="276"/>
      <c r="AX34" s="276"/>
      <c r="AY34" s="276"/>
      <c r="AZ34" s="276"/>
      <c r="BA34" s="276">
        <v>0</v>
      </c>
      <c r="BB34" s="276">
        <v>0</v>
      </c>
      <c r="BC34" s="276">
        <v>0</v>
      </c>
      <c r="BD34" s="276">
        <v>0</v>
      </c>
      <c r="BE34" s="276">
        <v>0</v>
      </c>
      <c r="BF34" s="276">
        <v>0</v>
      </c>
      <c r="BG34" s="279">
        <f t="shared" si="61"/>
        <v>292315.28571428597</v>
      </c>
      <c r="BH34" s="277">
        <f t="shared" si="102"/>
        <v>0</v>
      </c>
      <c r="BI34" s="277">
        <f t="shared" si="103"/>
        <v>0</v>
      </c>
      <c r="BJ34" s="277">
        <f t="shared" si="104"/>
        <v>0</v>
      </c>
      <c r="BK34" s="277"/>
      <c r="BL34" s="280">
        <f t="shared" si="105"/>
        <v>0</v>
      </c>
      <c r="BM34" s="277">
        <f t="shared" si="106"/>
        <v>0</v>
      </c>
      <c r="BN34" s="277">
        <f t="shared" si="107"/>
        <v>0</v>
      </c>
      <c r="BO34" s="277">
        <f t="shared" si="108"/>
        <v>0</v>
      </c>
      <c r="BP34" s="277"/>
      <c r="BQ34" s="280">
        <f t="shared" si="109"/>
        <v>0</v>
      </c>
      <c r="BR34" s="333"/>
      <c r="BS34" s="312"/>
      <c r="BT34" s="281">
        <f t="shared" si="110"/>
        <v>292315.28571428597</v>
      </c>
      <c r="BU34" s="282">
        <f t="shared" si="111"/>
        <v>0</v>
      </c>
      <c r="BV34" s="311"/>
      <c r="BW34" s="277">
        <f t="shared" si="112"/>
        <v>0</v>
      </c>
      <c r="BX34" s="277">
        <f t="shared" si="113"/>
        <v>0</v>
      </c>
      <c r="BY34" s="284">
        <f t="shared" si="114"/>
        <v>0</v>
      </c>
      <c r="BZ34" s="277">
        <f t="shared" si="115"/>
        <v>292315.28571428597</v>
      </c>
      <c r="CA34" s="277">
        <f t="shared" si="116"/>
        <v>0</v>
      </c>
      <c r="CB34" s="283">
        <f t="shared" si="117"/>
        <v>292315</v>
      </c>
      <c r="CC34" s="311"/>
      <c r="CD34" s="278">
        <f t="shared" si="118"/>
        <v>0</v>
      </c>
      <c r="CE34" s="285">
        <f t="shared" si="119"/>
        <v>292315</v>
      </c>
      <c r="CF34" s="333">
        <f t="shared" si="120"/>
        <v>0</v>
      </c>
      <c r="CG34" s="286">
        <f t="shared" si="121"/>
        <v>292315</v>
      </c>
      <c r="CH34" s="334"/>
      <c r="CI34" s="335"/>
      <c r="CJ34" s="270"/>
      <c r="CK34" s="289">
        <v>4</v>
      </c>
      <c r="CL34" s="270"/>
      <c r="CM34" s="336"/>
      <c r="CN34" s="336"/>
      <c r="CO34" s="336"/>
      <c r="CP34" s="337"/>
      <c r="CQ34" s="338"/>
      <c r="CR34" s="337"/>
      <c r="CS34" s="339"/>
      <c r="CT34" s="339"/>
      <c r="CU34" s="339"/>
      <c r="CV34" s="340"/>
      <c r="CW34" s="340"/>
      <c r="CX34" s="314"/>
      <c r="CY34" s="314">
        <f>IF(CX34&gt;0,CX34,IF(CW34&gt;0,CW34,6000000))</f>
        <v>6000000</v>
      </c>
      <c r="CZ34" s="341"/>
      <c r="DA34" s="342"/>
      <c r="DB34" s="343"/>
      <c r="DC34" s="344"/>
      <c r="DE34" s="345"/>
      <c r="DF34" s="346"/>
      <c r="DG34" s="270"/>
    </row>
    <row r="35" spans="1:111" s="111" customFormat="1" ht="21.75" customHeight="1">
      <c r="A35" s="262">
        <v>28</v>
      </c>
      <c r="B35" s="263">
        <v>7</v>
      </c>
      <c r="C35" s="356" t="s">
        <v>216</v>
      </c>
      <c r="D35" s="357" t="s">
        <v>217</v>
      </c>
      <c r="E35" s="262" t="str">
        <f t="shared" si="122"/>
        <v>HĐTV</v>
      </c>
      <c r="F35" s="262" t="s">
        <v>215</v>
      </c>
      <c r="G35" s="317" t="s">
        <v>129</v>
      </c>
      <c r="H35" s="462" t="s">
        <v>218</v>
      </c>
      <c r="I35" s="358" t="s">
        <v>219</v>
      </c>
      <c r="J35" s="358" t="s">
        <v>220</v>
      </c>
      <c r="K35" s="268">
        <v>28</v>
      </c>
      <c r="L35" s="299">
        <v>30</v>
      </c>
      <c r="M35" s="375">
        <v>32.39</v>
      </c>
      <c r="N35" s="375">
        <v>243.48</v>
      </c>
      <c r="O35" s="270">
        <v>16</v>
      </c>
      <c r="P35" s="347"/>
      <c r="Q35" s="329"/>
      <c r="R35" s="348"/>
      <c r="S35" s="270">
        <f t="shared" si="100"/>
        <v>0</v>
      </c>
      <c r="T35" s="273">
        <f t="shared" si="31"/>
        <v>500000</v>
      </c>
      <c r="U35" s="347"/>
      <c r="V35" s="347"/>
      <c r="W35" s="347"/>
      <c r="X35" s="347"/>
      <c r="Y35" s="347"/>
      <c r="Z35" s="347"/>
      <c r="AA35" s="310">
        <v>6000000</v>
      </c>
      <c r="AB35" s="311">
        <f t="shared" si="123"/>
        <v>6000000</v>
      </c>
      <c r="AC35" s="312">
        <v>6000000</v>
      </c>
      <c r="AD35" s="313"/>
      <c r="AE35" s="275">
        <f t="shared" si="101"/>
        <v>867589.28571428603</v>
      </c>
      <c r="AF35" s="276">
        <f t="shared" si="11"/>
        <v>9782678.5714285709</v>
      </c>
      <c r="AG35" s="377">
        <v>0</v>
      </c>
      <c r="AH35" s="377">
        <v>0</v>
      </c>
      <c r="AI35" s="363">
        <v>1500000</v>
      </c>
      <c r="AJ35" s="377"/>
      <c r="AK35" s="377"/>
      <c r="AL35" s="278">
        <v>1400000</v>
      </c>
      <c r="AM35" s="377">
        <v>0</v>
      </c>
      <c r="AN35" s="377">
        <v>846900</v>
      </c>
      <c r="AO35" s="377">
        <v>955</v>
      </c>
      <c r="AP35" s="377">
        <v>0</v>
      </c>
      <c r="AQ35" s="377">
        <v>0</v>
      </c>
      <c r="AR35" s="276"/>
      <c r="AS35" s="300">
        <v>0</v>
      </c>
      <c r="AT35" s="300">
        <v>0</v>
      </c>
      <c r="AU35" s="276">
        <v>0</v>
      </c>
      <c r="AV35" s="276"/>
      <c r="AW35" s="278"/>
      <c r="AX35" s="349"/>
      <c r="AY35" s="351"/>
      <c r="AZ35" s="351"/>
      <c r="BA35" s="276">
        <v>0</v>
      </c>
      <c r="BB35" s="276">
        <v>0</v>
      </c>
      <c r="BC35" s="276">
        <v>0</v>
      </c>
      <c r="BD35" s="276">
        <v>0</v>
      </c>
      <c r="BE35" s="276">
        <v>0</v>
      </c>
      <c r="BF35" s="276">
        <v>500000</v>
      </c>
      <c r="BG35" s="279">
        <f t="shared" si="61"/>
        <v>14398122.857142899</v>
      </c>
      <c r="BH35" s="277">
        <f t="shared" si="102"/>
        <v>0</v>
      </c>
      <c r="BI35" s="277">
        <f t="shared" si="103"/>
        <v>0</v>
      </c>
      <c r="BJ35" s="277">
        <f t="shared" si="104"/>
        <v>0</v>
      </c>
      <c r="BK35" s="277"/>
      <c r="BL35" s="280">
        <f t="shared" si="105"/>
        <v>0</v>
      </c>
      <c r="BM35" s="277">
        <f t="shared" si="106"/>
        <v>0</v>
      </c>
      <c r="BN35" s="277">
        <f t="shared" si="107"/>
        <v>0</v>
      </c>
      <c r="BO35" s="277">
        <f t="shared" si="108"/>
        <v>0</v>
      </c>
      <c r="BP35" s="277"/>
      <c r="BQ35" s="280">
        <f t="shared" si="109"/>
        <v>0</v>
      </c>
      <c r="BR35" s="333">
        <f>AF35</f>
        <v>9782678.5714285709</v>
      </c>
      <c r="BS35" s="312">
        <f>T35+U35+V35+W35</f>
        <v>500000</v>
      </c>
      <c r="BT35" s="281">
        <f t="shared" si="110"/>
        <v>4115444.2857142901</v>
      </c>
      <c r="BU35" s="282">
        <f t="shared" si="111"/>
        <v>0</v>
      </c>
      <c r="BV35" s="312"/>
      <c r="BW35" s="277">
        <f t="shared" si="112"/>
        <v>0</v>
      </c>
      <c r="BX35" s="277">
        <f t="shared" si="113"/>
        <v>0</v>
      </c>
      <c r="BY35" s="284">
        <f t="shared" si="114"/>
        <v>0</v>
      </c>
      <c r="BZ35" s="277">
        <f t="shared" si="115"/>
        <v>4115444.2857142901</v>
      </c>
      <c r="CA35" s="277">
        <f t="shared" si="116"/>
        <v>0</v>
      </c>
      <c r="CB35" s="283">
        <f t="shared" si="117"/>
        <v>14398123</v>
      </c>
      <c r="CC35" s="312"/>
      <c r="CD35" s="278">
        <f t="shared" si="118"/>
        <v>0</v>
      </c>
      <c r="CE35" s="285">
        <f t="shared" si="119"/>
        <v>14398123</v>
      </c>
      <c r="CF35" s="352">
        <f t="shared" si="120"/>
        <v>0</v>
      </c>
      <c r="CG35" s="286">
        <f t="shared" si="121"/>
        <v>14398123</v>
      </c>
      <c r="CH35" s="334"/>
      <c r="CI35" s="373" t="s">
        <v>221</v>
      </c>
      <c r="CJ35" s="353"/>
      <c r="CK35" s="271">
        <v>5</v>
      </c>
      <c r="CL35" s="299"/>
      <c r="CM35" s="374"/>
      <c r="CN35" s="374"/>
      <c r="CO35" s="374"/>
      <c r="CP35" s="337"/>
      <c r="CQ35" s="338"/>
      <c r="CR35" s="337"/>
      <c r="CS35" s="339"/>
      <c r="CT35" s="339"/>
      <c r="CU35" s="339"/>
      <c r="CV35" s="340"/>
      <c r="CW35" s="340"/>
      <c r="CX35" s="340"/>
      <c r="CY35" s="314">
        <f>IF(CX35&gt;0,CX35,IF(CW35&gt;0,CW35,6000000))</f>
        <v>6000000</v>
      </c>
      <c r="CZ35" s="341"/>
      <c r="DA35" s="342"/>
      <c r="DB35" s="354" t="s">
        <v>214</v>
      </c>
      <c r="DC35" s="341"/>
      <c r="DE35" s="345"/>
      <c r="DF35" s="346"/>
      <c r="DG35" s="299"/>
    </row>
    <row r="36" spans="1:111" s="110" customFormat="1" ht="21.75" customHeight="1">
      <c r="A36" s="262" t="s">
        <v>193</v>
      </c>
      <c r="B36" s="263">
        <v>7</v>
      </c>
      <c r="C36" s="307" t="s">
        <v>222</v>
      </c>
      <c r="D36" s="265" t="s">
        <v>223</v>
      </c>
      <c r="E36" s="262" t="str">
        <f t="shared" si="122"/>
        <v>HĐTV</v>
      </c>
      <c r="F36" s="262" t="s">
        <v>215</v>
      </c>
      <c r="G36" s="262" t="s">
        <v>129</v>
      </c>
      <c r="H36" s="460" t="s">
        <v>224</v>
      </c>
      <c r="I36" s="309" t="s">
        <v>225</v>
      </c>
      <c r="J36" s="309" t="s">
        <v>132</v>
      </c>
      <c r="K36" s="268">
        <v>28</v>
      </c>
      <c r="L36" s="299">
        <v>27</v>
      </c>
      <c r="M36" s="375">
        <v>4.17</v>
      </c>
      <c r="N36" s="375">
        <v>217.89</v>
      </c>
      <c r="O36" s="270">
        <v>0</v>
      </c>
      <c r="P36" s="270"/>
      <c r="Q36" s="329"/>
      <c r="R36" s="270"/>
      <c r="S36" s="270">
        <f t="shared" si="100"/>
        <v>0</v>
      </c>
      <c r="T36" s="273">
        <f t="shared" si="31"/>
        <v>482142.85714285698</v>
      </c>
      <c r="U36" s="270"/>
      <c r="V36" s="330"/>
      <c r="W36" s="270"/>
      <c r="X36" s="270"/>
      <c r="Y36" s="270"/>
      <c r="Z36" s="270"/>
      <c r="AA36" s="310">
        <v>6000000</v>
      </c>
      <c r="AB36" s="311">
        <f t="shared" si="123"/>
        <v>6000000</v>
      </c>
      <c r="AC36" s="312">
        <v>6000000</v>
      </c>
      <c r="AD36" s="313"/>
      <c r="AE36" s="275">
        <f t="shared" si="101"/>
        <v>111696.428571429</v>
      </c>
      <c r="AF36" s="276">
        <f t="shared" si="11"/>
        <v>8754508.9285714291</v>
      </c>
      <c r="AG36" s="377">
        <v>0</v>
      </c>
      <c r="AH36" s="377">
        <v>0</v>
      </c>
      <c r="AI36" s="363">
        <v>1446429</v>
      </c>
      <c r="AJ36" s="377"/>
      <c r="AK36" s="377"/>
      <c r="AL36" s="278">
        <v>2000000</v>
      </c>
      <c r="AM36" s="377">
        <v>0</v>
      </c>
      <c r="AN36" s="377">
        <v>1106640</v>
      </c>
      <c r="AO36" s="377">
        <v>0</v>
      </c>
      <c r="AP36" s="377">
        <v>20</v>
      </c>
      <c r="AQ36" s="377">
        <v>0</v>
      </c>
      <c r="AR36" s="276"/>
      <c r="AS36" s="300">
        <v>0</v>
      </c>
      <c r="AT36" s="300">
        <v>0</v>
      </c>
      <c r="AU36" s="276">
        <v>0</v>
      </c>
      <c r="AV36" s="276"/>
      <c r="AW36" s="276"/>
      <c r="AX36" s="276"/>
      <c r="AY36" s="367"/>
      <c r="AZ36" s="276">
        <v>0</v>
      </c>
      <c r="BA36" s="276">
        <v>0</v>
      </c>
      <c r="BB36" s="276">
        <v>0</v>
      </c>
      <c r="BC36" s="276">
        <v>100000</v>
      </c>
      <c r="BD36" s="276">
        <v>0</v>
      </c>
      <c r="BE36" s="276">
        <v>0</v>
      </c>
      <c r="BF36" s="276">
        <v>0</v>
      </c>
      <c r="BG36" s="279">
        <f t="shared" si="61"/>
        <v>13801437.2142857</v>
      </c>
      <c r="BH36" s="277">
        <f t="shared" si="102"/>
        <v>0</v>
      </c>
      <c r="BI36" s="277">
        <f t="shared" si="103"/>
        <v>0</v>
      </c>
      <c r="BJ36" s="277">
        <f t="shared" si="104"/>
        <v>0</v>
      </c>
      <c r="BK36" s="277"/>
      <c r="BL36" s="280">
        <f t="shared" si="105"/>
        <v>0</v>
      </c>
      <c r="BM36" s="277">
        <f t="shared" si="106"/>
        <v>0</v>
      </c>
      <c r="BN36" s="277">
        <f t="shared" si="107"/>
        <v>0</v>
      </c>
      <c r="BO36" s="277">
        <f t="shared" si="108"/>
        <v>0</v>
      </c>
      <c r="BP36" s="277"/>
      <c r="BQ36" s="280">
        <f t="shared" si="109"/>
        <v>0</v>
      </c>
      <c r="BR36" s="333">
        <f>AF36</f>
        <v>8754508.9285714291</v>
      </c>
      <c r="BS36" s="312">
        <f>T36+U36+V36+W36</f>
        <v>482142.85714285698</v>
      </c>
      <c r="BT36" s="281">
        <f t="shared" si="110"/>
        <v>4564785.42857143</v>
      </c>
      <c r="BU36" s="282">
        <f t="shared" si="111"/>
        <v>0</v>
      </c>
      <c r="BV36" s="311"/>
      <c r="BW36" s="277">
        <f t="shared" si="112"/>
        <v>0</v>
      </c>
      <c r="BX36" s="277">
        <f t="shared" si="113"/>
        <v>0</v>
      </c>
      <c r="BY36" s="284">
        <f t="shared" si="114"/>
        <v>0</v>
      </c>
      <c r="BZ36" s="277">
        <f t="shared" si="115"/>
        <v>4564785.42857143</v>
      </c>
      <c r="CA36" s="277">
        <f t="shared" si="116"/>
        <v>0</v>
      </c>
      <c r="CB36" s="283">
        <f t="shared" si="117"/>
        <v>13801437</v>
      </c>
      <c r="CC36" s="276">
        <v>696428</v>
      </c>
      <c r="CD36" s="278">
        <f t="shared" si="118"/>
        <v>0</v>
      </c>
      <c r="CE36" s="285">
        <f t="shared" si="119"/>
        <v>14497865</v>
      </c>
      <c r="CF36" s="352">
        <f t="shared" si="120"/>
        <v>0</v>
      </c>
      <c r="CG36" s="286">
        <f t="shared" si="121"/>
        <v>14497865</v>
      </c>
      <c r="CH36" s="364"/>
      <c r="CI36" s="378" t="s">
        <v>226</v>
      </c>
      <c r="CJ36" s="353"/>
      <c r="CK36" s="289">
        <v>3</v>
      </c>
      <c r="CL36" s="270"/>
      <c r="CM36" s="336"/>
      <c r="CN36" s="336"/>
      <c r="CO36" s="336"/>
      <c r="CP36" s="337"/>
      <c r="CQ36" s="338"/>
      <c r="CR36" s="337"/>
      <c r="CS36" s="339"/>
      <c r="CT36" s="339"/>
      <c r="CU36" s="339"/>
      <c r="CV36" s="340"/>
      <c r="CW36" s="340"/>
      <c r="CX36" s="340"/>
      <c r="CY36" s="314">
        <f>IF(CX36&gt;0,CX36,IF(CW36&gt;0,CW36,6000000))</f>
        <v>6000000</v>
      </c>
      <c r="CZ36" s="341"/>
      <c r="DA36" s="342"/>
      <c r="DB36" s="354" t="s">
        <v>227</v>
      </c>
      <c r="DC36" s="344"/>
      <c r="DE36" s="345"/>
      <c r="DF36" s="346"/>
      <c r="DG36" s="270"/>
    </row>
    <row r="37" spans="1:111" s="111" customFormat="1" ht="21.75" customHeight="1">
      <c r="A37" s="262">
        <v>26</v>
      </c>
      <c r="B37" s="263" t="s">
        <v>113</v>
      </c>
      <c r="C37" s="356" t="s">
        <v>178</v>
      </c>
      <c r="D37" s="357" t="s">
        <v>179</v>
      </c>
      <c r="E37" s="262" t="str">
        <f t="shared" si="122"/>
        <v>HĐLĐ</v>
      </c>
      <c r="F37" s="262" t="s">
        <v>215</v>
      </c>
      <c r="G37" s="262" t="s">
        <v>117</v>
      </c>
      <c r="H37" s="462" t="s">
        <v>180</v>
      </c>
      <c r="I37" s="358" t="s">
        <v>181</v>
      </c>
      <c r="J37" s="358" t="s">
        <v>141</v>
      </c>
      <c r="K37" s="268">
        <v>28</v>
      </c>
      <c r="L37" s="299">
        <v>20</v>
      </c>
      <c r="M37" s="375">
        <v>179.62</v>
      </c>
      <c r="N37" s="375">
        <v>1.35</v>
      </c>
      <c r="O37" s="270">
        <v>0</v>
      </c>
      <c r="P37" s="347"/>
      <c r="Q37" s="329"/>
      <c r="R37" s="348"/>
      <c r="S37" s="270">
        <f t="shared" si="100"/>
        <v>5310000</v>
      </c>
      <c r="T37" s="273">
        <f t="shared" si="31"/>
        <v>357142.85714285698</v>
      </c>
      <c r="U37" s="347"/>
      <c r="V37" s="347"/>
      <c r="W37" s="347"/>
      <c r="X37" s="347"/>
      <c r="Y37" s="347"/>
      <c r="Z37" s="347"/>
      <c r="AA37" s="310">
        <v>6000000</v>
      </c>
      <c r="AB37" s="311">
        <f t="shared" si="123"/>
        <v>6000000</v>
      </c>
      <c r="AC37" s="312">
        <f>IF(E37="HĐTV",AB37*85%,0)</f>
        <v>0</v>
      </c>
      <c r="AD37" s="313"/>
      <c r="AE37" s="275">
        <f t="shared" si="101"/>
        <v>4811250</v>
      </c>
      <c r="AF37" s="276">
        <f t="shared" si="11"/>
        <v>54241.071428571398</v>
      </c>
      <c r="AG37" s="377">
        <v>0</v>
      </c>
      <c r="AH37" s="377">
        <v>0</v>
      </c>
      <c r="AI37" s="377">
        <v>0</v>
      </c>
      <c r="AJ37" s="377"/>
      <c r="AK37" s="377"/>
      <c r="AL37" s="377">
        <v>0</v>
      </c>
      <c r="AM37" s="377">
        <v>955682</v>
      </c>
      <c r="AN37" s="377">
        <v>1187050</v>
      </c>
      <c r="AO37" s="377">
        <v>0</v>
      </c>
      <c r="AP37" s="377">
        <v>40</v>
      </c>
      <c r="AQ37" s="377">
        <v>0</v>
      </c>
      <c r="AR37" s="276"/>
      <c r="AS37" s="300">
        <v>0</v>
      </c>
      <c r="AT37" s="300">
        <v>0</v>
      </c>
      <c r="AU37" s="276">
        <v>0</v>
      </c>
      <c r="AV37" s="276"/>
      <c r="AW37" s="278"/>
      <c r="AX37" s="349"/>
      <c r="AY37" s="351"/>
      <c r="AZ37" s="351"/>
      <c r="BA37" s="276">
        <v>0</v>
      </c>
      <c r="BB37" s="276">
        <v>0</v>
      </c>
      <c r="BC37" s="276">
        <v>100000</v>
      </c>
      <c r="BD37" s="276">
        <v>0</v>
      </c>
      <c r="BE37" s="276">
        <v>23000</v>
      </c>
      <c r="BF37" s="276">
        <v>0</v>
      </c>
      <c r="BG37" s="279">
        <f t="shared" si="61"/>
        <v>7242405.92857143</v>
      </c>
      <c r="BH37" s="277">
        <f t="shared" si="102"/>
        <v>929250</v>
      </c>
      <c r="BI37" s="277">
        <f t="shared" si="103"/>
        <v>159300</v>
      </c>
      <c r="BJ37" s="277">
        <f t="shared" si="104"/>
        <v>53100</v>
      </c>
      <c r="BK37" s="277"/>
      <c r="BL37" s="280">
        <f t="shared" si="105"/>
        <v>1141650</v>
      </c>
      <c r="BM37" s="277">
        <f t="shared" si="106"/>
        <v>424800</v>
      </c>
      <c r="BN37" s="277">
        <f t="shared" si="107"/>
        <v>79650</v>
      </c>
      <c r="BO37" s="277">
        <f t="shared" si="108"/>
        <v>53100</v>
      </c>
      <c r="BP37" s="277"/>
      <c r="BQ37" s="280">
        <f t="shared" si="109"/>
        <v>557550</v>
      </c>
      <c r="BR37" s="333">
        <f>AF37</f>
        <v>54241.071428571398</v>
      </c>
      <c r="BS37" s="312">
        <f>T37+U37+V37+W37</f>
        <v>357142.85714285698</v>
      </c>
      <c r="BT37" s="281">
        <f t="shared" si="110"/>
        <v>6831022</v>
      </c>
      <c r="BU37" s="282">
        <f t="shared" si="111"/>
        <v>15500000</v>
      </c>
      <c r="BV37" s="312"/>
      <c r="BW37" s="277">
        <f t="shared" si="112"/>
        <v>0</v>
      </c>
      <c r="BX37" s="277">
        <f t="shared" si="113"/>
        <v>557550</v>
      </c>
      <c r="BY37" s="284">
        <f t="shared" si="114"/>
        <v>16057550</v>
      </c>
      <c r="BZ37" s="277">
        <f t="shared" si="115"/>
        <v>0</v>
      </c>
      <c r="CA37" s="277">
        <f t="shared" si="116"/>
        <v>0</v>
      </c>
      <c r="CB37" s="283">
        <f t="shared" si="117"/>
        <v>6684856</v>
      </c>
      <c r="CC37" s="312"/>
      <c r="CD37" s="278">
        <v>5000000</v>
      </c>
      <c r="CE37" s="285">
        <f t="shared" si="119"/>
        <v>1684856</v>
      </c>
      <c r="CF37" s="352">
        <f t="shared" si="120"/>
        <v>0</v>
      </c>
      <c r="CG37" s="286">
        <f t="shared" si="121"/>
        <v>1684856</v>
      </c>
      <c r="CH37" s="334"/>
      <c r="CI37" s="373" t="s">
        <v>228</v>
      </c>
      <c r="CJ37" s="353"/>
      <c r="CK37" s="271">
        <v>11</v>
      </c>
      <c r="CL37" s="299">
        <f>VLOOKUP(D37,[1]CNT!C16:AJ79,15,0)</f>
        <v>0</v>
      </c>
      <c r="CM37" s="374">
        <v>27</v>
      </c>
      <c r="CN37" s="374">
        <v>5</v>
      </c>
      <c r="CO37" s="374">
        <v>2026</v>
      </c>
      <c r="CP37" s="337">
        <f>IF((($CO$8-CO37)*12)+($CN$8-CN37)&gt;=12,((($CO$8-CO37)*12)+($CN$8-CN37))-1,0)</f>
        <v>0</v>
      </c>
      <c r="CQ37" s="338">
        <f>IF(CP37&lt;12,(($CQ$8-CO37)*12)+($CP$8-CN37),0)</f>
        <v>0</v>
      </c>
      <c r="CR37" s="337">
        <f>IF(OR(CP37&gt;12,CP37=12),((CP37-(CS37*12))+((($CQ$8-2024)*12)+($CP$8-4)))+1,0)</f>
        <v>0</v>
      </c>
      <c r="CS37" s="339">
        <f>IF(OR(CP37&gt;12,CP37=12),ROUNDDOWN(CP37/12,0),0)</f>
        <v>0</v>
      </c>
      <c r="CT37" s="339">
        <f>IF(CQ37&gt;11,ROUNDDOWN(CQ37/12,0),0)</f>
        <v>0</v>
      </c>
      <c r="CU37" s="339">
        <f>IF(CR37&gt;11,ROUNDDOWN(CR37/12,0),0)</f>
        <v>0</v>
      </c>
      <c r="CV37" s="340">
        <f>IF(CP37=0,0,6000000*1.07^CS37)</f>
        <v>0</v>
      </c>
      <c r="CW37" s="340">
        <f>IF(CT37&lt;2,0,6000000+(CT37-1)*500000)</f>
        <v>0</v>
      </c>
      <c r="CX37" s="340">
        <f>IF(CU37=0,CV37,IF(CU37&lt;1,0,CV37+CU37*500000))</f>
        <v>0</v>
      </c>
      <c r="CY37" s="314">
        <v>5100000</v>
      </c>
      <c r="CZ37" s="341"/>
      <c r="DA37" s="342">
        <f>CJ37</f>
        <v>0</v>
      </c>
      <c r="DB37" s="354" t="s">
        <v>229</v>
      </c>
      <c r="DC37" s="341"/>
      <c r="DE37" s="345"/>
      <c r="DF37" s="346" t="e">
        <f>VLOOKUP($D37,'[2]Med Service'!$D$11:$DI$87,110,0)</f>
        <v>#N/A</v>
      </c>
      <c r="DG37" s="299" t="str">
        <f>VLOOKUP($D37,'[3]BẢNG LƯƠNG'!$C$3:$AH$102,32,0)</f>
        <v/>
      </c>
    </row>
    <row r="38" spans="1:111" s="111" customFormat="1" ht="21.75" customHeight="1">
      <c r="A38" s="262"/>
      <c r="B38" s="263" t="s">
        <v>113</v>
      </c>
      <c r="C38" s="307" t="s">
        <v>230</v>
      </c>
      <c r="D38" s="265" t="s">
        <v>231</v>
      </c>
      <c r="E38" s="262" t="str">
        <f t="shared" ref="E38:E40" si="124">IF(OR(G38="CHT",G38="DSBC"),"HĐLĐ",IF(OR(G38="DSTV",G38="Q.CHT"),"HĐTV","HĐCTV"))</f>
        <v>HĐTV</v>
      </c>
      <c r="F38" s="262" t="s">
        <v>215</v>
      </c>
      <c r="G38" s="262" t="s">
        <v>129</v>
      </c>
      <c r="H38" s="460" t="s">
        <v>232</v>
      </c>
      <c r="I38" s="309" t="s">
        <v>233</v>
      </c>
      <c r="J38" s="309" t="s">
        <v>119</v>
      </c>
      <c r="K38" s="268">
        <v>28</v>
      </c>
      <c r="L38" s="299">
        <v>1</v>
      </c>
      <c r="M38" s="375">
        <v>11.25</v>
      </c>
      <c r="N38" s="375">
        <v>0</v>
      </c>
      <c r="O38" s="270">
        <v>0</v>
      </c>
      <c r="P38" s="347"/>
      <c r="Q38" s="329"/>
      <c r="R38" s="348"/>
      <c r="S38" s="270">
        <f t="shared" si="100"/>
        <v>0</v>
      </c>
      <c r="T38" s="273">
        <f t="shared" si="31"/>
        <v>17857.142857142899</v>
      </c>
      <c r="U38" s="347"/>
      <c r="V38" s="347"/>
      <c r="W38" s="347"/>
      <c r="X38" s="347"/>
      <c r="Y38" s="347"/>
      <c r="Z38" s="347"/>
      <c r="AA38" s="310">
        <f>CY38</f>
        <v>6000000</v>
      </c>
      <c r="AB38" s="311">
        <f t="shared" si="123"/>
        <v>6000000</v>
      </c>
      <c r="AC38" s="312">
        <v>6000000</v>
      </c>
      <c r="AD38" s="313"/>
      <c r="AE38" s="275">
        <f t="shared" si="101"/>
        <v>301339.28571428597</v>
      </c>
      <c r="AF38" s="276">
        <f t="shared" si="11"/>
        <v>0</v>
      </c>
      <c r="AG38" s="377">
        <v>0</v>
      </c>
      <c r="AH38" s="377">
        <v>0</v>
      </c>
      <c r="AI38" s="377">
        <v>0</v>
      </c>
      <c r="AJ38" s="377"/>
      <c r="AK38" s="377"/>
      <c r="AL38" s="377">
        <v>0</v>
      </c>
      <c r="AM38" s="377">
        <v>0</v>
      </c>
      <c r="AN38" s="377">
        <v>0</v>
      </c>
      <c r="AO38" s="377">
        <v>35008</v>
      </c>
      <c r="AP38" s="377">
        <v>0</v>
      </c>
      <c r="AQ38" s="377">
        <v>0</v>
      </c>
      <c r="AR38" s="276"/>
      <c r="AS38" s="300">
        <v>0</v>
      </c>
      <c r="AT38" s="300">
        <v>0</v>
      </c>
      <c r="AU38" s="276">
        <v>0</v>
      </c>
      <c r="AV38" s="276"/>
      <c r="AW38" s="278"/>
      <c r="AX38" s="349"/>
      <c r="AY38" s="351"/>
      <c r="AZ38" s="351"/>
      <c r="BA38" s="276">
        <v>0</v>
      </c>
      <c r="BB38" s="276">
        <v>0</v>
      </c>
      <c r="BC38" s="276">
        <v>0</v>
      </c>
      <c r="BD38" s="276">
        <v>0</v>
      </c>
      <c r="BE38" s="276">
        <v>0</v>
      </c>
      <c r="BF38" s="276">
        <v>0</v>
      </c>
      <c r="BG38" s="279">
        <f t="shared" si="61"/>
        <v>354204.42857142899</v>
      </c>
      <c r="BH38" s="277">
        <f t="shared" si="102"/>
        <v>0</v>
      </c>
      <c r="BI38" s="277">
        <f t="shared" si="103"/>
        <v>0</v>
      </c>
      <c r="BJ38" s="277">
        <f t="shared" si="104"/>
        <v>0</v>
      </c>
      <c r="BK38" s="277"/>
      <c r="BL38" s="280">
        <f t="shared" si="105"/>
        <v>0</v>
      </c>
      <c r="BM38" s="277">
        <f t="shared" si="106"/>
        <v>0</v>
      </c>
      <c r="BN38" s="277">
        <f t="shared" si="107"/>
        <v>0</v>
      </c>
      <c r="BO38" s="277">
        <f t="shared" si="108"/>
        <v>0</v>
      </c>
      <c r="BP38" s="277"/>
      <c r="BQ38" s="280">
        <f t="shared" si="109"/>
        <v>0</v>
      </c>
      <c r="BR38" s="333"/>
      <c r="BS38" s="312"/>
      <c r="BT38" s="281">
        <f t="shared" si="110"/>
        <v>354204.42857142899</v>
      </c>
      <c r="BU38" s="282">
        <f t="shared" si="111"/>
        <v>0</v>
      </c>
      <c r="BV38" s="312"/>
      <c r="BW38" s="277">
        <f t="shared" si="112"/>
        <v>0</v>
      </c>
      <c r="BX38" s="277">
        <f t="shared" si="113"/>
        <v>0</v>
      </c>
      <c r="BY38" s="284">
        <f t="shared" si="114"/>
        <v>0</v>
      </c>
      <c r="BZ38" s="277">
        <f t="shared" si="115"/>
        <v>354204.42857142899</v>
      </c>
      <c r="CA38" s="277">
        <f t="shared" si="116"/>
        <v>0</v>
      </c>
      <c r="CB38" s="283">
        <f t="shared" si="117"/>
        <v>354204</v>
      </c>
      <c r="CC38" s="312"/>
      <c r="CD38" s="278">
        <f t="shared" si="118"/>
        <v>0</v>
      </c>
      <c r="CE38" s="285">
        <f t="shared" si="119"/>
        <v>354204</v>
      </c>
      <c r="CF38" s="352">
        <f t="shared" si="120"/>
        <v>0</v>
      </c>
      <c r="CG38" s="286">
        <f t="shared" si="121"/>
        <v>354204</v>
      </c>
      <c r="CH38" s="334"/>
      <c r="CI38" s="373"/>
      <c r="CJ38" s="353"/>
      <c r="CK38" s="271"/>
      <c r="CL38" s="299"/>
      <c r="CM38" s="374"/>
      <c r="CN38" s="374"/>
      <c r="CO38" s="374"/>
      <c r="CP38" s="337"/>
      <c r="CQ38" s="338"/>
      <c r="CR38" s="337"/>
      <c r="CS38" s="339"/>
      <c r="CT38" s="339"/>
      <c r="CU38" s="339"/>
      <c r="CV38" s="340"/>
      <c r="CW38" s="340"/>
      <c r="CX38" s="314"/>
      <c r="CY38" s="314">
        <f>IF(CX38&gt;0,CX38,IF(CW38&gt;0,CW38,6000000))</f>
        <v>6000000</v>
      </c>
      <c r="CZ38" s="341"/>
      <c r="DA38" s="342"/>
      <c r="DB38" s="343"/>
      <c r="DC38" s="341"/>
      <c r="DE38" s="345"/>
      <c r="DF38" s="346"/>
      <c r="DG38" s="299"/>
    </row>
    <row r="39" spans="1:111" s="110" customFormat="1" ht="21.75" customHeight="1">
      <c r="A39" s="262"/>
      <c r="B39" s="263" t="s">
        <v>113</v>
      </c>
      <c r="C39" s="307" t="s">
        <v>142</v>
      </c>
      <c r="D39" s="265" t="s">
        <v>143</v>
      </c>
      <c r="E39" s="262" t="str">
        <f t="shared" si="124"/>
        <v>HĐLĐ</v>
      </c>
      <c r="F39" s="262" t="s">
        <v>215</v>
      </c>
      <c r="G39" s="262" t="s">
        <v>117</v>
      </c>
      <c r="H39" s="308" t="s">
        <v>144</v>
      </c>
      <c r="I39" s="309" t="s">
        <v>145</v>
      </c>
      <c r="J39" s="309" t="s">
        <v>119</v>
      </c>
      <c r="K39" s="268">
        <v>28</v>
      </c>
      <c r="L39" s="299">
        <v>1</v>
      </c>
      <c r="M39" s="375">
        <v>8.6199999999999992</v>
      </c>
      <c r="N39" s="375">
        <v>0</v>
      </c>
      <c r="O39" s="270">
        <v>0</v>
      </c>
      <c r="P39" s="347"/>
      <c r="Q39" s="347"/>
      <c r="R39" s="348"/>
      <c r="S39" s="270"/>
      <c r="T39" s="273">
        <f t="shared" si="31"/>
        <v>17857.142857142899</v>
      </c>
      <c r="U39" s="347"/>
      <c r="V39" s="347"/>
      <c r="W39" s="347"/>
      <c r="X39" s="347"/>
      <c r="Y39" s="347"/>
      <c r="Z39" s="347"/>
      <c r="AA39" s="310">
        <f>CY39</f>
        <v>6000000</v>
      </c>
      <c r="AB39" s="311">
        <f t="shared" si="123"/>
        <v>6000000</v>
      </c>
      <c r="AC39" s="312">
        <f>IF(E39="HĐTV",AB39*85%,0)</f>
        <v>0</v>
      </c>
      <c r="AD39" s="313"/>
      <c r="AE39" s="275">
        <f t="shared" si="101"/>
        <v>230892.85714285701</v>
      </c>
      <c r="AF39" s="276">
        <f t="shared" si="11"/>
        <v>0</v>
      </c>
      <c r="AG39" s="377">
        <v>0</v>
      </c>
      <c r="AH39" s="377">
        <v>0</v>
      </c>
      <c r="AI39" s="377">
        <v>0</v>
      </c>
      <c r="AJ39" s="377"/>
      <c r="AK39" s="377"/>
      <c r="AL39" s="377">
        <v>0</v>
      </c>
      <c r="AM39" s="377">
        <v>0</v>
      </c>
      <c r="AN39" s="377">
        <v>0</v>
      </c>
      <c r="AO39" s="377">
        <v>18300</v>
      </c>
      <c r="AP39" s="377">
        <v>0</v>
      </c>
      <c r="AQ39" s="377">
        <v>0</v>
      </c>
      <c r="AR39" s="276"/>
      <c r="AS39" s="300">
        <v>0</v>
      </c>
      <c r="AT39" s="300">
        <v>0</v>
      </c>
      <c r="AU39" s="276">
        <v>0</v>
      </c>
      <c r="AV39" s="276"/>
      <c r="AW39" s="276"/>
      <c r="AX39" s="276"/>
      <c r="AY39" s="276"/>
      <c r="AZ39" s="276"/>
      <c r="BA39" s="276">
        <v>0</v>
      </c>
      <c r="BB39" s="276">
        <v>0</v>
      </c>
      <c r="BC39" s="276">
        <v>0</v>
      </c>
      <c r="BD39" s="276">
        <v>0</v>
      </c>
      <c r="BE39" s="276">
        <v>0</v>
      </c>
      <c r="BF39" s="276">
        <v>0</v>
      </c>
      <c r="BG39" s="279">
        <f t="shared" si="61"/>
        <v>267050</v>
      </c>
      <c r="BH39" s="277">
        <f t="shared" si="102"/>
        <v>0</v>
      </c>
      <c r="BI39" s="277">
        <f t="shared" si="103"/>
        <v>0</v>
      </c>
      <c r="BJ39" s="277">
        <f t="shared" si="104"/>
        <v>0</v>
      </c>
      <c r="BK39" s="277"/>
      <c r="BL39" s="280">
        <f t="shared" si="105"/>
        <v>0</v>
      </c>
      <c r="BM39" s="277">
        <f t="shared" si="106"/>
        <v>0</v>
      </c>
      <c r="BN39" s="277">
        <f t="shared" si="107"/>
        <v>0</v>
      </c>
      <c r="BO39" s="277">
        <f t="shared" si="108"/>
        <v>0</v>
      </c>
      <c r="BP39" s="277"/>
      <c r="BQ39" s="280">
        <f t="shared" si="109"/>
        <v>0</v>
      </c>
      <c r="BR39" s="333"/>
      <c r="BS39" s="312"/>
      <c r="BT39" s="281">
        <f t="shared" si="110"/>
        <v>267050</v>
      </c>
      <c r="BU39" s="282">
        <f t="shared" si="111"/>
        <v>15500000</v>
      </c>
      <c r="BV39" s="311"/>
      <c r="BW39" s="277">
        <f t="shared" si="112"/>
        <v>0</v>
      </c>
      <c r="BX39" s="277">
        <f t="shared" si="113"/>
        <v>0</v>
      </c>
      <c r="BY39" s="284">
        <f t="shared" si="114"/>
        <v>15500000</v>
      </c>
      <c r="BZ39" s="277">
        <f t="shared" si="115"/>
        <v>0</v>
      </c>
      <c r="CA39" s="277">
        <f t="shared" si="116"/>
        <v>0</v>
      </c>
      <c r="CB39" s="283">
        <f t="shared" si="117"/>
        <v>267050</v>
      </c>
      <c r="CC39" s="311"/>
      <c r="CD39" s="278">
        <f t="shared" si="118"/>
        <v>0</v>
      </c>
      <c r="CE39" s="285">
        <f t="shared" si="119"/>
        <v>267050</v>
      </c>
      <c r="CF39" s="352">
        <f t="shared" si="120"/>
        <v>0</v>
      </c>
      <c r="CG39" s="286">
        <f t="shared" si="121"/>
        <v>267050</v>
      </c>
      <c r="CH39" s="334"/>
      <c r="CI39" s="335"/>
      <c r="CJ39" s="270"/>
      <c r="CK39" s="289">
        <v>6</v>
      </c>
      <c r="CL39" s="270"/>
      <c r="CM39" s="336"/>
      <c r="CN39" s="336"/>
      <c r="CO39" s="336"/>
      <c r="CP39" s="337"/>
      <c r="CQ39" s="338"/>
      <c r="CR39" s="337"/>
      <c r="CS39" s="339"/>
      <c r="CT39" s="339"/>
      <c r="CU39" s="339"/>
      <c r="CV39" s="340"/>
      <c r="CW39" s="340"/>
      <c r="CX39" s="340"/>
      <c r="CY39" s="314">
        <f>IF(CX39&gt;0,CX39,IF(CW39&gt;0,CW39,6000000))</f>
        <v>6000000</v>
      </c>
      <c r="CZ39" s="341"/>
      <c r="DA39" s="342"/>
      <c r="DB39" s="343"/>
      <c r="DC39" s="344"/>
      <c r="DE39" s="345"/>
      <c r="DF39" s="346"/>
      <c r="DG39" s="270"/>
    </row>
    <row r="40" spans="1:111" s="111" customFormat="1" ht="21.75" customHeight="1">
      <c r="A40" s="262">
        <v>30</v>
      </c>
      <c r="B40" s="263">
        <v>7</v>
      </c>
      <c r="C40" s="307" t="s">
        <v>234</v>
      </c>
      <c r="D40" s="265" t="s">
        <v>235</v>
      </c>
      <c r="E40" s="262" t="str">
        <f t="shared" si="124"/>
        <v>HĐCTV</v>
      </c>
      <c r="F40" s="262" t="s">
        <v>215</v>
      </c>
      <c r="G40" s="262" t="s">
        <v>236</v>
      </c>
      <c r="H40" s="460" t="s">
        <v>130</v>
      </c>
      <c r="I40" s="461" t="s">
        <v>237</v>
      </c>
      <c r="J40" s="309" t="s">
        <v>238</v>
      </c>
      <c r="K40" s="268">
        <v>28</v>
      </c>
      <c r="L40" s="299">
        <v>29</v>
      </c>
      <c r="M40" s="375">
        <v>231.6</v>
      </c>
      <c r="N40" s="375">
        <v>16.95</v>
      </c>
      <c r="O40" s="270">
        <v>8</v>
      </c>
      <c r="P40" s="347"/>
      <c r="Q40" s="329"/>
      <c r="R40" s="348"/>
      <c r="S40" s="270">
        <f t="shared" si="100"/>
        <v>0</v>
      </c>
      <c r="T40" s="273">
        <f t="shared" si="31"/>
        <v>500000</v>
      </c>
      <c r="U40" s="347"/>
      <c r="V40" s="330"/>
      <c r="W40" s="347"/>
      <c r="X40" s="347"/>
      <c r="Y40" s="347"/>
      <c r="Z40" s="347"/>
      <c r="AA40" s="331">
        <f>CY40</f>
        <v>3000000</v>
      </c>
      <c r="AB40" s="347"/>
      <c r="AC40" s="347"/>
      <c r="AD40" s="347"/>
      <c r="AE40" s="275">
        <f t="shared" si="101"/>
        <v>3101785.7142857099</v>
      </c>
      <c r="AF40" s="276">
        <f t="shared" si="11"/>
        <v>340513.39285714302</v>
      </c>
      <c r="AG40" s="377">
        <v>0</v>
      </c>
      <c r="AH40" s="377">
        <v>0</v>
      </c>
      <c r="AI40" s="377">
        <v>0</v>
      </c>
      <c r="AJ40" s="377"/>
      <c r="AK40" s="377"/>
      <c r="AL40" s="377">
        <v>0</v>
      </c>
      <c r="AM40" s="377">
        <v>0</v>
      </c>
      <c r="AN40" s="377">
        <v>0</v>
      </c>
      <c r="AO40" s="377">
        <v>0</v>
      </c>
      <c r="AP40" s="377">
        <v>0</v>
      </c>
      <c r="AQ40" s="377">
        <v>0</v>
      </c>
      <c r="AR40" s="276"/>
      <c r="AS40" s="300">
        <v>0</v>
      </c>
      <c r="AT40" s="300">
        <v>0</v>
      </c>
      <c r="AU40" s="276">
        <v>0</v>
      </c>
      <c r="AV40" s="276"/>
      <c r="AW40" s="276"/>
      <c r="AX40" s="349"/>
      <c r="AY40" s="350"/>
      <c r="AZ40" s="351"/>
      <c r="BA40" s="276">
        <v>0</v>
      </c>
      <c r="BB40" s="276">
        <v>0</v>
      </c>
      <c r="BC40" s="276">
        <v>0</v>
      </c>
      <c r="BD40" s="276">
        <v>0</v>
      </c>
      <c r="BE40" s="276">
        <v>0</v>
      </c>
      <c r="BF40" s="276">
        <v>0</v>
      </c>
      <c r="BG40" s="279">
        <f t="shared" si="61"/>
        <v>3942299.1071428498</v>
      </c>
      <c r="BH40" s="277">
        <f t="shared" si="102"/>
        <v>0</v>
      </c>
      <c r="BI40" s="277">
        <f t="shared" si="103"/>
        <v>0</v>
      </c>
      <c r="BJ40" s="277">
        <f t="shared" si="104"/>
        <v>0</v>
      </c>
      <c r="BK40" s="277"/>
      <c r="BL40" s="280">
        <f t="shared" si="105"/>
        <v>0</v>
      </c>
      <c r="BM40" s="277">
        <f t="shared" si="106"/>
        <v>0</v>
      </c>
      <c r="BN40" s="277">
        <f t="shared" si="107"/>
        <v>0</v>
      </c>
      <c r="BO40" s="277">
        <f t="shared" si="108"/>
        <v>0</v>
      </c>
      <c r="BP40" s="277"/>
      <c r="BQ40" s="280">
        <f t="shared" si="109"/>
        <v>0</v>
      </c>
      <c r="BR40" s="333">
        <f>AF40</f>
        <v>340513.39285714302</v>
      </c>
      <c r="BS40" s="312"/>
      <c r="BT40" s="281">
        <f t="shared" si="110"/>
        <v>3601785.7142857099</v>
      </c>
      <c r="BU40" s="282">
        <f t="shared" si="111"/>
        <v>0</v>
      </c>
      <c r="BV40" s="311"/>
      <c r="BW40" s="277">
        <f t="shared" si="112"/>
        <v>0</v>
      </c>
      <c r="BX40" s="277">
        <f t="shared" si="113"/>
        <v>0</v>
      </c>
      <c r="BY40" s="284">
        <f t="shared" si="114"/>
        <v>0</v>
      </c>
      <c r="BZ40" s="277">
        <f t="shared" si="115"/>
        <v>3601785.7142857099</v>
      </c>
      <c r="CA40" s="277">
        <f t="shared" si="116"/>
        <v>0</v>
      </c>
      <c r="CB40" s="283">
        <f t="shared" si="117"/>
        <v>3942299</v>
      </c>
      <c r="CC40" s="311"/>
      <c r="CD40" s="278">
        <f t="shared" si="118"/>
        <v>0</v>
      </c>
      <c r="CE40" s="285">
        <f t="shared" si="119"/>
        <v>3942299</v>
      </c>
      <c r="CF40" s="312">
        <f t="shared" si="120"/>
        <v>0</v>
      </c>
      <c r="CG40" s="286">
        <f t="shared" si="121"/>
        <v>3942299</v>
      </c>
      <c r="CH40" s="334"/>
      <c r="CI40" s="378" t="s">
        <v>239</v>
      </c>
      <c r="CJ40" s="270">
        <f>VLOOKUP(D40,[1]CNT!$C$6:$AP$113,40,0)</f>
        <v>0</v>
      </c>
      <c r="CK40" s="289">
        <v>10</v>
      </c>
      <c r="CL40" s="270"/>
      <c r="CM40" s="336"/>
      <c r="CN40" s="336"/>
      <c r="CO40" s="336"/>
      <c r="CP40" s="337"/>
      <c r="CQ40" s="338"/>
      <c r="CR40" s="337"/>
      <c r="CS40" s="339"/>
      <c r="CT40" s="339"/>
      <c r="CU40" s="339"/>
      <c r="CV40" s="340"/>
      <c r="CW40" s="340"/>
      <c r="CX40" s="340"/>
      <c r="CY40" s="381">
        <v>3000000</v>
      </c>
      <c r="CZ40" s="341"/>
      <c r="DA40" s="342"/>
      <c r="DB40" s="343"/>
      <c r="DC40" s="341"/>
      <c r="DE40" s="345"/>
      <c r="DF40" s="346"/>
      <c r="DG40" s="270"/>
    </row>
    <row r="41" spans="1:111" s="109" customFormat="1" ht="27" customHeight="1">
      <c r="A41" s="320"/>
      <c r="B41" s="321"/>
      <c r="C41" s="322"/>
      <c r="D41" s="323"/>
      <c r="E41" s="320"/>
      <c r="F41" s="326">
        <f ca="1">SUM(F33:F88)</f>
        <v>0</v>
      </c>
      <c r="G41" s="326">
        <f ca="1">SUM(G33:G88)</f>
        <v>0</v>
      </c>
      <c r="H41" s="326"/>
      <c r="I41" s="326">
        <f ca="1">SUM(I33:I88)</f>
        <v>0</v>
      </c>
      <c r="J41" s="326">
        <f ca="1">SUM(J33:J88)</f>
        <v>0</v>
      </c>
      <c r="K41" s="327"/>
      <c r="L41" s="326">
        <f>SUM(L33:L40)</f>
        <v>137</v>
      </c>
      <c r="M41" s="326">
        <f t="shared" ref="M41:BX41" si="125">SUM(M33:M40)</f>
        <v>749.71</v>
      </c>
      <c r="N41" s="326">
        <f t="shared" si="125"/>
        <v>486.55</v>
      </c>
      <c r="O41" s="326">
        <f t="shared" si="125"/>
        <v>24</v>
      </c>
      <c r="P41" s="326">
        <f t="shared" si="125"/>
        <v>0</v>
      </c>
      <c r="Q41" s="326">
        <f t="shared" si="125"/>
        <v>0</v>
      </c>
      <c r="R41" s="326">
        <f t="shared" si="125"/>
        <v>0</v>
      </c>
      <c r="S41" s="326">
        <f t="shared" si="125"/>
        <v>10620000</v>
      </c>
      <c r="T41" s="326">
        <f t="shared" si="125"/>
        <v>2392857.1428571399</v>
      </c>
      <c r="U41" s="326">
        <f t="shared" si="125"/>
        <v>0</v>
      </c>
      <c r="V41" s="326">
        <f t="shared" si="125"/>
        <v>0</v>
      </c>
      <c r="W41" s="326">
        <f t="shared" si="125"/>
        <v>0</v>
      </c>
      <c r="X41" s="326">
        <f t="shared" si="125"/>
        <v>0</v>
      </c>
      <c r="Y41" s="326">
        <f t="shared" si="125"/>
        <v>0</v>
      </c>
      <c r="Z41" s="326">
        <f t="shared" si="125"/>
        <v>0</v>
      </c>
      <c r="AA41" s="326">
        <f t="shared" si="125"/>
        <v>45500000</v>
      </c>
      <c r="AB41" s="326">
        <f t="shared" si="125"/>
        <v>36000000</v>
      </c>
      <c r="AC41" s="326">
        <f t="shared" si="125"/>
        <v>24000000</v>
      </c>
      <c r="AD41" s="326"/>
      <c r="AE41" s="326">
        <f t="shared" si="125"/>
        <v>17587008.928571399</v>
      </c>
      <c r="AF41" s="326">
        <f t="shared" si="125"/>
        <v>19231406.25</v>
      </c>
      <c r="AG41" s="326">
        <f t="shared" si="125"/>
        <v>1500000</v>
      </c>
      <c r="AH41" s="326">
        <f t="shared" si="125"/>
        <v>0</v>
      </c>
      <c r="AI41" s="326">
        <f t="shared" si="125"/>
        <v>2946429</v>
      </c>
      <c r="AJ41" s="326">
        <f t="shared" si="125"/>
        <v>0</v>
      </c>
      <c r="AK41" s="326">
        <f t="shared" si="125"/>
        <v>0</v>
      </c>
      <c r="AL41" s="326">
        <f t="shared" si="125"/>
        <v>3400000</v>
      </c>
      <c r="AM41" s="326">
        <f t="shared" si="125"/>
        <v>955682</v>
      </c>
      <c r="AN41" s="326">
        <f t="shared" si="125"/>
        <v>4406440</v>
      </c>
      <c r="AO41" s="326">
        <f t="shared" si="125"/>
        <v>60864</v>
      </c>
      <c r="AP41" s="326">
        <f t="shared" si="125"/>
        <v>120</v>
      </c>
      <c r="AQ41" s="326">
        <f t="shared" si="125"/>
        <v>0</v>
      </c>
      <c r="AR41" s="326">
        <f t="shared" si="125"/>
        <v>0</v>
      </c>
      <c r="AS41" s="326">
        <f t="shared" si="125"/>
        <v>45000</v>
      </c>
      <c r="AT41" s="326">
        <f t="shared" si="125"/>
        <v>300000</v>
      </c>
      <c r="AU41" s="326">
        <f t="shared" si="125"/>
        <v>0</v>
      </c>
      <c r="AV41" s="326">
        <f t="shared" si="125"/>
        <v>0</v>
      </c>
      <c r="AW41" s="326">
        <f t="shared" si="125"/>
        <v>0</v>
      </c>
      <c r="AX41" s="326">
        <f t="shared" si="125"/>
        <v>0</v>
      </c>
      <c r="AY41" s="326">
        <f t="shared" si="125"/>
        <v>0</v>
      </c>
      <c r="AZ41" s="326">
        <f t="shared" si="125"/>
        <v>0</v>
      </c>
      <c r="BA41" s="326">
        <f t="shared" si="125"/>
        <v>0</v>
      </c>
      <c r="BB41" s="326">
        <f t="shared" si="125"/>
        <v>0</v>
      </c>
      <c r="BC41" s="326">
        <f t="shared" si="125"/>
        <v>200000</v>
      </c>
      <c r="BD41" s="326">
        <f t="shared" si="125"/>
        <v>0</v>
      </c>
      <c r="BE41" s="326">
        <f t="shared" si="125"/>
        <v>23000</v>
      </c>
      <c r="BF41" s="326">
        <f t="shared" si="125"/>
        <v>500000</v>
      </c>
      <c r="BG41" s="326">
        <f t="shared" si="125"/>
        <v>52102807.321428597</v>
      </c>
      <c r="BH41" s="326">
        <f t="shared" si="125"/>
        <v>1858500</v>
      </c>
      <c r="BI41" s="326">
        <f t="shared" si="125"/>
        <v>318600</v>
      </c>
      <c r="BJ41" s="326">
        <f t="shared" si="125"/>
        <v>106200</v>
      </c>
      <c r="BK41" s="326">
        <f t="shared" si="125"/>
        <v>0</v>
      </c>
      <c r="BL41" s="326">
        <f t="shared" si="125"/>
        <v>2283300</v>
      </c>
      <c r="BM41" s="326">
        <f t="shared" si="125"/>
        <v>849600</v>
      </c>
      <c r="BN41" s="326">
        <f t="shared" si="125"/>
        <v>159300</v>
      </c>
      <c r="BO41" s="326">
        <f t="shared" si="125"/>
        <v>106200</v>
      </c>
      <c r="BP41" s="326">
        <f t="shared" si="125"/>
        <v>0</v>
      </c>
      <c r="BQ41" s="326">
        <f t="shared" si="125"/>
        <v>1115100</v>
      </c>
      <c r="BR41" s="326">
        <f t="shared" si="125"/>
        <v>19231406.25</v>
      </c>
      <c r="BS41" s="326">
        <f t="shared" si="125"/>
        <v>1839285.7142857099</v>
      </c>
      <c r="BT41" s="326">
        <f t="shared" si="125"/>
        <v>31032115.357142799</v>
      </c>
      <c r="BU41" s="326">
        <f t="shared" si="125"/>
        <v>46500000</v>
      </c>
      <c r="BV41" s="326">
        <f t="shared" si="125"/>
        <v>0</v>
      </c>
      <c r="BW41" s="326">
        <f t="shared" si="125"/>
        <v>0</v>
      </c>
      <c r="BX41" s="326">
        <f t="shared" si="125"/>
        <v>1115100</v>
      </c>
      <c r="BY41" s="326">
        <f t="shared" ref="BY41:CE41" si="126">SUM(BY33:BY40)</f>
        <v>47615100</v>
      </c>
      <c r="BZ41" s="326">
        <f t="shared" si="126"/>
        <v>12928535.142857101</v>
      </c>
      <c r="CA41" s="326">
        <f t="shared" si="126"/>
        <v>0</v>
      </c>
      <c r="CB41" s="326">
        <f t="shared" si="126"/>
        <v>50987707</v>
      </c>
      <c r="CC41" s="326">
        <f t="shared" si="126"/>
        <v>696428</v>
      </c>
      <c r="CD41" s="326">
        <f t="shared" si="126"/>
        <v>5000000</v>
      </c>
      <c r="CE41" s="326">
        <f t="shared" si="126"/>
        <v>46684135</v>
      </c>
      <c r="CF41" s="382">
        <f t="shared" ref="CF41:DC41" si="127">SUM(CF33:CF40)</f>
        <v>0</v>
      </c>
      <c r="CG41" s="382">
        <f t="shared" si="127"/>
        <v>46684135</v>
      </c>
      <c r="CH41" s="326">
        <f t="shared" si="127"/>
        <v>0</v>
      </c>
      <c r="CI41" s="326">
        <f t="shared" si="127"/>
        <v>0</v>
      </c>
      <c r="CJ41" s="326">
        <f t="shared" si="127"/>
        <v>0</v>
      </c>
      <c r="CK41" s="326">
        <f t="shared" si="127"/>
        <v>50</v>
      </c>
      <c r="CL41" s="326">
        <f t="shared" si="127"/>
        <v>0</v>
      </c>
      <c r="CM41" s="326">
        <f t="shared" si="127"/>
        <v>28</v>
      </c>
      <c r="CN41" s="326">
        <f t="shared" si="127"/>
        <v>8</v>
      </c>
      <c r="CO41" s="326">
        <f t="shared" si="127"/>
        <v>4050</v>
      </c>
      <c r="CP41" s="326">
        <f t="shared" si="127"/>
        <v>0</v>
      </c>
      <c r="CQ41" s="326">
        <f t="shared" si="127"/>
        <v>26</v>
      </c>
      <c r="CR41" s="326">
        <f t="shared" si="127"/>
        <v>0</v>
      </c>
      <c r="CS41" s="326">
        <f t="shared" si="127"/>
        <v>0</v>
      </c>
      <c r="CT41" s="326">
        <f t="shared" si="127"/>
        <v>2</v>
      </c>
      <c r="CU41" s="326">
        <f t="shared" si="127"/>
        <v>0</v>
      </c>
      <c r="CV41" s="326">
        <f t="shared" si="127"/>
        <v>0</v>
      </c>
      <c r="CW41" s="326">
        <f t="shared" si="127"/>
        <v>6500000</v>
      </c>
      <c r="CX41" s="326">
        <f t="shared" si="127"/>
        <v>0</v>
      </c>
      <c r="CY41" s="326">
        <f t="shared" si="127"/>
        <v>44600000</v>
      </c>
      <c r="CZ41" s="326">
        <f t="shared" si="127"/>
        <v>0</v>
      </c>
      <c r="DA41" s="326">
        <f t="shared" si="127"/>
        <v>0</v>
      </c>
      <c r="DB41" s="326">
        <f t="shared" si="127"/>
        <v>0</v>
      </c>
      <c r="DC41" s="326">
        <f t="shared" si="127"/>
        <v>0</v>
      </c>
      <c r="DD41" s="361"/>
      <c r="DE41" s="362"/>
      <c r="DF41" s="346">
        <f>VLOOKUP($D41,'[2]Med Service'!$D$11:$DI$87,110,0)</f>
        <v>0</v>
      </c>
      <c r="DG41" s="270"/>
    </row>
    <row r="42" spans="1:111" s="111" customFormat="1" ht="25.5" customHeight="1">
      <c r="A42" s="262"/>
      <c r="B42" s="263" t="s">
        <v>113</v>
      </c>
      <c r="C42" s="307" t="s">
        <v>158</v>
      </c>
      <c r="D42" s="265" t="s">
        <v>159</v>
      </c>
      <c r="E42" s="262" t="str">
        <f t="shared" ref="E42" si="128">IF(OR(G42="CHT",G42="DSBC"),"HĐLĐ",IF(OR(G42="DSTV",G42="Q.CHT"),"HĐTV","HĐCTV"))</f>
        <v>HĐTV</v>
      </c>
      <c r="F42" s="262" t="s">
        <v>240</v>
      </c>
      <c r="G42" s="262" t="s">
        <v>129</v>
      </c>
      <c r="H42" s="460" t="s">
        <v>160</v>
      </c>
      <c r="I42" s="461" t="s">
        <v>161</v>
      </c>
      <c r="J42" s="309" t="s">
        <v>162</v>
      </c>
      <c r="K42" s="268">
        <v>28</v>
      </c>
      <c r="L42" s="299">
        <v>24</v>
      </c>
      <c r="M42" s="375">
        <v>0.92</v>
      </c>
      <c r="N42" s="375">
        <v>193.57</v>
      </c>
      <c r="O42" s="262">
        <v>0</v>
      </c>
      <c r="P42" s="347"/>
      <c r="Q42" s="329"/>
      <c r="R42" s="348"/>
      <c r="S42" s="270">
        <f t="shared" ref="S42:S48" si="129">IF(E42="HĐLĐ",5310000,0)</f>
        <v>0</v>
      </c>
      <c r="T42" s="273">
        <f t="shared" si="31"/>
        <v>428571.42857142899</v>
      </c>
      <c r="U42" s="347"/>
      <c r="V42" s="330"/>
      <c r="W42" s="347"/>
      <c r="X42" s="347"/>
      <c r="Y42" s="347"/>
      <c r="Z42" s="347"/>
      <c r="AA42" s="310">
        <f>CY42</f>
        <v>6000000</v>
      </c>
      <c r="AB42" s="311">
        <f t="shared" ref="AB42:AB48" si="130">AA42</f>
        <v>6000000</v>
      </c>
      <c r="AC42" s="312">
        <v>6000000</v>
      </c>
      <c r="AD42" s="313"/>
      <c r="AE42" s="275">
        <f t="shared" ref="AE42:AE48" si="131">IF(E42="HĐTV",AC42/28/8*M42,AA42/28/8*M42)</f>
        <v>24642.857142857101</v>
      </c>
      <c r="AF42" s="276">
        <f t="shared" si="11"/>
        <v>7777366.07142857</v>
      </c>
      <c r="AG42" s="276">
        <v>0</v>
      </c>
      <c r="AH42" s="276">
        <v>0</v>
      </c>
      <c r="AI42" s="300">
        <v>1285714</v>
      </c>
      <c r="AJ42" s="300"/>
      <c r="AK42" s="300"/>
      <c r="AL42" s="278">
        <v>466667</v>
      </c>
      <c r="AM42" s="300">
        <v>0</v>
      </c>
      <c r="AN42" s="300">
        <v>221850</v>
      </c>
      <c r="AO42" s="300">
        <v>0</v>
      </c>
      <c r="AP42" s="300">
        <v>20</v>
      </c>
      <c r="AQ42" s="300">
        <v>0</v>
      </c>
      <c r="AR42" s="276"/>
      <c r="AS42" s="276">
        <v>0</v>
      </c>
      <c r="AT42" s="276">
        <v>0</v>
      </c>
      <c r="AU42" s="276">
        <v>0</v>
      </c>
      <c r="AV42" s="276"/>
      <c r="AW42" s="276"/>
      <c r="AX42" s="349"/>
      <c r="AY42" s="350"/>
      <c r="AZ42" s="351"/>
      <c r="BA42" s="276">
        <v>0</v>
      </c>
      <c r="BB42" s="276">
        <v>0</v>
      </c>
      <c r="BC42" s="276">
        <v>0</v>
      </c>
      <c r="BD42" s="276">
        <v>0</v>
      </c>
      <c r="BE42" s="276">
        <v>0</v>
      </c>
      <c r="BF42" s="363">
        <v>0</v>
      </c>
      <c r="BG42" s="279">
        <f t="shared" si="61"/>
        <v>10204831.357142899</v>
      </c>
      <c r="BH42" s="277">
        <f t="shared" ref="BH42:BH48" si="132">S42*17.5%</f>
        <v>0</v>
      </c>
      <c r="BI42" s="277">
        <f t="shared" ref="BI42:BI48" si="133">S42*3%</f>
        <v>0</v>
      </c>
      <c r="BJ42" s="277">
        <f t="shared" ref="BJ42:BJ48" si="134">S42*1%</f>
        <v>0</v>
      </c>
      <c r="BK42" s="277"/>
      <c r="BL42" s="280">
        <f t="shared" ref="BL42:BL48" si="135">SUM(BH42:BK42)</f>
        <v>0</v>
      </c>
      <c r="BM42" s="277">
        <f t="shared" ref="BM42:BM48" si="136">S42*8%</f>
        <v>0</v>
      </c>
      <c r="BN42" s="277">
        <f t="shared" ref="BN42:BN48" si="137">S42*1.5%</f>
        <v>0</v>
      </c>
      <c r="BO42" s="277">
        <f t="shared" ref="BO42:BO48" si="138">S42*1%</f>
        <v>0</v>
      </c>
      <c r="BP42" s="277"/>
      <c r="BQ42" s="280">
        <f t="shared" ref="BQ42:BQ48" si="139">SUM(BM42:BP42)</f>
        <v>0</v>
      </c>
      <c r="BR42" s="333"/>
      <c r="BS42" s="312"/>
      <c r="BT42" s="281">
        <f t="shared" ref="BT42:BT48" si="140">BG42-BS42-BR42</f>
        <v>10204831.357142899</v>
      </c>
      <c r="BU42" s="282">
        <f t="shared" ref="BU42:BU48" si="141">IF(E42="HĐLĐ",15500000,0)</f>
        <v>0</v>
      </c>
      <c r="BV42" s="311"/>
      <c r="BW42" s="277">
        <f t="shared" ref="BW42:BW48" si="142">BV42*6200000</f>
        <v>0</v>
      </c>
      <c r="BX42" s="277">
        <f t="shared" ref="BX42:BX48" si="143">BQ42</f>
        <v>0</v>
      </c>
      <c r="BY42" s="284">
        <f t="shared" ref="BY42:BY48" si="144">BU42+BW42+BX42</f>
        <v>0</v>
      </c>
      <c r="BZ42" s="277">
        <f t="shared" ref="BZ42:BZ48" si="145">IF(BT42-BY42&gt;0,BT42-BY42,0)</f>
        <v>10204831.357142899</v>
      </c>
      <c r="CA42" s="277">
        <f t="shared" ref="CA42:CA48" si="146">IF(AND(OR($E42="HĐTV",$E42="HĐCTV"),$BZ42&lt;5000000),0,IF(OR($E42="HĐTV",$E42="HĐCTV"),$BZ42*10%,ROUND(IF($BZ42&lt;=10000000,$BZ42*5%,IF($BZ42&lt;=30000000,$BZ42*10%-500000,IF($BZ42&lt;=60000000,$BZ42*20%-3500000,IF($BZ42&lt;=100000000,$BZ42*30%-9500000,$BZ42*35%-14500000)))),0)))</f>
        <v>1020483.13571429</v>
      </c>
      <c r="CB42" s="283">
        <f t="shared" ref="CB42:CB48" si="147">ROUND(BG42-BQ42-CA42,0)</f>
        <v>9184348</v>
      </c>
      <c r="CC42" s="311"/>
      <c r="CD42" s="278"/>
      <c r="CE42" s="285">
        <f t="shared" ref="CE42:CE48" si="148">CB42+CC42-CD42</f>
        <v>9184348</v>
      </c>
      <c r="CF42" s="333">
        <f>CE42-CG42</f>
        <v>0</v>
      </c>
      <c r="CG42" s="286">
        <f>CE42</f>
        <v>9184348</v>
      </c>
      <c r="CH42" s="334"/>
      <c r="CI42" s="335"/>
      <c r="CJ42" s="270"/>
      <c r="CK42" s="289">
        <v>9</v>
      </c>
      <c r="CL42" s="270"/>
      <c r="CM42" s="336"/>
      <c r="CN42" s="336"/>
      <c r="CO42" s="336"/>
      <c r="CP42" s="337"/>
      <c r="CQ42" s="338"/>
      <c r="CR42" s="337"/>
      <c r="CS42" s="339"/>
      <c r="CT42" s="339"/>
      <c r="CU42" s="339"/>
      <c r="CV42" s="340"/>
      <c r="CW42" s="340"/>
      <c r="CX42" s="340"/>
      <c r="CY42" s="314">
        <f>IF(CX42&gt;0,CX42,IF(CW42&gt;0,CW42,6000000))</f>
        <v>6000000</v>
      </c>
      <c r="CZ42" s="341"/>
      <c r="DA42" s="342"/>
      <c r="DB42" s="343"/>
      <c r="DC42" s="341"/>
      <c r="DE42" s="345"/>
      <c r="DF42" s="346"/>
      <c r="DG42" s="270"/>
    </row>
    <row r="43" spans="1:111" s="110" customFormat="1" ht="25.5" customHeight="1">
      <c r="A43" s="262">
        <v>40</v>
      </c>
      <c r="B43" s="263">
        <v>7</v>
      </c>
      <c r="C43" s="265" t="s">
        <v>241</v>
      </c>
      <c r="D43" s="265" t="s">
        <v>242</v>
      </c>
      <c r="E43" s="262" t="str">
        <f t="shared" ref="E43:E48" si="149">IF(OR(G43="CHT",G43="DSBC"),"HĐLĐ",IF(OR(G43="DSTV",G43="Q.CHT"),"HĐTV","HĐCTV"))</f>
        <v>HĐLĐ</v>
      </c>
      <c r="F43" s="262" t="s">
        <v>240</v>
      </c>
      <c r="G43" s="262" t="s">
        <v>117</v>
      </c>
      <c r="H43" s="308" t="s">
        <v>243</v>
      </c>
      <c r="I43" s="461" t="s">
        <v>244</v>
      </c>
      <c r="J43" s="309" t="s">
        <v>245</v>
      </c>
      <c r="K43" s="268">
        <v>28</v>
      </c>
      <c r="L43" s="299">
        <v>29</v>
      </c>
      <c r="M43" s="375">
        <v>18.21</v>
      </c>
      <c r="N43" s="375">
        <v>234.97</v>
      </c>
      <c r="O43" s="262">
        <v>8</v>
      </c>
      <c r="P43" s="347"/>
      <c r="Q43" s="329"/>
      <c r="R43" s="348"/>
      <c r="S43" s="270">
        <f t="shared" si="129"/>
        <v>5310000</v>
      </c>
      <c r="T43" s="273">
        <f t="shared" si="31"/>
        <v>500000</v>
      </c>
      <c r="U43" s="347"/>
      <c r="V43" s="347"/>
      <c r="W43" s="347"/>
      <c r="X43" s="347"/>
      <c r="Y43" s="347"/>
      <c r="Z43" s="347"/>
      <c r="AA43" s="310">
        <f>CY43</f>
        <v>6000000</v>
      </c>
      <c r="AB43" s="311">
        <f t="shared" si="130"/>
        <v>6000000</v>
      </c>
      <c r="AC43" s="312">
        <f>IF(E43="HĐTV",AB43*85%,0)</f>
        <v>0</v>
      </c>
      <c r="AD43" s="313"/>
      <c r="AE43" s="275">
        <f t="shared" si="131"/>
        <v>487767.85714285698</v>
      </c>
      <c r="AF43" s="276">
        <f t="shared" si="11"/>
        <v>9440758.9285714291</v>
      </c>
      <c r="AG43" s="276">
        <v>0</v>
      </c>
      <c r="AH43" s="276">
        <v>0</v>
      </c>
      <c r="AI43" s="300">
        <v>1500000</v>
      </c>
      <c r="AJ43" s="300"/>
      <c r="AK43" s="300"/>
      <c r="AL43" s="300">
        <v>1600000</v>
      </c>
      <c r="AM43" s="300">
        <v>0</v>
      </c>
      <c r="AN43" s="300">
        <v>2444050</v>
      </c>
      <c r="AO43" s="300">
        <v>28709</v>
      </c>
      <c r="AP43" s="300">
        <v>0</v>
      </c>
      <c r="AQ43" s="383">
        <v>1080000</v>
      </c>
      <c r="AR43" s="276"/>
      <c r="AS43" s="276">
        <v>0</v>
      </c>
      <c r="AT43" s="276">
        <v>0</v>
      </c>
      <c r="AU43" s="276">
        <v>0</v>
      </c>
      <c r="AV43" s="276"/>
      <c r="AW43" s="276"/>
      <c r="AX43" s="349"/>
      <c r="AY43" s="311"/>
      <c r="AZ43" s="351"/>
      <c r="BA43" s="276">
        <v>0</v>
      </c>
      <c r="BB43" s="276">
        <v>0</v>
      </c>
      <c r="BC43" s="276">
        <v>0</v>
      </c>
      <c r="BD43" s="276">
        <v>0</v>
      </c>
      <c r="BE43" s="276">
        <v>0</v>
      </c>
      <c r="BF43" s="363">
        <v>0</v>
      </c>
      <c r="BG43" s="279">
        <f t="shared" si="61"/>
        <v>17081285.785714298</v>
      </c>
      <c r="BH43" s="277">
        <f t="shared" si="132"/>
        <v>929250</v>
      </c>
      <c r="BI43" s="277">
        <f t="shared" si="133"/>
        <v>159300</v>
      </c>
      <c r="BJ43" s="277">
        <f t="shared" si="134"/>
        <v>53100</v>
      </c>
      <c r="BK43" s="277"/>
      <c r="BL43" s="280">
        <f t="shared" si="135"/>
        <v>1141650</v>
      </c>
      <c r="BM43" s="277">
        <f t="shared" si="136"/>
        <v>424800</v>
      </c>
      <c r="BN43" s="277">
        <f t="shared" si="137"/>
        <v>79650</v>
      </c>
      <c r="BO43" s="277">
        <f t="shared" si="138"/>
        <v>53100</v>
      </c>
      <c r="BP43" s="277"/>
      <c r="BQ43" s="280">
        <f t="shared" si="139"/>
        <v>557550</v>
      </c>
      <c r="BR43" s="333">
        <f>AF43</f>
        <v>9440758.9285714291</v>
      </c>
      <c r="BS43" s="312">
        <f>T43+U43+V43+W43</f>
        <v>500000</v>
      </c>
      <c r="BT43" s="281">
        <f t="shared" si="140"/>
        <v>7140526.8571428498</v>
      </c>
      <c r="BU43" s="282">
        <f t="shared" si="141"/>
        <v>15500000</v>
      </c>
      <c r="BV43" s="311"/>
      <c r="BW43" s="277">
        <f t="shared" si="142"/>
        <v>0</v>
      </c>
      <c r="BX43" s="277">
        <f t="shared" si="143"/>
        <v>557550</v>
      </c>
      <c r="BY43" s="284">
        <f t="shared" si="144"/>
        <v>16057550</v>
      </c>
      <c r="BZ43" s="277">
        <f t="shared" si="145"/>
        <v>0</v>
      </c>
      <c r="CA43" s="277">
        <f t="shared" si="146"/>
        <v>0</v>
      </c>
      <c r="CB43" s="283">
        <f t="shared" si="147"/>
        <v>16523736</v>
      </c>
      <c r="CC43" s="311"/>
      <c r="CD43" s="278"/>
      <c r="CE43" s="285">
        <f t="shared" si="148"/>
        <v>16523736</v>
      </c>
      <c r="CF43" s="333">
        <f>CE43-CG43</f>
        <v>0</v>
      </c>
      <c r="CG43" s="286">
        <f t="shared" ref="CG43:CG48" si="150">CE43</f>
        <v>16523736</v>
      </c>
      <c r="CH43" s="334"/>
      <c r="CI43" s="335" t="str">
        <f>VLOOKUP($C43,[5]Sheet1!$C$5:$K$139,9,0)</f>
        <v>nguyet.tran@medigoapp.com</v>
      </c>
      <c r="CJ43" s="270">
        <f>VLOOKUP(D43,[1]CNT!$C$6:$AP$113,40,0)</f>
        <v>0</v>
      </c>
      <c r="CK43" s="289">
        <v>2</v>
      </c>
      <c r="CL43" s="270"/>
      <c r="CM43" s="336">
        <v>13</v>
      </c>
      <c r="CN43" s="336">
        <v>3</v>
      </c>
      <c r="CO43" s="336">
        <v>2026</v>
      </c>
      <c r="CP43" s="337">
        <f>IF((($CO$8-CO43)*12)+($CN$8-CN43)&gt;=12,((($CO$8-CO43)*12)+($CN$8-CN43))-1,0)</f>
        <v>0</v>
      </c>
      <c r="CQ43" s="338">
        <f>IF(CP43&lt;12,(($CQ$8-CO43)*12)+($CP$8-CN43),0)</f>
        <v>2</v>
      </c>
      <c r="CR43" s="337">
        <f>IF(OR(CP43&gt;12,CP43=12),((CP43-(CS43*12))+((($CQ$8-2024)*12)+($CP$8-4)))+1,0)</f>
        <v>0</v>
      </c>
      <c r="CS43" s="339">
        <f>IF(OR(CP43&gt;12,CP43=12),ROUNDDOWN(CP43/12,0),0)</f>
        <v>0</v>
      </c>
      <c r="CT43" s="339">
        <f>IF(CQ43&gt;11,ROUNDDOWN(CQ43/12,0),0)</f>
        <v>0</v>
      </c>
      <c r="CU43" s="339">
        <f>IF(CR43&gt;11,ROUNDDOWN(CR43/12,0),0)</f>
        <v>0</v>
      </c>
      <c r="CV43" s="340">
        <f>IF(CP43=0,0,6000000*1.07^CS43)</f>
        <v>0</v>
      </c>
      <c r="CW43" s="340">
        <f>IF(CT43&lt;2,0,6000000+(CT43-1)*500000)</f>
        <v>0</v>
      </c>
      <c r="CX43" s="340">
        <f>IF(CU43=0,CV43,IF(CU43&lt;1,0,CV43+CU43*500000))</f>
        <v>0</v>
      </c>
      <c r="CY43" s="314">
        <v>6000000</v>
      </c>
      <c r="CZ43" s="341"/>
      <c r="DA43" s="342">
        <f>CJ43</f>
        <v>0</v>
      </c>
      <c r="DB43" s="343"/>
      <c r="DC43" s="344"/>
      <c r="DE43" s="345"/>
      <c r="DF43" s="346">
        <f>VLOOKUP($D43,'[2]Med Service'!$D$11:$DI$87,110,0)</f>
        <v>0</v>
      </c>
      <c r="DG43" s="270" t="str">
        <f>VLOOKUP($D43,'[3]BẢNG LƯƠNG'!$C$3:$AH$102,32,0)</f>
        <v/>
      </c>
    </row>
    <row r="44" spans="1:111" s="111" customFormat="1" ht="25.5" customHeight="1">
      <c r="A44" s="262">
        <v>35</v>
      </c>
      <c r="B44" s="263">
        <v>7</v>
      </c>
      <c r="C44" s="265" t="s">
        <v>246</v>
      </c>
      <c r="D44" s="265" t="s">
        <v>247</v>
      </c>
      <c r="E44" s="262" t="str">
        <f t="shared" si="149"/>
        <v>HĐTV</v>
      </c>
      <c r="F44" s="262" t="s">
        <v>240</v>
      </c>
      <c r="G44" s="262" t="s">
        <v>129</v>
      </c>
      <c r="H44" s="460" t="s">
        <v>248</v>
      </c>
      <c r="I44" s="309" t="s">
        <v>249</v>
      </c>
      <c r="J44" s="309" t="s">
        <v>220</v>
      </c>
      <c r="K44" s="268">
        <v>28</v>
      </c>
      <c r="L44" s="299">
        <v>5</v>
      </c>
      <c r="M44" s="375">
        <v>20.11</v>
      </c>
      <c r="N44" s="375">
        <v>40.07</v>
      </c>
      <c r="O44" s="262">
        <v>0</v>
      </c>
      <c r="P44" s="347"/>
      <c r="Q44" s="329"/>
      <c r="R44" s="348"/>
      <c r="S44" s="270">
        <f t="shared" si="129"/>
        <v>0</v>
      </c>
      <c r="T44" s="273">
        <f t="shared" si="31"/>
        <v>89285.714285714304</v>
      </c>
      <c r="U44" s="347"/>
      <c r="V44" s="330"/>
      <c r="W44" s="347"/>
      <c r="X44" s="347"/>
      <c r="Y44" s="347"/>
      <c r="Z44" s="347"/>
      <c r="AA44" s="310">
        <v>6000000</v>
      </c>
      <c r="AB44" s="311">
        <f t="shared" si="130"/>
        <v>6000000</v>
      </c>
      <c r="AC44" s="312">
        <v>6000000</v>
      </c>
      <c r="AD44" s="313"/>
      <c r="AE44" s="275">
        <f t="shared" si="131"/>
        <v>538660.71428571397</v>
      </c>
      <c r="AF44" s="276">
        <f t="shared" si="11"/>
        <v>1609955.3571428601</v>
      </c>
      <c r="AG44" s="276">
        <v>0</v>
      </c>
      <c r="AH44" s="276">
        <v>0</v>
      </c>
      <c r="AI44" s="300">
        <v>267857</v>
      </c>
      <c r="AJ44" s="300"/>
      <c r="AK44" s="300"/>
      <c r="AL44" s="300">
        <v>533333</v>
      </c>
      <c r="AM44" s="300">
        <v>0</v>
      </c>
      <c r="AN44" s="300">
        <v>354690</v>
      </c>
      <c r="AO44" s="300">
        <v>1690</v>
      </c>
      <c r="AP44" s="300">
        <v>0</v>
      </c>
      <c r="AQ44" s="300">
        <v>0</v>
      </c>
      <c r="AR44" s="276"/>
      <c r="AS44" s="276">
        <v>0</v>
      </c>
      <c r="AT44" s="276">
        <v>0</v>
      </c>
      <c r="AU44" s="276">
        <v>0</v>
      </c>
      <c r="AV44" s="276"/>
      <c r="AW44" s="276"/>
      <c r="AX44" s="349"/>
      <c r="AY44" s="350"/>
      <c r="AZ44" s="351"/>
      <c r="BA44" s="276">
        <v>0</v>
      </c>
      <c r="BB44" s="276">
        <v>0</v>
      </c>
      <c r="BC44" s="276">
        <v>100000</v>
      </c>
      <c r="BD44" s="276">
        <v>0</v>
      </c>
      <c r="BE44" s="276">
        <v>0</v>
      </c>
      <c r="BF44" s="363">
        <v>0</v>
      </c>
      <c r="BG44" s="279">
        <f t="shared" si="61"/>
        <v>3295471.7857142901</v>
      </c>
      <c r="BH44" s="277">
        <f t="shared" si="132"/>
        <v>0</v>
      </c>
      <c r="BI44" s="277">
        <f t="shared" si="133"/>
        <v>0</v>
      </c>
      <c r="BJ44" s="277">
        <f t="shared" si="134"/>
        <v>0</v>
      </c>
      <c r="BK44" s="277"/>
      <c r="BL44" s="280">
        <f t="shared" si="135"/>
        <v>0</v>
      </c>
      <c r="BM44" s="277">
        <f t="shared" si="136"/>
        <v>0</v>
      </c>
      <c r="BN44" s="277">
        <f t="shared" si="137"/>
        <v>0</v>
      </c>
      <c r="BO44" s="277">
        <f t="shared" si="138"/>
        <v>0</v>
      </c>
      <c r="BP44" s="277"/>
      <c r="BQ44" s="280">
        <f t="shared" si="139"/>
        <v>0</v>
      </c>
      <c r="BR44" s="333">
        <f>AF44</f>
        <v>1609955.3571428601</v>
      </c>
      <c r="BS44" s="312">
        <f>T44+U44+V44+W44</f>
        <v>89285.714285714304</v>
      </c>
      <c r="BT44" s="281">
        <f t="shared" si="140"/>
        <v>1596230.7142857099</v>
      </c>
      <c r="BU44" s="282">
        <f t="shared" si="141"/>
        <v>0</v>
      </c>
      <c r="BV44" s="311"/>
      <c r="BW44" s="277">
        <f t="shared" si="142"/>
        <v>0</v>
      </c>
      <c r="BX44" s="277">
        <f t="shared" si="143"/>
        <v>0</v>
      </c>
      <c r="BY44" s="284">
        <f t="shared" si="144"/>
        <v>0</v>
      </c>
      <c r="BZ44" s="277">
        <f t="shared" si="145"/>
        <v>1596230.7142857099</v>
      </c>
      <c r="CA44" s="277">
        <f t="shared" si="146"/>
        <v>0</v>
      </c>
      <c r="CB44" s="283">
        <f t="shared" si="147"/>
        <v>3295472</v>
      </c>
      <c r="CC44" s="311"/>
      <c r="CD44" s="278"/>
      <c r="CE44" s="285">
        <f t="shared" si="148"/>
        <v>3295472</v>
      </c>
      <c r="CF44" s="352">
        <f>CE44-CG44</f>
        <v>0</v>
      </c>
      <c r="CG44" s="286">
        <f t="shared" si="150"/>
        <v>3295472</v>
      </c>
      <c r="CH44" s="334"/>
      <c r="CI44" s="335" t="s">
        <v>250</v>
      </c>
      <c r="CJ44" s="353"/>
      <c r="CK44" s="289">
        <v>11</v>
      </c>
      <c r="CL44" s="270"/>
      <c r="CM44" s="336"/>
      <c r="CN44" s="336"/>
      <c r="CO44" s="336"/>
      <c r="CP44" s="337"/>
      <c r="CQ44" s="338"/>
      <c r="CR44" s="337"/>
      <c r="CS44" s="339"/>
      <c r="CT44" s="339"/>
      <c r="CU44" s="339"/>
      <c r="CV44" s="340"/>
      <c r="CW44" s="340"/>
      <c r="CX44" s="340"/>
      <c r="CY44" s="314">
        <f>IF(CX44&gt;0,CX44,IF(CW44&gt;0,CW44,6000000))</f>
        <v>6000000</v>
      </c>
      <c r="CZ44" s="341"/>
      <c r="DA44" s="342"/>
      <c r="DB44" s="354" t="s">
        <v>251</v>
      </c>
      <c r="DC44" s="341"/>
      <c r="DE44" s="345"/>
      <c r="DF44" s="346"/>
      <c r="DG44" s="270"/>
    </row>
    <row r="45" spans="1:111" s="111" customFormat="1" ht="25.5" customHeight="1">
      <c r="A45" s="262">
        <v>32</v>
      </c>
      <c r="B45" s="263">
        <v>7</v>
      </c>
      <c r="C45" s="307" t="s">
        <v>252</v>
      </c>
      <c r="D45" s="265" t="s">
        <v>253</v>
      </c>
      <c r="E45" s="262" t="str">
        <f t="shared" si="149"/>
        <v>HĐTV</v>
      </c>
      <c r="F45" s="262" t="s">
        <v>240</v>
      </c>
      <c r="G45" s="262" t="s">
        <v>129</v>
      </c>
      <c r="H45" s="460" t="s">
        <v>232</v>
      </c>
      <c r="I45" s="461" t="s">
        <v>254</v>
      </c>
      <c r="J45" s="309" t="s">
        <v>119</v>
      </c>
      <c r="K45" s="268">
        <v>28</v>
      </c>
      <c r="L45" s="299">
        <v>30</v>
      </c>
      <c r="M45" s="375">
        <v>306.98</v>
      </c>
      <c r="N45" s="375">
        <v>0</v>
      </c>
      <c r="O45" s="262">
        <v>16</v>
      </c>
      <c r="P45" s="347"/>
      <c r="Q45" s="329"/>
      <c r="R45" s="348"/>
      <c r="S45" s="270">
        <f t="shared" si="129"/>
        <v>0</v>
      </c>
      <c r="T45" s="273">
        <f t="shared" si="31"/>
        <v>500000</v>
      </c>
      <c r="U45" s="347"/>
      <c r="V45" s="330"/>
      <c r="W45" s="347"/>
      <c r="X45" s="347"/>
      <c r="Y45" s="347"/>
      <c r="Z45" s="347"/>
      <c r="AA45" s="310">
        <v>6000000</v>
      </c>
      <c r="AB45" s="311">
        <f t="shared" si="130"/>
        <v>6000000</v>
      </c>
      <c r="AC45" s="312">
        <v>6000000</v>
      </c>
      <c r="AD45" s="313"/>
      <c r="AE45" s="275">
        <f t="shared" si="131"/>
        <v>8222678.57142857</v>
      </c>
      <c r="AF45" s="276">
        <f t="shared" si="11"/>
        <v>0</v>
      </c>
      <c r="AG45" s="276">
        <v>0</v>
      </c>
      <c r="AH45" s="276">
        <v>0</v>
      </c>
      <c r="AI45" s="276">
        <v>0</v>
      </c>
      <c r="AJ45" s="276"/>
      <c r="AK45" s="276"/>
      <c r="AL45" s="300">
        <v>1000000</v>
      </c>
      <c r="AM45" s="300">
        <v>0</v>
      </c>
      <c r="AN45" s="300">
        <v>857800</v>
      </c>
      <c r="AO45" s="300">
        <v>46354</v>
      </c>
      <c r="AP45" s="300">
        <v>0</v>
      </c>
      <c r="AQ45" s="300">
        <v>115000</v>
      </c>
      <c r="AR45" s="276"/>
      <c r="AS45" s="276">
        <v>0</v>
      </c>
      <c r="AT45" s="276">
        <v>0</v>
      </c>
      <c r="AU45" s="276">
        <v>0</v>
      </c>
      <c r="AV45" s="276"/>
      <c r="AW45" s="276"/>
      <c r="AX45" s="349"/>
      <c r="AY45" s="350"/>
      <c r="AZ45" s="351"/>
      <c r="BA45" s="276">
        <v>0</v>
      </c>
      <c r="BB45" s="276">
        <v>0</v>
      </c>
      <c r="BC45" s="276">
        <v>0</v>
      </c>
      <c r="BD45" s="276">
        <v>0</v>
      </c>
      <c r="BE45" s="276">
        <v>255000</v>
      </c>
      <c r="BF45" s="363">
        <v>0</v>
      </c>
      <c r="BG45" s="279">
        <f t="shared" si="61"/>
        <v>10486832.571428601</v>
      </c>
      <c r="BH45" s="277">
        <f t="shared" si="132"/>
        <v>0</v>
      </c>
      <c r="BI45" s="277">
        <f t="shared" si="133"/>
        <v>0</v>
      </c>
      <c r="BJ45" s="277">
        <f t="shared" si="134"/>
        <v>0</v>
      </c>
      <c r="BK45" s="277"/>
      <c r="BL45" s="280">
        <f t="shared" si="135"/>
        <v>0</v>
      </c>
      <c r="BM45" s="277">
        <f t="shared" si="136"/>
        <v>0</v>
      </c>
      <c r="BN45" s="277">
        <f t="shared" si="137"/>
        <v>0</v>
      </c>
      <c r="BO45" s="277">
        <f t="shared" si="138"/>
        <v>0</v>
      </c>
      <c r="BP45" s="277"/>
      <c r="BQ45" s="280">
        <f t="shared" si="139"/>
        <v>0</v>
      </c>
      <c r="BR45" s="333">
        <f>AF45</f>
        <v>0</v>
      </c>
      <c r="BS45" s="312">
        <f>T45+U45+V45+W45</f>
        <v>500000</v>
      </c>
      <c r="BT45" s="281">
        <f t="shared" si="140"/>
        <v>9986832.5714285709</v>
      </c>
      <c r="BU45" s="282">
        <f t="shared" si="141"/>
        <v>0</v>
      </c>
      <c r="BV45" s="311"/>
      <c r="BW45" s="277">
        <f t="shared" si="142"/>
        <v>0</v>
      </c>
      <c r="BX45" s="277">
        <f t="shared" si="143"/>
        <v>0</v>
      </c>
      <c r="BY45" s="284">
        <f t="shared" si="144"/>
        <v>0</v>
      </c>
      <c r="BZ45" s="277">
        <f t="shared" si="145"/>
        <v>9986832.5714285709</v>
      </c>
      <c r="CA45" s="277">
        <f t="shared" si="146"/>
        <v>998683.25714285695</v>
      </c>
      <c r="CB45" s="283">
        <f t="shared" si="147"/>
        <v>9488149</v>
      </c>
      <c r="CC45" s="311"/>
      <c r="CD45" s="278"/>
      <c r="CE45" s="285">
        <f t="shared" si="148"/>
        <v>9488149</v>
      </c>
      <c r="CF45" s="352">
        <f t="shared" ref="CF45:CF48" si="151">CE45-CG45</f>
        <v>0</v>
      </c>
      <c r="CG45" s="286">
        <f t="shared" si="150"/>
        <v>9488149</v>
      </c>
      <c r="CH45" s="334"/>
      <c r="CI45" s="335" t="s">
        <v>255</v>
      </c>
      <c r="CJ45" s="353"/>
      <c r="CK45" s="289">
        <v>1</v>
      </c>
      <c r="CL45" s="270"/>
      <c r="CM45" s="336"/>
      <c r="CN45" s="336"/>
      <c r="CO45" s="336"/>
      <c r="CP45" s="337"/>
      <c r="CQ45" s="338"/>
      <c r="CR45" s="337"/>
      <c r="CS45" s="339"/>
      <c r="CT45" s="339"/>
      <c r="CU45" s="339"/>
      <c r="CV45" s="340"/>
      <c r="CW45" s="340"/>
      <c r="CX45" s="340"/>
      <c r="CY45" s="314">
        <f>IF(CX45&gt;0,CX45,IF(CW45&gt;0,CW45,6000000))</f>
        <v>6000000</v>
      </c>
      <c r="CZ45" s="341"/>
      <c r="DA45" s="342"/>
      <c r="DB45" s="354" t="s">
        <v>256</v>
      </c>
      <c r="DC45" s="341"/>
      <c r="DE45" s="345"/>
      <c r="DF45" s="346"/>
      <c r="DG45" s="270"/>
    </row>
    <row r="46" spans="1:111" s="111" customFormat="1" ht="25.5" customHeight="1">
      <c r="A46" s="262">
        <v>36</v>
      </c>
      <c r="B46" s="263" t="s">
        <v>113</v>
      </c>
      <c r="C46" s="265" t="s">
        <v>230</v>
      </c>
      <c r="D46" s="265" t="s">
        <v>231</v>
      </c>
      <c r="E46" s="262" t="str">
        <f t="shared" si="149"/>
        <v>HĐTV</v>
      </c>
      <c r="F46" s="262" t="s">
        <v>240</v>
      </c>
      <c r="G46" s="262" t="s">
        <v>129</v>
      </c>
      <c r="H46" s="460" t="s">
        <v>232</v>
      </c>
      <c r="I46" s="309" t="s">
        <v>233</v>
      </c>
      <c r="J46" s="309" t="s">
        <v>119</v>
      </c>
      <c r="K46" s="268">
        <v>28</v>
      </c>
      <c r="L46" s="299">
        <v>30</v>
      </c>
      <c r="M46" s="375">
        <v>295.10000000000002</v>
      </c>
      <c r="N46" s="375">
        <v>7.75</v>
      </c>
      <c r="O46" s="262">
        <v>16</v>
      </c>
      <c r="P46" s="347"/>
      <c r="Q46" s="329"/>
      <c r="R46" s="348"/>
      <c r="S46" s="270">
        <f t="shared" si="129"/>
        <v>0</v>
      </c>
      <c r="T46" s="273">
        <f t="shared" si="31"/>
        <v>500000</v>
      </c>
      <c r="U46" s="347"/>
      <c r="V46" s="330"/>
      <c r="W46" s="347"/>
      <c r="X46" s="347"/>
      <c r="Y46" s="347"/>
      <c r="Z46" s="347"/>
      <c r="AA46" s="310">
        <v>6000000</v>
      </c>
      <c r="AB46" s="311">
        <f t="shared" si="130"/>
        <v>6000000</v>
      </c>
      <c r="AC46" s="312">
        <v>6000000</v>
      </c>
      <c r="AD46" s="313"/>
      <c r="AE46" s="275">
        <f t="shared" si="131"/>
        <v>7904464.2857142901</v>
      </c>
      <c r="AF46" s="276">
        <f t="shared" si="11"/>
        <v>311383.92857142899</v>
      </c>
      <c r="AG46" s="276">
        <v>0</v>
      </c>
      <c r="AH46" s="276">
        <v>0</v>
      </c>
      <c r="AI46" s="276">
        <v>0</v>
      </c>
      <c r="AJ46" s="276"/>
      <c r="AK46" s="276"/>
      <c r="AL46" s="300">
        <v>1000000</v>
      </c>
      <c r="AM46" s="300">
        <v>0</v>
      </c>
      <c r="AN46" s="300">
        <v>751700</v>
      </c>
      <c r="AO46" s="300">
        <v>35008</v>
      </c>
      <c r="AP46" s="300">
        <v>0</v>
      </c>
      <c r="AQ46" s="300">
        <v>0</v>
      </c>
      <c r="AR46" s="276"/>
      <c r="AS46" s="276">
        <v>0</v>
      </c>
      <c r="AT46" s="276">
        <v>0</v>
      </c>
      <c r="AU46" s="276">
        <v>0</v>
      </c>
      <c r="AV46" s="276"/>
      <c r="AW46" s="276"/>
      <c r="AX46" s="349"/>
      <c r="AY46" s="355">
        <v>100000</v>
      </c>
      <c r="AZ46" s="351"/>
      <c r="BA46" s="276">
        <v>0</v>
      </c>
      <c r="BB46" s="276">
        <v>0</v>
      </c>
      <c r="BC46" s="276">
        <v>0</v>
      </c>
      <c r="BD46" s="276">
        <v>0</v>
      </c>
      <c r="BE46" s="276">
        <v>89000</v>
      </c>
      <c r="BF46" s="363">
        <v>0</v>
      </c>
      <c r="BG46" s="279">
        <f t="shared" si="61"/>
        <v>10513556.2142857</v>
      </c>
      <c r="BH46" s="277">
        <f t="shared" si="132"/>
        <v>0</v>
      </c>
      <c r="BI46" s="277">
        <f t="shared" si="133"/>
        <v>0</v>
      </c>
      <c r="BJ46" s="277">
        <f t="shared" si="134"/>
        <v>0</v>
      </c>
      <c r="BK46" s="277"/>
      <c r="BL46" s="280">
        <f t="shared" si="135"/>
        <v>0</v>
      </c>
      <c r="BM46" s="277">
        <f t="shared" si="136"/>
        <v>0</v>
      </c>
      <c r="BN46" s="277">
        <f t="shared" si="137"/>
        <v>0</v>
      </c>
      <c r="BO46" s="277">
        <f t="shared" si="138"/>
        <v>0</v>
      </c>
      <c r="BP46" s="277"/>
      <c r="BQ46" s="280">
        <f t="shared" si="139"/>
        <v>0</v>
      </c>
      <c r="BR46" s="333">
        <f>AF46</f>
        <v>311383.92857142899</v>
      </c>
      <c r="BS46" s="312">
        <f>T46+U46+V46+W46</f>
        <v>500000</v>
      </c>
      <c r="BT46" s="281">
        <f t="shared" si="140"/>
        <v>9702172.2857142892</v>
      </c>
      <c r="BU46" s="282">
        <f t="shared" si="141"/>
        <v>0</v>
      </c>
      <c r="BV46" s="311"/>
      <c r="BW46" s="277">
        <f t="shared" si="142"/>
        <v>0</v>
      </c>
      <c r="BX46" s="277">
        <f t="shared" si="143"/>
        <v>0</v>
      </c>
      <c r="BY46" s="284">
        <f t="shared" si="144"/>
        <v>0</v>
      </c>
      <c r="BZ46" s="277">
        <f t="shared" si="145"/>
        <v>9702172.2857142892</v>
      </c>
      <c r="CA46" s="277">
        <f t="shared" si="146"/>
        <v>970217.22857142903</v>
      </c>
      <c r="CB46" s="283">
        <f t="shared" si="147"/>
        <v>9543339</v>
      </c>
      <c r="CC46" s="311"/>
      <c r="CD46" s="278"/>
      <c r="CE46" s="285">
        <f t="shared" si="148"/>
        <v>9543339</v>
      </c>
      <c r="CF46" s="352">
        <f t="shared" si="151"/>
        <v>0</v>
      </c>
      <c r="CG46" s="286">
        <f t="shared" si="150"/>
        <v>9543339</v>
      </c>
      <c r="CH46" s="334"/>
      <c r="CI46" s="335" t="s">
        <v>257</v>
      </c>
      <c r="CJ46" s="353"/>
      <c r="CK46" s="289">
        <v>8</v>
      </c>
      <c r="CL46" s="270"/>
      <c r="CM46" s="336"/>
      <c r="CN46" s="336"/>
      <c r="CO46" s="336"/>
      <c r="CP46" s="337"/>
      <c r="CQ46" s="338"/>
      <c r="CR46" s="337"/>
      <c r="CS46" s="339"/>
      <c r="CT46" s="339"/>
      <c r="CU46" s="339"/>
      <c r="CV46" s="340"/>
      <c r="CW46" s="340"/>
      <c r="CX46" s="340"/>
      <c r="CY46" s="314">
        <f>IF(CX46&gt;0,CX46,IF(CW46&gt;0,CW46,6000000))</f>
        <v>6000000</v>
      </c>
      <c r="CZ46" s="341"/>
      <c r="DA46" s="342"/>
      <c r="DB46" s="354" t="s">
        <v>258</v>
      </c>
      <c r="DC46" s="341"/>
      <c r="DE46" s="345"/>
      <c r="DF46" s="346"/>
      <c r="DG46" s="270"/>
    </row>
    <row r="47" spans="1:111" s="110" customFormat="1" ht="25.5" customHeight="1">
      <c r="A47" s="262">
        <v>38</v>
      </c>
      <c r="B47" s="263" t="s">
        <v>113</v>
      </c>
      <c r="C47" s="265" t="s">
        <v>200</v>
      </c>
      <c r="D47" s="265" t="s">
        <v>201</v>
      </c>
      <c r="E47" s="262" t="str">
        <f t="shared" si="149"/>
        <v>HĐLĐ</v>
      </c>
      <c r="F47" s="262" t="s">
        <v>240</v>
      </c>
      <c r="G47" s="262" t="s">
        <v>117</v>
      </c>
      <c r="H47" s="308" t="s">
        <v>202</v>
      </c>
      <c r="I47" s="309" t="s">
        <v>203</v>
      </c>
      <c r="J47" s="309" t="s">
        <v>204</v>
      </c>
      <c r="K47" s="268">
        <v>28</v>
      </c>
      <c r="L47" s="299">
        <v>16</v>
      </c>
      <c r="M47" s="375">
        <v>108.24</v>
      </c>
      <c r="N47" s="375">
        <v>7.08</v>
      </c>
      <c r="O47" s="262">
        <v>0</v>
      </c>
      <c r="P47" s="270"/>
      <c r="Q47" s="329"/>
      <c r="R47" s="270"/>
      <c r="S47" s="270"/>
      <c r="T47" s="273"/>
      <c r="U47" s="270"/>
      <c r="V47" s="330"/>
      <c r="W47" s="270"/>
      <c r="X47" s="270"/>
      <c r="Y47" s="270"/>
      <c r="Z47" s="270"/>
      <c r="AA47" s="310">
        <f>CY47</f>
        <v>6000000</v>
      </c>
      <c r="AB47" s="311">
        <f t="shared" si="130"/>
        <v>6000000</v>
      </c>
      <c r="AC47" s="312">
        <f>IF(E47="HĐTV",AB47*85%,0)</f>
        <v>0</v>
      </c>
      <c r="AD47" s="313"/>
      <c r="AE47" s="275">
        <f t="shared" si="131"/>
        <v>2899285.7142857099</v>
      </c>
      <c r="AF47" s="276">
        <f t="shared" si="11"/>
        <v>284464.28571428597</v>
      </c>
      <c r="AG47" s="276">
        <v>0</v>
      </c>
      <c r="AH47" s="276">
        <v>0</v>
      </c>
      <c r="AI47" s="276">
        <v>0</v>
      </c>
      <c r="AJ47" s="276">
        <v>1500000</v>
      </c>
      <c r="AK47" s="276">
        <v>2000000</v>
      </c>
      <c r="AL47" s="300">
        <v>0</v>
      </c>
      <c r="AM47" s="300">
        <v>0</v>
      </c>
      <c r="AN47" s="300">
        <v>0</v>
      </c>
      <c r="AO47" s="300">
        <v>15362</v>
      </c>
      <c r="AP47" s="300">
        <v>0</v>
      </c>
      <c r="AQ47" s="300">
        <v>0</v>
      </c>
      <c r="AR47" s="276"/>
      <c r="AS47" s="276">
        <v>0</v>
      </c>
      <c r="AT47" s="276">
        <v>0</v>
      </c>
      <c r="AU47" s="276">
        <v>0</v>
      </c>
      <c r="AV47" s="276"/>
      <c r="AW47" s="276"/>
      <c r="AX47" s="276"/>
      <c r="AY47" s="367"/>
      <c r="AZ47" s="276"/>
      <c r="BA47" s="276">
        <v>0</v>
      </c>
      <c r="BB47" s="276">
        <v>0</v>
      </c>
      <c r="BC47" s="276">
        <v>0</v>
      </c>
      <c r="BD47" s="276">
        <v>0</v>
      </c>
      <c r="BE47" s="276">
        <v>0</v>
      </c>
      <c r="BF47" s="363">
        <v>0</v>
      </c>
      <c r="BG47" s="279">
        <f t="shared" si="61"/>
        <v>6699112</v>
      </c>
      <c r="BH47" s="277">
        <f t="shared" si="132"/>
        <v>0</v>
      </c>
      <c r="BI47" s="277">
        <f t="shared" si="133"/>
        <v>0</v>
      </c>
      <c r="BJ47" s="277">
        <f t="shared" si="134"/>
        <v>0</v>
      </c>
      <c r="BK47" s="277"/>
      <c r="BL47" s="280">
        <f t="shared" si="135"/>
        <v>0</v>
      </c>
      <c r="BM47" s="277">
        <f t="shared" si="136"/>
        <v>0</v>
      </c>
      <c r="BN47" s="277">
        <f t="shared" si="137"/>
        <v>0</v>
      </c>
      <c r="BO47" s="277">
        <f t="shared" si="138"/>
        <v>0</v>
      </c>
      <c r="BP47" s="277"/>
      <c r="BQ47" s="280">
        <f t="shared" si="139"/>
        <v>0</v>
      </c>
      <c r="BR47" s="333">
        <f>AF47</f>
        <v>284464.28571428597</v>
      </c>
      <c r="BS47" s="312">
        <f>T47+U47+V47+W47</f>
        <v>0</v>
      </c>
      <c r="BT47" s="281">
        <f t="shared" si="140"/>
        <v>6414647.7142857099</v>
      </c>
      <c r="BU47" s="282">
        <f t="shared" si="141"/>
        <v>15500000</v>
      </c>
      <c r="BV47" s="311"/>
      <c r="BW47" s="277">
        <f t="shared" si="142"/>
        <v>0</v>
      </c>
      <c r="BX47" s="277">
        <f t="shared" si="143"/>
        <v>0</v>
      </c>
      <c r="BY47" s="284">
        <f t="shared" si="144"/>
        <v>15500000</v>
      </c>
      <c r="BZ47" s="277">
        <f t="shared" si="145"/>
        <v>0</v>
      </c>
      <c r="CA47" s="277">
        <f t="shared" si="146"/>
        <v>0</v>
      </c>
      <c r="CB47" s="283">
        <f t="shared" si="147"/>
        <v>6699112</v>
      </c>
      <c r="CC47" s="311"/>
      <c r="CD47" s="278"/>
      <c r="CE47" s="285">
        <f t="shared" si="148"/>
        <v>6699112</v>
      </c>
      <c r="CF47" s="333">
        <f t="shared" si="151"/>
        <v>0</v>
      </c>
      <c r="CG47" s="286">
        <f t="shared" si="150"/>
        <v>6699112</v>
      </c>
      <c r="CH47" s="334"/>
      <c r="CI47" s="335" t="str">
        <f>VLOOKUP($C47,[5]Sheet1!$C$5:$K$139,9,0)</f>
        <v>tai.phan@medigoapp.com</v>
      </c>
      <c r="CJ47" s="270">
        <f>VLOOKUP(D47,[1]CNT!$C$6:$AP$113,40,0)</f>
        <v>0</v>
      </c>
      <c r="CK47" s="289">
        <v>4</v>
      </c>
      <c r="CL47" s="270">
        <f>VLOOKUP(D47,[1]CNT!C25:AJ29,15,0)</f>
        <v>0</v>
      </c>
      <c r="CM47" s="336">
        <v>26</v>
      </c>
      <c r="CN47" s="336">
        <v>1</v>
      </c>
      <c r="CO47" s="336">
        <v>2026</v>
      </c>
      <c r="CP47" s="337">
        <f>IF((($CO$8-CO47)*12)+($CN$8-CN47)&gt;=12,((($CO$8-CO47)*12)+($CN$8-CN47))-1,0)</f>
        <v>0</v>
      </c>
      <c r="CQ47" s="338">
        <f>IF(CP47&lt;12,(($CQ$8-CO47)*12)+($CP$8-CN47),0)</f>
        <v>4</v>
      </c>
      <c r="CR47" s="337">
        <f>IF(OR(CP47&gt;12,CP47=12),((CP47-(CS47*12))+((($CQ$8-2024)*12)+($CP$8-4)))+1,0)</f>
        <v>0</v>
      </c>
      <c r="CS47" s="339">
        <f>IF(OR(CP47&gt;12,CP47=12),ROUNDDOWN(CP47/12,0),0)</f>
        <v>0</v>
      </c>
      <c r="CT47" s="339">
        <f>IF(CQ47&gt;11,ROUNDDOWN(CQ47/12,0),0)</f>
        <v>0</v>
      </c>
      <c r="CU47" s="339">
        <f>IF(CR47&gt;11,ROUNDDOWN(CR47/12,0),0)</f>
        <v>0</v>
      </c>
      <c r="CV47" s="340">
        <f>IF(CP47=0,0,6000000*1.07^CS47)</f>
        <v>0</v>
      </c>
      <c r="CW47" s="340">
        <f>IF(CT47&lt;2,0,6000000+(CT47-1)*500000)</f>
        <v>0</v>
      </c>
      <c r="CX47" s="340">
        <f>IF(CU47=0,CV47,IF(CU47&lt;1,0,CV47+CU47*500000))</f>
        <v>0</v>
      </c>
      <c r="CY47" s="314">
        <v>6000000</v>
      </c>
      <c r="CZ47" s="341"/>
      <c r="DA47" s="342">
        <f>CJ47</f>
        <v>0</v>
      </c>
      <c r="DB47" s="343"/>
      <c r="DC47" s="344"/>
      <c r="DE47" s="345"/>
      <c r="DF47" s="346"/>
      <c r="DG47" s="270" t="str">
        <f>VLOOKUP($D47,'[3]BẢNG LƯƠNG'!$C$3:$AH$102,32,0)</f>
        <v/>
      </c>
    </row>
    <row r="48" spans="1:111" s="110" customFormat="1" ht="25.5" customHeight="1">
      <c r="A48" s="262"/>
      <c r="B48" s="263"/>
      <c r="C48" s="384" t="s">
        <v>259</v>
      </c>
      <c r="D48" s="385" t="s">
        <v>260</v>
      </c>
      <c r="E48" s="262" t="str">
        <f t="shared" si="149"/>
        <v>HĐCTV</v>
      </c>
      <c r="F48" s="262" t="s">
        <v>240</v>
      </c>
      <c r="G48" s="262" t="s">
        <v>261</v>
      </c>
      <c r="H48" s="463" t="s">
        <v>262</v>
      </c>
      <c r="I48" s="464" t="s">
        <v>263</v>
      </c>
      <c r="J48" s="386" t="s">
        <v>264</v>
      </c>
      <c r="K48" s="268">
        <v>28</v>
      </c>
      <c r="L48" s="299">
        <v>1</v>
      </c>
      <c r="M48" s="375">
        <v>8.25</v>
      </c>
      <c r="N48" s="375">
        <v>0</v>
      </c>
      <c r="O48" s="262">
        <v>0</v>
      </c>
      <c r="P48" s="270"/>
      <c r="Q48" s="329"/>
      <c r="R48" s="270"/>
      <c r="S48" s="270">
        <f t="shared" si="129"/>
        <v>0</v>
      </c>
      <c r="T48" s="273">
        <f t="shared" si="31"/>
        <v>17857.142857142899</v>
      </c>
      <c r="U48" s="270"/>
      <c r="V48" s="330"/>
      <c r="W48" s="270"/>
      <c r="X48" s="270"/>
      <c r="Y48" s="270"/>
      <c r="Z48" s="270"/>
      <c r="AA48" s="310">
        <v>3000000</v>
      </c>
      <c r="AB48" s="311">
        <f t="shared" si="130"/>
        <v>3000000</v>
      </c>
      <c r="AC48" s="312">
        <f>IF(E48="HĐTV",AB48*85%,0)</f>
        <v>0</v>
      </c>
      <c r="AD48" s="313"/>
      <c r="AE48" s="275">
        <f t="shared" si="131"/>
        <v>110491.071428571</v>
      </c>
      <c r="AF48" s="276">
        <f t="shared" si="11"/>
        <v>0</v>
      </c>
      <c r="AG48" s="276">
        <v>0</v>
      </c>
      <c r="AH48" s="276">
        <v>0</v>
      </c>
      <c r="AI48" s="276">
        <v>0</v>
      </c>
      <c r="AJ48" s="276"/>
      <c r="AK48" s="276"/>
      <c r="AL48" s="300">
        <v>0</v>
      </c>
      <c r="AM48" s="300">
        <v>0</v>
      </c>
      <c r="AN48" s="300">
        <v>0</v>
      </c>
      <c r="AO48" s="300">
        <v>0</v>
      </c>
      <c r="AP48" s="300">
        <v>0</v>
      </c>
      <c r="AQ48" s="300">
        <v>0</v>
      </c>
      <c r="AR48" s="276"/>
      <c r="AS48" s="276">
        <v>0</v>
      </c>
      <c r="AT48" s="276">
        <v>0</v>
      </c>
      <c r="AU48" s="276">
        <v>0</v>
      </c>
      <c r="AV48" s="276"/>
      <c r="AW48" s="276"/>
      <c r="AX48" s="276"/>
      <c r="AY48" s="355"/>
      <c r="AZ48" s="276"/>
      <c r="BA48" s="276">
        <v>0</v>
      </c>
      <c r="BB48" s="276">
        <v>0</v>
      </c>
      <c r="BC48" s="276">
        <v>0</v>
      </c>
      <c r="BD48" s="276">
        <v>0</v>
      </c>
      <c r="BE48" s="276">
        <v>0</v>
      </c>
      <c r="BF48" s="363">
        <v>0</v>
      </c>
      <c r="BG48" s="279">
        <f t="shared" si="61"/>
        <v>128348.214285714</v>
      </c>
      <c r="BH48" s="277">
        <f t="shared" si="132"/>
        <v>0</v>
      </c>
      <c r="BI48" s="277">
        <f t="shared" si="133"/>
        <v>0</v>
      </c>
      <c r="BJ48" s="277">
        <f t="shared" si="134"/>
        <v>0</v>
      </c>
      <c r="BK48" s="277"/>
      <c r="BL48" s="280">
        <f t="shared" si="135"/>
        <v>0</v>
      </c>
      <c r="BM48" s="277">
        <f t="shared" si="136"/>
        <v>0</v>
      </c>
      <c r="BN48" s="277">
        <f t="shared" si="137"/>
        <v>0</v>
      </c>
      <c r="BO48" s="277">
        <f t="shared" si="138"/>
        <v>0</v>
      </c>
      <c r="BP48" s="277"/>
      <c r="BQ48" s="280">
        <f t="shared" si="139"/>
        <v>0</v>
      </c>
      <c r="BR48" s="333"/>
      <c r="BS48" s="312"/>
      <c r="BT48" s="281">
        <f t="shared" si="140"/>
        <v>128348.214285714</v>
      </c>
      <c r="BU48" s="282">
        <f t="shared" si="141"/>
        <v>0</v>
      </c>
      <c r="BV48" s="311"/>
      <c r="BW48" s="277">
        <f t="shared" si="142"/>
        <v>0</v>
      </c>
      <c r="BX48" s="277">
        <f t="shared" si="143"/>
        <v>0</v>
      </c>
      <c r="BY48" s="284">
        <f t="shared" si="144"/>
        <v>0</v>
      </c>
      <c r="BZ48" s="277">
        <f t="shared" si="145"/>
        <v>128348.214285714</v>
      </c>
      <c r="CA48" s="277">
        <f t="shared" si="146"/>
        <v>0</v>
      </c>
      <c r="CB48" s="283">
        <f t="shared" si="147"/>
        <v>128348</v>
      </c>
      <c r="CC48" s="311"/>
      <c r="CD48" s="278"/>
      <c r="CE48" s="285">
        <f t="shared" si="148"/>
        <v>128348</v>
      </c>
      <c r="CF48" s="333">
        <f t="shared" si="151"/>
        <v>0</v>
      </c>
      <c r="CG48" s="286">
        <f t="shared" si="150"/>
        <v>128348</v>
      </c>
      <c r="CH48" s="334"/>
      <c r="CI48" s="378"/>
      <c r="CJ48" s="353"/>
      <c r="CK48" s="289">
        <v>8</v>
      </c>
      <c r="CL48" s="270"/>
      <c r="CM48" s="336"/>
      <c r="CN48" s="336"/>
      <c r="CO48" s="336"/>
      <c r="CP48" s="337"/>
      <c r="CQ48" s="338"/>
      <c r="CR48" s="337"/>
      <c r="CS48" s="339"/>
      <c r="CT48" s="339"/>
      <c r="CU48" s="339"/>
      <c r="CV48" s="340"/>
      <c r="CW48" s="340"/>
      <c r="CX48" s="340"/>
      <c r="CY48" s="314">
        <f>IF(CX48&gt;0,CX48,IF(CW48&gt;0,CW48,6000000))</f>
        <v>6000000</v>
      </c>
      <c r="CZ48" s="341"/>
      <c r="DA48" s="342"/>
      <c r="DB48" s="343"/>
      <c r="DC48" s="344"/>
      <c r="DE48" s="345"/>
      <c r="DF48" s="346"/>
      <c r="DG48" s="270"/>
    </row>
    <row r="49" spans="1:111" s="109" customFormat="1" ht="27" customHeight="1">
      <c r="A49" s="320"/>
      <c r="B49" s="321"/>
      <c r="C49" s="322"/>
      <c r="D49" s="323"/>
      <c r="E49" s="320"/>
      <c r="F49" s="320"/>
      <c r="G49" s="320"/>
      <c r="H49" s="324"/>
      <c r="I49" s="325"/>
      <c r="J49" s="325"/>
      <c r="K49" s="327"/>
      <c r="L49" s="326">
        <f>SUM(L42:L48)</f>
        <v>135</v>
      </c>
      <c r="M49" s="326">
        <f t="shared" ref="M49:BX49" si="152">SUM(M42:M48)</f>
        <v>757.81</v>
      </c>
      <c r="N49" s="326">
        <f t="shared" si="152"/>
        <v>483.44</v>
      </c>
      <c r="O49" s="326">
        <f t="shared" si="152"/>
        <v>40</v>
      </c>
      <c r="P49" s="326">
        <f t="shared" si="152"/>
        <v>0</v>
      </c>
      <c r="Q49" s="326">
        <f t="shared" si="152"/>
        <v>0</v>
      </c>
      <c r="R49" s="326">
        <f t="shared" si="152"/>
        <v>0</v>
      </c>
      <c r="S49" s="326">
        <f t="shared" si="152"/>
        <v>5310000</v>
      </c>
      <c r="T49" s="326">
        <f t="shared" si="152"/>
        <v>2035714.2857142901</v>
      </c>
      <c r="U49" s="326">
        <f t="shared" si="152"/>
        <v>0</v>
      </c>
      <c r="V49" s="326">
        <f t="shared" si="152"/>
        <v>0</v>
      </c>
      <c r="W49" s="326">
        <f t="shared" si="152"/>
        <v>0</v>
      </c>
      <c r="X49" s="326">
        <f t="shared" si="152"/>
        <v>0</v>
      </c>
      <c r="Y49" s="326">
        <f t="shared" si="152"/>
        <v>0</v>
      </c>
      <c r="Z49" s="326">
        <f t="shared" si="152"/>
        <v>0</v>
      </c>
      <c r="AA49" s="326">
        <f t="shared" si="152"/>
        <v>39000000</v>
      </c>
      <c r="AB49" s="326">
        <f t="shared" si="152"/>
        <v>39000000</v>
      </c>
      <c r="AC49" s="326">
        <f t="shared" si="152"/>
        <v>24000000</v>
      </c>
      <c r="AD49" s="326"/>
      <c r="AE49" s="326">
        <f t="shared" si="152"/>
        <v>20187991.071428601</v>
      </c>
      <c r="AF49" s="326">
        <f t="shared" si="152"/>
        <v>19423928.571428601</v>
      </c>
      <c r="AG49" s="326">
        <f t="shared" si="152"/>
        <v>0</v>
      </c>
      <c r="AH49" s="326">
        <f t="shared" si="152"/>
        <v>0</v>
      </c>
      <c r="AI49" s="326">
        <f t="shared" si="152"/>
        <v>3053571</v>
      </c>
      <c r="AJ49" s="326">
        <f t="shared" si="152"/>
        <v>1500000</v>
      </c>
      <c r="AK49" s="326">
        <f t="shared" si="152"/>
        <v>2000000</v>
      </c>
      <c r="AL49" s="326">
        <f t="shared" si="152"/>
        <v>4600000</v>
      </c>
      <c r="AM49" s="326">
        <f t="shared" si="152"/>
        <v>0</v>
      </c>
      <c r="AN49" s="326">
        <f t="shared" si="152"/>
        <v>4630090</v>
      </c>
      <c r="AO49" s="326">
        <f t="shared" si="152"/>
        <v>127123</v>
      </c>
      <c r="AP49" s="326">
        <f t="shared" si="152"/>
        <v>20</v>
      </c>
      <c r="AQ49" s="326">
        <f t="shared" si="152"/>
        <v>1195000</v>
      </c>
      <c r="AR49" s="326">
        <f t="shared" si="152"/>
        <v>0</v>
      </c>
      <c r="AS49" s="326">
        <f t="shared" si="152"/>
        <v>0</v>
      </c>
      <c r="AT49" s="326">
        <f t="shared" si="152"/>
        <v>0</v>
      </c>
      <c r="AU49" s="326">
        <f t="shared" si="152"/>
        <v>0</v>
      </c>
      <c r="AV49" s="326">
        <f t="shared" si="152"/>
        <v>0</v>
      </c>
      <c r="AW49" s="326">
        <f t="shared" si="152"/>
        <v>0</v>
      </c>
      <c r="AX49" s="326">
        <f t="shared" si="152"/>
        <v>0</v>
      </c>
      <c r="AY49" s="326">
        <f t="shared" si="152"/>
        <v>100000</v>
      </c>
      <c r="AZ49" s="326">
        <f t="shared" si="152"/>
        <v>0</v>
      </c>
      <c r="BA49" s="326">
        <f t="shared" si="152"/>
        <v>0</v>
      </c>
      <c r="BB49" s="326">
        <f t="shared" si="152"/>
        <v>0</v>
      </c>
      <c r="BC49" s="326">
        <f t="shared" si="152"/>
        <v>100000</v>
      </c>
      <c r="BD49" s="326">
        <f t="shared" si="152"/>
        <v>0</v>
      </c>
      <c r="BE49" s="326">
        <f t="shared" si="152"/>
        <v>344000</v>
      </c>
      <c r="BF49" s="326">
        <f t="shared" si="152"/>
        <v>0</v>
      </c>
      <c r="BG49" s="326">
        <f t="shared" si="152"/>
        <v>58409437.928571403</v>
      </c>
      <c r="BH49" s="326">
        <f t="shared" si="152"/>
        <v>929250</v>
      </c>
      <c r="BI49" s="326">
        <f t="shared" si="152"/>
        <v>159300</v>
      </c>
      <c r="BJ49" s="326">
        <f t="shared" si="152"/>
        <v>53100</v>
      </c>
      <c r="BK49" s="326">
        <f t="shared" si="152"/>
        <v>0</v>
      </c>
      <c r="BL49" s="326">
        <f t="shared" si="152"/>
        <v>1141650</v>
      </c>
      <c r="BM49" s="326">
        <f t="shared" si="152"/>
        <v>424800</v>
      </c>
      <c r="BN49" s="326">
        <f t="shared" si="152"/>
        <v>79650</v>
      </c>
      <c r="BO49" s="326">
        <f t="shared" si="152"/>
        <v>53100</v>
      </c>
      <c r="BP49" s="326">
        <f t="shared" si="152"/>
        <v>0</v>
      </c>
      <c r="BQ49" s="326">
        <f t="shared" si="152"/>
        <v>557550</v>
      </c>
      <c r="BR49" s="326">
        <f t="shared" si="152"/>
        <v>11646562.5</v>
      </c>
      <c r="BS49" s="326">
        <f t="shared" si="152"/>
        <v>1589285.7142857099</v>
      </c>
      <c r="BT49" s="326">
        <f t="shared" si="152"/>
        <v>45173589.714285702</v>
      </c>
      <c r="BU49" s="326">
        <f t="shared" si="152"/>
        <v>31000000</v>
      </c>
      <c r="BV49" s="326">
        <f t="shared" si="152"/>
        <v>0</v>
      </c>
      <c r="BW49" s="326">
        <f t="shared" si="152"/>
        <v>0</v>
      </c>
      <c r="BX49" s="326">
        <f t="shared" si="152"/>
        <v>557550</v>
      </c>
      <c r="BY49" s="326">
        <f t="shared" ref="BY49:CE49" si="153">SUM(BY42:BY48)</f>
        <v>31557550</v>
      </c>
      <c r="BZ49" s="326">
        <f t="shared" si="153"/>
        <v>31618415.142857101</v>
      </c>
      <c r="CA49" s="326">
        <f t="shared" si="153"/>
        <v>2989383.6214285698</v>
      </c>
      <c r="CB49" s="326">
        <f t="shared" si="153"/>
        <v>54862504</v>
      </c>
      <c r="CC49" s="326">
        <f t="shared" si="153"/>
        <v>0</v>
      </c>
      <c r="CD49" s="326">
        <f t="shared" si="153"/>
        <v>0</v>
      </c>
      <c r="CE49" s="326">
        <f t="shared" si="153"/>
        <v>54862504</v>
      </c>
      <c r="CF49" s="382">
        <f t="shared" ref="CF49:CM49" si="154">SUM(CF42:CF48)</f>
        <v>0</v>
      </c>
      <c r="CG49" s="382">
        <f t="shared" si="154"/>
        <v>54862504</v>
      </c>
      <c r="CH49" s="326">
        <f t="shared" si="154"/>
        <v>0</v>
      </c>
      <c r="CI49" s="326">
        <f t="shared" si="154"/>
        <v>0</v>
      </c>
      <c r="CJ49" s="326">
        <f t="shared" si="154"/>
        <v>0</v>
      </c>
      <c r="CK49" s="326">
        <f t="shared" si="154"/>
        <v>43</v>
      </c>
      <c r="CL49" s="326">
        <f t="shared" si="154"/>
        <v>0</v>
      </c>
      <c r="CM49" s="326">
        <f t="shared" si="154"/>
        <v>39</v>
      </c>
      <c r="CN49" s="326">
        <f t="shared" ref="CN49:DF49" si="155">SUM(CN42:CN48)</f>
        <v>4</v>
      </c>
      <c r="CO49" s="326">
        <f t="shared" si="155"/>
        <v>4052</v>
      </c>
      <c r="CP49" s="326">
        <f t="shared" si="155"/>
        <v>0</v>
      </c>
      <c r="CQ49" s="326">
        <f t="shared" si="155"/>
        <v>6</v>
      </c>
      <c r="CR49" s="326">
        <f t="shared" si="155"/>
        <v>0</v>
      </c>
      <c r="CS49" s="326">
        <f t="shared" si="155"/>
        <v>0</v>
      </c>
      <c r="CT49" s="326">
        <f t="shared" si="155"/>
        <v>0</v>
      </c>
      <c r="CU49" s="326">
        <f t="shared" si="155"/>
        <v>0</v>
      </c>
      <c r="CV49" s="326">
        <f t="shared" si="155"/>
        <v>0</v>
      </c>
      <c r="CW49" s="326">
        <f t="shared" si="155"/>
        <v>0</v>
      </c>
      <c r="CX49" s="326">
        <f t="shared" si="155"/>
        <v>0</v>
      </c>
      <c r="CY49" s="326">
        <f t="shared" si="155"/>
        <v>42000000</v>
      </c>
      <c r="CZ49" s="326">
        <f t="shared" si="155"/>
        <v>0</v>
      </c>
      <c r="DA49" s="326">
        <f t="shared" si="155"/>
        <v>0</v>
      </c>
      <c r="DB49" s="326">
        <f t="shared" si="155"/>
        <v>0</v>
      </c>
      <c r="DC49" s="326">
        <f t="shared" si="155"/>
        <v>0</v>
      </c>
      <c r="DD49" s="326">
        <f t="shared" si="155"/>
        <v>0</v>
      </c>
      <c r="DE49" s="326">
        <f t="shared" si="155"/>
        <v>0</v>
      </c>
      <c r="DF49" s="326">
        <f t="shared" si="155"/>
        <v>0</v>
      </c>
      <c r="DG49" s="326">
        <f ca="1">SUM(DG42:DG88)</f>
        <v>0</v>
      </c>
    </row>
    <row r="50" spans="1:111" s="110" customFormat="1" ht="27" customHeight="1">
      <c r="A50" s="262">
        <v>42</v>
      </c>
      <c r="B50" s="263">
        <v>7</v>
      </c>
      <c r="C50" s="265" t="s">
        <v>265</v>
      </c>
      <c r="D50" s="265" t="s">
        <v>266</v>
      </c>
      <c r="E50" s="262" t="str">
        <f>IF(OR(G50="CHT",G50="DSBC"),"HĐLĐ",IF(OR(G50="DSTV",G50="Q.CHT"),"HĐTV","HĐCTV"))</f>
        <v>HĐLĐ</v>
      </c>
      <c r="F50" s="262" t="s">
        <v>267</v>
      </c>
      <c r="G50" s="262" t="s">
        <v>154</v>
      </c>
      <c r="H50" s="308" t="s">
        <v>268</v>
      </c>
      <c r="I50" s="309" t="s">
        <v>269</v>
      </c>
      <c r="J50" s="309" t="s">
        <v>270</v>
      </c>
      <c r="K50" s="268">
        <v>28</v>
      </c>
      <c r="L50" s="269">
        <v>28</v>
      </c>
      <c r="M50" s="375">
        <v>242.4</v>
      </c>
      <c r="N50" s="375">
        <v>0</v>
      </c>
      <c r="O50" s="262">
        <v>0</v>
      </c>
      <c r="P50" s="347"/>
      <c r="Q50" s="347"/>
      <c r="R50" s="348"/>
      <c r="S50" s="270">
        <f t="shared" ref="S50:S55" si="156">IF(E50="HĐLĐ",5310000,0)</f>
        <v>5310000</v>
      </c>
      <c r="T50" s="273">
        <f t="shared" si="31"/>
        <v>500000</v>
      </c>
      <c r="U50" s="347"/>
      <c r="V50" s="347"/>
      <c r="W50" s="347"/>
      <c r="X50" s="347"/>
      <c r="Y50" s="347"/>
      <c r="Z50" s="347"/>
      <c r="AA50" s="331">
        <f t="shared" ref="AA50:AA55" si="157">CY50</f>
        <v>6000000</v>
      </c>
      <c r="AB50" s="347"/>
      <c r="AC50" s="347"/>
      <c r="AD50" s="347"/>
      <c r="AE50" s="275">
        <f t="shared" ref="AE50:AE88" si="158">IF(E50="HĐTV",AC50/28/8*M50,AA50/28/8*M50)</f>
        <v>6492857.1428571399</v>
      </c>
      <c r="AF50" s="276">
        <f t="shared" si="11"/>
        <v>0</v>
      </c>
      <c r="AG50" s="276">
        <v>500000</v>
      </c>
      <c r="AH50" s="276">
        <v>0</v>
      </c>
      <c r="AI50" s="276">
        <v>0</v>
      </c>
      <c r="AJ50" s="276"/>
      <c r="AK50" s="276"/>
      <c r="AL50" s="276">
        <v>0</v>
      </c>
      <c r="AM50" s="276">
        <v>0</v>
      </c>
      <c r="AN50" s="276">
        <v>629300</v>
      </c>
      <c r="AO50" s="276">
        <v>12626</v>
      </c>
      <c r="AP50" s="276">
        <v>0</v>
      </c>
      <c r="AQ50" s="276">
        <v>0</v>
      </c>
      <c r="AR50" s="276"/>
      <c r="AS50" s="276">
        <v>0</v>
      </c>
      <c r="AT50" s="276">
        <v>0</v>
      </c>
      <c r="AU50" s="276">
        <v>0</v>
      </c>
      <c r="AV50" s="276"/>
      <c r="AW50" s="276"/>
      <c r="AX50" s="349"/>
      <c r="AY50" s="350"/>
      <c r="AZ50" s="351"/>
      <c r="BA50" s="278">
        <v>0</v>
      </c>
      <c r="BB50" s="278">
        <v>0</v>
      </c>
      <c r="BC50" s="278">
        <v>0</v>
      </c>
      <c r="BD50" s="278">
        <v>0</v>
      </c>
      <c r="BE50" s="278">
        <v>0</v>
      </c>
      <c r="BF50" s="363">
        <v>0</v>
      </c>
      <c r="BG50" s="279">
        <f t="shared" si="61"/>
        <v>8134783.1428571399</v>
      </c>
      <c r="BH50" s="277">
        <f t="shared" ref="BH50:BH55" si="159">S50*17.5%</f>
        <v>929250</v>
      </c>
      <c r="BI50" s="277">
        <f t="shared" ref="BI50:BI55" si="160">S50*3%</f>
        <v>159300</v>
      </c>
      <c r="BJ50" s="277">
        <f t="shared" ref="BJ50:BJ55" si="161">S50*1%</f>
        <v>53100</v>
      </c>
      <c r="BK50" s="277"/>
      <c r="BL50" s="280">
        <f t="shared" ref="BL50:BL55" si="162">SUM(BH50:BK50)</f>
        <v>1141650</v>
      </c>
      <c r="BM50" s="277">
        <f t="shared" ref="BM50:BM55" si="163">S50*8%</f>
        <v>424800</v>
      </c>
      <c r="BN50" s="277">
        <f t="shared" ref="BN50:BN55" si="164">S50*1.5%</f>
        <v>79650</v>
      </c>
      <c r="BO50" s="277">
        <f t="shared" ref="BO50:BO55" si="165">S50*1%</f>
        <v>53100</v>
      </c>
      <c r="BP50" s="277"/>
      <c r="BQ50" s="280">
        <f t="shared" ref="BQ50:BQ55" si="166">SUM(BM50:BP50)</f>
        <v>557550</v>
      </c>
      <c r="BR50" s="333">
        <f>AF50</f>
        <v>0</v>
      </c>
      <c r="BS50" s="312">
        <f>T50+U50+V50+W50</f>
        <v>500000</v>
      </c>
      <c r="BT50" s="281">
        <f t="shared" ref="BT50:BT55" si="167">BG50-BS50-BR50</f>
        <v>7634783.1428571399</v>
      </c>
      <c r="BU50" s="282">
        <f t="shared" ref="BU50:BU55" si="168">IF(E50="HĐLĐ",15500000,0)</f>
        <v>15500000</v>
      </c>
      <c r="BV50" s="311"/>
      <c r="BW50" s="277">
        <f t="shared" ref="BW50:BW55" si="169">BV50*6200000</f>
        <v>0</v>
      </c>
      <c r="BX50" s="277">
        <f t="shared" ref="BX50:BX55" si="170">BQ50</f>
        <v>557550</v>
      </c>
      <c r="BY50" s="284">
        <f t="shared" ref="BY50:BY55" si="171">BU50+BW50+BX50</f>
        <v>16057550</v>
      </c>
      <c r="BZ50" s="277">
        <f t="shared" ref="BZ50:BZ55" si="172">IF(BT50-BY50&gt;0,BT50-BY50,0)</f>
        <v>0</v>
      </c>
      <c r="CA50" s="277">
        <f t="shared" ref="CA50:CA55" si="173">IF(AND(OR($E50="HĐTV",$E50="HĐCTV"),$BZ50&lt;5000000),0,IF(OR($E50="HĐTV",$E50="HĐCTV"),$BZ50*10%,ROUND(IF($BZ50&lt;=10000000,$BZ50*5%,IF($BZ50&lt;=30000000,$BZ50*10%-500000,IF($BZ50&lt;=60000000,$BZ50*20%-3500000,IF($BZ50&lt;=100000000,$BZ50*30%-9500000,$BZ50*35%-14500000)))),0)))</f>
        <v>0</v>
      </c>
      <c r="CB50" s="283">
        <f t="shared" ref="CB50:CB55" si="174">ROUND(BG50-BQ50-CA50,0)</f>
        <v>7577233</v>
      </c>
      <c r="CC50" s="311"/>
      <c r="CD50" s="278"/>
      <c r="CE50" s="285">
        <f t="shared" ref="CE50:CE55" si="175">CB50+CC50-CD50</f>
        <v>7577233</v>
      </c>
      <c r="CF50" s="333">
        <f t="shared" ref="CF50:CF55" si="176">CE50-CG50</f>
        <v>0</v>
      </c>
      <c r="CG50" s="286">
        <f t="shared" ref="CG50:CG55" si="177">CE50</f>
        <v>7577233</v>
      </c>
      <c r="CH50" s="334"/>
      <c r="CI50" s="335" t="str">
        <f>VLOOKUP($C50,[5]Sheet1!$C$5:$K$139,9,0)</f>
        <v>tram.le@medigoapp.com</v>
      </c>
      <c r="CJ50" s="270">
        <f>VLOOKUP(D50,[1]CNT!$C$6:$AP$113,40,0)</f>
        <v>0</v>
      </c>
      <c r="CK50" s="289">
        <v>11</v>
      </c>
      <c r="CL50" s="270"/>
      <c r="CM50" s="336">
        <v>18</v>
      </c>
      <c r="CN50" s="336">
        <v>8</v>
      </c>
      <c r="CO50" s="336">
        <v>2025</v>
      </c>
      <c r="CP50" s="337">
        <f>IF((($CO$8-CO50)*12)+($CN$8-CN50)&gt;=12,((($CO$8-CO50)*12)+($CN$8-CN50))-1,0)</f>
        <v>0</v>
      </c>
      <c r="CQ50" s="338">
        <f t="shared" ref="CQ50:CQ52" si="178">IF(CP50&lt;12,(($CQ$8-CO50)*12)+($CP$8-CN50),0)</f>
        <v>9</v>
      </c>
      <c r="CR50" s="337">
        <f t="shared" ref="CR50:CR52" si="179">IF(OR(CP50&gt;12,CP50=12),((CP50-(CS50*12))+((($CQ$8-2024)*12)+($CP$8-4)))+1,0)</f>
        <v>0</v>
      </c>
      <c r="CS50" s="339">
        <f>IF(OR(CP50&gt;12,CP50=12),ROUNDDOWN(CP50/12,0),0)</f>
        <v>0</v>
      </c>
      <c r="CT50" s="339">
        <f>IF(CQ50&gt;11,ROUNDDOWN(CQ50/12,0),0)</f>
        <v>0</v>
      </c>
      <c r="CU50" s="339">
        <f>IF(CR50&gt;11,ROUNDDOWN(CR50/12,0),0)</f>
        <v>0</v>
      </c>
      <c r="CV50" s="340">
        <f>IF(CP50=0,0,6000000*1.07^CS50)</f>
        <v>0</v>
      </c>
      <c r="CW50" s="340">
        <f>IF(CT50&lt;2,0,6000000+(CT50-1)*500000)</f>
        <v>0</v>
      </c>
      <c r="CX50" s="340">
        <f>IF(CU50=0,CV50,IF(CU50&lt;1,0,CV50+CU50*500000))</f>
        <v>0</v>
      </c>
      <c r="CY50" s="314">
        <f>IF(CX50&gt;0,CX50,IF(CW50&gt;0,CW50,6000000))</f>
        <v>6000000</v>
      </c>
      <c r="CZ50" s="341"/>
      <c r="DA50" s="342">
        <f t="shared" ref="DA50:DA52" si="180">CJ50</f>
        <v>0</v>
      </c>
      <c r="DB50" s="343"/>
      <c r="DC50" s="344"/>
      <c r="DE50" s="345"/>
      <c r="DF50" s="346">
        <f>VLOOKUP($D50,'[2]Med Service'!$D$11:$DI$87,110,0)</f>
        <v>0</v>
      </c>
      <c r="DG50" s="270" t="str">
        <f>VLOOKUP($D50,'[3]BẢNG LƯƠNG'!$C$3:$AH$102,32,0)</f>
        <v/>
      </c>
    </row>
    <row r="51" spans="1:111" s="111" customFormat="1" ht="27" customHeight="1">
      <c r="A51" s="262">
        <v>43</v>
      </c>
      <c r="B51" s="263">
        <v>7</v>
      </c>
      <c r="C51" s="265" t="s">
        <v>271</v>
      </c>
      <c r="D51" s="265" t="s">
        <v>272</v>
      </c>
      <c r="E51" s="262" t="str">
        <f>IF(OR(G51="CHT",G51="DSBC"),"HĐLĐ",IF(OR(G51="DSTV",G51="Q.CHT"),"HĐTV","HĐCTV"))</f>
        <v>HĐLĐ</v>
      </c>
      <c r="F51" s="262" t="s">
        <v>267</v>
      </c>
      <c r="G51" s="262" t="s">
        <v>117</v>
      </c>
      <c r="H51" s="308">
        <v>45502</v>
      </c>
      <c r="I51" s="309" t="s">
        <v>273</v>
      </c>
      <c r="J51" s="309" t="s">
        <v>220</v>
      </c>
      <c r="K51" s="268">
        <v>28</v>
      </c>
      <c r="L51" s="269">
        <v>28</v>
      </c>
      <c r="M51" s="375">
        <v>0</v>
      </c>
      <c r="N51" s="375">
        <v>219.36</v>
      </c>
      <c r="O51" s="262">
        <v>0</v>
      </c>
      <c r="P51" s="347"/>
      <c r="Q51" s="347"/>
      <c r="R51" s="348"/>
      <c r="S51" s="270">
        <f t="shared" si="156"/>
        <v>5310000</v>
      </c>
      <c r="T51" s="273">
        <f t="shared" si="31"/>
        <v>500000</v>
      </c>
      <c r="U51" s="347"/>
      <c r="V51" s="347"/>
      <c r="W51" s="347"/>
      <c r="X51" s="347"/>
      <c r="Y51" s="347"/>
      <c r="Z51" s="347"/>
      <c r="AA51" s="331">
        <f t="shared" si="157"/>
        <v>6000000</v>
      </c>
      <c r="AB51" s="347"/>
      <c r="AC51" s="347"/>
      <c r="AD51" s="347"/>
      <c r="AE51" s="275">
        <f t="shared" si="158"/>
        <v>0</v>
      </c>
      <c r="AF51" s="276">
        <f t="shared" si="11"/>
        <v>8813571.4285714291</v>
      </c>
      <c r="AG51" s="276">
        <v>0</v>
      </c>
      <c r="AH51" s="276">
        <v>0</v>
      </c>
      <c r="AI51" s="276">
        <v>1500000</v>
      </c>
      <c r="AJ51" s="276"/>
      <c r="AK51" s="276"/>
      <c r="AL51" s="276">
        <v>0</v>
      </c>
      <c r="AM51" s="276">
        <v>0</v>
      </c>
      <c r="AN51" s="276">
        <v>1651900</v>
      </c>
      <c r="AO51" s="276">
        <v>9105</v>
      </c>
      <c r="AP51" s="276">
        <v>0</v>
      </c>
      <c r="AQ51" s="276">
        <v>0</v>
      </c>
      <c r="AR51" s="276"/>
      <c r="AS51" s="276">
        <v>0</v>
      </c>
      <c r="AT51" s="276">
        <v>0</v>
      </c>
      <c r="AU51" s="276">
        <v>0</v>
      </c>
      <c r="AV51" s="276"/>
      <c r="AW51" s="276"/>
      <c r="AX51" s="349"/>
      <c r="AY51" s="311"/>
      <c r="AZ51" s="351"/>
      <c r="BA51" s="278">
        <v>0</v>
      </c>
      <c r="BB51" s="278">
        <v>0</v>
      </c>
      <c r="BC51" s="278">
        <v>0</v>
      </c>
      <c r="BD51" s="278">
        <v>0</v>
      </c>
      <c r="BE51" s="278">
        <v>0</v>
      </c>
      <c r="BF51" s="363">
        <v>0</v>
      </c>
      <c r="BG51" s="279">
        <f t="shared" si="61"/>
        <v>12474576.428571399</v>
      </c>
      <c r="BH51" s="277">
        <f t="shared" si="159"/>
        <v>929250</v>
      </c>
      <c r="BI51" s="277">
        <f t="shared" si="160"/>
        <v>159300</v>
      </c>
      <c r="BJ51" s="277">
        <f t="shared" si="161"/>
        <v>53100</v>
      </c>
      <c r="BK51" s="277"/>
      <c r="BL51" s="280">
        <f t="shared" si="162"/>
        <v>1141650</v>
      </c>
      <c r="BM51" s="277">
        <f t="shared" si="163"/>
        <v>424800</v>
      </c>
      <c r="BN51" s="277">
        <f t="shared" si="164"/>
        <v>79650</v>
      </c>
      <c r="BO51" s="277">
        <f t="shared" si="165"/>
        <v>53100</v>
      </c>
      <c r="BP51" s="277"/>
      <c r="BQ51" s="280">
        <f t="shared" si="166"/>
        <v>557550</v>
      </c>
      <c r="BR51" s="333">
        <f>AF51</f>
        <v>8813571.4285714291</v>
      </c>
      <c r="BS51" s="312">
        <f>T51+U51+V51+W51</f>
        <v>500000</v>
      </c>
      <c r="BT51" s="281">
        <f t="shared" si="167"/>
        <v>3161005</v>
      </c>
      <c r="BU51" s="282">
        <f t="shared" si="168"/>
        <v>15500000</v>
      </c>
      <c r="BV51" s="311"/>
      <c r="BW51" s="277">
        <f t="shared" si="169"/>
        <v>0</v>
      </c>
      <c r="BX51" s="277">
        <f t="shared" si="170"/>
        <v>557550</v>
      </c>
      <c r="BY51" s="284">
        <f t="shared" si="171"/>
        <v>16057550</v>
      </c>
      <c r="BZ51" s="277">
        <f t="shared" si="172"/>
        <v>0</v>
      </c>
      <c r="CA51" s="277">
        <f t="shared" si="173"/>
        <v>0</v>
      </c>
      <c r="CB51" s="283">
        <f t="shared" si="174"/>
        <v>11917026</v>
      </c>
      <c r="CC51" s="311"/>
      <c r="CD51" s="278"/>
      <c r="CE51" s="285">
        <f t="shared" si="175"/>
        <v>11917026</v>
      </c>
      <c r="CF51" s="333">
        <f t="shared" si="176"/>
        <v>0</v>
      </c>
      <c r="CG51" s="286">
        <f t="shared" si="177"/>
        <v>11917026</v>
      </c>
      <c r="CH51" s="334"/>
      <c r="CI51" s="335" t="s">
        <v>274</v>
      </c>
      <c r="CJ51" s="270">
        <f>VLOOKUP(D51,[1]CNT!$C$6:$AP$113,40,0)</f>
        <v>0</v>
      </c>
      <c r="CK51" s="289">
        <v>2</v>
      </c>
      <c r="CL51" s="270"/>
      <c r="CM51" s="336">
        <v>29</v>
      </c>
      <c r="CN51" s="336">
        <v>7</v>
      </c>
      <c r="CO51" s="336">
        <v>2024</v>
      </c>
      <c r="CP51" s="337">
        <f>IF((($CO$8-CO51)*12)+($CN$8-CN51)&gt;=12,((($CO$8-CO51)*12)+($CN$8-CN51))-1,0)</f>
        <v>0</v>
      </c>
      <c r="CQ51" s="338">
        <f t="shared" si="178"/>
        <v>22</v>
      </c>
      <c r="CR51" s="337">
        <f t="shared" si="179"/>
        <v>0</v>
      </c>
      <c r="CS51" s="339">
        <f>IF(OR(CP51&gt;12,CP51=12),ROUNDDOWN(CP51/12,0),0)</f>
        <v>0</v>
      </c>
      <c r="CT51" s="339">
        <f>IF(CQ51&gt;11,ROUNDDOWN(CQ51/12,0),0)</f>
        <v>1</v>
      </c>
      <c r="CU51" s="339">
        <f>IF(CR51&gt;11,ROUNDDOWN(CR51/12,0),0)</f>
        <v>0</v>
      </c>
      <c r="CV51" s="340">
        <f>IF(CP51=0,0,6000000*1.07^CS51)</f>
        <v>0</v>
      </c>
      <c r="CW51" s="340">
        <f>IF(CT51&lt;2,0,6000000+(CT51-1)*500000)</f>
        <v>0</v>
      </c>
      <c r="CX51" s="340">
        <f>IF(CU51=0,CV51,IF(CU51&lt;1,0,CV51+CU51*500000))</f>
        <v>0</v>
      </c>
      <c r="CY51" s="314">
        <f>IF(CX51&gt;0,CX51,IF(CW51&gt;0,CW51,6000000))</f>
        <v>6000000</v>
      </c>
      <c r="CZ51" s="341"/>
      <c r="DA51" s="342">
        <f t="shared" si="180"/>
        <v>0</v>
      </c>
      <c r="DB51" s="343"/>
      <c r="DC51" s="341"/>
      <c r="DE51" s="345">
        <f>VLOOKUP($D51,'[6]Tong hop'!$B$8:$Q$45,15,0)</f>
        <v>138277</v>
      </c>
      <c r="DF51" s="346">
        <f>VLOOKUP($D51,'[2]Med Service'!$D$11:$DI$87,110,0)</f>
        <v>0</v>
      </c>
      <c r="DG51" s="270" t="str">
        <f>VLOOKUP($D51,'[3]BẢNG LƯƠNG'!$C$3:$AH$102,32,0)</f>
        <v/>
      </c>
    </row>
    <row r="52" spans="1:111" s="110" customFormat="1" ht="24" customHeight="1">
      <c r="A52" s="262">
        <v>46</v>
      </c>
      <c r="B52" s="263">
        <v>7</v>
      </c>
      <c r="C52" s="265" t="s">
        <v>275</v>
      </c>
      <c r="D52" s="265" t="s">
        <v>276</v>
      </c>
      <c r="E52" s="262" t="s">
        <v>166</v>
      </c>
      <c r="F52" s="262" t="s">
        <v>267</v>
      </c>
      <c r="G52" s="262" t="s">
        <v>117</v>
      </c>
      <c r="H52" s="308" t="s">
        <v>277</v>
      </c>
      <c r="I52" s="309" t="s">
        <v>278</v>
      </c>
      <c r="J52" s="309" t="s">
        <v>204</v>
      </c>
      <c r="K52" s="268">
        <v>28</v>
      </c>
      <c r="L52" s="269">
        <v>30</v>
      </c>
      <c r="M52" s="375">
        <v>23.83</v>
      </c>
      <c r="N52" s="375">
        <v>235.5</v>
      </c>
      <c r="O52" s="262">
        <v>16</v>
      </c>
      <c r="P52" s="270"/>
      <c r="Q52" s="270"/>
      <c r="R52" s="270"/>
      <c r="S52" s="270">
        <f t="shared" si="156"/>
        <v>5310000</v>
      </c>
      <c r="T52" s="273">
        <f t="shared" si="31"/>
        <v>500000</v>
      </c>
      <c r="U52" s="270"/>
      <c r="V52" s="270"/>
      <c r="W52" s="270"/>
      <c r="X52" s="270"/>
      <c r="Y52" s="270"/>
      <c r="Z52" s="270"/>
      <c r="AA52" s="331">
        <f t="shared" si="157"/>
        <v>6000000</v>
      </c>
      <c r="AB52" s="270"/>
      <c r="AC52" s="270"/>
      <c r="AD52" s="270"/>
      <c r="AE52" s="275">
        <f t="shared" si="158"/>
        <v>638303.57142857101</v>
      </c>
      <c r="AF52" s="276">
        <f t="shared" si="11"/>
        <v>9462053.5714285709</v>
      </c>
      <c r="AG52" s="276">
        <v>0</v>
      </c>
      <c r="AH52" s="276">
        <v>0</v>
      </c>
      <c r="AI52" s="276">
        <v>1500000</v>
      </c>
      <c r="AJ52" s="276"/>
      <c r="AK52" s="276"/>
      <c r="AL52" s="276">
        <v>500000</v>
      </c>
      <c r="AM52" s="276">
        <v>0</v>
      </c>
      <c r="AN52" s="276">
        <v>2122400</v>
      </c>
      <c r="AO52" s="276">
        <v>2500</v>
      </c>
      <c r="AP52" s="276">
        <v>0</v>
      </c>
      <c r="AQ52" s="276">
        <v>0</v>
      </c>
      <c r="AR52" s="276"/>
      <c r="AS52" s="276">
        <v>0</v>
      </c>
      <c r="AT52" s="276">
        <v>0</v>
      </c>
      <c r="AU52" s="276">
        <v>0</v>
      </c>
      <c r="AV52" s="276"/>
      <c r="AW52" s="276"/>
      <c r="AX52" s="276"/>
      <c r="AY52" s="276"/>
      <c r="AZ52" s="276"/>
      <c r="BA52" s="278">
        <v>0</v>
      </c>
      <c r="BB52" s="278">
        <v>0</v>
      </c>
      <c r="BC52" s="278">
        <v>0</v>
      </c>
      <c r="BD52" s="278">
        <v>0</v>
      </c>
      <c r="BE52" s="278">
        <v>38000</v>
      </c>
      <c r="BF52" s="363">
        <v>0</v>
      </c>
      <c r="BG52" s="279">
        <f t="shared" si="61"/>
        <v>14687257.142857101</v>
      </c>
      <c r="BH52" s="277">
        <f t="shared" si="159"/>
        <v>929250</v>
      </c>
      <c r="BI52" s="277">
        <f t="shared" si="160"/>
        <v>159300</v>
      </c>
      <c r="BJ52" s="277">
        <f t="shared" si="161"/>
        <v>53100</v>
      </c>
      <c r="BK52" s="277"/>
      <c r="BL52" s="280">
        <f t="shared" si="162"/>
        <v>1141650</v>
      </c>
      <c r="BM52" s="277">
        <f t="shared" si="163"/>
        <v>424800</v>
      </c>
      <c r="BN52" s="277">
        <f t="shared" si="164"/>
        <v>79650</v>
      </c>
      <c r="BO52" s="277">
        <f t="shared" si="165"/>
        <v>53100</v>
      </c>
      <c r="BP52" s="277"/>
      <c r="BQ52" s="280">
        <f t="shared" si="166"/>
        <v>557550</v>
      </c>
      <c r="BR52" s="333">
        <f>AF52</f>
        <v>9462053.5714285709</v>
      </c>
      <c r="BS52" s="312">
        <f>T52+U52+V52+W52</f>
        <v>500000</v>
      </c>
      <c r="BT52" s="281">
        <f t="shared" si="167"/>
        <v>4725203.57142857</v>
      </c>
      <c r="BU52" s="282">
        <f t="shared" si="168"/>
        <v>15500000</v>
      </c>
      <c r="BV52" s="311"/>
      <c r="BW52" s="277">
        <f t="shared" si="169"/>
        <v>0</v>
      </c>
      <c r="BX52" s="277">
        <f t="shared" si="170"/>
        <v>557550</v>
      </c>
      <c r="BY52" s="284">
        <f t="shared" si="171"/>
        <v>16057550</v>
      </c>
      <c r="BZ52" s="277">
        <f t="shared" si="172"/>
        <v>0</v>
      </c>
      <c r="CA52" s="277">
        <f t="shared" si="173"/>
        <v>0</v>
      </c>
      <c r="CB52" s="283">
        <f t="shared" si="174"/>
        <v>14129707</v>
      </c>
      <c r="CC52" s="311"/>
      <c r="CD52" s="278"/>
      <c r="CE52" s="285">
        <f t="shared" si="175"/>
        <v>14129707</v>
      </c>
      <c r="CF52" s="333">
        <f t="shared" si="176"/>
        <v>0</v>
      </c>
      <c r="CG52" s="286">
        <f t="shared" si="177"/>
        <v>14129707</v>
      </c>
      <c r="CH52" s="334"/>
      <c r="CI52" s="335" t="s">
        <v>279</v>
      </c>
      <c r="CJ52" s="270">
        <f>VLOOKUP(D52,[1]CNT!$C$6:$AP$113,40,0)</f>
        <v>0</v>
      </c>
      <c r="CK52" s="289">
        <v>9</v>
      </c>
      <c r="CL52" s="270"/>
      <c r="CM52" s="336">
        <v>2</v>
      </c>
      <c r="CN52" s="336">
        <v>6</v>
      </c>
      <c r="CO52" s="336">
        <v>2025</v>
      </c>
      <c r="CP52" s="337">
        <v>0</v>
      </c>
      <c r="CQ52" s="338">
        <f t="shared" si="178"/>
        <v>11</v>
      </c>
      <c r="CR52" s="337">
        <f t="shared" si="179"/>
        <v>0</v>
      </c>
      <c r="CS52" s="339">
        <v>0</v>
      </c>
      <c r="CT52" s="339">
        <f>IF(CQ52&gt;11,ROUNDDOWN(CQ52/12,0),0)</f>
        <v>0</v>
      </c>
      <c r="CU52" s="339">
        <v>0</v>
      </c>
      <c r="CV52" s="340">
        <v>0</v>
      </c>
      <c r="CW52" s="340">
        <v>0</v>
      </c>
      <c r="CX52" s="340">
        <v>0</v>
      </c>
      <c r="CY52" s="314">
        <v>6000000</v>
      </c>
      <c r="CZ52" s="341"/>
      <c r="DA52" s="342">
        <f t="shared" si="180"/>
        <v>0</v>
      </c>
      <c r="DB52" s="354" t="s">
        <v>280</v>
      </c>
      <c r="DC52" s="344"/>
      <c r="DE52" s="345"/>
      <c r="DF52" s="346">
        <f>VLOOKUP($D52,'[2]Med Service'!$D$11:$DI$87,110,0)</f>
        <v>0</v>
      </c>
      <c r="DG52" s="270" t="str">
        <f>VLOOKUP($D52,'[3]BẢNG LƯƠNG'!$C$3:$AH$102,32,0)</f>
        <v/>
      </c>
    </row>
    <row r="53" spans="1:111" s="111" customFormat="1" ht="27" customHeight="1">
      <c r="A53" s="262"/>
      <c r="B53" s="263"/>
      <c r="C53" s="265" t="s">
        <v>281</v>
      </c>
      <c r="D53" s="387" t="s">
        <v>282</v>
      </c>
      <c r="E53" s="262" t="str">
        <f>IF(OR(G53="CHT",G53="DSBC"),"HĐLĐ",IF(OR(G53="DSTV",G53="Q.CHT"),"HĐTV","HĐCTV"))</f>
        <v>HĐTV</v>
      </c>
      <c r="F53" s="262" t="s">
        <v>267</v>
      </c>
      <c r="G53" s="262" t="s">
        <v>129</v>
      </c>
      <c r="H53" s="463" t="s">
        <v>283</v>
      </c>
      <c r="I53" s="461" t="s">
        <v>284</v>
      </c>
      <c r="J53" s="309" t="s">
        <v>285</v>
      </c>
      <c r="K53" s="268">
        <v>28</v>
      </c>
      <c r="L53" s="269">
        <v>30</v>
      </c>
      <c r="M53" s="375">
        <v>264.12</v>
      </c>
      <c r="N53" s="375">
        <v>0</v>
      </c>
      <c r="O53" s="262">
        <v>16</v>
      </c>
      <c r="P53" s="347"/>
      <c r="Q53" s="347"/>
      <c r="R53" s="348"/>
      <c r="S53" s="270">
        <f t="shared" si="156"/>
        <v>0</v>
      </c>
      <c r="T53" s="273">
        <f t="shared" si="31"/>
        <v>500000</v>
      </c>
      <c r="U53" s="347"/>
      <c r="V53" s="347"/>
      <c r="W53" s="347"/>
      <c r="X53" s="347"/>
      <c r="Y53" s="347"/>
      <c r="Z53" s="347"/>
      <c r="AA53" s="310">
        <f t="shared" si="157"/>
        <v>6000000</v>
      </c>
      <c r="AB53" s="311">
        <f>AA53</f>
        <v>6000000</v>
      </c>
      <c r="AC53" s="312">
        <v>6000000</v>
      </c>
      <c r="AD53" s="313"/>
      <c r="AE53" s="275">
        <f t="shared" si="158"/>
        <v>7074642.8571428601</v>
      </c>
      <c r="AF53" s="276">
        <f t="shared" si="11"/>
        <v>0</v>
      </c>
      <c r="AG53" s="276">
        <v>0</v>
      </c>
      <c r="AH53" s="276">
        <v>0</v>
      </c>
      <c r="AI53" s="276">
        <v>0</v>
      </c>
      <c r="AJ53" s="276"/>
      <c r="AK53" s="276"/>
      <c r="AL53" s="276">
        <v>0</v>
      </c>
      <c r="AM53" s="276">
        <v>0</v>
      </c>
      <c r="AN53" s="276">
        <v>0</v>
      </c>
      <c r="AO53" s="276">
        <v>0</v>
      </c>
      <c r="AP53" s="276">
        <v>0</v>
      </c>
      <c r="AQ53" s="276">
        <v>0</v>
      </c>
      <c r="AR53" s="276"/>
      <c r="AS53" s="276">
        <v>0</v>
      </c>
      <c r="AT53" s="276">
        <v>0</v>
      </c>
      <c r="AU53" s="276">
        <v>0</v>
      </c>
      <c r="AV53" s="276"/>
      <c r="AW53" s="276"/>
      <c r="AX53" s="349"/>
      <c r="AY53" s="311"/>
      <c r="AZ53" s="351"/>
      <c r="BA53" s="278">
        <v>0</v>
      </c>
      <c r="BB53" s="278">
        <v>0</v>
      </c>
      <c r="BC53" s="278">
        <v>0</v>
      </c>
      <c r="BD53" s="278">
        <v>0</v>
      </c>
      <c r="BE53" s="278">
        <v>0</v>
      </c>
      <c r="BF53" s="363">
        <v>0</v>
      </c>
      <c r="BG53" s="279">
        <f t="shared" si="61"/>
        <v>7574642.8571428601</v>
      </c>
      <c r="BH53" s="277">
        <f t="shared" si="159"/>
        <v>0</v>
      </c>
      <c r="BI53" s="277">
        <f t="shared" si="160"/>
        <v>0</v>
      </c>
      <c r="BJ53" s="277">
        <f t="shared" si="161"/>
        <v>0</v>
      </c>
      <c r="BK53" s="277"/>
      <c r="BL53" s="280">
        <f t="shared" si="162"/>
        <v>0</v>
      </c>
      <c r="BM53" s="277">
        <f t="shared" si="163"/>
        <v>0</v>
      </c>
      <c r="BN53" s="277">
        <f t="shared" si="164"/>
        <v>0</v>
      </c>
      <c r="BO53" s="277">
        <f t="shared" si="165"/>
        <v>0</v>
      </c>
      <c r="BP53" s="277"/>
      <c r="BQ53" s="280">
        <f t="shared" si="166"/>
        <v>0</v>
      </c>
      <c r="BR53" s="333"/>
      <c r="BS53" s="312"/>
      <c r="BT53" s="281">
        <f t="shared" si="167"/>
        <v>7574642.8571428601</v>
      </c>
      <c r="BU53" s="282">
        <f t="shared" si="168"/>
        <v>0</v>
      </c>
      <c r="BV53" s="311"/>
      <c r="BW53" s="277">
        <f t="shared" si="169"/>
        <v>0</v>
      </c>
      <c r="BX53" s="277">
        <f t="shared" si="170"/>
        <v>0</v>
      </c>
      <c r="BY53" s="284">
        <f t="shared" si="171"/>
        <v>0</v>
      </c>
      <c r="BZ53" s="277">
        <f t="shared" si="172"/>
        <v>7574642.8571428601</v>
      </c>
      <c r="CA53" s="277">
        <f t="shared" si="173"/>
        <v>757464.28571428603</v>
      </c>
      <c r="CB53" s="283">
        <f t="shared" si="174"/>
        <v>6817179</v>
      </c>
      <c r="CC53" s="311"/>
      <c r="CD53" s="278"/>
      <c r="CE53" s="285">
        <f t="shared" si="175"/>
        <v>6817179</v>
      </c>
      <c r="CF53" s="333">
        <f t="shared" si="176"/>
        <v>0</v>
      </c>
      <c r="CG53" s="286">
        <f t="shared" si="177"/>
        <v>6817179</v>
      </c>
      <c r="CH53" s="334"/>
      <c r="CI53" s="335"/>
      <c r="CJ53" s="270"/>
      <c r="CK53" s="289">
        <v>4</v>
      </c>
      <c r="CL53" s="270"/>
      <c r="CM53" s="336"/>
      <c r="CN53" s="336"/>
      <c r="CO53" s="336"/>
      <c r="CP53" s="337"/>
      <c r="CQ53" s="338"/>
      <c r="CR53" s="337"/>
      <c r="CS53" s="339"/>
      <c r="CT53" s="339"/>
      <c r="CU53" s="339"/>
      <c r="CV53" s="340"/>
      <c r="CW53" s="340"/>
      <c r="CX53" s="340"/>
      <c r="CY53" s="314">
        <f>IF(CX53&gt;0,CX53,IF(CW53&gt;0,CW53,6000000))</f>
        <v>6000000</v>
      </c>
      <c r="CZ53" s="341"/>
      <c r="DA53" s="342"/>
      <c r="DB53" s="343"/>
      <c r="DC53" s="341"/>
      <c r="DE53" s="345"/>
      <c r="DF53" s="346"/>
      <c r="DG53" s="270"/>
    </row>
    <row r="54" spans="1:111" s="111" customFormat="1" ht="27" customHeight="1">
      <c r="A54" s="262"/>
      <c r="B54" s="263" t="s">
        <v>177</v>
      </c>
      <c r="C54" s="307" t="s">
        <v>286</v>
      </c>
      <c r="D54" s="265" t="s">
        <v>287</v>
      </c>
      <c r="E54" s="262" t="str">
        <f t="shared" ref="E54" si="181">IF(OR(G54="CHT",G54="DSBC"),"HĐLĐ",IF(OR(G54="DSTV",G54="Q.CHT"),"HĐTV","HĐCTV"))</f>
        <v>HĐTV</v>
      </c>
      <c r="F54" s="262" t="s">
        <v>267</v>
      </c>
      <c r="G54" s="262" t="s">
        <v>129</v>
      </c>
      <c r="H54" s="308">
        <v>46190</v>
      </c>
      <c r="I54" s="461" t="s">
        <v>288</v>
      </c>
      <c r="J54" s="309" t="s">
        <v>289</v>
      </c>
      <c r="K54" s="268">
        <v>28</v>
      </c>
      <c r="L54" s="269">
        <v>1</v>
      </c>
      <c r="M54" s="375">
        <v>8</v>
      </c>
      <c r="N54" s="375">
        <v>0</v>
      </c>
      <c r="O54" s="262">
        <v>0</v>
      </c>
      <c r="P54" s="347"/>
      <c r="Q54" s="347"/>
      <c r="R54" s="348"/>
      <c r="S54" s="270">
        <f t="shared" si="156"/>
        <v>0</v>
      </c>
      <c r="T54" s="273">
        <f t="shared" si="31"/>
        <v>17857.142857142899</v>
      </c>
      <c r="U54" s="347"/>
      <c r="V54" s="347"/>
      <c r="W54" s="347"/>
      <c r="X54" s="347"/>
      <c r="Y54" s="347"/>
      <c r="Z54" s="347"/>
      <c r="AA54" s="310">
        <f t="shared" si="157"/>
        <v>6000000</v>
      </c>
      <c r="AB54" s="311">
        <f>AA54</f>
        <v>6000000</v>
      </c>
      <c r="AC54" s="312">
        <v>6000000</v>
      </c>
      <c r="AD54" s="313"/>
      <c r="AE54" s="275">
        <f t="shared" si="158"/>
        <v>214285.714285714</v>
      </c>
      <c r="AF54" s="276">
        <f t="shared" si="11"/>
        <v>0</v>
      </c>
      <c r="AG54" s="276">
        <v>0</v>
      </c>
      <c r="AH54" s="276">
        <v>0</v>
      </c>
      <c r="AI54" s="276">
        <v>0</v>
      </c>
      <c r="AJ54" s="276"/>
      <c r="AK54" s="276"/>
      <c r="AL54" s="276">
        <v>0</v>
      </c>
      <c r="AM54" s="276">
        <v>0</v>
      </c>
      <c r="AN54" s="276">
        <v>0</v>
      </c>
      <c r="AO54" s="276">
        <v>0</v>
      </c>
      <c r="AP54" s="276">
        <v>0</v>
      </c>
      <c r="AQ54" s="276">
        <v>0</v>
      </c>
      <c r="AR54" s="276"/>
      <c r="AS54" s="276">
        <v>0</v>
      </c>
      <c r="AT54" s="276">
        <v>0</v>
      </c>
      <c r="AU54" s="276">
        <v>0</v>
      </c>
      <c r="AV54" s="276"/>
      <c r="AW54" s="276"/>
      <c r="AX54" s="349"/>
      <c r="AY54" s="311"/>
      <c r="AZ54" s="351"/>
      <c r="BA54" s="278">
        <v>0</v>
      </c>
      <c r="BB54" s="278">
        <v>0</v>
      </c>
      <c r="BC54" s="278">
        <v>0</v>
      </c>
      <c r="BD54" s="278">
        <v>0</v>
      </c>
      <c r="BE54" s="278">
        <v>0</v>
      </c>
      <c r="BF54" s="363">
        <v>0</v>
      </c>
      <c r="BG54" s="279">
        <f t="shared" si="61"/>
        <v>232142.85714285701</v>
      </c>
      <c r="BH54" s="277">
        <f t="shared" si="159"/>
        <v>0</v>
      </c>
      <c r="BI54" s="277">
        <f t="shared" si="160"/>
        <v>0</v>
      </c>
      <c r="BJ54" s="277">
        <f t="shared" si="161"/>
        <v>0</v>
      </c>
      <c r="BK54" s="277"/>
      <c r="BL54" s="280">
        <f t="shared" si="162"/>
        <v>0</v>
      </c>
      <c r="BM54" s="277">
        <f t="shared" si="163"/>
        <v>0</v>
      </c>
      <c r="BN54" s="277">
        <f t="shared" si="164"/>
        <v>0</v>
      </c>
      <c r="BO54" s="277">
        <f t="shared" si="165"/>
        <v>0</v>
      </c>
      <c r="BP54" s="277"/>
      <c r="BQ54" s="280">
        <f t="shared" si="166"/>
        <v>0</v>
      </c>
      <c r="BR54" s="333"/>
      <c r="BS54" s="312"/>
      <c r="BT54" s="281">
        <f t="shared" si="167"/>
        <v>232142.85714285701</v>
      </c>
      <c r="BU54" s="282">
        <f t="shared" si="168"/>
        <v>0</v>
      </c>
      <c r="BV54" s="311"/>
      <c r="BW54" s="277">
        <f t="shared" si="169"/>
        <v>0</v>
      </c>
      <c r="BX54" s="277">
        <f t="shared" si="170"/>
        <v>0</v>
      </c>
      <c r="BY54" s="284">
        <f t="shared" si="171"/>
        <v>0</v>
      </c>
      <c r="BZ54" s="277">
        <f t="shared" si="172"/>
        <v>232142.85714285701</v>
      </c>
      <c r="CA54" s="277">
        <f t="shared" si="173"/>
        <v>0</v>
      </c>
      <c r="CB54" s="283">
        <f t="shared" si="174"/>
        <v>232143</v>
      </c>
      <c r="CC54" s="311"/>
      <c r="CD54" s="278"/>
      <c r="CE54" s="285">
        <f t="shared" si="175"/>
        <v>232143</v>
      </c>
      <c r="CF54" s="333">
        <f t="shared" si="176"/>
        <v>0</v>
      </c>
      <c r="CG54" s="286">
        <f t="shared" si="177"/>
        <v>232143</v>
      </c>
      <c r="CH54" s="334"/>
      <c r="CI54" s="335"/>
      <c r="CJ54" s="270"/>
      <c r="CK54" s="289">
        <v>1</v>
      </c>
      <c r="CL54" s="270"/>
      <c r="CM54" s="336"/>
      <c r="CN54" s="336"/>
      <c r="CO54" s="336"/>
      <c r="CP54" s="337"/>
      <c r="CQ54" s="338"/>
      <c r="CR54" s="337"/>
      <c r="CS54" s="339"/>
      <c r="CT54" s="339"/>
      <c r="CU54" s="339"/>
      <c r="CV54" s="340"/>
      <c r="CW54" s="340"/>
      <c r="CX54" s="340"/>
      <c r="CY54" s="314">
        <f>IF(CX54&gt;0,CX54,IF(CW54&gt;0,CW54,6000000))</f>
        <v>6000000</v>
      </c>
      <c r="CZ54" s="341"/>
      <c r="DA54" s="342"/>
      <c r="DB54" s="343"/>
      <c r="DC54" s="341"/>
      <c r="DE54" s="345"/>
      <c r="DF54" s="346"/>
      <c r="DG54" s="270"/>
    </row>
    <row r="55" spans="1:111" s="111" customFormat="1" ht="26.4">
      <c r="A55" s="262">
        <v>48</v>
      </c>
      <c r="B55" s="263">
        <v>7</v>
      </c>
      <c r="C55" s="265" t="s">
        <v>290</v>
      </c>
      <c r="D55" s="265" t="s">
        <v>291</v>
      </c>
      <c r="E55" s="262" t="s">
        <v>292</v>
      </c>
      <c r="F55" s="262" t="s">
        <v>267</v>
      </c>
      <c r="G55" s="262" t="s">
        <v>293</v>
      </c>
      <c r="H55" s="308" t="s">
        <v>294</v>
      </c>
      <c r="I55" s="309" t="s">
        <v>295</v>
      </c>
      <c r="J55" s="309" t="s">
        <v>119</v>
      </c>
      <c r="K55" s="268">
        <v>28</v>
      </c>
      <c r="L55" s="269">
        <v>31</v>
      </c>
      <c r="M55" s="375">
        <v>265.36</v>
      </c>
      <c r="N55" s="375">
        <v>8.58</v>
      </c>
      <c r="O55" s="262">
        <v>16</v>
      </c>
      <c r="P55" s="347"/>
      <c r="Q55" s="347"/>
      <c r="R55" s="348"/>
      <c r="S55" s="270">
        <f t="shared" si="156"/>
        <v>0</v>
      </c>
      <c r="T55" s="273">
        <f t="shared" si="31"/>
        <v>500000</v>
      </c>
      <c r="U55" s="347"/>
      <c r="V55" s="347"/>
      <c r="W55" s="347"/>
      <c r="X55" s="347"/>
      <c r="Y55" s="347"/>
      <c r="Z55" s="347"/>
      <c r="AA55" s="331">
        <f t="shared" si="157"/>
        <v>6000000</v>
      </c>
      <c r="AB55" s="347"/>
      <c r="AC55" s="347"/>
      <c r="AD55" s="347"/>
      <c r="AE55" s="275">
        <f t="shared" si="158"/>
        <v>7107857.1428571399</v>
      </c>
      <c r="AF55" s="276">
        <f t="shared" si="11"/>
        <v>344732.14285714302</v>
      </c>
      <c r="AG55" s="276">
        <v>0</v>
      </c>
      <c r="AH55" s="276">
        <v>0</v>
      </c>
      <c r="AI55" s="276">
        <v>0</v>
      </c>
      <c r="AJ55" s="276"/>
      <c r="AK55" s="276"/>
      <c r="AL55" s="276">
        <v>0</v>
      </c>
      <c r="AM55" s="276">
        <v>0</v>
      </c>
      <c r="AN55" s="276">
        <v>1511400</v>
      </c>
      <c r="AO55" s="276">
        <v>150484</v>
      </c>
      <c r="AP55" s="276">
        <v>0</v>
      </c>
      <c r="AQ55" s="276">
        <v>0</v>
      </c>
      <c r="AR55" s="276"/>
      <c r="AS55" s="276">
        <v>0</v>
      </c>
      <c r="AT55" s="276">
        <v>0</v>
      </c>
      <c r="AU55" s="276">
        <v>0</v>
      </c>
      <c r="AV55" s="276"/>
      <c r="AW55" s="276"/>
      <c r="AX55" s="276"/>
      <c r="AY55" s="355">
        <v>100000</v>
      </c>
      <c r="AZ55" s="355"/>
      <c r="BA55" s="278">
        <v>0</v>
      </c>
      <c r="BB55" s="278">
        <v>0</v>
      </c>
      <c r="BC55" s="278">
        <v>0</v>
      </c>
      <c r="BD55" s="278">
        <v>0</v>
      </c>
      <c r="BE55" s="278">
        <v>0</v>
      </c>
      <c r="BF55" s="363">
        <v>0</v>
      </c>
      <c r="BG55" s="279">
        <f t="shared" si="61"/>
        <v>9714473.2857142799</v>
      </c>
      <c r="BH55" s="277">
        <f t="shared" si="159"/>
        <v>0</v>
      </c>
      <c r="BI55" s="277">
        <f t="shared" si="160"/>
        <v>0</v>
      </c>
      <c r="BJ55" s="277">
        <f t="shared" si="161"/>
        <v>0</v>
      </c>
      <c r="BK55" s="277"/>
      <c r="BL55" s="280">
        <f t="shared" si="162"/>
        <v>0</v>
      </c>
      <c r="BM55" s="277">
        <f t="shared" si="163"/>
        <v>0</v>
      </c>
      <c r="BN55" s="277">
        <f t="shared" si="164"/>
        <v>0</v>
      </c>
      <c r="BO55" s="277">
        <f t="shared" si="165"/>
        <v>0</v>
      </c>
      <c r="BP55" s="277"/>
      <c r="BQ55" s="280">
        <f t="shared" si="166"/>
        <v>0</v>
      </c>
      <c r="BR55" s="333">
        <f>AF55</f>
        <v>344732.14285714302</v>
      </c>
      <c r="BS55" s="312">
        <f>T55+U55+V55+W55</f>
        <v>500000</v>
      </c>
      <c r="BT55" s="281">
        <f t="shared" si="167"/>
        <v>8869741.1428571399</v>
      </c>
      <c r="BU55" s="282">
        <f t="shared" si="168"/>
        <v>0</v>
      </c>
      <c r="BV55" s="311"/>
      <c r="BW55" s="277">
        <f t="shared" si="169"/>
        <v>0</v>
      </c>
      <c r="BX55" s="277">
        <f t="shared" si="170"/>
        <v>0</v>
      </c>
      <c r="BY55" s="284">
        <f t="shared" si="171"/>
        <v>0</v>
      </c>
      <c r="BZ55" s="277">
        <f t="shared" si="172"/>
        <v>8869741.1428571399</v>
      </c>
      <c r="CA55" s="277">
        <f t="shared" si="173"/>
        <v>443487</v>
      </c>
      <c r="CB55" s="283">
        <f t="shared" si="174"/>
        <v>9270986</v>
      </c>
      <c r="CC55" s="311"/>
      <c r="CD55" s="278"/>
      <c r="CE55" s="285">
        <f t="shared" si="175"/>
        <v>9270986</v>
      </c>
      <c r="CF55" s="333">
        <f t="shared" si="176"/>
        <v>0</v>
      </c>
      <c r="CG55" s="286">
        <f t="shared" si="177"/>
        <v>9270986</v>
      </c>
      <c r="CH55" s="334"/>
      <c r="CI55" s="335" t="s">
        <v>296</v>
      </c>
      <c r="CJ55" s="270">
        <f>VLOOKUP(D55,[1]CNT!$C$6:$AP$113,40,0)</f>
        <v>0</v>
      </c>
      <c r="CK55" s="289">
        <v>8</v>
      </c>
      <c r="CL55" s="270"/>
      <c r="CM55" s="336">
        <v>19</v>
      </c>
      <c r="CN55" s="336">
        <v>4</v>
      </c>
      <c r="CO55" s="336">
        <v>2025</v>
      </c>
      <c r="CP55" s="337">
        <f>IF((($CO$8-CO55)*12)+($CN$8-CN55)&gt;=12,((($CO$8-CO55)*12)+($CN$8-CN55))-1,0)</f>
        <v>0</v>
      </c>
      <c r="CQ55" s="338">
        <f>IF(CP55&lt;12,(($CQ$8-CO55)*12)+($CP$8-CN55),0)</f>
        <v>13</v>
      </c>
      <c r="CR55" s="337">
        <f>IF(OR(CP55&gt;12,CP55=12),((CP55-(CS55*12))+((($CQ$8-2024)*12)+($CP$8-4)))+1,0)</f>
        <v>0</v>
      </c>
      <c r="CS55" s="339">
        <f>IF(OR(CP55&gt;12,CP55=12),ROUNDDOWN(CP55/12,0),0)</f>
        <v>0</v>
      </c>
      <c r="CT55" s="339">
        <f>IF(CQ55&gt;11,ROUNDDOWN(CQ55/12,0),0)</f>
        <v>1</v>
      </c>
      <c r="CU55" s="339">
        <f>IF(CR55&gt;11,ROUNDDOWN(CR55/12,0),0)</f>
        <v>0</v>
      </c>
      <c r="CV55" s="340">
        <f>IF(CP55=0,0,6000000*1.07^CS55)</f>
        <v>0</v>
      </c>
      <c r="CW55" s="340">
        <f>IF(CT55&lt;2,0,6000000+(CT55-1)*500000)</f>
        <v>0</v>
      </c>
      <c r="CX55" s="340">
        <f>IF(CU55=0,CV55,IF(CU55&lt;1,0,CV55+CU55*500000))</f>
        <v>0</v>
      </c>
      <c r="CY55" s="314">
        <f>IF(CX55&gt;0,CX55,IF(CW55&gt;0,CW55,6000000))</f>
        <v>6000000</v>
      </c>
      <c r="CZ55" s="341"/>
      <c r="DA55" s="342">
        <f>CJ55</f>
        <v>0</v>
      </c>
      <c r="DB55" s="343"/>
      <c r="DC55" s="341"/>
      <c r="DE55" s="345"/>
      <c r="DF55" s="346">
        <f>VLOOKUP($D55,'[2]Med Service'!$D$11:$DI$87,110,0)</f>
        <v>0</v>
      </c>
      <c r="DG55" s="270" t="str">
        <f>VLOOKUP($D55,'[3]BẢNG LƯƠNG'!$C$3:$AH$102,32,0)</f>
        <v/>
      </c>
    </row>
    <row r="56" spans="1:111" s="112" customFormat="1" ht="24" customHeight="1">
      <c r="A56" s="320"/>
      <c r="B56" s="321"/>
      <c r="C56" s="360"/>
      <c r="D56" s="323"/>
      <c r="E56" s="320"/>
      <c r="F56" s="320"/>
      <c r="G56" s="320"/>
      <c r="H56" s="324"/>
      <c r="I56" s="325"/>
      <c r="J56" s="325"/>
      <c r="K56" s="327"/>
      <c r="L56" s="326">
        <f>SUM(L50:L55)</f>
        <v>148</v>
      </c>
      <c r="M56" s="326">
        <f t="shared" ref="M56:BX56" si="182">SUM(M50:M55)</f>
        <v>803.71</v>
      </c>
      <c r="N56" s="326">
        <f t="shared" si="182"/>
        <v>463.44</v>
      </c>
      <c r="O56" s="326">
        <f t="shared" si="182"/>
        <v>48</v>
      </c>
      <c r="P56" s="326">
        <f t="shared" si="182"/>
        <v>0</v>
      </c>
      <c r="Q56" s="326">
        <f t="shared" si="182"/>
        <v>0</v>
      </c>
      <c r="R56" s="326">
        <f t="shared" si="182"/>
        <v>0</v>
      </c>
      <c r="S56" s="326">
        <f t="shared" si="182"/>
        <v>15930000</v>
      </c>
      <c r="T56" s="326">
        <f t="shared" si="182"/>
        <v>2517857.1428571399</v>
      </c>
      <c r="U56" s="326">
        <f t="shared" si="182"/>
        <v>0</v>
      </c>
      <c r="V56" s="326">
        <f t="shared" si="182"/>
        <v>0</v>
      </c>
      <c r="W56" s="326">
        <f t="shared" si="182"/>
        <v>0</v>
      </c>
      <c r="X56" s="326">
        <f t="shared" si="182"/>
        <v>0</v>
      </c>
      <c r="Y56" s="326">
        <f t="shared" si="182"/>
        <v>0</v>
      </c>
      <c r="Z56" s="326">
        <f t="shared" si="182"/>
        <v>0</v>
      </c>
      <c r="AA56" s="326">
        <f t="shared" si="182"/>
        <v>36000000</v>
      </c>
      <c r="AB56" s="326">
        <f t="shared" si="182"/>
        <v>12000000</v>
      </c>
      <c r="AC56" s="326">
        <f t="shared" si="182"/>
        <v>12000000</v>
      </c>
      <c r="AD56" s="326"/>
      <c r="AE56" s="326">
        <f t="shared" si="182"/>
        <v>21527946.428571399</v>
      </c>
      <c r="AF56" s="326">
        <f t="shared" si="182"/>
        <v>18620357.142857101</v>
      </c>
      <c r="AG56" s="326">
        <f t="shared" si="182"/>
        <v>500000</v>
      </c>
      <c r="AH56" s="326">
        <f t="shared" si="182"/>
        <v>0</v>
      </c>
      <c r="AI56" s="326">
        <f t="shared" si="182"/>
        <v>3000000</v>
      </c>
      <c r="AJ56" s="326">
        <f t="shared" si="182"/>
        <v>0</v>
      </c>
      <c r="AK56" s="326">
        <f t="shared" si="182"/>
        <v>0</v>
      </c>
      <c r="AL56" s="326">
        <f t="shared" si="182"/>
        <v>500000</v>
      </c>
      <c r="AM56" s="326">
        <f t="shared" si="182"/>
        <v>0</v>
      </c>
      <c r="AN56" s="326">
        <f t="shared" si="182"/>
        <v>5915000</v>
      </c>
      <c r="AO56" s="326">
        <f t="shared" si="182"/>
        <v>174715</v>
      </c>
      <c r="AP56" s="326">
        <f t="shared" si="182"/>
        <v>0</v>
      </c>
      <c r="AQ56" s="326">
        <f t="shared" si="182"/>
        <v>0</v>
      </c>
      <c r="AR56" s="326">
        <f t="shared" si="182"/>
        <v>0</v>
      </c>
      <c r="AS56" s="326">
        <f t="shared" si="182"/>
        <v>0</v>
      </c>
      <c r="AT56" s="326">
        <f t="shared" si="182"/>
        <v>0</v>
      </c>
      <c r="AU56" s="326">
        <f t="shared" si="182"/>
        <v>0</v>
      </c>
      <c r="AV56" s="326">
        <f t="shared" si="182"/>
        <v>0</v>
      </c>
      <c r="AW56" s="326">
        <f t="shared" si="182"/>
        <v>0</v>
      </c>
      <c r="AX56" s="326">
        <f t="shared" si="182"/>
        <v>0</v>
      </c>
      <c r="AY56" s="326">
        <f t="shared" si="182"/>
        <v>100000</v>
      </c>
      <c r="AZ56" s="326">
        <f t="shared" si="182"/>
        <v>0</v>
      </c>
      <c r="BA56" s="326">
        <f t="shared" si="182"/>
        <v>0</v>
      </c>
      <c r="BB56" s="326">
        <f t="shared" si="182"/>
        <v>0</v>
      </c>
      <c r="BC56" s="326">
        <f t="shared" si="182"/>
        <v>0</v>
      </c>
      <c r="BD56" s="326">
        <f t="shared" si="182"/>
        <v>0</v>
      </c>
      <c r="BE56" s="326">
        <f t="shared" si="182"/>
        <v>38000</v>
      </c>
      <c r="BF56" s="326">
        <f t="shared" si="182"/>
        <v>0</v>
      </c>
      <c r="BG56" s="326">
        <f t="shared" si="182"/>
        <v>52817875.714285702</v>
      </c>
      <c r="BH56" s="326">
        <f t="shared" si="182"/>
        <v>2787750</v>
      </c>
      <c r="BI56" s="326">
        <f t="shared" si="182"/>
        <v>477900</v>
      </c>
      <c r="BJ56" s="326">
        <f t="shared" si="182"/>
        <v>159300</v>
      </c>
      <c r="BK56" s="326">
        <f t="shared" si="182"/>
        <v>0</v>
      </c>
      <c r="BL56" s="326">
        <f t="shared" si="182"/>
        <v>3424950</v>
      </c>
      <c r="BM56" s="326">
        <f t="shared" si="182"/>
        <v>1274400</v>
      </c>
      <c r="BN56" s="326">
        <f t="shared" si="182"/>
        <v>238950</v>
      </c>
      <c r="BO56" s="326">
        <f t="shared" si="182"/>
        <v>159300</v>
      </c>
      <c r="BP56" s="326">
        <f t="shared" si="182"/>
        <v>0</v>
      </c>
      <c r="BQ56" s="326">
        <f t="shared" si="182"/>
        <v>1672650</v>
      </c>
      <c r="BR56" s="326">
        <f t="shared" si="182"/>
        <v>18620357.142857101</v>
      </c>
      <c r="BS56" s="326">
        <f t="shared" si="182"/>
        <v>2000000</v>
      </c>
      <c r="BT56" s="326">
        <f t="shared" si="182"/>
        <v>32197518.571428601</v>
      </c>
      <c r="BU56" s="326">
        <f t="shared" si="182"/>
        <v>46500000</v>
      </c>
      <c r="BV56" s="326">
        <f t="shared" si="182"/>
        <v>0</v>
      </c>
      <c r="BW56" s="326">
        <f t="shared" si="182"/>
        <v>0</v>
      </c>
      <c r="BX56" s="326">
        <f t="shared" si="182"/>
        <v>1672650</v>
      </c>
      <c r="BY56" s="326">
        <f t="shared" ref="BY56:CG56" si="183">SUM(BY50:BY55)</f>
        <v>48172650</v>
      </c>
      <c r="BZ56" s="326">
        <f t="shared" si="183"/>
        <v>16676526.857142899</v>
      </c>
      <c r="CA56" s="326">
        <f t="shared" si="183"/>
        <v>1200951.2857142901</v>
      </c>
      <c r="CB56" s="326">
        <f t="shared" si="183"/>
        <v>49944274</v>
      </c>
      <c r="CC56" s="326">
        <f t="shared" si="183"/>
        <v>0</v>
      </c>
      <c r="CD56" s="326">
        <f t="shared" si="183"/>
        <v>0</v>
      </c>
      <c r="CE56" s="326">
        <f t="shared" si="183"/>
        <v>49944274</v>
      </c>
      <c r="CF56" s="326">
        <f t="shared" si="183"/>
        <v>0</v>
      </c>
      <c r="CG56" s="326">
        <f t="shared" si="183"/>
        <v>49944274</v>
      </c>
      <c r="CH56" s="326">
        <f t="shared" ref="CH56" si="184">SUM(CH50:CH55)</f>
        <v>0</v>
      </c>
      <c r="CI56" s="326">
        <f t="shared" ref="CI56" si="185">SUM(CI50:CI55)</f>
        <v>0</v>
      </c>
      <c r="CJ56" s="326">
        <f t="shared" ref="CJ56" si="186">SUM(CJ50:CJ55)</f>
        <v>0</v>
      </c>
      <c r="CK56" s="326">
        <f t="shared" ref="CK56" si="187">SUM(CK50:CK55)</f>
        <v>35</v>
      </c>
      <c r="CL56" s="326">
        <f t="shared" ref="CL56" si="188">SUM(CL50:CL55)</f>
        <v>0</v>
      </c>
      <c r="CM56" s="326">
        <f t="shared" ref="CM56" si="189">SUM(CM50:CM55)</f>
        <v>68</v>
      </c>
      <c r="CN56" s="326">
        <f t="shared" ref="CN56" si="190">SUM(CN50:CN55)</f>
        <v>25</v>
      </c>
      <c r="CO56" s="326">
        <f t="shared" ref="CO56" si="191">SUM(CO50:CO55)</f>
        <v>8099</v>
      </c>
      <c r="CP56" s="326">
        <f t="shared" ref="CP56" si="192">SUM(CP50:CP55)</f>
        <v>0</v>
      </c>
      <c r="CQ56" s="326">
        <f t="shared" ref="CQ56" si="193">SUM(CQ50:CQ55)</f>
        <v>55</v>
      </c>
      <c r="CR56" s="326">
        <f t="shared" ref="CR56" si="194">SUM(CR50:CR55)</f>
        <v>0</v>
      </c>
      <c r="CS56" s="326">
        <f t="shared" ref="CS56" si="195">SUM(CS50:CS55)</f>
        <v>0</v>
      </c>
      <c r="CT56" s="326">
        <f t="shared" ref="CT56" si="196">SUM(CT50:CT55)</f>
        <v>2</v>
      </c>
      <c r="CU56" s="326">
        <f t="shared" ref="CU56" si="197">SUM(CU50:CU55)</f>
        <v>0</v>
      </c>
      <c r="CV56" s="326">
        <f t="shared" ref="CV56" si="198">SUM(CV50:CV55)</f>
        <v>0</v>
      </c>
      <c r="CW56" s="326">
        <f t="shared" ref="CW56" si="199">SUM(CW50:CW55)</f>
        <v>0</v>
      </c>
      <c r="CX56" s="326">
        <f t="shared" ref="CX56" si="200">SUM(CX50:CX55)</f>
        <v>0</v>
      </c>
      <c r="CY56" s="326">
        <f t="shared" ref="CY56" si="201">SUM(CY50:CY55)</f>
        <v>36000000</v>
      </c>
      <c r="CZ56" s="326">
        <f t="shared" ref="CZ56" si="202">SUM(CZ50:CZ55)</f>
        <v>0</v>
      </c>
      <c r="DA56" s="326">
        <f t="shared" ref="DA56" si="203">SUM(DA50:DA55)</f>
        <v>0</v>
      </c>
      <c r="DB56" s="326">
        <f t="shared" ref="DB56" si="204">SUM(DB50:DB55)</f>
        <v>0</v>
      </c>
      <c r="DC56" s="326">
        <f t="shared" ref="DC56" si="205">SUM(DC50:DC55)</f>
        <v>0</v>
      </c>
      <c r="DD56" s="326">
        <f t="shared" ref="DD56" si="206">SUM(DD50:DD55)</f>
        <v>0</v>
      </c>
      <c r="DE56" s="326">
        <f t="shared" ref="DE56" si="207">SUM(DE50:DE55)</f>
        <v>138277</v>
      </c>
      <c r="DF56" s="326">
        <f t="shared" ref="DF56" si="208">SUM(DF50:DF55)</f>
        <v>0</v>
      </c>
      <c r="DG56" s="326">
        <f t="shared" ref="DG56" si="209">SUM(DG50:DG55)</f>
        <v>0</v>
      </c>
    </row>
    <row r="57" spans="1:111" s="111" customFormat="1" ht="27" customHeight="1">
      <c r="A57" s="262"/>
      <c r="B57" s="263" t="s">
        <v>113</v>
      </c>
      <c r="C57" s="265" t="s">
        <v>297</v>
      </c>
      <c r="D57" s="265" t="s">
        <v>298</v>
      </c>
      <c r="E57" s="262" t="str">
        <f>IF(OR(G57="CHT",G57="DSBC"),"HĐLĐ",IF(OR(G57="DSTV",G57="Q.CHT"),"HĐTV","HĐCTV"))</f>
        <v>HĐLĐ</v>
      </c>
      <c r="F57" s="262" t="s">
        <v>299</v>
      </c>
      <c r="G57" s="262" t="s">
        <v>154</v>
      </c>
      <c r="H57" s="308" t="s">
        <v>300</v>
      </c>
      <c r="I57" s="465" t="s">
        <v>301</v>
      </c>
      <c r="J57" s="388" t="s">
        <v>119</v>
      </c>
      <c r="K57" s="268">
        <v>28</v>
      </c>
      <c r="L57" s="299">
        <v>1</v>
      </c>
      <c r="M57" s="375">
        <v>15.68</v>
      </c>
      <c r="N57" s="375">
        <v>0</v>
      </c>
      <c r="O57" s="262">
        <v>0</v>
      </c>
      <c r="P57" s="347"/>
      <c r="Q57" s="347"/>
      <c r="R57" s="348"/>
      <c r="S57" s="270"/>
      <c r="T57" s="273">
        <f t="shared" si="31"/>
        <v>17857.142857142899</v>
      </c>
      <c r="U57" s="347"/>
      <c r="V57" s="347"/>
      <c r="W57" s="347"/>
      <c r="X57" s="347"/>
      <c r="Y57" s="347"/>
      <c r="Z57" s="347"/>
      <c r="AA57" s="331">
        <f>CY57</f>
        <v>6000000</v>
      </c>
      <c r="AB57" s="311">
        <f>AA57</f>
        <v>6000000</v>
      </c>
      <c r="AC57" s="312">
        <f>IF(E57="HĐTV",AB57*85%,0)</f>
        <v>0</v>
      </c>
      <c r="AD57" s="313"/>
      <c r="AE57" s="275">
        <f t="shared" si="158"/>
        <v>420000</v>
      </c>
      <c r="AF57" s="276">
        <f t="shared" si="11"/>
        <v>0</v>
      </c>
      <c r="AG57" s="276">
        <v>0</v>
      </c>
      <c r="AH57" s="276">
        <v>0</v>
      </c>
      <c r="AI57" s="276">
        <v>0</v>
      </c>
      <c r="AJ57" s="276"/>
      <c r="AK57" s="276"/>
      <c r="AL57" s="276">
        <v>0</v>
      </c>
      <c r="AM57" s="276">
        <v>0</v>
      </c>
      <c r="AN57" s="276">
        <v>0</v>
      </c>
      <c r="AO57" s="276">
        <v>0</v>
      </c>
      <c r="AP57" s="276">
        <v>0</v>
      </c>
      <c r="AQ57" s="276">
        <v>500000</v>
      </c>
      <c r="AR57" s="276"/>
      <c r="AS57" s="276">
        <v>0</v>
      </c>
      <c r="AT57" s="276"/>
      <c r="AU57" s="276">
        <v>0</v>
      </c>
      <c r="AV57" s="276"/>
      <c r="AW57" s="276"/>
      <c r="AX57" s="349"/>
      <c r="AY57" s="350"/>
      <c r="AZ57" s="355"/>
      <c r="BA57" s="276">
        <v>0</v>
      </c>
      <c r="BB57" s="276">
        <v>0</v>
      </c>
      <c r="BC57" s="276">
        <v>0</v>
      </c>
      <c r="BD57" s="276">
        <v>0</v>
      </c>
      <c r="BE57" s="276">
        <v>0</v>
      </c>
      <c r="BF57" s="363">
        <v>0</v>
      </c>
      <c r="BG57" s="279">
        <f t="shared" si="61"/>
        <v>937857.14285714296</v>
      </c>
      <c r="BH57" s="277">
        <f t="shared" ref="BH57:BH64" si="210">S57*17.5%</f>
        <v>0</v>
      </c>
      <c r="BI57" s="277">
        <f t="shared" ref="BI57:BI64" si="211">S57*3%</f>
        <v>0</v>
      </c>
      <c r="BJ57" s="277">
        <f t="shared" ref="BJ57:BJ64" si="212">S57*1%</f>
        <v>0</v>
      </c>
      <c r="BK57" s="277"/>
      <c r="BL57" s="280">
        <f t="shared" ref="BL57:BL64" si="213">SUM(BH57:BK57)</f>
        <v>0</v>
      </c>
      <c r="BM57" s="277">
        <f t="shared" ref="BM57:BM64" si="214">S57*8%</f>
        <v>0</v>
      </c>
      <c r="BN57" s="277">
        <f t="shared" ref="BN57:BN64" si="215">S57*1.5%</f>
        <v>0</v>
      </c>
      <c r="BO57" s="277">
        <f t="shared" ref="BO57:BO64" si="216">S57*1%</f>
        <v>0</v>
      </c>
      <c r="BP57" s="277"/>
      <c r="BQ57" s="280">
        <f t="shared" ref="BQ57:BQ64" si="217">SUM(BM57:BP57)</f>
        <v>0</v>
      </c>
      <c r="BR57" s="333">
        <f>AF57</f>
        <v>0</v>
      </c>
      <c r="BS57" s="312">
        <f>T57+U57+V57+W57</f>
        <v>17857.142857142899</v>
      </c>
      <c r="BT57" s="281">
        <f t="shared" ref="BT57:BT64" si="218">BG57-BS57-BR57</f>
        <v>920000</v>
      </c>
      <c r="BU57" s="282">
        <f t="shared" ref="BU57:BU64" si="219">IF(E57="HĐLĐ",15500000,0)</f>
        <v>15500000</v>
      </c>
      <c r="BV57" s="311"/>
      <c r="BW57" s="277">
        <f t="shared" ref="BW57:BW64" si="220">BV57*6200000</f>
        <v>0</v>
      </c>
      <c r="BX57" s="277">
        <f t="shared" ref="BX57:BX64" si="221">BQ57</f>
        <v>0</v>
      </c>
      <c r="BY57" s="284">
        <f t="shared" ref="BY57:BY64" si="222">BU57+BW57+BX57</f>
        <v>15500000</v>
      </c>
      <c r="BZ57" s="277">
        <f t="shared" ref="BZ57:BZ64" si="223">IF(BT57-BY57&gt;0,BT57-BY57,0)</f>
        <v>0</v>
      </c>
      <c r="CA57" s="277">
        <f t="shared" ref="CA57:CA64" si="224">IF(AND(OR($E57="HĐTV",$E57="HĐCTV"),$BZ57&lt;5000000),0,IF(OR($E57="HĐTV",$E57="HĐCTV"),$BZ57*10%,ROUND(IF($BZ57&lt;=10000000,$BZ57*5%,IF($BZ57&lt;=30000000,$BZ57*10%-500000,IF($BZ57&lt;=60000000,$BZ57*20%-3500000,IF($BZ57&lt;=100000000,$BZ57*30%-9500000,$BZ57*35%-14500000)))),0)))</f>
        <v>0</v>
      </c>
      <c r="CB57" s="283">
        <f t="shared" ref="CB57:CB64" si="225">ROUND(BG57-BQ57-CA57,0)</f>
        <v>937857</v>
      </c>
      <c r="CC57" s="311"/>
      <c r="CD57" s="278"/>
      <c r="CE57" s="285">
        <f t="shared" ref="CE57:CE64" si="226">CB57+CC57-CD57</f>
        <v>937857</v>
      </c>
      <c r="CF57" s="333">
        <f t="shared" ref="CF57:CF64" si="227">CE57-CG57</f>
        <v>0</v>
      </c>
      <c r="CG57" s="286">
        <f t="shared" ref="CG57:CG64" si="228">CE57</f>
        <v>937857</v>
      </c>
      <c r="CH57" s="334"/>
      <c r="CI57" s="335" t="str">
        <f>VLOOKUP($C57,[5]Sheet1!$C$5:$K$139,9,0)</f>
        <v>vy.cu@medigoapp.com</v>
      </c>
      <c r="CJ57" s="270"/>
      <c r="CK57" s="289">
        <v>10</v>
      </c>
      <c r="CL57" s="270"/>
      <c r="CM57" s="336">
        <v>4</v>
      </c>
      <c r="CN57" s="336">
        <v>9</v>
      </c>
      <c r="CO57" s="336">
        <v>2024</v>
      </c>
      <c r="CP57" s="337">
        <f>IF((($CO$8-CO57)*12)+($CN$8-CN57)&gt;=12,((($CO$8-CO57)*12)+($CN$8-CN57))-1,0)</f>
        <v>0</v>
      </c>
      <c r="CQ57" s="338">
        <f>IF(CP57&lt;12,(($CQ$8-CO57)*12)+($CP$8-CN57),0)</f>
        <v>20</v>
      </c>
      <c r="CR57" s="337">
        <f>IF(OR(CP57&gt;12,CP57=12),((CP57-(CS57*12))+((($CQ$8-2024)*12)+($CP$8-4)))+1,0)</f>
        <v>0</v>
      </c>
      <c r="CS57" s="339">
        <f>IF(OR(CP57&gt;12,CP57=12),ROUNDDOWN(CP57/12,0),0)</f>
        <v>0</v>
      </c>
      <c r="CT57" s="339">
        <f t="shared" ref="CT57" si="229">IF(CQ57&gt;11,ROUNDDOWN(CQ57/12,0),0)</f>
        <v>1</v>
      </c>
      <c r="CU57" s="339">
        <f t="shared" ref="CU57" si="230">IF(CR57&gt;11,ROUNDDOWN(CR57/12,0),0)</f>
        <v>0</v>
      </c>
      <c r="CV57" s="340">
        <f>IF(CP57=0,0,6000000*1.07^CS57)</f>
        <v>0</v>
      </c>
      <c r="CW57" s="340">
        <f>IF(CT57&lt;2,0,6000000+(CT57-1)*500000)</f>
        <v>0</v>
      </c>
      <c r="CX57" s="340">
        <f>IF(CU57=0,CV57,IF(CU57&lt;1,0,CV57+CU57*500000))</f>
        <v>0</v>
      </c>
      <c r="CY57" s="314">
        <f>IF(CX57&gt;0,CX57,IF(CW57&gt;0,CW57,6000000))</f>
        <v>6000000</v>
      </c>
      <c r="CZ57" s="341"/>
      <c r="DA57" s="342">
        <f>CJ57</f>
        <v>0</v>
      </c>
      <c r="DB57" s="341"/>
      <c r="DC57" s="344"/>
      <c r="DE57" s="345"/>
      <c r="DF57" s="346"/>
      <c r="DG57" s="270"/>
    </row>
    <row r="58" spans="1:111" s="110" customFormat="1" ht="27" customHeight="1">
      <c r="A58" s="262">
        <v>53</v>
      </c>
      <c r="B58" s="263">
        <v>7</v>
      </c>
      <c r="C58" s="265" t="s">
        <v>302</v>
      </c>
      <c r="D58" s="265" t="s">
        <v>303</v>
      </c>
      <c r="E58" s="262" t="str">
        <f>IF(OR(G58="CHT",G58="DSBC"),"HĐLĐ",IF(OR(G58="DSTV",G58="Q.CHT"),"HĐTV","HĐCTV"))</f>
        <v>HĐLĐ</v>
      </c>
      <c r="F58" s="262" t="s">
        <v>299</v>
      </c>
      <c r="G58" s="262" t="s">
        <v>154</v>
      </c>
      <c r="H58" s="308">
        <v>45194</v>
      </c>
      <c r="I58" s="309" t="s">
        <v>304</v>
      </c>
      <c r="J58" s="309" t="s">
        <v>305</v>
      </c>
      <c r="K58" s="268">
        <v>28</v>
      </c>
      <c r="L58" s="299">
        <v>31</v>
      </c>
      <c r="M58" s="375">
        <v>355.66</v>
      </c>
      <c r="N58" s="375">
        <v>42.22</v>
      </c>
      <c r="O58" s="262">
        <v>16</v>
      </c>
      <c r="P58" s="347"/>
      <c r="Q58" s="347"/>
      <c r="R58" s="348"/>
      <c r="S58" s="270">
        <f t="shared" ref="S58:S64" si="231">IF(E58="HĐLĐ",5310000,0)</f>
        <v>5310000</v>
      </c>
      <c r="T58" s="273">
        <f t="shared" si="31"/>
        <v>500000</v>
      </c>
      <c r="U58" s="347"/>
      <c r="V58" s="347"/>
      <c r="W58" s="347"/>
      <c r="X58" s="347"/>
      <c r="Y58" s="347"/>
      <c r="Z58" s="347"/>
      <c r="AA58" s="331">
        <f>CY58</f>
        <v>6500000</v>
      </c>
      <c r="AB58" s="347"/>
      <c r="AC58" s="347"/>
      <c r="AD58" s="347"/>
      <c r="AE58" s="275">
        <f t="shared" si="158"/>
        <v>10320491.071428601</v>
      </c>
      <c r="AF58" s="276">
        <f t="shared" si="11"/>
        <v>1837700.8928571399</v>
      </c>
      <c r="AG58" s="276">
        <v>1500000</v>
      </c>
      <c r="AH58" s="276">
        <v>0</v>
      </c>
      <c r="AI58" s="276">
        <v>0</v>
      </c>
      <c r="AJ58" s="276"/>
      <c r="AK58" s="276"/>
      <c r="AL58" s="276">
        <v>0</v>
      </c>
      <c r="AM58" s="276">
        <v>0</v>
      </c>
      <c r="AN58" s="276">
        <v>1574500</v>
      </c>
      <c r="AO58" s="276">
        <v>31259</v>
      </c>
      <c r="AP58" s="276">
        <v>0</v>
      </c>
      <c r="AQ58" s="276">
        <v>0</v>
      </c>
      <c r="AR58" s="276"/>
      <c r="AS58" s="276">
        <v>170000</v>
      </c>
      <c r="AT58" s="276">
        <v>300000</v>
      </c>
      <c r="AU58" s="276">
        <v>0</v>
      </c>
      <c r="AV58" s="276"/>
      <c r="AW58" s="276"/>
      <c r="AX58" s="349"/>
      <c r="AY58" s="367"/>
      <c r="AZ58" s="351"/>
      <c r="BA58" s="276" t="s">
        <v>306</v>
      </c>
      <c r="BB58" s="276">
        <v>0</v>
      </c>
      <c r="BC58" s="276">
        <v>0</v>
      </c>
      <c r="BD58" s="276">
        <v>0</v>
      </c>
      <c r="BE58" s="276">
        <v>31000</v>
      </c>
      <c r="BF58" s="363">
        <v>0</v>
      </c>
      <c r="BG58" s="279">
        <f t="shared" si="61"/>
        <v>16202950.9642857</v>
      </c>
      <c r="BH58" s="277">
        <f t="shared" si="210"/>
        <v>929250</v>
      </c>
      <c r="BI58" s="277">
        <f t="shared" si="211"/>
        <v>159300</v>
      </c>
      <c r="BJ58" s="277">
        <f t="shared" si="212"/>
        <v>53100</v>
      </c>
      <c r="BK58" s="277"/>
      <c r="BL58" s="280">
        <f t="shared" si="213"/>
        <v>1141650</v>
      </c>
      <c r="BM58" s="277">
        <f t="shared" si="214"/>
        <v>424800</v>
      </c>
      <c r="BN58" s="277">
        <f t="shared" si="215"/>
        <v>79650</v>
      </c>
      <c r="BO58" s="277">
        <f t="shared" si="216"/>
        <v>53100</v>
      </c>
      <c r="BP58" s="277"/>
      <c r="BQ58" s="280">
        <f t="shared" si="217"/>
        <v>557550</v>
      </c>
      <c r="BR58" s="333">
        <f>AF58</f>
        <v>1837700.8928571399</v>
      </c>
      <c r="BS58" s="312">
        <f>T58+U58+V58+W58</f>
        <v>500000</v>
      </c>
      <c r="BT58" s="281">
        <f t="shared" si="218"/>
        <v>13865250.071428601</v>
      </c>
      <c r="BU58" s="282">
        <f t="shared" si="219"/>
        <v>15500000</v>
      </c>
      <c r="BV58" s="311"/>
      <c r="BW58" s="277">
        <f t="shared" si="220"/>
        <v>0</v>
      </c>
      <c r="BX58" s="277">
        <f t="shared" si="221"/>
        <v>557550</v>
      </c>
      <c r="BY58" s="284">
        <f t="shared" si="222"/>
        <v>16057550</v>
      </c>
      <c r="BZ58" s="277">
        <f t="shared" si="223"/>
        <v>0</v>
      </c>
      <c r="CA58" s="277">
        <f t="shared" si="224"/>
        <v>0</v>
      </c>
      <c r="CB58" s="283">
        <f t="shared" si="225"/>
        <v>15645401</v>
      </c>
      <c r="CC58" s="311"/>
      <c r="CD58" s="278"/>
      <c r="CE58" s="285">
        <f t="shared" si="226"/>
        <v>15645401</v>
      </c>
      <c r="CF58" s="333">
        <f t="shared" si="227"/>
        <v>0</v>
      </c>
      <c r="CG58" s="286">
        <f t="shared" si="228"/>
        <v>15645401</v>
      </c>
      <c r="CH58" s="334"/>
      <c r="CI58" s="335" t="s">
        <v>307</v>
      </c>
      <c r="CJ58" s="270">
        <f>VLOOKUP(D58,[1]CNT!$C$6:$AP$113,40,0)</f>
        <v>0</v>
      </c>
      <c r="CK58" s="289">
        <v>5</v>
      </c>
      <c r="CL58" s="270"/>
      <c r="CM58" s="336">
        <v>25</v>
      </c>
      <c r="CN58" s="336">
        <v>9</v>
      </c>
      <c r="CO58" s="336">
        <v>2023</v>
      </c>
      <c r="CP58" s="337">
        <f>IF((($CO$8-CO58)*12)+($CN$8-CN58)&gt;=12,((($CO$8-CO58)*12)+($CN$8-CN58))-1,0)</f>
        <v>0</v>
      </c>
      <c r="CQ58" s="338">
        <f>IF(CP58&lt;12,(($CQ$8-CO58)*12)+($CP$8-CN58),0)</f>
        <v>32</v>
      </c>
      <c r="CR58" s="337">
        <f>IF(OR(CP58&gt;12,CP58=12),((CP58-(CS58*12))+((($CQ$8-2024)*12)+($CP$8-4)))+1,0)</f>
        <v>0</v>
      </c>
      <c r="CS58" s="339">
        <f>IF(OR(CP58&gt;12,CP58=12),ROUNDDOWN(CP58/12,0),0)</f>
        <v>0</v>
      </c>
      <c r="CT58" s="339">
        <f t="shared" ref="CT58:CU60" si="232">IF(CQ58&gt;11,ROUNDDOWN(CQ58/12,0),0)</f>
        <v>2</v>
      </c>
      <c r="CU58" s="339">
        <f t="shared" si="232"/>
        <v>0</v>
      </c>
      <c r="CV58" s="340">
        <f>IF(CP58=0,0,6000000*1.07^CS58)</f>
        <v>0</v>
      </c>
      <c r="CW58" s="340">
        <f>IF(CT58&lt;2,0,6000000+(CT58-1)*500000)</f>
        <v>6500000</v>
      </c>
      <c r="CX58" s="340">
        <f>IF(CU58=0,CV58,IF(CU58&lt;1,0,CV58+CU58*500000))</f>
        <v>0</v>
      </c>
      <c r="CY58" s="314">
        <f>IF(CX58&gt;0,CX58,IF(CW58&gt;0,CW58,6000000))</f>
        <v>6500000</v>
      </c>
      <c r="CZ58" s="341"/>
      <c r="DA58" s="342">
        <f>CJ58</f>
        <v>0</v>
      </c>
      <c r="DB58" s="354" t="s">
        <v>308</v>
      </c>
      <c r="DC58" s="344"/>
      <c r="DD58" s="389"/>
      <c r="DE58" s="390">
        <f>'[6]Tong hop'!$P$11+'[6]Tong hop'!$P$25</f>
        <v>737824</v>
      </c>
      <c r="DF58" s="346">
        <f>VLOOKUP($D58,'[2]Med Service'!$D$11:$DI$87,110,0)</f>
        <v>0</v>
      </c>
      <c r="DG58" s="270" t="str">
        <f>VLOOKUP($D58,'[3]BẢNG LƯƠNG'!$C$3:$AH$102,32,0)</f>
        <v>Không đảm bảo vệ sinh khu vực làm việc 21/05/2026: 10.000đ
Vi phạm chấm điểm checklist  27/05/2026: 10.000đ</v>
      </c>
    </row>
    <row r="59" spans="1:111" s="111" customFormat="1" ht="27" customHeight="1">
      <c r="A59" s="262">
        <v>50</v>
      </c>
      <c r="B59" s="263">
        <v>7</v>
      </c>
      <c r="C59" s="265" t="s">
        <v>309</v>
      </c>
      <c r="D59" s="265" t="s">
        <v>310</v>
      </c>
      <c r="E59" s="262" t="str">
        <f>IF(OR(G59="CHT",G59="DSBC"),"HĐLĐ",IF(OR(G59="DSTV",G59="Q.CHT"),"HĐTV","HĐCTV"))</f>
        <v>HĐLĐ</v>
      </c>
      <c r="F59" s="262" t="s">
        <v>299</v>
      </c>
      <c r="G59" s="262" t="s">
        <v>117</v>
      </c>
      <c r="H59" s="308" t="s">
        <v>311</v>
      </c>
      <c r="I59" s="309" t="s">
        <v>312</v>
      </c>
      <c r="J59" s="309" t="s">
        <v>264</v>
      </c>
      <c r="K59" s="268">
        <v>28</v>
      </c>
      <c r="L59" s="299">
        <v>28</v>
      </c>
      <c r="M59" s="375">
        <v>40.729999999999997</v>
      </c>
      <c r="N59" s="375">
        <v>228.5</v>
      </c>
      <c r="O59" s="262">
        <v>0</v>
      </c>
      <c r="P59" s="347"/>
      <c r="Q59" s="347"/>
      <c r="R59" s="348"/>
      <c r="S59" s="270">
        <f t="shared" si="231"/>
        <v>5310000</v>
      </c>
      <c r="T59" s="273">
        <f t="shared" si="31"/>
        <v>500000</v>
      </c>
      <c r="U59" s="347"/>
      <c r="V59" s="347"/>
      <c r="W59" s="347"/>
      <c r="X59" s="347"/>
      <c r="Y59" s="347"/>
      <c r="Z59" s="347"/>
      <c r="AA59" s="331">
        <f>CY59</f>
        <v>6000000</v>
      </c>
      <c r="AB59" s="347"/>
      <c r="AC59" s="347"/>
      <c r="AD59" s="347"/>
      <c r="AE59" s="275">
        <f t="shared" si="158"/>
        <v>1090982.1428571399</v>
      </c>
      <c r="AF59" s="276">
        <f t="shared" si="11"/>
        <v>9180803.5714285709</v>
      </c>
      <c r="AG59" s="276">
        <v>0</v>
      </c>
      <c r="AH59" s="276">
        <v>0</v>
      </c>
      <c r="AI59" s="276">
        <v>1500000</v>
      </c>
      <c r="AJ59" s="276"/>
      <c r="AK59" s="276"/>
      <c r="AL59" s="276">
        <v>500000</v>
      </c>
      <c r="AM59" s="276">
        <v>1347392</v>
      </c>
      <c r="AN59" s="276">
        <v>2214100</v>
      </c>
      <c r="AO59" s="276">
        <v>130696</v>
      </c>
      <c r="AP59" s="276">
        <v>0</v>
      </c>
      <c r="AQ59" s="276">
        <v>0</v>
      </c>
      <c r="AR59" s="276"/>
      <c r="AS59" s="276">
        <v>0</v>
      </c>
      <c r="AT59" s="276">
        <v>0</v>
      </c>
      <c r="AU59" s="276">
        <v>0</v>
      </c>
      <c r="AV59" s="276"/>
      <c r="AW59" s="276"/>
      <c r="AX59" s="349"/>
      <c r="AY59" s="355">
        <v>100000</v>
      </c>
      <c r="AZ59" s="355"/>
      <c r="BA59" s="276" t="s">
        <v>306</v>
      </c>
      <c r="BB59" s="276">
        <v>0</v>
      </c>
      <c r="BC59" s="276">
        <v>0</v>
      </c>
      <c r="BD59" s="276">
        <v>0</v>
      </c>
      <c r="BE59" s="276">
        <v>0</v>
      </c>
      <c r="BF59" s="363">
        <v>0</v>
      </c>
      <c r="BG59" s="279">
        <f t="shared" si="61"/>
        <v>16563973.7142857</v>
      </c>
      <c r="BH59" s="277">
        <f t="shared" si="210"/>
        <v>929250</v>
      </c>
      <c r="BI59" s="277">
        <f t="shared" si="211"/>
        <v>159300</v>
      </c>
      <c r="BJ59" s="277">
        <f t="shared" si="212"/>
        <v>53100</v>
      </c>
      <c r="BK59" s="277"/>
      <c r="BL59" s="280">
        <f t="shared" si="213"/>
        <v>1141650</v>
      </c>
      <c r="BM59" s="277">
        <f t="shared" si="214"/>
        <v>424800</v>
      </c>
      <c r="BN59" s="277">
        <f t="shared" si="215"/>
        <v>79650</v>
      </c>
      <c r="BO59" s="277">
        <f t="shared" si="216"/>
        <v>53100</v>
      </c>
      <c r="BP59" s="277"/>
      <c r="BQ59" s="280">
        <f t="shared" si="217"/>
        <v>557550</v>
      </c>
      <c r="BR59" s="333">
        <f>AF59</f>
        <v>9180803.5714285709</v>
      </c>
      <c r="BS59" s="312">
        <f>T59+U59+V59+W59</f>
        <v>500000</v>
      </c>
      <c r="BT59" s="281">
        <f t="shared" si="218"/>
        <v>6883170.1428571399</v>
      </c>
      <c r="BU59" s="282">
        <f t="shared" si="219"/>
        <v>15500000</v>
      </c>
      <c r="BV59" s="311"/>
      <c r="BW59" s="277">
        <f t="shared" si="220"/>
        <v>0</v>
      </c>
      <c r="BX59" s="277">
        <f t="shared" si="221"/>
        <v>557550</v>
      </c>
      <c r="BY59" s="284">
        <f t="shared" si="222"/>
        <v>16057550</v>
      </c>
      <c r="BZ59" s="277">
        <f t="shared" si="223"/>
        <v>0</v>
      </c>
      <c r="CA59" s="277">
        <f t="shared" si="224"/>
        <v>0</v>
      </c>
      <c r="CB59" s="283">
        <f t="shared" si="225"/>
        <v>16006424</v>
      </c>
      <c r="CC59" s="311"/>
      <c r="CD59" s="278"/>
      <c r="CE59" s="285">
        <f t="shared" si="226"/>
        <v>16006424</v>
      </c>
      <c r="CF59" s="333">
        <f t="shared" si="227"/>
        <v>0</v>
      </c>
      <c r="CG59" s="286">
        <f t="shared" si="228"/>
        <v>16006424</v>
      </c>
      <c r="CH59" s="334"/>
      <c r="CI59" s="335" t="str">
        <f>VLOOKUP($C59,[5]Sheet1!$C$5:$K$139,9,0)</f>
        <v>nhan.cao@medigoapp.com</v>
      </c>
      <c r="CJ59" s="270">
        <f>VLOOKUP(D59,[1]CNT!$C$6:$AP$113,40,0)</f>
        <v>0</v>
      </c>
      <c r="CK59" s="289">
        <v>8</v>
      </c>
      <c r="CL59" s="270"/>
      <c r="CM59" s="336">
        <v>18</v>
      </c>
      <c r="CN59" s="336">
        <v>12</v>
      </c>
      <c r="CO59" s="336">
        <v>2025</v>
      </c>
      <c r="CP59" s="337">
        <f>IF((($CO$8-CO59)*12)+($CN$8-CN59)&gt;=12,((($CO$8-CO59)*12)+($CN$8-CN59))-1,0)</f>
        <v>0</v>
      </c>
      <c r="CQ59" s="338">
        <f>IF(CP59&lt;12,(($CQ$8-CO59)*12)+($CP$8-CN59),0)</f>
        <v>5</v>
      </c>
      <c r="CR59" s="337">
        <f>IF(OR(CP59&gt;12,CP59=12),((CP59-(CS59*12))+((($CQ$8-2024)*12)+($CP$8-4)))+1,0)</f>
        <v>0</v>
      </c>
      <c r="CS59" s="339">
        <f>IF(OR(CP59&gt;12,CP59=12),ROUNDDOWN(CP59/12,0),0)</f>
        <v>0</v>
      </c>
      <c r="CT59" s="339">
        <f t="shared" si="232"/>
        <v>0</v>
      </c>
      <c r="CU59" s="339">
        <f t="shared" si="232"/>
        <v>0</v>
      </c>
      <c r="CV59" s="340">
        <f>IF(CP59=0,0,6000000*1.07^CS59)</f>
        <v>0</v>
      </c>
      <c r="CW59" s="340">
        <f>IF(CT59&lt;2,0,6000000+(CT59-1)*500000)</f>
        <v>0</v>
      </c>
      <c r="CX59" s="340">
        <f>IF(CU59=0,CV59,IF(CU59&lt;1,0,CV59+CU59*500000))</f>
        <v>0</v>
      </c>
      <c r="CY59" s="348">
        <v>6000000</v>
      </c>
      <c r="CZ59" s="341"/>
      <c r="DA59" s="342">
        <f>CJ59</f>
        <v>0</v>
      </c>
      <c r="DB59" s="343"/>
      <c r="DC59" s="341"/>
      <c r="DE59" s="345"/>
      <c r="DF59" s="346">
        <f>VLOOKUP($D59,'[2]Med Service'!$D$11:$DI$87,110,0)</f>
        <v>0</v>
      </c>
      <c r="DG59" s="270" t="str">
        <f>VLOOKUP($D59,'[3]BẢNG LƯƠNG'!$C$3:$AH$102,32,0)</f>
        <v/>
      </c>
    </row>
    <row r="60" spans="1:111" s="110" customFormat="1" ht="27.75" customHeight="1">
      <c r="A60" s="262">
        <v>54</v>
      </c>
      <c r="B60" s="263">
        <v>7</v>
      </c>
      <c r="C60" s="265" t="s">
        <v>313</v>
      </c>
      <c r="D60" s="265" t="s">
        <v>314</v>
      </c>
      <c r="E60" s="262" t="str">
        <f>IF(OR(G60="CHT",G60="DSBC"),"HĐLĐ",IF(OR(G60="DSTV",G60="Q.CHT"),"HĐTV","HĐCTV"))</f>
        <v>HĐLĐ</v>
      </c>
      <c r="F60" s="262" t="s">
        <v>299</v>
      </c>
      <c r="G60" s="262" t="s">
        <v>117</v>
      </c>
      <c r="H60" s="308" t="s">
        <v>173</v>
      </c>
      <c r="I60" s="309" t="s">
        <v>315</v>
      </c>
      <c r="J60" s="309" t="s">
        <v>119</v>
      </c>
      <c r="K60" s="268">
        <v>28</v>
      </c>
      <c r="L60" s="299">
        <v>28</v>
      </c>
      <c r="M60" s="375">
        <v>12.59</v>
      </c>
      <c r="N60" s="375">
        <v>258.7</v>
      </c>
      <c r="O60" s="262">
        <v>0</v>
      </c>
      <c r="P60" s="347"/>
      <c r="Q60" s="347"/>
      <c r="R60" s="348"/>
      <c r="S60" s="270">
        <f t="shared" si="231"/>
        <v>5310000</v>
      </c>
      <c r="T60" s="273">
        <f t="shared" si="31"/>
        <v>500000</v>
      </c>
      <c r="U60" s="347"/>
      <c r="V60" s="347"/>
      <c r="W60" s="347"/>
      <c r="X60" s="347"/>
      <c r="Y60" s="347"/>
      <c r="Z60" s="347"/>
      <c r="AA60" s="331">
        <f>CY60</f>
        <v>6000000</v>
      </c>
      <c r="AB60" s="347"/>
      <c r="AC60" s="347"/>
      <c r="AD60" s="347"/>
      <c r="AE60" s="275">
        <f t="shared" si="158"/>
        <v>337232.14285714302</v>
      </c>
      <c r="AF60" s="276">
        <f t="shared" si="11"/>
        <v>10394196.428571399</v>
      </c>
      <c r="AG60" s="276">
        <v>0</v>
      </c>
      <c r="AH60" s="276">
        <v>0</v>
      </c>
      <c r="AI60" s="276">
        <v>1500000</v>
      </c>
      <c r="AJ60" s="276"/>
      <c r="AK60" s="276"/>
      <c r="AL60" s="276">
        <v>0</v>
      </c>
      <c r="AM60" s="276">
        <v>0</v>
      </c>
      <c r="AN60" s="276">
        <v>1922350</v>
      </c>
      <c r="AO60" s="276">
        <v>29087</v>
      </c>
      <c r="AP60" s="276">
        <v>0</v>
      </c>
      <c r="AQ60" s="276">
        <v>0</v>
      </c>
      <c r="AR60" s="276"/>
      <c r="AS60" s="276">
        <v>0</v>
      </c>
      <c r="AT60" s="276">
        <v>0</v>
      </c>
      <c r="AU60" s="276">
        <v>0</v>
      </c>
      <c r="AV60" s="276"/>
      <c r="AW60" s="276"/>
      <c r="AX60" s="276"/>
      <c r="AY60" s="276"/>
      <c r="AZ60" s="276">
        <v>2500000</v>
      </c>
      <c r="BA60" s="276" t="s">
        <v>306</v>
      </c>
      <c r="BB60" s="276">
        <v>0</v>
      </c>
      <c r="BC60" s="276">
        <v>0</v>
      </c>
      <c r="BD60" s="276">
        <v>0</v>
      </c>
      <c r="BE60" s="276">
        <v>0</v>
      </c>
      <c r="BF60" s="363">
        <v>0</v>
      </c>
      <c r="BG60" s="279">
        <f t="shared" si="61"/>
        <v>17182865.5714285</v>
      </c>
      <c r="BH60" s="277">
        <f t="shared" si="210"/>
        <v>929250</v>
      </c>
      <c r="BI60" s="277">
        <f t="shared" si="211"/>
        <v>159300</v>
      </c>
      <c r="BJ60" s="277">
        <f t="shared" si="212"/>
        <v>53100</v>
      </c>
      <c r="BK60" s="277"/>
      <c r="BL60" s="280">
        <f t="shared" si="213"/>
        <v>1141650</v>
      </c>
      <c r="BM60" s="277">
        <f t="shared" si="214"/>
        <v>424800</v>
      </c>
      <c r="BN60" s="277">
        <f t="shared" si="215"/>
        <v>79650</v>
      </c>
      <c r="BO60" s="277">
        <f t="shared" si="216"/>
        <v>53100</v>
      </c>
      <c r="BP60" s="277"/>
      <c r="BQ60" s="280">
        <f t="shared" si="217"/>
        <v>557550</v>
      </c>
      <c r="BR60" s="333">
        <f>AF60</f>
        <v>10394196.428571399</v>
      </c>
      <c r="BS60" s="312">
        <f>T60+U60+V60+W60</f>
        <v>500000</v>
      </c>
      <c r="BT60" s="281">
        <f t="shared" si="218"/>
        <v>6288669.1428571502</v>
      </c>
      <c r="BU60" s="282">
        <f t="shared" si="219"/>
        <v>15500000</v>
      </c>
      <c r="BV60" s="311"/>
      <c r="BW60" s="277">
        <f t="shared" si="220"/>
        <v>0</v>
      </c>
      <c r="BX60" s="277">
        <f t="shared" si="221"/>
        <v>557550</v>
      </c>
      <c r="BY60" s="284">
        <f t="shared" si="222"/>
        <v>16057550</v>
      </c>
      <c r="BZ60" s="277">
        <f t="shared" si="223"/>
        <v>0</v>
      </c>
      <c r="CA60" s="277">
        <f t="shared" si="224"/>
        <v>0</v>
      </c>
      <c r="CB60" s="283">
        <f t="shared" si="225"/>
        <v>16625316</v>
      </c>
      <c r="CC60" s="311"/>
      <c r="CD60" s="278"/>
      <c r="CE60" s="285">
        <f t="shared" si="226"/>
        <v>16625316</v>
      </c>
      <c r="CF60" s="333">
        <f t="shared" si="227"/>
        <v>0</v>
      </c>
      <c r="CG60" s="286">
        <f t="shared" si="228"/>
        <v>16625316</v>
      </c>
      <c r="CH60" s="334"/>
      <c r="CI60" s="335" t="s">
        <v>316</v>
      </c>
      <c r="CJ60" s="270">
        <f>VLOOKUP(D60,[1]CNT!$C$6:$AP$113,40,0)</f>
        <v>0</v>
      </c>
      <c r="CK60" s="289">
        <v>9</v>
      </c>
      <c r="CL60" s="270"/>
      <c r="CM60" s="336">
        <v>21</v>
      </c>
      <c r="CN60" s="336">
        <v>7</v>
      </c>
      <c r="CO60" s="336">
        <v>2025</v>
      </c>
      <c r="CP60" s="337">
        <f>IF((($CO$8-CO60)*12)+($CN$8-CN60)&gt;=12,((($CO$8-CO60)*12)+($CN$8-CN60))-1,0)</f>
        <v>0</v>
      </c>
      <c r="CQ60" s="338">
        <f>IF(CP60&lt;12,(($CQ$8-CO60)*12)+($CP$8-CN60),0)</f>
        <v>10</v>
      </c>
      <c r="CR60" s="337">
        <f>IF(OR(CP60&gt;12,CP60=12),((CP60-(CS60*12))+((($CQ$8-2024)*12)+($CP$8-4)))+1,0)</f>
        <v>0</v>
      </c>
      <c r="CS60" s="339">
        <f>IF(OR(CP60&gt;12,CP60=12),ROUNDDOWN(CP60/12,0),0)</f>
        <v>0</v>
      </c>
      <c r="CT60" s="339">
        <f t="shared" si="232"/>
        <v>0</v>
      </c>
      <c r="CU60" s="339">
        <f t="shared" si="232"/>
        <v>0</v>
      </c>
      <c r="CV60" s="340">
        <f>IF(CP60=0,0,6000000*1.07^CS60)</f>
        <v>0</v>
      </c>
      <c r="CW60" s="340">
        <f>IF(CT60&lt;2,0,6000000+(CT60-1)*500000)</f>
        <v>0</v>
      </c>
      <c r="CX60" s="340">
        <f>IF(CU60=0,CV60,IF(CU60&lt;1,0,CV60+CU60*500000))</f>
        <v>0</v>
      </c>
      <c r="CY60" s="314">
        <f>IF(CX60&gt;0,CX60,IF(CW60&gt;0,CW60,6000000))</f>
        <v>6000000</v>
      </c>
      <c r="CZ60" s="341"/>
      <c r="DA60" s="342">
        <f>CJ60</f>
        <v>0</v>
      </c>
      <c r="DB60" s="343"/>
      <c r="DC60" s="344"/>
      <c r="DE60" s="345"/>
      <c r="DF60" s="346">
        <f>VLOOKUP($D60,'[2]Med Service'!$D$11:$DI$87,110,0)</f>
        <v>0</v>
      </c>
      <c r="DG60" s="270" t="str">
        <f>VLOOKUP($D60,'[3]BẢNG LƯƠNG'!$C$3:$AH$102,32,0)</f>
        <v/>
      </c>
    </row>
    <row r="61" spans="1:111" s="111" customFormat="1" ht="27" customHeight="1">
      <c r="A61" s="262"/>
      <c r="B61" s="263" t="s">
        <v>113</v>
      </c>
      <c r="C61" s="356" t="s">
        <v>178</v>
      </c>
      <c r="D61" s="357" t="s">
        <v>179</v>
      </c>
      <c r="E61" s="262" t="str">
        <f t="shared" ref="E61" si="233">IF(OR(G61="CHT",G61="DSBC"),"HĐLĐ",IF(OR(G61="DSTV",G61="Q.CHT"),"HĐTV","HĐCTV"))</f>
        <v>HĐLĐ</v>
      </c>
      <c r="F61" s="262" t="s">
        <v>299</v>
      </c>
      <c r="G61" s="262" t="s">
        <v>117</v>
      </c>
      <c r="H61" s="462" t="s">
        <v>180</v>
      </c>
      <c r="I61" s="358" t="s">
        <v>181</v>
      </c>
      <c r="J61" s="358" t="s">
        <v>141</v>
      </c>
      <c r="K61" s="268">
        <v>28</v>
      </c>
      <c r="L61" s="299">
        <v>7</v>
      </c>
      <c r="M61" s="375">
        <v>42.37</v>
      </c>
      <c r="N61" s="375">
        <v>0</v>
      </c>
      <c r="O61" s="262">
        <v>0</v>
      </c>
      <c r="P61" s="347"/>
      <c r="Q61" s="347"/>
      <c r="R61" s="348"/>
      <c r="S61" s="270"/>
      <c r="T61" s="273">
        <f t="shared" si="31"/>
        <v>125000</v>
      </c>
      <c r="U61" s="347"/>
      <c r="V61" s="347"/>
      <c r="W61" s="347"/>
      <c r="X61" s="347"/>
      <c r="Y61" s="347"/>
      <c r="Z61" s="347"/>
      <c r="AA61" s="310">
        <v>6000000</v>
      </c>
      <c r="AB61" s="311">
        <f>AA61</f>
        <v>6000000</v>
      </c>
      <c r="AC61" s="312">
        <f>IF(E61="HĐTV",AB61*85%,0)</f>
        <v>0</v>
      </c>
      <c r="AD61" s="313"/>
      <c r="AE61" s="275">
        <f t="shared" si="158"/>
        <v>1134910.7142857099</v>
      </c>
      <c r="AF61" s="276">
        <f t="shared" si="11"/>
        <v>0</v>
      </c>
      <c r="AG61" s="276">
        <v>0</v>
      </c>
      <c r="AH61" s="276">
        <v>0</v>
      </c>
      <c r="AI61" s="276">
        <v>0</v>
      </c>
      <c r="AJ61" s="276"/>
      <c r="AK61" s="276"/>
      <c r="AL61" s="276">
        <v>0</v>
      </c>
      <c r="AM61" s="276">
        <v>0</v>
      </c>
      <c r="AN61" s="276">
        <v>0</v>
      </c>
      <c r="AO61" s="276">
        <v>0</v>
      </c>
      <c r="AP61" s="276">
        <v>0</v>
      </c>
      <c r="AQ61" s="276">
        <v>0</v>
      </c>
      <c r="AR61" s="276"/>
      <c r="AS61" s="276">
        <v>0</v>
      </c>
      <c r="AT61" s="276">
        <v>0</v>
      </c>
      <c r="AU61" s="276">
        <v>0</v>
      </c>
      <c r="AV61" s="276"/>
      <c r="AW61" s="276"/>
      <c r="AX61" s="349"/>
      <c r="AY61" s="350"/>
      <c r="AZ61" s="355"/>
      <c r="BA61" s="276">
        <v>0</v>
      </c>
      <c r="BB61" s="276">
        <v>0</v>
      </c>
      <c r="BC61" s="276">
        <v>0</v>
      </c>
      <c r="BD61" s="276">
        <v>0</v>
      </c>
      <c r="BE61" s="276">
        <v>0</v>
      </c>
      <c r="BF61" s="363">
        <v>0</v>
      </c>
      <c r="BG61" s="279">
        <f t="shared" si="61"/>
        <v>1259910.7142857099</v>
      </c>
      <c r="BH61" s="277">
        <f t="shared" si="210"/>
        <v>0</v>
      </c>
      <c r="BI61" s="277">
        <f t="shared" si="211"/>
        <v>0</v>
      </c>
      <c r="BJ61" s="277">
        <f t="shared" si="212"/>
        <v>0</v>
      </c>
      <c r="BK61" s="277"/>
      <c r="BL61" s="280">
        <f t="shared" si="213"/>
        <v>0</v>
      </c>
      <c r="BM61" s="277">
        <f t="shared" si="214"/>
        <v>0</v>
      </c>
      <c r="BN61" s="277">
        <f t="shared" si="215"/>
        <v>0</v>
      </c>
      <c r="BO61" s="277">
        <f t="shared" si="216"/>
        <v>0</v>
      </c>
      <c r="BP61" s="277"/>
      <c r="BQ61" s="280">
        <f t="shared" si="217"/>
        <v>0</v>
      </c>
      <c r="BR61" s="333"/>
      <c r="BS61" s="312"/>
      <c r="BT61" s="281">
        <f t="shared" si="218"/>
        <v>1259910.7142857099</v>
      </c>
      <c r="BU61" s="282">
        <f t="shared" si="219"/>
        <v>15500000</v>
      </c>
      <c r="BV61" s="311"/>
      <c r="BW61" s="277">
        <f t="shared" si="220"/>
        <v>0</v>
      </c>
      <c r="BX61" s="277">
        <f t="shared" si="221"/>
        <v>0</v>
      </c>
      <c r="BY61" s="284">
        <f t="shared" si="222"/>
        <v>15500000</v>
      </c>
      <c r="BZ61" s="277">
        <f t="shared" si="223"/>
        <v>0</v>
      </c>
      <c r="CA61" s="277">
        <f t="shared" si="224"/>
        <v>0</v>
      </c>
      <c r="CB61" s="283">
        <f t="shared" si="225"/>
        <v>1259911</v>
      </c>
      <c r="CC61" s="311"/>
      <c r="CD61" s="278"/>
      <c r="CE61" s="285">
        <f t="shared" si="226"/>
        <v>1259911</v>
      </c>
      <c r="CF61" s="333">
        <f t="shared" si="227"/>
        <v>0</v>
      </c>
      <c r="CG61" s="286">
        <f t="shared" si="228"/>
        <v>1259911</v>
      </c>
      <c r="CH61" s="334"/>
      <c r="CI61" s="335"/>
      <c r="CJ61" s="270"/>
      <c r="CK61" s="289">
        <v>11</v>
      </c>
      <c r="CL61" s="270"/>
      <c r="CM61" s="336"/>
      <c r="CN61" s="336"/>
      <c r="CO61" s="336"/>
      <c r="CP61" s="337"/>
      <c r="CQ61" s="338"/>
      <c r="CR61" s="337"/>
      <c r="CS61" s="339"/>
      <c r="CT61" s="339"/>
      <c r="CU61" s="339"/>
      <c r="CV61" s="340"/>
      <c r="CW61" s="340"/>
      <c r="CX61" s="340"/>
      <c r="CY61" s="314">
        <v>5100000</v>
      </c>
      <c r="CZ61" s="341"/>
      <c r="DA61" s="342"/>
      <c r="DB61" s="343"/>
      <c r="DC61" s="341"/>
      <c r="DE61" s="345"/>
      <c r="DF61" s="346"/>
      <c r="DG61" s="270"/>
    </row>
    <row r="62" spans="1:111" s="111" customFormat="1" ht="27" customHeight="1">
      <c r="A62" s="262">
        <v>52</v>
      </c>
      <c r="B62" s="263">
        <v>7</v>
      </c>
      <c r="C62" s="265" t="s">
        <v>317</v>
      </c>
      <c r="D62" s="265" t="s">
        <v>318</v>
      </c>
      <c r="E62" s="262" t="s">
        <v>166</v>
      </c>
      <c r="F62" s="262" t="s">
        <v>299</v>
      </c>
      <c r="G62" s="262" t="s">
        <v>117</v>
      </c>
      <c r="H62" s="308">
        <v>45439</v>
      </c>
      <c r="I62" s="309" t="s">
        <v>319</v>
      </c>
      <c r="J62" s="309" t="s">
        <v>119</v>
      </c>
      <c r="K62" s="268">
        <v>28</v>
      </c>
      <c r="L62" s="299">
        <v>15</v>
      </c>
      <c r="M62" s="375">
        <v>100.03</v>
      </c>
      <c r="N62" s="375">
        <v>15.9</v>
      </c>
      <c r="O62" s="262">
        <v>0</v>
      </c>
      <c r="P62" s="347"/>
      <c r="Q62" s="347"/>
      <c r="R62" s="348"/>
      <c r="S62" s="270">
        <f t="shared" si="231"/>
        <v>5310000</v>
      </c>
      <c r="T62" s="273">
        <f t="shared" si="31"/>
        <v>267857.14285714302</v>
      </c>
      <c r="U62" s="347"/>
      <c r="V62" s="347"/>
      <c r="W62" s="347"/>
      <c r="X62" s="347"/>
      <c r="Y62" s="347"/>
      <c r="Z62" s="347"/>
      <c r="AA62" s="331">
        <f>CY62</f>
        <v>6500000</v>
      </c>
      <c r="AB62" s="347"/>
      <c r="AC62" s="347"/>
      <c r="AD62" s="347"/>
      <c r="AE62" s="275">
        <f t="shared" si="158"/>
        <v>2902656.25</v>
      </c>
      <c r="AF62" s="276">
        <f t="shared" si="11"/>
        <v>692075.89285714296</v>
      </c>
      <c r="AG62" s="276">
        <v>0</v>
      </c>
      <c r="AH62" s="276">
        <v>0</v>
      </c>
      <c r="AI62" s="276">
        <v>0</v>
      </c>
      <c r="AJ62" s="276"/>
      <c r="AK62" s="276"/>
      <c r="AL62" s="276">
        <v>0</v>
      </c>
      <c r="AM62" s="276">
        <v>0</v>
      </c>
      <c r="AN62" s="276">
        <v>609435</v>
      </c>
      <c r="AO62" s="276">
        <v>13341</v>
      </c>
      <c r="AP62" s="276">
        <v>0</v>
      </c>
      <c r="AQ62" s="276">
        <v>0</v>
      </c>
      <c r="AR62" s="276"/>
      <c r="AS62" s="276">
        <v>0</v>
      </c>
      <c r="AT62" s="276">
        <v>0</v>
      </c>
      <c r="AU62" s="276">
        <v>0</v>
      </c>
      <c r="AV62" s="276"/>
      <c r="AW62" s="276"/>
      <c r="AX62" s="349"/>
      <c r="AY62" s="367"/>
      <c r="AZ62" s="351"/>
      <c r="BA62" s="276" t="s">
        <v>306</v>
      </c>
      <c r="BB62" s="276">
        <v>0</v>
      </c>
      <c r="BC62" s="276">
        <v>0</v>
      </c>
      <c r="BD62" s="276">
        <v>0</v>
      </c>
      <c r="BE62" s="276">
        <v>130600</v>
      </c>
      <c r="BF62" s="363">
        <v>0</v>
      </c>
      <c r="BG62" s="279">
        <f t="shared" si="61"/>
        <v>4354765.2857142901</v>
      </c>
      <c r="BH62" s="277">
        <f t="shared" si="210"/>
        <v>929250</v>
      </c>
      <c r="BI62" s="277">
        <f t="shared" si="211"/>
        <v>159300</v>
      </c>
      <c r="BJ62" s="277">
        <f t="shared" si="212"/>
        <v>53100</v>
      </c>
      <c r="BK62" s="277"/>
      <c r="BL62" s="280">
        <f t="shared" si="213"/>
        <v>1141650</v>
      </c>
      <c r="BM62" s="277">
        <f t="shared" si="214"/>
        <v>424800</v>
      </c>
      <c r="BN62" s="277">
        <f t="shared" si="215"/>
        <v>79650</v>
      </c>
      <c r="BO62" s="277">
        <f t="shared" si="216"/>
        <v>53100</v>
      </c>
      <c r="BP62" s="277"/>
      <c r="BQ62" s="280">
        <f t="shared" si="217"/>
        <v>557550</v>
      </c>
      <c r="BR62" s="333">
        <f>AF62</f>
        <v>692075.89285714296</v>
      </c>
      <c r="BS62" s="312">
        <f>T62+U62+V62+W62</f>
        <v>267857.14285714302</v>
      </c>
      <c r="BT62" s="281">
        <f t="shared" si="218"/>
        <v>3394832.25</v>
      </c>
      <c r="BU62" s="282">
        <f t="shared" si="219"/>
        <v>15500000</v>
      </c>
      <c r="BV62" s="311"/>
      <c r="BW62" s="277">
        <f t="shared" si="220"/>
        <v>0</v>
      </c>
      <c r="BX62" s="277">
        <f t="shared" si="221"/>
        <v>557550</v>
      </c>
      <c r="BY62" s="284">
        <f t="shared" si="222"/>
        <v>16057550</v>
      </c>
      <c r="BZ62" s="277">
        <f t="shared" si="223"/>
        <v>0</v>
      </c>
      <c r="CA62" s="277">
        <f t="shared" si="224"/>
        <v>0</v>
      </c>
      <c r="CB62" s="283">
        <f t="shared" si="225"/>
        <v>3797215</v>
      </c>
      <c r="CC62" s="311"/>
      <c r="CD62" s="278"/>
      <c r="CE62" s="285">
        <f t="shared" si="226"/>
        <v>3797215</v>
      </c>
      <c r="CF62" s="333">
        <f t="shared" si="227"/>
        <v>0</v>
      </c>
      <c r="CG62" s="286">
        <f t="shared" si="228"/>
        <v>3797215</v>
      </c>
      <c r="CH62" s="334"/>
      <c r="CI62" s="335" t="s">
        <v>320</v>
      </c>
      <c r="CJ62" s="270">
        <f>VLOOKUP(D62,[1]CNT!$C$6:$AP$113,40,0)</f>
        <v>0</v>
      </c>
      <c r="CK62" s="289">
        <v>5</v>
      </c>
      <c r="CL62" s="270"/>
      <c r="CM62" s="336">
        <v>27</v>
      </c>
      <c r="CN62" s="336">
        <v>5</v>
      </c>
      <c r="CO62" s="336">
        <v>2024</v>
      </c>
      <c r="CP62" s="337">
        <v>0</v>
      </c>
      <c r="CQ62" s="338">
        <f>IF(CP62&lt;12,(($CQ$8-CO62)*12)+($CP$8-CN62),0)</f>
        <v>24</v>
      </c>
      <c r="CR62" s="337">
        <f>IF(OR(CP62&gt;12,CP62=12),((CP62-(CS62*12))+((($CQ$8-2024)*12)+($CP$8-4)))+1,0)</f>
        <v>0</v>
      </c>
      <c r="CS62" s="339">
        <v>0</v>
      </c>
      <c r="CT62" s="339">
        <f>IF(CQ62&gt;11,ROUNDDOWN(CQ62/12,0),0)</f>
        <v>2</v>
      </c>
      <c r="CU62" s="339">
        <v>0</v>
      </c>
      <c r="CV62" s="340">
        <v>0</v>
      </c>
      <c r="CW62" s="340">
        <f>IF(CT62&lt;2,0,6000000+(CT62-1)*500000)</f>
        <v>6500000</v>
      </c>
      <c r="CX62" s="340">
        <v>0</v>
      </c>
      <c r="CY62" s="314">
        <f>IF(CX62&gt;0,CX62,IF(CW62&gt;0,CW62,6000000))</f>
        <v>6500000</v>
      </c>
      <c r="CZ62" s="341"/>
      <c r="DA62" s="342">
        <f>CJ62</f>
        <v>0</v>
      </c>
      <c r="DB62" s="354" t="s">
        <v>321</v>
      </c>
      <c r="DC62" s="341"/>
      <c r="DE62" s="345"/>
      <c r="DF62" s="346">
        <f>VLOOKUP($D62,'[2]Med Service'!$D$11:$DI$87,110,0)</f>
        <v>0</v>
      </c>
      <c r="DG62" s="270" t="str">
        <f>VLOOKUP($D62,'[3]BẢNG LƯƠNG'!$C$3:$AH$102,32,0)</f>
        <v/>
      </c>
    </row>
    <row r="63" spans="1:111" s="111" customFormat="1" ht="27" customHeight="1">
      <c r="A63" s="262"/>
      <c r="B63" s="263" t="s">
        <v>113</v>
      </c>
      <c r="C63" s="307" t="s">
        <v>200</v>
      </c>
      <c r="D63" s="368" t="s">
        <v>201</v>
      </c>
      <c r="E63" s="391" t="str">
        <f t="shared" ref="E63:E64" si="234">IF(OR(G63="CHT",G63="DSBC"),"HĐLĐ",IF(OR(G63="DSTV",G63="Q.CHT"),"HĐTV","HĐCTV"))</f>
        <v>HĐLĐ</v>
      </c>
      <c r="F63" s="262" t="s">
        <v>299</v>
      </c>
      <c r="G63" s="391" t="s">
        <v>117</v>
      </c>
      <c r="H63" s="392" t="s">
        <v>202</v>
      </c>
      <c r="I63" s="393" t="s">
        <v>203</v>
      </c>
      <c r="J63" s="393" t="s">
        <v>204</v>
      </c>
      <c r="K63" s="268">
        <v>28</v>
      </c>
      <c r="L63" s="299">
        <v>2</v>
      </c>
      <c r="M63" s="375">
        <v>11.42</v>
      </c>
      <c r="N63" s="375">
        <v>0</v>
      </c>
      <c r="O63" s="262">
        <v>0</v>
      </c>
      <c r="P63" s="347"/>
      <c r="Q63" s="347"/>
      <c r="R63" s="348"/>
      <c r="S63" s="270"/>
      <c r="T63" s="273"/>
      <c r="U63" s="347"/>
      <c r="V63" s="347"/>
      <c r="W63" s="347"/>
      <c r="X63" s="347"/>
      <c r="Y63" s="347"/>
      <c r="Z63" s="347"/>
      <c r="AA63" s="310">
        <v>6000000</v>
      </c>
      <c r="AB63" s="311">
        <f>AA63</f>
        <v>6000000</v>
      </c>
      <c r="AC63" s="312">
        <f>IF(E63="HĐTV",AB63*85%,0)</f>
        <v>0</v>
      </c>
      <c r="AD63" s="313"/>
      <c r="AE63" s="275">
        <f t="shared" si="158"/>
        <v>305892.85714285698</v>
      </c>
      <c r="AF63" s="276">
        <f t="shared" si="11"/>
        <v>0</v>
      </c>
      <c r="AG63" s="276">
        <v>0</v>
      </c>
      <c r="AH63" s="276">
        <v>0</v>
      </c>
      <c r="AI63" s="276">
        <v>0</v>
      </c>
      <c r="AJ63" s="276"/>
      <c r="AK63" s="276"/>
      <c r="AL63" s="276">
        <v>0</v>
      </c>
      <c r="AM63" s="276">
        <v>0</v>
      </c>
      <c r="AN63" s="276">
        <v>0</v>
      </c>
      <c r="AO63" s="276">
        <v>15362</v>
      </c>
      <c r="AP63" s="276">
        <v>0</v>
      </c>
      <c r="AQ63" s="276">
        <v>0</v>
      </c>
      <c r="AR63" s="276"/>
      <c r="AS63" s="276">
        <v>0</v>
      </c>
      <c r="AT63" s="276">
        <v>0</v>
      </c>
      <c r="AU63" s="276">
        <v>0</v>
      </c>
      <c r="AV63" s="276"/>
      <c r="AW63" s="276"/>
      <c r="AX63" s="349"/>
      <c r="AY63" s="350"/>
      <c r="AZ63" s="355"/>
      <c r="BA63" s="276">
        <v>0</v>
      </c>
      <c r="BB63" s="276">
        <v>0</v>
      </c>
      <c r="BC63" s="276">
        <v>0</v>
      </c>
      <c r="BD63" s="276">
        <v>0</v>
      </c>
      <c r="BE63" s="276">
        <v>0</v>
      </c>
      <c r="BF63" s="363">
        <v>0</v>
      </c>
      <c r="BG63" s="279">
        <f t="shared" si="61"/>
        <v>321254.85714285698</v>
      </c>
      <c r="BH63" s="277">
        <f t="shared" si="210"/>
        <v>0</v>
      </c>
      <c r="BI63" s="277">
        <f t="shared" si="211"/>
        <v>0</v>
      </c>
      <c r="BJ63" s="277">
        <f t="shared" si="212"/>
        <v>0</v>
      </c>
      <c r="BK63" s="277"/>
      <c r="BL63" s="280">
        <f t="shared" si="213"/>
        <v>0</v>
      </c>
      <c r="BM63" s="277">
        <f t="shared" si="214"/>
        <v>0</v>
      </c>
      <c r="BN63" s="277">
        <f t="shared" si="215"/>
        <v>0</v>
      </c>
      <c r="BO63" s="277">
        <f t="shared" si="216"/>
        <v>0</v>
      </c>
      <c r="BP63" s="277"/>
      <c r="BQ63" s="280">
        <f t="shared" si="217"/>
        <v>0</v>
      </c>
      <c r="BR63" s="333"/>
      <c r="BS63" s="312"/>
      <c r="BT63" s="281">
        <f t="shared" si="218"/>
        <v>321254.85714285698</v>
      </c>
      <c r="BU63" s="282">
        <f t="shared" si="219"/>
        <v>15500000</v>
      </c>
      <c r="BV63" s="311"/>
      <c r="BW63" s="277">
        <f t="shared" si="220"/>
        <v>0</v>
      </c>
      <c r="BX63" s="277">
        <f t="shared" si="221"/>
        <v>0</v>
      </c>
      <c r="BY63" s="284">
        <f t="shared" si="222"/>
        <v>15500000</v>
      </c>
      <c r="BZ63" s="277">
        <f t="shared" si="223"/>
        <v>0</v>
      </c>
      <c r="CA63" s="277">
        <f t="shared" si="224"/>
        <v>0</v>
      </c>
      <c r="CB63" s="283">
        <f t="shared" si="225"/>
        <v>321255</v>
      </c>
      <c r="CC63" s="311"/>
      <c r="CD63" s="278"/>
      <c r="CE63" s="285">
        <f t="shared" si="226"/>
        <v>321255</v>
      </c>
      <c r="CF63" s="333">
        <f t="shared" si="227"/>
        <v>0</v>
      </c>
      <c r="CG63" s="286">
        <f t="shared" si="228"/>
        <v>321255</v>
      </c>
      <c r="CH63" s="334"/>
      <c r="CI63" s="335"/>
      <c r="CJ63" s="270"/>
      <c r="CK63" s="289">
        <v>4</v>
      </c>
      <c r="CL63" s="270"/>
      <c r="CM63" s="336"/>
      <c r="CN63" s="336"/>
      <c r="CO63" s="336"/>
      <c r="CP63" s="337"/>
      <c r="CQ63" s="338"/>
      <c r="CR63" s="337"/>
      <c r="CS63" s="339"/>
      <c r="CT63" s="339"/>
      <c r="CU63" s="339"/>
      <c r="CV63" s="340"/>
      <c r="CW63" s="340"/>
      <c r="CX63" s="340"/>
      <c r="CY63" s="314">
        <f>IF(CX63&gt;0,CX63,IF(CW63&gt;0,CW63,6000000))</f>
        <v>6000000</v>
      </c>
      <c r="CZ63" s="341"/>
      <c r="DA63" s="342"/>
      <c r="DB63" s="343"/>
      <c r="DC63" s="341"/>
      <c r="DE63" s="345"/>
      <c r="DF63" s="346"/>
      <c r="DG63" s="270"/>
    </row>
    <row r="64" spans="1:111" s="111" customFormat="1" ht="27" customHeight="1">
      <c r="A64" s="262">
        <v>49</v>
      </c>
      <c r="B64" s="263"/>
      <c r="C64" s="265" t="s">
        <v>322</v>
      </c>
      <c r="D64" s="265" t="s">
        <v>323</v>
      </c>
      <c r="E64" s="262" t="str">
        <f t="shared" si="234"/>
        <v>HĐCTV</v>
      </c>
      <c r="F64" s="262" t="s">
        <v>299</v>
      </c>
      <c r="G64" s="262" t="s">
        <v>236</v>
      </c>
      <c r="H64" s="460" t="s">
        <v>324</v>
      </c>
      <c r="I64" s="309" t="s">
        <v>325</v>
      </c>
      <c r="J64" s="309" t="s">
        <v>119</v>
      </c>
      <c r="K64" s="268">
        <v>28</v>
      </c>
      <c r="L64" s="299">
        <v>15</v>
      </c>
      <c r="M64" s="375">
        <v>178.17</v>
      </c>
      <c r="N64" s="375">
        <v>0</v>
      </c>
      <c r="O64" s="262">
        <v>0</v>
      </c>
      <c r="P64" s="347"/>
      <c r="Q64" s="347"/>
      <c r="R64" s="348"/>
      <c r="S64" s="270">
        <f t="shared" si="231"/>
        <v>0</v>
      </c>
      <c r="T64" s="273">
        <f t="shared" si="31"/>
        <v>267857.14285714302</v>
      </c>
      <c r="U64" s="347"/>
      <c r="V64" s="347"/>
      <c r="W64" s="347"/>
      <c r="X64" s="347"/>
      <c r="Y64" s="347"/>
      <c r="Z64" s="347"/>
      <c r="AA64" s="331">
        <f t="shared" ref="AA64" si="235">CY64</f>
        <v>3000000</v>
      </c>
      <c r="AB64" s="347"/>
      <c r="AC64" s="347"/>
      <c r="AD64" s="347"/>
      <c r="AE64" s="275">
        <f t="shared" si="158"/>
        <v>2386205.3571428601</v>
      </c>
      <c r="AF64" s="276">
        <f t="shared" si="11"/>
        <v>0</v>
      </c>
      <c r="AG64" s="276">
        <v>0</v>
      </c>
      <c r="AH64" s="276">
        <v>0</v>
      </c>
      <c r="AI64" s="276">
        <v>0</v>
      </c>
      <c r="AJ64" s="276"/>
      <c r="AK64" s="276"/>
      <c r="AL64" s="276">
        <v>0</v>
      </c>
      <c r="AM64" s="276">
        <v>0</v>
      </c>
      <c r="AN64" s="276">
        <v>0</v>
      </c>
      <c r="AO64" s="276">
        <v>0</v>
      </c>
      <c r="AP64" s="276">
        <v>0</v>
      </c>
      <c r="AQ64" s="276">
        <v>1500000</v>
      </c>
      <c r="AR64" s="276"/>
      <c r="AS64" s="276">
        <v>0</v>
      </c>
      <c r="AT64" s="276">
        <v>0</v>
      </c>
      <c r="AU64" s="276">
        <v>0</v>
      </c>
      <c r="AV64" s="276"/>
      <c r="AW64" s="276"/>
      <c r="AX64" s="349"/>
      <c r="AY64" s="350"/>
      <c r="AZ64" s="351"/>
      <c r="BA64" s="276">
        <v>0</v>
      </c>
      <c r="BB64" s="276">
        <v>0</v>
      </c>
      <c r="BC64" s="276">
        <v>0</v>
      </c>
      <c r="BD64" s="276">
        <v>0</v>
      </c>
      <c r="BE64" s="276">
        <v>0</v>
      </c>
      <c r="BF64" s="363">
        <v>0</v>
      </c>
      <c r="BG64" s="279">
        <f t="shared" si="61"/>
        <v>4154062.5</v>
      </c>
      <c r="BH64" s="277">
        <f t="shared" si="210"/>
        <v>0</v>
      </c>
      <c r="BI64" s="277">
        <f t="shared" si="211"/>
        <v>0</v>
      </c>
      <c r="BJ64" s="277">
        <f t="shared" si="212"/>
        <v>0</v>
      </c>
      <c r="BK64" s="277"/>
      <c r="BL64" s="280">
        <f t="shared" si="213"/>
        <v>0</v>
      </c>
      <c r="BM64" s="277">
        <f t="shared" si="214"/>
        <v>0</v>
      </c>
      <c r="BN64" s="277">
        <f t="shared" si="215"/>
        <v>0</v>
      </c>
      <c r="BO64" s="277">
        <f t="shared" si="216"/>
        <v>0</v>
      </c>
      <c r="BP64" s="277"/>
      <c r="BQ64" s="280">
        <f t="shared" si="217"/>
        <v>0</v>
      </c>
      <c r="BR64" s="333">
        <f>AF64</f>
        <v>0</v>
      </c>
      <c r="BS64" s="312"/>
      <c r="BT64" s="281">
        <f t="shared" si="218"/>
        <v>4154062.5</v>
      </c>
      <c r="BU64" s="282">
        <f t="shared" si="219"/>
        <v>0</v>
      </c>
      <c r="BV64" s="311"/>
      <c r="BW64" s="277">
        <f t="shared" si="220"/>
        <v>0</v>
      </c>
      <c r="BX64" s="277">
        <f t="shared" si="221"/>
        <v>0</v>
      </c>
      <c r="BY64" s="284">
        <f t="shared" si="222"/>
        <v>0</v>
      </c>
      <c r="BZ64" s="277">
        <f t="shared" si="223"/>
        <v>4154062.5</v>
      </c>
      <c r="CA64" s="277">
        <f t="shared" si="224"/>
        <v>0</v>
      </c>
      <c r="CB64" s="283">
        <f t="shared" si="225"/>
        <v>4154063</v>
      </c>
      <c r="CC64" s="311"/>
      <c r="CD64" s="278"/>
      <c r="CE64" s="285">
        <f t="shared" si="226"/>
        <v>4154063</v>
      </c>
      <c r="CF64" s="333">
        <f t="shared" si="227"/>
        <v>0</v>
      </c>
      <c r="CG64" s="286">
        <f t="shared" si="228"/>
        <v>4154063</v>
      </c>
      <c r="CH64" s="334"/>
      <c r="CI64" s="378" t="s">
        <v>326</v>
      </c>
      <c r="CJ64" s="270">
        <f>VLOOKUP(D64,[1]CNT!$C$6:$AP$113,40,0)</f>
        <v>0</v>
      </c>
      <c r="CK64" s="289">
        <v>6</v>
      </c>
      <c r="CL64" s="270"/>
      <c r="CM64" s="336"/>
      <c r="CN64" s="336"/>
      <c r="CO64" s="336"/>
      <c r="CP64" s="337"/>
      <c r="CQ64" s="338"/>
      <c r="CR64" s="337"/>
      <c r="CS64" s="339"/>
      <c r="CT64" s="339"/>
      <c r="CU64" s="339"/>
      <c r="CV64" s="340"/>
      <c r="CW64" s="340"/>
      <c r="CX64" s="340"/>
      <c r="CY64" s="381">
        <v>3000000</v>
      </c>
      <c r="CZ64" s="341"/>
      <c r="DA64" s="342"/>
      <c r="DB64" s="343"/>
      <c r="DC64" s="341"/>
      <c r="DE64" s="345"/>
      <c r="DF64" s="346"/>
      <c r="DG64" s="270"/>
    </row>
    <row r="65" spans="1:111" s="109" customFormat="1" ht="27" customHeight="1">
      <c r="A65" s="320"/>
      <c r="B65" s="321"/>
      <c r="C65" s="322"/>
      <c r="D65" s="323"/>
      <c r="E65" s="320"/>
      <c r="F65" s="320"/>
      <c r="G65" s="320"/>
      <c r="H65" s="324"/>
      <c r="I65" s="325"/>
      <c r="J65" s="325"/>
      <c r="K65" s="326">
        <f>SUM(K57:K64)</f>
        <v>224</v>
      </c>
      <c r="L65" s="326">
        <f>SUM(L57:L64)</f>
        <v>127</v>
      </c>
      <c r="M65" s="326">
        <f>SUM(M57:M64)</f>
        <v>756.65</v>
      </c>
      <c r="N65" s="326">
        <f t="shared" ref="N65:BY65" si="236">SUM(N57:N64)</f>
        <v>545.32000000000005</v>
      </c>
      <c r="O65" s="326">
        <f t="shared" si="236"/>
        <v>16</v>
      </c>
      <c r="P65" s="326">
        <f t="shared" si="236"/>
        <v>0</v>
      </c>
      <c r="Q65" s="326">
        <f t="shared" si="236"/>
        <v>0</v>
      </c>
      <c r="R65" s="326">
        <f t="shared" si="236"/>
        <v>0</v>
      </c>
      <c r="S65" s="326">
        <f t="shared" si="236"/>
        <v>21240000</v>
      </c>
      <c r="T65" s="326">
        <f t="shared" si="236"/>
        <v>2178571.42857143</v>
      </c>
      <c r="U65" s="326">
        <f t="shared" si="236"/>
        <v>0</v>
      </c>
      <c r="V65" s="326">
        <f t="shared" si="236"/>
        <v>0</v>
      </c>
      <c r="W65" s="326">
        <f t="shared" si="236"/>
        <v>0</v>
      </c>
      <c r="X65" s="326">
        <f t="shared" si="236"/>
        <v>0</v>
      </c>
      <c r="Y65" s="326">
        <f t="shared" si="236"/>
        <v>0</v>
      </c>
      <c r="Z65" s="326">
        <f t="shared" si="236"/>
        <v>0</v>
      </c>
      <c r="AA65" s="326">
        <f t="shared" si="236"/>
        <v>46000000</v>
      </c>
      <c r="AB65" s="326">
        <f t="shared" si="236"/>
        <v>18000000</v>
      </c>
      <c r="AC65" s="326">
        <f t="shared" si="236"/>
        <v>0</v>
      </c>
      <c r="AD65" s="326"/>
      <c r="AE65" s="326">
        <f t="shared" si="236"/>
        <v>18898370.535714298</v>
      </c>
      <c r="AF65" s="326">
        <f t="shared" si="236"/>
        <v>22104776.785714298</v>
      </c>
      <c r="AG65" s="326">
        <f t="shared" si="236"/>
        <v>1500000</v>
      </c>
      <c r="AH65" s="326">
        <f t="shared" si="236"/>
        <v>0</v>
      </c>
      <c r="AI65" s="326">
        <f t="shared" si="236"/>
        <v>3000000</v>
      </c>
      <c r="AJ65" s="326">
        <f t="shared" si="236"/>
        <v>0</v>
      </c>
      <c r="AK65" s="326">
        <f t="shared" si="236"/>
        <v>0</v>
      </c>
      <c r="AL65" s="326">
        <f t="shared" si="236"/>
        <v>500000</v>
      </c>
      <c r="AM65" s="326">
        <f t="shared" si="236"/>
        <v>1347392</v>
      </c>
      <c r="AN65" s="326">
        <f t="shared" si="236"/>
        <v>6320385</v>
      </c>
      <c r="AO65" s="326">
        <f t="shared" si="236"/>
        <v>219745</v>
      </c>
      <c r="AP65" s="326">
        <f t="shared" si="236"/>
        <v>0</v>
      </c>
      <c r="AQ65" s="326">
        <f t="shared" si="236"/>
        <v>2000000</v>
      </c>
      <c r="AR65" s="326">
        <f t="shared" si="236"/>
        <v>0</v>
      </c>
      <c r="AS65" s="326">
        <f t="shared" si="236"/>
        <v>170000</v>
      </c>
      <c r="AT65" s="326">
        <f t="shared" si="236"/>
        <v>300000</v>
      </c>
      <c r="AU65" s="326">
        <f t="shared" si="236"/>
        <v>0</v>
      </c>
      <c r="AV65" s="326">
        <f t="shared" si="236"/>
        <v>0</v>
      </c>
      <c r="AW65" s="326">
        <f t="shared" si="236"/>
        <v>0</v>
      </c>
      <c r="AX65" s="326">
        <f t="shared" si="236"/>
        <v>0</v>
      </c>
      <c r="AY65" s="326">
        <f t="shared" si="236"/>
        <v>100000</v>
      </c>
      <c r="AZ65" s="326">
        <f t="shared" si="236"/>
        <v>2500000</v>
      </c>
      <c r="BA65" s="326">
        <f t="shared" si="236"/>
        <v>0</v>
      </c>
      <c r="BB65" s="326">
        <f t="shared" si="236"/>
        <v>0</v>
      </c>
      <c r="BC65" s="326">
        <f t="shared" si="236"/>
        <v>0</v>
      </c>
      <c r="BD65" s="326">
        <f t="shared" si="236"/>
        <v>0</v>
      </c>
      <c r="BE65" s="326">
        <f t="shared" si="236"/>
        <v>161600</v>
      </c>
      <c r="BF65" s="326">
        <f t="shared" si="236"/>
        <v>0</v>
      </c>
      <c r="BG65" s="326">
        <f t="shared" si="236"/>
        <v>60977640.75</v>
      </c>
      <c r="BH65" s="326">
        <f t="shared" si="236"/>
        <v>3717000</v>
      </c>
      <c r="BI65" s="326">
        <f t="shared" si="236"/>
        <v>637200</v>
      </c>
      <c r="BJ65" s="326">
        <f t="shared" si="236"/>
        <v>212400</v>
      </c>
      <c r="BK65" s="326">
        <f t="shared" si="236"/>
        <v>0</v>
      </c>
      <c r="BL65" s="326">
        <f t="shared" si="236"/>
        <v>4566600</v>
      </c>
      <c r="BM65" s="326">
        <f t="shared" si="236"/>
        <v>1699200</v>
      </c>
      <c r="BN65" s="326">
        <f t="shared" si="236"/>
        <v>318600</v>
      </c>
      <c r="BO65" s="326">
        <f t="shared" si="236"/>
        <v>212400</v>
      </c>
      <c r="BP65" s="326">
        <f t="shared" si="236"/>
        <v>0</v>
      </c>
      <c r="BQ65" s="326">
        <f t="shared" si="236"/>
        <v>2230200</v>
      </c>
      <c r="BR65" s="326">
        <f t="shared" si="236"/>
        <v>22104776.785714298</v>
      </c>
      <c r="BS65" s="326">
        <f t="shared" si="236"/>
        <v>1785714.2857142901</v>
      </c>
      <c r="BT65" s="326">
        <f t="shared" si="236"/>
        <v>37087149.6785715</v>
      </c>
      <c r="BU65" s="326">
        <f t="shared" si="236"/>
        <v>108500000</v>
      </c>
      <c r="BV65" s="326">
        <f t="shared" si="236"/>
        <v>0</v>
      </c>
      <c r="BW65" s="326">
        <f t="shared" si="236"/>
        <v>0</v>
      </c>
      <c r="BX65" s="326">
        <f t="shared" si="236"/>
        <v>2230200</v>
      </c>
      <c r="BY65" s="326">
        <f t="shared" si="236"/>
        <v>110730200</v>
      </c>
      <c r="BZ65" s="326">
        <f t="shared" ref="BZ65:CG65" si="237">SUM(BZ57:BZ64)</f>
        <v>4154062.5</v>
      </c>
      <c r="CA65" s="326">
        <f t="shared" si="237"/>
        <v>0</v>
      </c>
      <c r="CB65" s="326">
        <f t="shared" si="237"/>
        <v>58747442</v>
      </c>
      <c r="CC65" s="326">
        <f t="shared" si="237"/>
        <v>0</v>
      </c>
      <c r="CD65" s="326">
        <f t="shared" si="237"/>
        <v>0</v>
      </c>
      <c r="CE65" s="326">
        <f t="shared" si="237"/>
        <v>58747442</v>
      </c>
      <c r="CF65" s="326">
        <f t="shared" si="237"/>
        <v>0</v>
      </c>
      <c r="CG65" s="326">
        <f t="shared" si="237"/>
        <v>58747442</v>
      </c>
      <c r="CH65" s="326">
        <f t="shared" ref="CH65:DG65" si="238">SUM(CH64:CH64)</f>
        <v>0</v>
      </c>
      <c r="CI65" s="326">
        <f t="shared" si="238"/>
        <v>0</v>
      </c>
      <c r="CJ65" s="326">
        <f t="shared" si="238"/>
        <v>0</v>
      </c>
      <c r="CK65" s="326">
        <f t="shared" si="238"/>
        <v>6</v>
      </c>
      <c r="CL65" s="326">
        <f t="shared" si="238"/>
        <v>0</v>
      </c>
      <c r="CM65" s="326">
        <f t="shared" si="238"/>
        <v>0</v>
      </c>
      <c r="CN65" s="326">
        <f t="shared" si="238"/>
        <v>0</v>
      </c>
      <c r="CO65" s="326">
        <f t="shared" si="238"/>
        <v>0</v>
      </c>
      <c r="CP65" s="326">
        <f t="shared" si="238"/>
        <v>0</v>
      </c>
      <c r="CQ65" s="326">
        <f t="shared" si="238"/>
        <v>0</v>
      </c>
      <c r="CR65" s="326">
        <f t="shared" si="238"/>
        <v>0</v>
      </c>
      <c r="CS65" s="326">
        <f t="shared" si="238"/>
        <v>0</v>
      </c>
      <c r="CT65" s="326">
        <f t="shared" si="238"/>
        <v>0</v>
      </c>
      <c r="CU65" s="326">
        <f t="shared" si="238"/>
        <v>0</v>
      </c>
      <c r="CV65" s="326">
        <f t="shared" si="238"/>
        <v>0</v>
      </c>
      <c r="CW65" s="326">
        <f t="shared" si="238"/>
        <v>0</v>
      </c>
      <c r="CX65" s="326">
        <f t="shared" si="238"/>
        <v>0</v>
      </c>
      <c r="CY65" s="326">
        <f t="shared" si="238"/>
        <v>3000000</v>
      </c>
      <c r="CZ65" s="326">
        <f t="shared" si="238"/>
        <v>0</v>
      </c>
      <c r="DA65" s="326">
        <f t="shared" si="238"/>
        <v>0</v>
      </c>
      <c r="DB65" s="326">
        <f t="shared" si="238"/>
        <v>0</v>
      </c>
      <c r="DC65" s="326">
        <f t="shared" si="238"/>
        <v>0</v>
      </c>
      <c r="DD65" s="326">
        <f t="shared" si="238"/>
        <v>0</v>
      </c>
      <c r="DE65" s="326">
        <f t="shared" si="238"/>
        <v>0</v>
      </c>
      <c r="DF65" s="326">
        <f t="shared" si="238"/>
        <v>0</v>
      </c>
      <c r="DG65" s="326">
        <f t="shared" si="238"/>
        <v>0</v>
      </c>
    </row>
    <row r="66" spans="1:111" s="110" customFormat="1" ht="27.75" customHeight="1">
      <c r="A66" s="262">
        <v>59</v>
      </c>
      <c r="B66" s="263">
        <v>7</v>
      </c>
      <c r="C66" s="265" t="s">
        <v>327</v>
      </c>
      <c r="D66" s="265" t="s">
        <v>328</v>
      </c>
      <c r="E66" s="262" t="str">
        <f>IF(OR(G66="CHT",G66="DSBC"),"HĐLĐ",IF(OR(G66="DSTV",G66="Q.CHT"),"HĐTV","HĐCTV"))</f>
        <v>HĐLĐ</v>
      </c>
      <c r="F66" s="262" t="s">
        <v>329</v>
      </c>
      <c r="G66" s="262" t="s">
        <v>154</v>
      </c>
      <c r="H66" s="308" t="s">
        <v>330</v>
      </c>
      <c r="I66" s="309" t="s">
        <v>331</v>
      </c>
      <c r="J66" s="309" t="s">
        <v>332</v>
      </c>
      <c r="K66" s="268">
        <v>28</v>
      </c>
      <c r="L66" s="299">
        <v>24</v>
      </c>
      <c r="M66" s="375">
        <v>187.86</v>
      </c>
      <c r="N66" s="375">
        <v>0</v>
      </c>
      <c r="O66" s="262">
        <v>0</v>
      </c>
      <c r="P66" s="347"/>
      <c r="Q66" s="347"/>
      <c r="R66" s="348"/>
      <c r="S66" s="270">
        <f t="shared" ref="S66:S69" si="239">IF(E66="HĐLĐ",5310000,0)</f>
        <v>5310000</v>
      </c>
      <c r="T66" s="273">
        <f t="shared" si="31"/>
        <v>428571.42857142899</v>
      </c>
      <c r="U66" s="347"/>
      <c r="V66" s="347"/>
      <c r="W66" s="347"/>
      <c r="X66" s="347"/>
      <c r="Y66" s="347"/>
      <c r="Z66" s="347"/>
      <c r="AA66" s="331">
        <f>CY66</f>
        <v>6000000</v>
      </c>
      <c r="AB66" s="347"/>
      <c r="AC66" s="347"/>
      <c r="AD66" s="347"/>
      <c r="AE66" s="275">
        <f t="shared" si="158"/>
        <v>5031964.2857142901</v>
      </c>
      <c r="AF66" s="276">
        <f t="shared" si="11"/>
        <v>0</v>
      </c>
      <c r="AG66" s="278">
        <v>1500000</v>
      </c>
      <c r="AH66" s="278">
        <v>0</v>
      </c>
      <c r="AI66" s="278">
        <v>0</v>
      </c>
      <c r="AJ66" s="278"/>
      <c r="AK66" s="278"/>
      <c r="AL66" s="278">
        <v>0</v>
      </c>
      <c r="AM66" s="278">
        <v>0</v>
      </c>
      <c r="AN66" s="278">
        <v>1313900</v>
      </c>
      <c r="AO66" s="278">
        <v>7827</v>
      </c>
      <c r="AP66" s="278">
        <v>0</v>
      </c>
      <c r="AQ66" s="278">
        <v>1108000</v>
      </c>
      <c r="AR66" s="276"/>
      <c r="AS66" s="278">
        <v>0</v>
      </c>
      <c r="AT66" s="278">
        <v>0</v>
      </c>
      <c r="AU66" s="276">
        <v>0</v>
      </c>
      <c r="AV66" s="276"/>
      <c r="AW66" s="276"/>
      <c r="AX66" s="276"/>
      <c r="AY66" s="276"/>
      <c r="AZ66" s="276"/>
      <c r="BA66" s="278">
        <v>0</v>
      </c>
      <c r="BB66" s="278">
        <v>0</v>
      </c>
      <c r="BC66" s="278">
        <v>0</v>
      </c>
      <c r="BD66" s="278">
        <v>0</v>
      </c>
      <c r="BE66" s="278">
        <v>0</v>
      </c>
      <c r="BF66" s="363">
        <v>0</v>
      </c>
      <c r="BG66" s="279">
        <f t="shared" si="61"/>
        <v>9390262.7142857201</v>
      </c>
      <c r="BH66" s="277">
        <f t="shared" ref="BH66:BH69" si="240">S66*17.5%</f>
        <v>929250</v>
      </c>
      <c r="BI66" s="277">
        <f t="shared" ref="BI66:BI69" si="241">S66*3%</f>
        <v>159300</v>
      </c>
      <c r="BJ66" s="277">
        <f t="shared" ref="BJ66:BJ69" si="242">S66*1%</f>
        <v>53100</v>
      </c>
      <c r="BK66" s="277"/>
      <c r="BL66" s="280">
        <f t="shared" ref="BL66:BL69" si="243">SUM(BH66:BK66)</f>
        <v>1141650</v>
      </c>
      <c r="BM66" s="277">
        <f t="shared" ref="BM66:BM69" si="244">S66*8%</f>
        <v>424800</v>
      </c>
      <c r="BN66" s="277">
        <f t="shared" ref="BN66:BN69" si="245">S66*1.5%</f>
        <v>79650</v>
      </c>
      <c r="BO66" s="277">
        <f t="shared" ref="BO66:BO69" si="246">S66*1%</f>
        <v>53100</v>
      </c>
      <c r="BP66" s="277"/>
      <c r="BQ66" s="280">
        <f t="shared" ref="BQ66:BQ69" si="247">SUM(BM66:BP66)</f>
        <v>557550</v>
      </c>
      <c r="BR66" s="333">
        <f>AF66</f>
        <v>0</v>
      </c>
      <c r="BS66" s="312">
        <f>T66+U66+V66+W66</f>
        <v>428571.42857142899</v>
      </c>
      <c r="BT66" s="281">
        <f t="shared" ref="BT66:BT69" si="248">BG66-BS66-BR66</f>
        <v>8961691.2857142892</v>
      </c>
      <c r="BU66" s="282">
        <f t="shared" ref="BU66:BU69" si="249">IF(E66="HĐLĐ",15500000,0)</f>
        <v>15500000</v>
      </c>
      <c r="BV66" s="311"/>
      <c r="BW66" s="277">
        <f t="shared" ref="BW66:BW69" si="250">BV66*6200000</f>
        <v>0</v>
      </c>
      <c r="BX66" s="277">
        <f t="shared" ref="BX66:BX69" si="251">BQ66</f>
        <v>557550</v>
      </c>
      <c r="BY66" s="284">
        <f t="shared" ref="BY66:BY69" si="252">BU66+BW66+BX66</f>
        <v>16057550</v>
      </c>
      <c r="BZ66" s="277">
        <f t="shared" ref="BZ66:BZ69" si="253">IF(BT66-BY66&gt;0,BT66-BY66,0)</f>
        <v>0</v>
      </c>
      <c r="CA66" s="277">
        <f t="shared" ref="CA66:CA69" si="254">IF(AND(OR($E66="HĐTV",$E66="HĐCTV"),$BZ66&lt;5000000),0,IF(OR($E66="HĐTV",$E66="HĐCTV"),$BZ66*10%,ROUND(IF($BZ66&lt;=10000000,$BZ66*5%,IF($BZ66&lt;=30000000,$BZ66*10%-500000,IF($BZ66&lt;=60000000,$BZ66*20%-3500000,IF($BZ66&lt;=100000000,$BZ66*30%-9500000,$BZ66*35%-14500000)))),0)))</f>
        <v>0</v>
      </c>
      <c r="CB66" s="283">
        <f t="shared" ref="CB66:CB69" si="255">ROUND(BG66-BQ66-CA66,0)</f>
        <v>8832713</v>
      </c>
      <c r="CC66" s="311"/>
      <c r="CD66" s="278"/>
      <c r="CE66" s="285">
        <f t="shared" ref="CE66:CE69" si="256">CB66+CC66-CD66</f>
        <v>8832713</v>
      </c>
      <c r="CF66" s="333">
        <f>CE66-CG66</f>
        <v>0</v>
      </c>
      <c r="CG66" s="286">
        <f>CE66</f>
        <v>8832713</v>
      </c>
      <c r="CH66" s="334"/>
      <c r="CI66" s="335" t="s">
        <v>333</v>
      </c>
      <c r="CJ66" s="270">
        <f>VLOOKUP(D66,[1]CNT!$C$6:$AP$113,40,0)</f>
        <v>0</v>
      </c>
      <c r="CK66" s="289">
        <v>11</v>
      </c>
      <c r="CL66" s="299"/>
      <c r="CM66" s="336">
        <v>8</v>
      </c>
      <c r="CN66" s="336">
        <v>7</v>
      </c>
      <c r="CO66" s="336">
        <v>2024</v>
      </c>
      <c r="CP66" s="337">
        <f>IF((($CO$8-CO66)*12)+($CN$8-CN66)&gt;=12,((($CO$8-CO66)*12)+($CN$8-CN66))-1,0)</f>
        <v>0</v>
      </c>
      <c r="CQ66" s="338">
        <f>IF(CP66&lt;12,(($CQ$8-CO66)*12)+($CP$8-CN66),0)</f>
        <v>22</v>
      </c>
      <c r="CR66" s="337">
        <f>IF(OR(CP66&gt;12,CP66=12),((CP66-(CS66*12))+((($CQ$8-2024)*12)+($CP$8-4)))+1,0)</f>
        <v>0</v>
      </c>
      <c r="CS66" s="339">
        <f>IF(OR(CP66&gt;12,CP66=12),ROUNDDOWN(CP66/12,0),0)</f>
        <v>0</v>
      </c>
      <c r="CT66" s="339">
        <f>IF(CQ66&gt;11,ROUNDDOWN(CQ66/12,0),0)</f>
        <v>1</v>
      </c>
      <c r="CU66" s="339">
        <f>IF(CR66&gt;11,ROUNDDOWN(CR66/12,0),0)</f>
        <v>0</v>
      </c>
      <c r="CV66" s="340">
        <f>IF(CP66=0,0,6000000*1.07^CS66)</f>
        <v>0</v>
      </c>
      <c r="CW66" s="340">
        <f>IF(CT66&lt;2,0,6000000+(CT66-1)*500000)</f>
        <v>0</v>
      </c>
      <c r="CX66" s="340">
        <f>IF(CU66=0,CV66,IF(CU66&lt;1,0,CV66+CU66*500000))</f>
        <v>0</v>
      </c>
      <c r="CY66" s="314">
        <f>IF(CX66&gt;0,CX66,IF(CW66&gt;0,CW66,6000000))</f>
        <v>6000000</v>
      </c>
      <c r="CZ66" s="341"/>
      <c r="DA66" s="342">
        <f>CJ66</f>
        <v>0</v>
      </c>
      <c r="DB66" s="343"/>
      <c r="DC66" s="344"/>
      <c r="DE66" s="345">
        <f>VLOOKUP($D66,'[6]Tong hop'!$B$8:$Q$45,15,0)</f>
        <v>190014</v>
      </c>
      <c r="DF66" s="346">
        <f>VLOOKUP($D66,'[2]Med Service'!$D$11:$DI$87,110,0)</f>
        <v>0</v>
      </c>
      <c r="DG66" s="270" t="str">
        <f>VLOOKUP($D66,'[3]BẢNG LƯƠNG'!$C$3:$AH$102,32,0)</f>
        <v>Vi phạm chấm điểm checklist  25/05/2026: 10.000đ</v>
      </c>
    </row>
    <row r="67" spans="1:111" s="111" customFormat="1" ht="27" customHeight="1">
      <c r="A67" s="262">
        <v>55</v>
      </c>
      <c r="B67" s="263">
        <v>7</v>
      </c>
      <c r="C67" s="265" t="s">
        <v>334</v>
      </c>
      <c r="D67" s="265" t="s">
        <v>335</v>
      </c>
      <c r="E67" s="262" t="str">
        <f>IF(OR(G67="CHT",G67="DSBC"),"HĐLĐ",IF(OR(G67="DSTV",G67="Q.CHT"),"HĐTV","HĐCTV"))</f>
        <v>HĐLĐ</v>
      </c>
      <c r="F67" s="262" t="s">
        <v>329</v>
      </c>
      <c r="G67" s="262" t="s">
        <v>117</v>
      </c>
      <c r="H67" s="308" t="s">
        <v>330</v>
      </c>
      <c r="I67" s="309" t="s">
        <v>336</v>
      </c>
      <c r="J67" s="309" t="s">
        <v>337</v>
      </c>
      <c r="K67" s="268">
        <v>28</v>
      </c>
      <c r="L67" s="299">
        <v>27</v>
      </c>
      <c r="M67" s="375">
        <v>8.93</v>
      </c>
      <c r="N67" s="375">
        <v>205.99</v>
      </c>
      <c r="O67" s="262">
        <v>0</v>
      </c>
      <c r="P67" s="270"/>
      <c r="Q67" s="270"/>
      <c r="R67" s="270"/>
      <c r="S67" s="270">
        <f t="shared" si="239"/>
        <v>5310000</v>
      </c>
      <c r="T67" s="273">
        <f t="shared" si="31"/>
        <v>482142.85714285698</v>
      </c>
      <c r="U67" s="270"/>
      <c r="V67" s="270"/>
      <c r="W67" s="270"/>
      <c r="X67" s="270"/>
      <c r="Y67" s="270"/>
      <c r="Z67" s="270"/>
      <c r="AA67" s="331">
        <f>CY67</f>
        <v>6000000</v>
      </c>
      <c r="AB67" s="270"/>
      <c r="AC67" s="270"/>
      <c r="AD67" s="270"/>
      <c r="AE67" s="275">
        <f t="shared" si="158"/>
        <v>239196.42857142899</v>
      </c>
      <c r="AF67" s="276">
        <f t="shared" si="11"/>
        <v>8276383.92857143</v>
      </c>
      <c r="AG67" s="278">
        <v>0</v>
      </c>
      <c r="AH67" s="278">
        <v>0</v>
      </c>
      <c r="AI67" s="278">
        <v>1392857</v>
      </c>
      <c r="AJ67" s="278"/>
      <c r="AK67" s="278"/>
      <c r="AL67" s="278">
        <v>1000000</v>
      </c>
      <c r="AM67" s="278">
        <v>0</v>
      </c>
      <c r="AN67" s="278">
        <v>2337900</v>
      </c>
      <c r="AO67" s="278">
        <v>6740</v>
      </c>
      <c r="AP67" s="278">
        <v>0</v>
      </c>
      <c r="AQ67" s="278">
        <v>1062400</v>
      </c>
      <c r="AR67" s="276"/>
      <c r="AS67" s="278">
        <v>0</v>
      </c>
      <c r="AT67" s="278">
        <v>0</v>
      </c>
      <c r="AU67" s="276">
        <v>0</v>
      </c>
      <c r="AV67" s="276"/>
      <c r="AW67" s="276"/>
      <c r="AX67" s="276"/>
      <c r="AY67" s="276"/>
      <c r="AZ67" s="276"/>
      <c r="BA67" s="278">
        <v>0</v>
      </c>
      <c r="BB67" s="278">
        <v>0</v>
      </c>
      <c r="BC67" s="278">
        <v>0</v>
      </c>
      <c r="BD67" s="278">
        <v>0</v>
      </c>
      <c r="BE67" s="278">
        <v>109000</v>
      </c>
      <c r="BF67" s="363">
        <v>0</v>
      </c>
      <c r="BG67" s="279">
        <f t="shared" si="61"/>
        <v>14688620.2142857</v>
      </c>
      <c r="BH67" s="277">
        <f t="shared" si="240"/>
        <v>929250</v>
      </c>
      <c r="BI67" s="277">
        <f t="shared" si="241"/>
        <v>159300</v>
      </c>
      <c r="BJ67" s="277">
        <f t="shared" si="242"/>
        <v>53100</v>
      </c>
      <c r="BK67" s="277"/>
      <c r="BL67" s="280">
        <f t="shared" si="243"/>
        <v>1141650</v>
      </c>
      <c r="BM67" s="277">
        <f t="shared" si="244"/>
        <v>424800</v>
      </c>
      <c r="BN67" s="277">
        <f t="shared" si="245"/>
        <v>79650</v>
      </c>
      <c r="BO67" s="277">
        <f t="shared" si="246"/>
        <v>53100</v>
      </c>
      <c r="BP67" s="277"/>
      <c r="BQ67" s="280">
        <f t="shared" si="247"/>
        <v>557550</v>
      </c>
      <c r="BR67" s="333">
        <f>AF67</f>
        <v>8276383.92857143</v>
      </c>
      <c r="BS67" s="312">
        <f>T67+U67+V67+W67</f>
        <v>482142.85714285698</v>
      </c>
      <c r="BT67" s="281">
        <f t="shared" si="248"/>
        <v>5930093.42857143</v>
      </c>
      <c r="BU67" s="282">
        <f t="shared" si="249"/>
        <v>15500000</v>
      </c>
      <c r="BV67" s="311"/>
      <c r="BW67" s="277">
        <f t="shared" si="250"/>
        <v>0</v>
      </c>
      <c r="BX67" s="277">
        <f t="shared" si="251"/>
        <v>557550</v>
      </c>
      <c r="BY67" s="284">
        <f t="shared" si="252"/>
        <v>16057550</v>
      </c>
      <c r="BZ67" s="277">
        <f t="shared" si="253"/>
        <v>0</v>
      </c>
      <c r="CA67" s="277">
        <f t="shared" si="254"/>
        <v>0</v>
      </c>
      <c r="CB67" s="283">
        <f t="shared" si="255"/>
        <v>14131070</v>
      </c>
      <c r="CC67" s="311"/>
      <c r="CD67" s="278"/>
      <c r="CE67" s="285">
        <f t="shared" si="256"/>
        <v>14131070</v>
      </c>
      <c r="CF67" s="333">
        <f>CE67-CG67</f>
        <v>0</v>
      </c>
      <c r="CG67" s="286">
        <f>CE67</f>
        <v>14131070</v>
      </c>
      <c r="CH67" s="334"/>
      <c r="CI67" s="335" t="s">
        <v>338</v>
      </c>
      <c r="CJ67" s="270">
        <f>VLOOKUP(D67,[1]CNT!$C$6:$AP$113,40,0)</f>
        <v>0</v>
      </c>
      <c r="CK67" s="289">
        <v>12</v>
      </c>
      <c r="CL67" s="299"/>
      <c r="CM67" s="336">
        <v>8</v>
      </c>
      <c r="CN67" s="336">
        <v>7</v>
      </c>
      <c r="CO67" s="336">
        <v>2024</v>
      </c>
      <c r="CP67" s="337">
        <f>IF((($CO$8-CO67)*12)+($CN$8-CN67)&gt;=12,((($CO$8-CO67)*12)+($CN$8-CN67))-1,0)</f>
        <v>0</v>
      </c>
      <c r="CQ67" s="338">
        <f>IF(CP67&lt;12,(($CQ$8-CO67)*12)+($CP$8-CN67),0)</f>
        <v>22</v>
      </c>
      <c r="CR67" s="337">
        <f>IF(OR(CP67&gt;12,CP67=12),((CP67-(CS67*12))+((($CQ$8-2024)*12)+($CP$8-4)))+1,0)</f>
        <v>0</v>
      </c>
      <c r="CS67" s="339">
        <f>IF(OR(CP67&gt;12,CP67=12),ROUNDDOWN(CP67/12,0),0)</f>
        <v>0</v>
      </c>
      <c r="CT67" s="339">
        <f t="shared" ref="CT67:CU69" si="257">IF(CQ67&gt;11,ROUNDDOWN(CQ67/12,0),0)</f>
        <v>1</v>
      </c>
      <c r="CU67" s="339">
        <f t="shared" si="257"/>
        <v>0</v>
      </c>
      <c r="CV67" s="340">
        <f>IF(CP67=0,0,6000000*1.07^CS67)</f>
        <v>0</v>
      </c>
      <c r="CW67" s="340">
        <f>IF(CT67&lt;2,0,6000000+(CT67-1)*500000)</f>
        <v>0</v>
      </c>
      <c r="CX67" s="340">
        <f>IF(CU67=0,CV67,IF(CU67&lt;1,0,CV67+CU67*500000))</f>
        <v>0</v>
      </c>
      <c r="CY67" s="314">
        <f>IF(CX67&gt;0,CX67,IF(CW67&gt;0,CW67,6000000))</f>
        <v>6000000</v>
      </c>
      <c r="CZ67" s="341"/>
      <c r="DA67" s="342">
        <f>CJ67</f>
        <v>0</v>
      </c>
      <c r="DB67" s="354" t="s">
        <v>339</v>
      </c>
      <c r="DC67" s="341"/>
      <c r="DE67" s="345"/>
      <c r="DF67" s="346">
        <f>VLOOKUP($D67,'[2]Med Service'!$D$11:$DI$87,110,0)</f>
        <v>0</v>
      </c>
      <c r="DG67" s="270" t="str">
        <f>VLOOKUP($D67,'[3]BẢNG LƯƠNG'!$C$3:$AH$102,32,0)</f>
        <v>Vào ca trễ 28/05/2026: 10.000đ</v>
      </c>
    </row>
    <row r="68" spans="1:111" s="111" customFormat="1" ht="27" customHeight="1">
      <c r="A68" s="262">
        <v>57</v>
      </c>
      <c r="B68" s="263">
        <v>7</v>
      </c>
      <c r="C68" s="265" t="s">
        <v>340</v>
      </c>
      <c r="D68" s="265" t="s">
        <v>341</v>
      </c>
      <c r="E68" s="262" t="str">
        <f>IF(OR(G68="CHT",G68="DSBC"),"HĐLĐ",IF(OR(G68="DSTV",G68="Q.CHT"),"HĐTV","HĐCTV"))</f>
        <v>HĐLĐ</v>
      </c>
      <c r="F68" s="262" t="s">
        <v>329</v>
      </c>
      <c r="G68" s="262" t="s">
        <v>117</v>
      </c>
      <c r="H68" s="308" t="s">
        <v>342</v>
      </c>
      <c r="I68" s="309" t="s">
        <v>343</v>
      </c>
      <c r="J68" s="309" t="s">
        <v>141</v>
      </c>
      <c r="K68" s="268">
        <v>28</v>
      </c>
      <c r="L68" s="299">
        <v>27</v>
      </c>
      <c r="M68" s="375">
        <v>76.739999999999995</v>
      </c>
      <c r="N68" s="375">
        <v>214.29</v>
      </c>
      <c r="O68" s="262">
        <v>0</v>
      </c>
      <c r="P68" s="347"/>
      <c r="Q68" s="347"/>
      <c r="R68" s="348"/>
      <c r="S68" s="270">
        <f t="shared" si="239"/>
        <v>5310000</v>
      </c>
      <c r="T68" s="273">
        <f t="shared" si="31"/>
        <v>482142.85714285698</v>
      </c>
      <c r="U68" s="347"/>
      <c r="V68" s="347"/>
      <c r="W68" s="347"/>
      <c r="X68" s="347"/>
      <c r="Y68" s="347"/>
      <c r="Z68" s="347"/>
      <c r="AA68" s="331">
        <f>CY68</f>
        <v>6000000</v>
      </c>
      <c r="AB68" s="347"/>
      <c r="AC68" s="347"/>
      <c r="AD68" s="347"/>
      <c r="AE68" s="275">
        <f t="shared" si="158"/>
        <v>2055535.7142857099</v>
      </c>
      <c r="AF68" s="276">
        <f t="shared" si="11"/>
        <v>8609866.0714285709</v>
      </c>
      <c r="AG68" s="278">
        <v>0</v>
      </c>
      <c r="AH68" s="278">
        <v>0</v>
      </c>
      <c r="AI68" s="278">
        <v>1339286</v>
      </c>
      <c r="AJ68" s="278"/>
      <c r="AK68" s="278"/>
      <c r="AL68" s="278">
        <v>1000000</v>
      </c>
      <c r="AM68" s="278">
        <v>0</v>
      </c>
      <c r="AN68" s="278">
        <v>2493200</v>
      </c>
      <c r="AO68" s="278">
        <v>7545</v>
      </c>
      <c r="AP68" s="278">
        <v>0</v>
      </c>
      <c r="AQ68" s="278">
        <v>1150800</v>
      </c>
      <c r="AR68" s="276"/>
      <c r="AS68" s="278">
        <v>0</v>
      </c>
      <c r="AT68" s="278">
        <v>0</v>
      </c>
      <c r="AU68" s="276">
        <v>0</v>
      </c>
      <c r="AV68" s="276"/>
      <c r="AW68" s="276"/>
      <c r="AX68" s="349"/>
      <c r="AY68" s="394"/>
      <c r="AZ68" s="351"/>
      <c r="BA68" s="278">
        <v>0</v>
      </c>
      <c r="BB68" s="278">
        <v>0</v>
      </c>
      <c r="BC68" s="278">
        <v>0</v>
      </c>
      <c r="BD68" s="278">
        <v>0</v>
      </c>
      <c r="BE68" s="278">
        <v>34000</v>
      </c>
      <c r="BF68" s="363">
        <v>0</v>
      </c>
      <c r="BG68" s="279">
        <f t="shared" si="61"/>
        <v>17104375.642857101</v>
      </c>
      <c r="BH68" s="277">
        <f t="shared" si="240"/>
        <v>929250</v>
      </c>
      <c r="BI68" s="277">
        <f t="shared" si="241"/>
        <v>159300</v>
      </c>
      <c r="BJ68" s="277">
        <f t="shared" si="242"/>
        <v>53100</v>
      </c>
      <c r="BK68" s="277"/>
      <c r="BL68" s="280">
        <f t="shared" si="243"/>
        <v>1141650</v>
      </c>
      <c r="BM68" s="277">
        <f t="shared" si="244"/>
        <v>424800</v>
      </c>
      <c r="BN68" s="277">
        <f t="shared" si="245"/>
        <v>79650</v>
      </c>
      <c r="BO68" s="277">
        <f t="shared" si="246"/>
        <v>53100</v>
      </c>
      <c r="BP68" s="277"/>
      <c r="BQ68" s="280">
        <f t="shared" si="247"/>
        <v>557550</v>
      </c>
      <c r="BR68" s="333">
        <f>AF68</f>
        <v>8609866.0714285709</v>
      </c>
      <c r="BS68" s="312">
        <f>T68+U68+V68+W68</f>
        <v>482142.85714285698</v>
      </c>
      <c r="BT68" s="281">
        <f t="shared" si="248"/>
        <v>8012366.7142857099</v>
      </c>
      <c r="BU68" s="282">
        <f t="shared" si="249"/>
        <v>15500000</v>
      </c>
      <c r="BV68" s="311"/>
      <c r="BW68" s="277">
        <f t="shared" si="250"/>
        <v>0</v>
      </c>
      <c r="BX68" s="277">
        <f t="shared" si="251"/>
        <v>557550</v>
      </c>
      <c r="BY68" s="284">
        <f t="shared" si="252"/>
        <v>16057550</v>
      </c>
      <c r="BZ68" s="277">
        <f t="shared" si="253"/>
        <v>0</v>
      </c>
      <c r="CA68" s="277">
        <f t="shared" si="254"/>
        <v>0</v>
      </c>
      <c r="CB68" s="283">
        <f t="shared" si="255"/>
        <v>16546826</v>
      </c>
      <c r="CC68" s="311"/>
      <c r="CD68" s="278"/>
      <c r="CE68" s="285">
        <f t="shared" si="256"/>
        <v>16546826</v>
      </c>
      <c r="CF68" s="333">
        <f>CE68-CG68</f>
        <v>0</v>
      </c>
      <c r="CG68" s="286">
        <f>CE68</f>
        <v>16546826</v>
      </c>
      <c r="CH68" s="334"/>
      <c r="CI68" s="335" t="s">
        <v>344</v>
      </c>
      <c r="CJ68" s="270">
        <f>VLOOKUP(D68,[1]CNT!$C$6:$AP$113,40,0)</f>
        <v>0</v>
      </c>
      <c r="CK68" s="289">
        <v>6</v>
      </c>
      <c r="CL68" s="299"/>
      <c r="CM68" s="336">
        <v>24</v>
      </c>
      <c r="CN68" s="336">
        <v>6</v>
      </c>
      <c r="CO68" s="336">
        <v>2025</v>
      </c>
      <c r="CP68" s="337">
        <f>IF((($CO$8-CO68)*12)+($CN$8-CN68)&gt;=12,((($CO$8-CO68)*12)+($CN$8-CN68))-1,0)</f>
        <v>0</v>
      </c>
      <c r="CQ68" s="338">
        <f>IF(CP68&lt;12,(($CQ$8-CO68)*12)+($CP$8-CN68),0)</f>
        <v>11</v>
      </c>
      <c r="CR68" s="337">
        <f>IF(OR(CP68&gt;12,CP68=12),((CP68-(CS68*12))+((($CQ$8-2024)*12)+($CP$8-4)))+1,0)</f>
        <v>0</v>
      </c>
      <c r="CS68" s="339">
        <f>IF(OR(CP68&gt;12,CP68=12),ROUNDDOWN(CP68/12,0),0)</f>
        <v>0</v>
      </c>
      <c r="CT68" s="339">
        <f>IF(CQ68&gt;11,ROUNDDOWN(CQ68/12,0),0)</f>
        <v>0</v>
      </c>
      <c r="CU68" s="339">
        <f>IF(CR68&gt;11,ROUNDDOWN(CR68/12,0),0)</f>
        <v>0</v>
      </c>
      <c r="CV68" s="340">
        <f>IF(CP68=0,0,6000000*1.07^CS68)</f>
        <v>0</v>
      </c>
      <c r="CW68" s="340">
        <f>IF(CT68&lt;2,0,6000000+(CT68-1)*500000)</f>
        <v>0</v>
      </c>
      <c r="CX68" s="340">
        <f>IF(CU68=0,CV68,IF(CU68&lt;1,0,CV68+CU68*500000))</f>
        <v>0</v>
      </c>
      <c r="CY68" s="314">
        <f>IF(CX68&gt;0,CX68,IF(CW68&gt;0,CW68,6000000))</f>
        <v>6000000</v>
      </c>
      <c r="CZ68" s="341"/>
      <c r="DA68" s="342">
        <f>CJ68</f>
        <v>0</v>
      </c>
      <c r="DB68" s="354" t="s">
        <v>345</v>
      </c>
      <c r="DC68" s="341"/>
      <c r="DE68" s="345"/>
      <c r="DF68" s="346">
        <f>VLOOKUP($D68,'[2]Med Service'!$D$11:$DI$87,110,0)</f>
        <v>0</v>
      </c>
      <c r="DG68" s="270" t="str">
        <f>VLOOKUP($D68,'[3]BẢNG LƯƠNG'!$C$3:$AH$102,32,0)</f>
        <v/>
      </c>
    </row>
    <row r="69" spans="1:111" s="111" customFormat="1" ht="27" customHeight="1">
      <c r="A69" s="262">
        <v>56</v>
      </c>
      <c r="B69" s="263">
        <v>7</v>
      </c>
      <c r="C69" s="265" t="s">
        <v>346</v>
      </c>
      <c r="D69" s="265" t="s">
        <v>347</v>
      </c>
      <c r="E69" s="262" t="str">
        <f>IF(OR(G69="CHT",G69="DSBC"),"HĐLĐ",IF(OR(G69="DSTV",G69="Q.CHT"),"HĐTV","HĐCTV"))</f>
        <v>HĐLĐ</v>
      </c>
      <c r="F69" s="262" t="s">
        <v>329</v>
      </c>
      <c r="G69" s="262" t="s">
        <v>117</v>
      </c>
      <c r="H69" s="308">
        <v>45544</v>
      </c>
      <c r="I69" s="309" t="s">
        <v>348</v>
      </c>
      <c r="J69" s="309" t="s">
        <v>119</v>
      </c>
      <c r="K69" s="268">
        <v>28</v>
      </c>
      <c r="L69" s="299">
        <v>28</v>
      </c>
      <c r="M69" s="375">
        <v>216.52</v>
      </c>
      <c r="N69" s="375">
        <v>0</v>
      </c>
      <c r="O69" s="262">
        <v>0</v>
      </c>
      <c r="P69" s="347"/>
      <c r="Q69" s="347"/>
      <c r="R69" s="348"/>
      <c r="S69" s="270">
        <f t="shared" si="239"/>
        <v>5310000</v>
      </c>
      <c r="T69" s="273">
        <f t="shared" si="31"/>
        <v>500000</v>
      </c>
      <c r="U69" s="347"/>
      <c r="V69" s="347"/>
      <c r="W69" s="347"/>
      <c r="X69" s="347"/>
      <c r="Y69" s="347"/>
      <c r="Z69" s="347"/>
      <c r="AA69" s="331">
        <f>CY69</f>
        <v>6000000</v>
      </c>
      <c r="AB69" s="347"/>
      <c r="AC69" s="347"/>
      <c r="AD69" s="347"/>
      <c r="AE69" s="275">
        <f t="shared" si="158"/>
        <v>5799642.8571428601</v>
      </c>
      <c r="AF69" s="276">
        <f t="shared" si="11"/>
        <v>0</v>
      </c>
      <c r="AG69" s="278">
        <v>0</v>
      </c>
      <c r="AH69" s="278">
        <v>0</v>
      </c>
      <c r="AI69" s="278">
        <v>0</v>
      </c>
      <c r="AJ69" s="278"/>
      <c r="AK69" s="278"/>
      <c r="AL69" s="278">
        <v>500000</v>
      </c>
      <c r="AM69" s="278">
        <v>0</v>
      </c>
      <c r="AN69" s="278">
        <v>1875900</v>
      </c>
      <c r="AO69" s="278">
        <v>24405</v>
      </c>
      <c r="AP69" s="278">
        <v>0</v>
      </c>
      <c r="AQ69" s="278">
        <v>1135200</v>
      </c>
      <c r="AR69" s="276"/>
      <c r="AS69" s="278">
        <v>0</v>
      </c>
      <c r="AT69" s="278">
        <v>0</v>
      </c>
      <c r="AU69" s="276">
        <v>0</v>
      </c>
      <c r="AV69" s="276"/>
      <c r="AW69" s="276"/>
      <c r="AX69" s="276"/>
      <c r="AY69" s="276"/>
      <c r="AZ69" s="276"/>
      <c r="BA69" s="278">
        <v>0</v>
      </c>
      <c r="BB69" s="278">
        <v>0</v>
      </c>
      <c r="BC69" s="278">
        <v>0</v>
      </c>
      <c r="BD69" s="278">
        <v>0</v>
      </c>
      <c r="BE69" s="278">
        <v>0</v>
      </c>
      <c r="BF69" s="363">
        <v>0</v>
      </c>
      <c r="BG69" s="279">
        <f t="shared" si="61"/>
        <v>9835147.8571428601</v>
      </c>
      <c r="BH69" s="277">
        <f t="shared" si="240"/>
        <v>929250</v>
      </c>
      <c r="BI69" s="277">
        <f t="shared" si="241"/>
        <v>159300</v>
      </c>
      <c r="BJ69" s="277">
        <f t="shared" si="242"/>
        <v>53100</v>
      </c>
      <c r="BK69" s="277"/>
      <c r="BL69" s="280">
        <f t="shared" si="243"/>
        <v>1141650</v>
      </c>
      <c r="BM69" s="277">
        <f t="shared" si="244"/>
        <v>424800</v>
      </c>
      <c r="BN69" s="277">
        <f t="shared" si="245"/>
        <v>79650</v>
      </c>
      <c r="BO69" s="277">
        <f t="shared" si="246"/>
        <v>53100</v>
      </c>
      <c r="BP69" s="277"/>
      <c r="BQ69" s="280">
        <f t="shared" si="247"/>
        <v>557550</v>
      </c>
      <c r="BR69" s="333">
        <f>AF69</f>
        <v>0</v>
      </c>
      <c r="BS69" s="312">
        <f>T69+U69+V69+W69</f>
        <v>500000</v>
      </c>
      <c r="BT69" s="281">
        <f t="shared" si="248"/>
        <v>9335147.8571428601</v>
      </c>
      <c r="BU69" s="282">
        <f t="shared" si="249"/>
        <v>15500000</v>
      </c>
      <c r="BV69" s="311"/>
      <c r="BW69" s="277">
        <f t="shared" si="250"/>
        <v>0</v>
      </c>
      <c r="BX69" s="277">
        <f t="shared" si="251"/>
        <v>557550</v>
      </c>
      <c r="BY69" s="284">
        <f t="shared" si="252"/>
        <v>16057550</v>
      </c>
      <c r="BZ69" s="277">
        <f t="shared" si="253"/>
        <v>0</v>
      </c>
      <c r="CA69" s="277">
        <f t="shared" si="254"/>
        <v>0</v>
      </c>
      <c r="CB69" s="283">
        <f t="shared" si="255"/>
        <v>9277598</v>
      </c>
      <c r="CC69" s="311"/>
      <c r="CD69" s="278"/>
      <c r="CE69" s="285">
        <f t="shared" si="256"/>
        <v>9277598</v>
      </c>
      <c r="CF69" s="333">
        <f>CE69-CG69</f>
        <v>0</v>
      </c>
      <c r="CG69" s="286">
        <f>CE69</f>
        <v>9277598</v>
      </c>
      <c r="CH69" s="334"/>
      <c r="CI69" s="335" t="s">
        <v>349</v>
      </c>
      <c r="CJ69" s="270">
        <f>VLOOKUP(D69,[1]CNT!$C$6:$AP$113,40,0)</f>
        <v>0</v>
      </c>
      <c r="CK69" s="289">
        <v>11</v>
      </c>
      <c r="CL69" s="299"/>
      <c r="CM69" s="336">
        <v>9</v>
      </c>
      <c r="CN69" s="336">
        <v>9</v>
      </c>
      <c r="CO69" s="336">
        <v>2024</v>
      </c>
      <c r="CP69" s="337">
        <f>IF((($CO$8-CO69)*12)+($CN$8-CN69)&gt;=12,((($CO$8-CO69)*12)+($CN$8-CN69))-1,0)</f>
        <v>0</v>
      </c>
      <c r="CQ69" s="338">
        <f>IF(CP69&lt;12,(($CQ$8-CO69)*12)+($CP$8-CN69),0)</f>
        <v>20</v>
      </c>
      <c r="CR69" s="337">
        <f>IF(OR(CP69&gt;12,CP69=12),((CP69-(CS69*12))+((($CQ$8-2024)*12)+($CP$8-4)))+1,0)</f>
        <v>0</v>
      </c>
      <c r="CS69" s="339">
        <f>IF(OR(CP69&gt;12,CP69=12),ROUNDDOWN(CP69/12,0),0)</f>
        <v>0</v>
      </c>
      <c r="CT69" s="339">
        <f t="shared" si="257"/>
        <v>1</v>
      </c>
      <c r="CU69" s="339">
        <f t="shared" si="257"/>
        <v>0</v>
      </c>
      <c r="CV69" s="340">
        <f>IF(CP69=0,0,6000000*1.07^CS69)</f>
        <v>0</v>
      </c>
      <c r="CW69" s="340">
        <f>IF(CT69&lt;2,0,6000000+(CT69-1)*500000)</f>
        <v>0</v>
      </c>
      <c r="CX69" s="340">
        <f>IF(CU69=0,CV69,IF(CU69&lt;1,0,CV69+CU69*500000))</f>
        <v>0</v>
      </c>
      <c r="CY69" s="314">
        <f>IF(CX69&gt;0,CX69,IF(CW69&gt;0,CW69,6000000))</f>
        <v>6000000</v>
      </c>
      <c r="CZ69" s="341"/>
      <c r="DA69" s="342">
        <f>CJ69</f>
        <v>0</v>
      </c>
      <c r="DB69" s="343"/>
      <c r="DC69" s="341"/>
      <c r="DE69" s="345"/>
      <c r="DF69" s="346">
        <f>VLOOKUP($D69,'[2]Med Service'!$D$11:$DI$87,110,0)</f>
        <v>0</v>
      </c>
      <c r="DG69" s="270" t="str">
        <f>VLOOKUP($D69,'[3]BẢNG LƯƠNG'!$C$3:$AH$102,32,0)</f>
        <v/>
      </c>
    </row>
    <row r="70" spans="1:111" s="112" customFormat="1" ht="23.25" customHeight="1">
      <c r="A70" s="320"/>
      <c r="B70" s="321"/>
      <c r="C70" s="360"/>
      <c r="D70" s="323"/>
      <c r="E70" s="320"/>
      <c r="F70" s="320"/>
      <c r="G70" s="320"/>
      <c r="H70" s="324"/>
      <c r="I70" s="325"/>
      <c r="J70" s="326">
        <f>SUM(J67:J69)</f>
        <v>0</v>
      </c>
      <c r="K70" s="326">
        <f>SUM(K66:K69)</f>
        <v>112</v>
      </c>
      <c r="L70" s="326">
        <f t="shared" ref="L70:M70" si="258">SUM(L66:L69)</f>
        <v>106</v>
      </c>
      <c r="M70" s="326">
        <f t="shared" si="258"/>
        <v>490.05</v>
      </c>
      <c r="N70" s="326">
        <f t="shared" ref="N70:BY70" si="259">SUM(N66:N69)</f>
        <v>420.28</v>
      </c>
      <c r="O70" s="326">
        <f t="shared" si="259"/>
        <v>0</v>
      </c>
      <c r="P70" s="326">
        <f t="shared" si="259"/>
        <v>0</v>
      </c>
      <c r="Q70" s="326">
        <f t="shared" si="259"/>
        <v>0</v>
      </c>
      <c r="R70" s="326">
        <f t="shared" si="259"/>
        <v>0</v>
      </c>
      <c r="S70" s="326">
        <f t="shared" si="259"/>
        <v>21240000</v>
      </c>
      <c r="T70" s="326">
        <f t="shared" si="259"/>
        <v>1892857.1428571399</v>
      </c>
      <c r="U70" s="326">
        <f t="shared" si="259"/>
        <v>0</v>
      </c>
      <c r="V70" s="326">
        <f t="shared" si="259"/>
        <v>0</v>
      </c>
      <c r="W70" s="326">
        <f t="shared" si="259"/>
        <v>0</v>
      </c>
      <c r="X70" s="326">
        <f t="shared" si="259"/>
        <v>0</v>
      </c>
      <c r="Y70" s="326">
        <f t="shared" si="259"/>
        <v>0</v>
      </c>
      <c r="Z70" s="326">
        <f t="shared" si="259"/>
        <v>0</v>
      </c>
      <c r="AA70" s="326">
        <f t="shared" si="259"/>
        <v>24000000</v>
      </c>
      <c r="AB70" s="326">
        <f t="shared" si="259"/>
        <v>0</v>
      </c>
      <c r="AC70" s="326">
        <f t="shared" si="259"/>
        <v>0</v>
      </c>
      <c r="AD70" s="326"/>
      <c r="AE70" s="326">
        <f t="shared" si="259"/>
        <v>13126339.2857143</v>
      </c>
      <c r="AF70" s="326">
        <f t="shared" si="259"/>
        <v>16886250</v>
      </c>
      <c r="AG70" s="326">
        <f t="shared" si="259"/>
        <v>1500000</v>
      </c>
      <c r="AH70" s="326">
        <f t="shared" si="259"/>
        <v>0</v>
      </c>
      <c r="AI70" s="326">
        <f t="shared" si="259"/>
        <v>2732143</v>
      </c>
      <c r="AJ70" s="326">
        <f t="shared" si="259"/>
        <v>0</v>
      </c>
      <c r="AK70" s="326">
        <f t="shared" si="259"/>
        <v>0</v>
      </c>
      <c r="AL70" s="326">
        <f t="shared" si="259"/>
        <v>2500000</v>
      </c>
      <c r="AM70" s="326">
        <f t="shared" si="259"/>
        <v>0</v>
      </c>
      <c r="AN70" s="326">
        <f t="shared" si="259"/>
        <v>8020900</v>
      </c>
      <c r="AO70" s="326">
        <f t="shared" si="259"/>
        <v>46517</v>
      </c>
      <c r="AP70" s="326">
        <f t="shared" si="259"/>
        <v>0</v>
      </c>
      <c r="AQ70" s="326">
        <f t="shared" si="259"/>
        <v>4456400</v>
      </c>
      <c r="AR70" s="326">
        <f t="shared" si="259"/>
        <v>0</v>
      </c>
      <c r="AS70" s="326">
        <f t="shared" si="259"/>
        <v>0</v>
      </c>
      <c r="AT70" s="326">
        <f t="shared" si="259"/>
        <v>0</v>
      </c>
      <c r="AU70" s="326">
        <f t="shared" si="259"/>
        <v>0</v>
      </c>
      <c r="AV70" s="326">
        <f t="shared" si="259"/>
        <v>0</v>
      </c>
      <c r="AW70" s="326">
        <f t="shared" si="259"/>
        <v>0</v>
      </c>
      <c r="AX70" s="326">
        <f t="shared" si="259"/>
        <v>0</v>
      </c>
      <c r="AY70" s="326">
        <f t="shared" si="259"/>
        <v>0</v>
      </c>
      <c r="AZ70" s="326">
        <f t="shared" si="259"/>
        <v>0</v>
      </c>
      <c r="BA70" s="326">
        <f t="shared" si="259"/>
        <v>0</v>
      </c>
      <c r="BB70" s="326">
        <f t="shared" si="259"/>
        <v>0</v>
      </c>
      <c r="BC70" s="326">
        <f t="shared" si="259"/>
        <v>0</v>
      </c>
      <c r="BD70" s="326">
        <f t="shared" si="259"/>
        <v>0</v>
      </c>
      <c r="BE70" s="326">
        <f t="shared" si="259"/>
        <v>143000</v>
      </c>
      <c r="BF70" s="326">
        <f t="shared" si="259"/>
        <v>0</v>
      </c>
      <c r="BG70" s="326">
        <f t="shared" si="259"/>
        <v>51018406.428571403</v>
      </c>
      <c r="BH70" s="326">
        <f t="shared" si="259"/>
        <v>3717000</v>
      </c>
      <c r="BI70" s="326">
        <f t="shared" si="259"/>
        <v>637200</v>
      </c>
      <c r="BJ70" s="326">
        <f t="shared" si="259"/>
        <v>212400</v>
      </c>
      <c r="BK70" s="326">
        <f t="shared" si="259"/>
        <v>0</v>
      </c>
      <c r="BL70" s="326">
        <f t="shared" si="259"/>
        <v>4566600</v>
      </c>
      <c r="BM70" s="326">
        <f t="shared" si="259"/>
        <v>1699200</v>
      </c>
      <c r="BN70" s="326">
        <f t="shared" si="259"/>
        <v>318600</v>
      </c>
      <c r="BO70" s="326">
        <f t="shared" si="259"/>
        <v>212400</v>
      </c>
      <c r="BP70" s="326">
        <f t="shared" si="259"/>
        <v>0</v>
      </c>
      <c r="BQ70" s="326">
        <f t="shared" si="259"/>
        <v>2230200</v>
      </c>
      <c r="BR70" s="326">
        <f t="shared" si="259"/>
        <v>16886250</v>
      </c>
      <c r="BS70" s="326">
        <f t="shared" si="259"/>
        <v>1892857.1428571399</v>
      </c>
      <c r="BT70" s="326">
        <f t="shared" si="259"/>
        <v>32239299.285714298</v>
      </c>
      <c r="BU70" s="326">
        <f t="shared" si="259"/>
        <v>62000000</v>
      </c>
      <c r="BV70" s="326">
        <f t="shared" si="259"/>
        <v>0</v>
      </c>
      <c r="BW70" s="326">
        <f t="shared" si="259"/>
        <v>0</v>
      </c>
      <c r="BX70" s="326">
        <f t="shared" si="259"/>
        <v>2230200</v>
      </c>
      <c r="BY70" s="326">
        <f t="shared" si="259"/>
        <v>64230200</v>
      </c>
      <c r="BZ70" s="326">
        <f t="shared" ref="BZ70:CG70" si="260">SUM(BZ66:BZ69)</f>
        <v>0</v>
      </c>
      <c r="CA70" s="326">
        <f t="shared" si="260"/>
        <v>0</v>
      </c>
      <c r="CB70" s="326">
        <f t="shared" si="260"/>
        <v>48788207</v>
      </c>
      <c r="CC70" s="326">
        <f t="shared" si="260"/>
        <v>0</v>
      </c>
      <c r="CD70" s="326">
        <f t="shared" si="260"/>
        <v>0</v>
      </c>
      <c r="CE70" s="326">
        <f t="shared" si="260"/>
        <v>48788207</v>
      </c>
      <c r="CF70" s="326">
        <f t="shared" si="260"/>
        <v>0</v>
      </c>
      <c r="CG70" s="326">
        <f t="shared" si="260"/>
        <v>48788207</v>
      </c>
      <c r="CH70" s="326">
        <f t="shared" ref="CH70" si="261">SUM(CH66:CH69)</f>
        <v>0</v>
      </c>
      <c r="CI70" s="326">
        <f t="shared" ref="CI70:CJ70" si="262">SUM(CI66:CI69)</f>
        <v>0</v>
      </c>
      <c r="CJ70" s="326">
        <f t="shared" si="262"/>
        <v>0</v>
      </c>
      <c r="CK70" s="326">
        <f t="shared" ref="CK70" si="263">SUM(CK66:CK69)</f>
        <v>40</v>
      </c>
      <c r="CL70" s="326">
        <f t="shared" ref="CL70" si="264">SUM(CL66:CL69)</f>
        <v>0</v>
      </c>
      <c r="CM70" s="326">
        <f t="shared" ref="CM70:CN70" si="265">SUM(CM66:CM69)</f>
        <v>49</v>
      </c>
      <c r="CN70" s="326">
        <f t="shared" si="265"/>
        <v>29</v>
      </c>
      <c r="CO70" s="326">
        <f t="shared" ref="CO70" si="266">SUM(CO66:CO69)</f>
        <v>8097</v>
      </c>
      <c r="CP70" s="326">
        <f t="shared" ref="CP70" si="267">SUM(CP66:CP69)</f>
        <v>0</v>
      </c>
      <c r="CQ70" s="326">
        <f t="shared" ref="CQ70:CR70" si="268">SUM(CQ66:CQ69)</f>
        <v>75</v>
      </c>
      <c r="CR70" s="326">
        <f t="shared" si="268"/>
        <v>0</v>
      </c>
      <c r="CS70" s="326">
        <f t="shared" ref="CS70" si="269">SUM(CS66:CS69)</f>
        <v>0</v>
      </c>
      <c r="CT70" s="326">
        <f t="shared" ref="CT70" si="270">SUM(CT66:CT69)</f>
        <v>3</v>
      </c>
      <c r="CU70" s="326">
        <f t="shared" ref="CU70:CV70" si="271">SUM(CU66:CU69)</f>
        <v>0</v>
      </c>
      <c r="CV70" s="326">
        <f t="shared" si="271"/>
        <v>0</v>
      </c>
      <c r="CW70" s="326">
        <f t="shared" ref="CW70" si="272">SUM(CW66:CW69)</f>
        <v>0</v>
      </c>
      <c r="CX70" s="326">
        <f t="shared" ref="CX70" si="273">SUM(CX66:CX69)</f>
        <v>0</v>
      </c>
      <c r="CY70" s="326">
        <f t="shared" ref="CY70:CZ70" si="274">SUM(CY66:CY69)</f>
        <v>24000000</v>
      </c>
      <c r="CZ70" s="326">
        <f t="shared" si="274"/>
        <v>0</v>
      </c>
      <c r="DA70" s="326">
        <f t="shared" ref="DA70" si="275">SUM(DA66:DA69)</f>
        <v>0</v>
      </c>
      <c r="DB70" s="326">
        <f t="shared" ref="DB70" si="276">SUM(DB66:DB69)</f>
        <v>0</v>
      </c>
      <c r="DC70" s="326">
        <f t="shared" ref="DC70" si="277">SUM(DC66:DC69)</f>
        <v>0</v>
      </c>
      <c r="DD70" s="326"/>
      <c r="DE70" s="326">
        <f>SUM(DE67:DE69)</f>
        <v>0</v>
      </c>
      <c r="DF70" s="326">
        <f>SUM(DF67:DF69)</f>
        <v>0</v>
      </c>
      <c r="DG70" s="326">
        <f>SUM(DG67:DG69)</f>
        <v>0</v>
      </c>
    </row>
    <row r="71" spans="1:111" s="110" customFormat="1" ht="24" customHeight="1">
      <c r="A71" s="262">
        <v>60</v>
      </c>
      <c r="B71" s="263" t="s">
        <v>113</v>
      </c>
      <c r="C71" s="265" t="s">
        <v>297</v>
      </c>
      <c r="D71" s="265" t="s">
        <v>298</v>
      </c>
      <c r="E71" s="262" t="str">
        <f>IF(OR(G71="CHT",G71="DSBC"),"HĐLĐ",IF(OR(G71="DSTV",G71="Q.CHT"),"HĐTV","HĐCTV"))</f>
        <v>HĐLĐ</v>
      </c>
      <c r="F71" s="262" t="s">
        <v>350</v>
      </c>
      <c r="G71" s="262" t="s">
        <v>154</v>
      </c>
      <c r="H71" s="308" t="s">
        <v>300</v>
      </c>
      <c r="I71" s="465" t="s">
        <v>301</v>
      </c>
      <c r="J71" s="388" t="s">
        <v>119</v>
      </c>
      <c r="K71" s="268">
        <v>28</v>
      </c>
      <c r="L71" s="299">
        <v>23</v>
      </c>
      <c r="M71" s="375">
        <v>258.01</v>
      </c>
      <c r="N71" s="375">
        <v>4.3099999999999996</v>
      </c>
      <c r="O71" s="262">
        <v>0</v>
      </c>
      <c r="P71" s="347"/>
      <c r="Q71" s="347"/>
      <c r="R71" s="348"/>
      <c r="S71" s="270">
        <f t="shared" ref="S71:S76" si="278">IF(E71="HĐLĐ",5310000,0)</f>
        <v>5310000</v>
      </c>
      <c r="T71" s="273">
        <f t="shared" si="31"/>
        <v>410714.28571428597</v>
      </c>
      <c r="U71" s="347"/>
      <c r="V71" s="347"/>
      <c r="W71" s="347"/>
      <c r="X71" s="347"/>
      <c r="Y71" s="347"/>
      <c r="Z71" s="347"/>
      <c r="AA71" s="331">
        <f>CY71</f>
        <v>6000000</v>
      </c>
      <c r="AB71" s="347"/>
      <c r="AC71" s="347"/>
      <c r="AD71" s="347"/>
      <c r="AE71" s="275">
        <f t="shared" si="158"/>
        <v>6910982.1428571399</v>
      </c>
      <c r="AF71" s="276">
        <f t="shared" si="11"/>
        <v>173169.64285714299</v>
      </c>
      <c r="AG71" s="276">
        <v>2000000</v>
      </c>
      <c r="AH71" s="276">
        <v>0</v>
      </c>
      <c r="AI71" s="276">
        <v>0</v>
      </c>
      <c r="AJ71" s="276"/>
      <c r="AK71" s="276"/>
      <c r="AL71" s="276">
        <v>0</v>
      </c>
      <c r="AM71" s="276">
        <v>1186872</v>
      </c>
      <c r="AN71" s="276">
        <v>1776600</v>
      </c>
      <c r="AO71" s="276">
        <v>0</v>
      </c>
      <c r="AP71" s="276">
        <v>100</v>
      </c>
      <c r="AQ71" s="276">
        <v>0</v>
      </c>
      <c r="AR71" s="276"/>
      <c r="AS71" s="276">
        <v>0</v>
      </c>
      <c r="AT71" s="276">
        <v>150000</v>
      </c>
      <c r="AU71" s="276">
        <v>0</v>
      </c>
      <c r="AV71" s="276"/>
      <c r="AW71" s="276"/>
      <c r="AX71" s="276"/>
      <c r="AY71" s="276"/>
      <c r="AZ71" s="276"/>
      <c r="BA71" s="300">
        <v>88500</v>
      </c>
      <c r="BB71" s="300">
        <v>0</v>
      </c>
      <c r="BC71" s="300">
        <v>0</v>
      </c>
      <c r="BD71" s="300">
        <v>0</v>
      </c>
      <c r="BE71" s="300">
        <v>0</v>
      </c>
      <c r="BF71" s="363">
        <v>0</v>
      </c>
      <c r="BG71" s="279">
        <f t="shared" si="61"/>
        <v>12519938.071428601</v>
      </c>
      <c r="BH71" s="277">
        <f t="shared" ref="BH71:BH76" si="279">S71*17.5%</f>
        <v>929250</v>
      </c>
      <c r="BI71" s="277">
        <f t="shared" ref="BI71:BI76" si="280">S71*3%</f>
        <v>159300</v>
      </c>
      <c r="BJ71" s="277">
        <f t="shared" ref="BJ71:BJ76" si="281">S71*1%</f>
        <v>53100</v>
      </c>
      <c r="BK71" s="277"/>
      <c r="BL71" s="280">
        <f t="shared" ref="BL71:BL76" si="282">SUM(BH71:BK71)</f>
        <v>1141650</v>
      </c>
      <c r="BM71" s="277">
        <f t="shared" ref="BM71:BM76" si="283">S71*8%</f>
        <v>424800</v>
      </c>
      <c r="BN71" s="277">
        <f t="shared" ref="BN71:BN76" si="284">S71*1.5%</f>
        <v>79650</v>
      </c>
      <c r="BO71" s="277">
        <f t="shared" ref="BO71:BO76" si="285">S71*1%</f>
        <v>53100</v>
      </c>
      <c r="BP71" s="277"/>
      <c r="BQ71" s="280">
        <f t="shared" ref="BQ71:BQ76" si="286">SUM(BM71:BP71)</f>
        <v>557550</v>
      </c>
      <c r="BR71" s="333">
        <f>AF71</f>
        <v>173169.64285714299</v>
      </c>
      <c r="BS71" s="312">
        <f>T71+U71+V71+W71</f>
        <v>410714.28571428597</v>
      </c>
      <c r="BT71" s="281">
        <f t="shared" ref="BT71:BT76" si="287">BG71-BS71-BR71</f>
        <v>11936054.142857101</v>
      </c>
      <c r="BU71" s="282">
        <f t="shared" ref="BU71:BU76" si="288">IF(E71="HĐLĐ",15500000,0)</f>
        <v>15500000</v>
      </c>
      <c r="BV71" s="311"/>
      <c r="BW71" s="277">
        <f t="shared" ref="BW71:BW76" si="289">BV71*6200000</f>
        <v>0</v>
      </c>
      <c r="BX71" s="277">
        <f t="shared" ref="BX71:BX76" si="290">BQ71</f>
        <v>557550</v>
      </c>
      <c r="BY71" s="284">
        <f t="shared" ref="BY71:BY76" si="291">BU71+BW71+BX71</f>
        <v>16057550</v>
      </c>
      <c r="BZ71" s="277">
        <f t="shared" ref="BZ71:BZ76" si="292">IF(BT71-BY71&gt;0,BT71-BY71,0)</f>
        <v>0</v>
      </c>
      <c r="CA71" s="277">
        <f t="shared" ref="CA71:CA76" si="293">IF(AND(OR($E71="HĐTV",$E71="HĐCTV"),$BZ71&lt;5000000),0,IF(OR($E71="HĐTV",$E71="HĐCTV"),$BZ71*10%,ROUND(IF($BZ71&lt;=10000000,$BZ71*5%,IF($BZ71&lt;=30000000,$BZ71*10%-500000,IF($BZ71&lt;=60000000,$BZ71*20%-3500000,IF($BZ71&lt;=100000000,$BZ71*30%-9500000,$BZ71*35%-14500000)))),0)))</f>
        <v>0</v>
      </c>
      <c r="CB71" s="283">
        <f t="shared" ref="CB71:CB76" si="294">ROUND(BG71-BQ71-CA71,0)</f>
        <v>11962388</v>
      </c>
      <c r="CC71" s="311"/>
      <c r="CD71" s="278"/>
      <c r="CE71" s="285">
        <f t="shared" ref="CE71:CE76" si="295">CB71+CC71-CD71</f>
        <v>11962388</v>
      </c>
      <c r="CF71" s="333">
        <f t="shared" ref="CF71:CF76" si="296">CE71-CG71</f>
        <v>0</v>
      </c>
      <c r="CG71" s="286">
        <f t="shared" ref="CG71:CG76" si="297">CE71</f>
        <v>11962388</v>
      </c>
      <c r="CH71" s="334"/>
      <c r="CI71" s="335" t="str">
        <f>VLOOKUP($C71,[5]Sheet1!$C$5:$K$139,9,0)</f>
        <v>vy.cu@medigoapp.com</v>
      </c>
      <c r="CJ71" s="270" t="str">
        <f>VLOOKUP(D71,[1]CNT!$C$6:$AP$113,40,0)</f>
        <v>Cộng 8h/ 1 ngày do tháng 6/2026 bị treo 1 ngày phép</v>
      </c>
      <c r="CK71" s="289">
        <v>10</v>
      </c>
      <c r="CL71" s="270"/>
      <c r="CM71" s="336">
        <v>4</v>
      </c>
      <c r="CN71" s="336">
        <v>9</v>
      </c>
      <c r="CO71" s="336">
        <v>2024</v>
      </c>
      <c r="CP71" s="337">
        <f>IF((($CO$8-CO71)*12)+($CN$8-CN71)&gt;=12,((($CO$8-CO71)*12)+($CN$8-CN71))-1,0)</f>
        <v>0</v>
      </c>
      <c r="CQ71" s="338">
        <f>IF(CP71&lt;12,(($CQ$8-CO71)*12)+($CP$8-CN71),0)</f>
        <v>20</v>
      </c>
      <c r="CR71" s="337">
        <f>IF(OR(CP71&gt;12,CP71=12),((CP71-(CS71*12))+((($CQ$8-2024)*12)+($CP$8-4)))+1,0)</f>
        <v>0</v>
      </c>
      <c r="CS71" s="339">
        <f>IF(OR(CP71&gt;12,CP71=12),ROUNDDOWN(CP71/12,0),0)</f>
        <v>0</v>
      </c>
      <c r="CT71" s="339">
        <f>IF(CQ71&gt;11,ROUNDDOWN(CQ71/12,0),0)</f>
        <v>1</v>
      </c>
      <c r="CU71" s="339">
        <f>IF(CR71&gt;11,ROUNDDOWN(CR71/12,0),0)</f>
        <v>0</v>
      </c>
      <c r="CV71" s="340">
        <f>IF(CP71=0,0,6000000*1.07^CS71)</f>
        <v>0</v>
      </c>
      <c r="CW71" s="340">
        <f>IF(CT71&lt;2,0,6000000+(CT71-1)*500000)</f>
        <v>0</v>
      </c>
      <c r="CX71" s="340">
        <f>IF(CU71=0,CV71,IF(CU71&lt;1,0,CV71+CU71*500000))</f>
        <v>0</v>
      </c>
      <c r="CY71" s="314">
        <f>IF(CX71&gt;0,CX71,IF(CW71&gt;0,CW71,6000000))</f>
        <v>6000000</v>
      </c>
      <c r="CZ71" s="341"/>
      <c r="DA71" s="342"/>
      <c r="DB71" s="343"/>
      <c r="DC71" s="344"/>
      <c r="DE71" s="345"/>
      <c r="DF71" s="346">
        <f>VLOOKUP($D71,'[2]Med Service'!$D$11:$DI$87,110,0)</f>
        <v>0</v>
      </c>
      <c r="DG71" s="270" t="str">
        <f>VLOOKUP($D71,'[3]BẢNG LƯƠNG'!$C$3:$AH$102,32,0)</f>
        <v>Vi phạm chấm điểm checklist  28/05/2026: 10.000đ</v>
      </c>
    </row>
    <row r="72" spans="1:111" s="110" customFormat="1" ht="24" customHeight="1">
      <c r="A72" s="262">
        <v>61</v>
      </c>
      <c r="B72" s="263">
        <v>7</v>
      </c>
      <c r="C72" s="265" t="s">
        <v>351</v>
      </c>
      <c r="D72" s="265" t="s">
        <v>352</v>
      </c>
      <c r="E72" s="262" t="s">
        <v>166</v>
      </c>
      <c r="F72" s="262" t="s">
        <v>350</v>
      </c>
      <c r="G72" s="262" t="s">
        <v>117</v>
      </c>
      <c r="H72" s="308" t="s">
        <v>144</v>
      </c>
      <c r="I72" s="465" t="s">
        <v>353</v>
      </c>
      <c r="J72" s="388" t="s">
        <v>354</v>
      </c>
      <c r="K72" s="268">
        <v>28</v>
      </c>
      <c r="L72" s="299">
        <v>26</v>
      </c>
      <c r="M72" s="375">
        <v>8.9600000000000009</v>
      </c>
      <c r="N72" s="375">
        <v>206.47</v>
      </c>
      <c r="O72" s="262">
        <v>0</v>
      </c>
      <c r="P72" s="347"/>
      <c r="Q72" s="347"/>
      <c r="R72" s="348"/>
      <c r="S72" s="270">
        <f t="shared" si="278"/>
        <v>5310000</v>
      </c>
      <c r="T72" s="273">
        <f t="shared" si="31"/>
        <v>464285.71428571403</v>
      </c>
      <c r="U72" s="347"/>
      <c r="V72" s="347"/>
      <c r="W72" s="347"/>
      <c r="X72" s="347"/>
      <c r="Y72" s="347"/>
      <c r="Z72" s="347"/>
      <c r="AA72" s="331">
        <f>CY72</f>
        <v>6000000</v>
      </c>
      <c r="AB72" s="347"/>
      <c r="AC72" s="347"/>
      <c r="AD72" s="347"/>
      <c r="AE72" s="275">
        <f t="shared" si="158"/>
        <v>240000</v>
      </c>
      <c r="AF72" s="276">
        <f t="shared" si="11"/>
        <v>8295669.6428571399</v>
      </c>
      <c r="AG72" s="276">
        <v>0</v>
      </c>
      <c r="AH72" s="276">
        <v>0</v>
      </c>
      <c r="AI72" s="276">
        <v>1392857</v>
      </c>
      <c r="AJ72" s="276"/>
      <c r="AK72" s="276"/>
      <c r="AL72" s="276">
        <v>500000</v>
      </c>
      <c r="AM72" s="276">
        <v>0</v>
      </c>
      <c r="AN72" s="276">
        <v>2191150</v>
      </c>
      <c r="AO72" s="276">
        <v>9675</v>
      </c>
      <c r="AP72" s="276">
        <v>0</v>
      </c>
      <c r="AQ72" s="276">
        <v>0</v>
      </c>
      <c r="AR72" s="276"/>
      <c r="AS72" s="276">
        <v>0</v>
      </c>
      <c r="AT72" s="276">
        <v>0</v>
      </c>
      <c r="AU72" s="276">
        <v>0</v>
      </c>
      <c r="AV72" s="276"/>
      <c r="AW72" s="276"/>
      <c r="AX72" s="276"/>
      <c r="AY72" s="367"/>
      <c r="AZ72" s="276">
        <f>2500000/31*10+2500000</f>
        <v>3306451.6129032299</v>
      </c>
      <c r="BA72" s="300">
        <v>88500</v>
      </c>
      <c r="BB72" s="300">
        <v>0</v>
      </c>
      <c r="BC72" s="300">
        <v>0</v>
      </c>
      <c r="BD72" s="300">
        <v>0</v>
      </c>
      <c r="BE72" s="300">
        <v>46000</v>
      </c>
      <c r="BF72" s="363">
        <v>0</v>
      </c>
      <c r="BG72" s="279">
        <f t="shared" si="61"/>
        <v>16265588.970046099</v>
      </c>
      <c r="BH72" s="277">
        <f t="shared" si="279"/>
        <v>929250</v>
      </c>
      <c r="BI72" s="277">
        <f t="shared" si="280"/>
        <v>159300</v>
      </c>
      <c r="BJ72" s="277">
        <f t="shared" si="281"/>
        <v>53100</v>
      </c>
      <c r="BK72" s="277"/>
      <c r="BL72" s="280">
        <f t="shared" si="282"/>
        <v>1141650</v>
      </c>
      <c r="BM72" s="277">
        <f t="shared" si="283"/>
        <v>424800</v>
      </c>
      <c r="BN72" s="277">
        <f t="shared" si="284"/>
        <v>79650</v>
      </c>
      <c r="BO72" s="277">
        <f t="shared" si="285"/>
        <v>53100</v>
      </c>
      <c r="BP72" s="277"/>
      <c r="BQ72" s="280">
        <f t="shared" si="286"/>
        <v>557550</v>
      </c>
      <c r="BR72" s="333">
        <f>AF72</f>
        <v>8295669.6428571399</v>
      </c>
      <c r="BS72" s="312">
        <f>T72+U72+V72+W72</f>
        <v>464285.71428571403</v>
      </c>
      <c r="BT72" s="281">
        <f t="shared" si="287"/>
        <v>7505633.6129032299</v>
      </c>
      <c r="BU72" s="282">
        <f t="shared" si="288"/>
        <v>15500000</v>
      </c>
      <c r="BV72" s="311"/>
      <c r="BW72" s="277">
        <f t="shared" si="289"/>
        <v>0</v>
      </c>
      <c r="BX72" s="277">
        <f t="shared" si="290"/>
        <v>557550</v>
      </c>
      <c r="BY72" s="284">
        <f t="shared" si="291"/>
        <v>16057550</v>
      </c>
      <c r="BZ72" s="277">
        <f t="shared" si="292"/>
        <v>0</v>
      </c>
      <c r="CA72" s="277">
        <f t="shared" si="293"/>
        <v>0</v>
      </c>
      <c r="CB72" s="283">
        <f t="shared" si="294"/>
        <v>15708039</v>
      </c>
      <c r="CC72" s="311"/>
      <c r="CD72" s="278"/>
      <c r="CE72" s="285">
        <f t="shared" si="295"/>
        <v>15708039</v>
      </c>
      <c r="CF72" s="333">
        <f t="shared" si="296"/>
        <v>0</v>
      </c>
      <c r="CG72" s="286">
        <f t="shared" si="297"/>
        <v>15708039</v>
      </c>
      <c r="CH72" s="334"/>
      <c r="CI72" s="335" t="s">
        <v>355</v>
      </c>
      <c r="CJ72" s="270">
        <f>VLOOKUP(D72,[1]CNT!$C$6:$AP$113,40,0)</f>
        <v>0</v>
      </c>
      <c r="CK72" s="289">
        <v>5</v>
      </c>
      <c r="CL72" s="270"/>
      <c r="CM72" s="336">
        <v>1</v>
      </c>
      <c r="CN72" s="336">
        <v>11</v>
      </c>
      <c r="CO72" s="336">
        <v>2024</v>
      </c>
      <c r="CP72" s="337">
        <v>0</v>
      </c>
      <c r="CQ72" s="338">
        <f>IF(CP72&lt;12,(($CQ$8-CO72)*12)+($CP$8-CN72),0)</f>
        <v>18</v>
      </c>
      <c r="CR72" s="337">
        <f>IF(OR(CP72&gt;12,CP72=12),((CP72-(CS72*12))+((($CQ$8-2024)*12)+($CP$8-4)))+1,0)</f>
        <v>0</v>
      </c>
      <c r="CS72" s="339">
        <v>0</v>
      </c>
      <c r="CT72" s="339">
        <v>1</v>
      </c>
      <c r="CU72" s="339">
        <v>0</v>
      </c>
      <c r="CV72" s="340">
        <v>0</v>
      </c>
      <c r="CW72" s="340">
        <v>0</v>
      </c>
      <c r="CX72" s="340">
        <v>0</v>
      </c>
      <c r="CY72" s="314">
        <v>6000000</v>
      </c>
      <c r="CZ72" s="341"/>
      <c r="DA72" s="342">
        <f>CJ72</f>
        <v>0</v>
      </c>
      <c r="DB72" s="354" t="s">
        <v>356</v>
      </c>
      <c r="DC72" s="344"/>
      <c r="DE72" s="345">
        <f>VLOOKUP($D72,'[6]Tong hop'!$B$8:$Q$45,15,0)</f>
        <v>463873</v>
      </c>
      <c r="DF72" s="346">
        <f>VLOOKUP($D72,'[2]Med Service'!$D$11:$DI$87,110,0)</f>
        <v>0</v>
      </c>
      <c r="DG72" s="270" t="str">
        <f>VLOOKUP($D72,'[3]BẢNG LƯƠNG'!$C$3:$AH$102,32,0)</f>
        <v/>
      </c>
    </row>
    <row r="73" spans="1:111" s="111" customFormat="1" ht="27" customHeight="1">
      <c r="A73" s="262">
        <v>64</v>
      </c>
      <c r="B73" s="263"/>
      <c r="C73" s="265" t="s">
        <v>357</v>
      </c>
      <c r="D73" s="265" t="s">
        <v>358</v>
      </c>
      <c r="E73" s="262" t="str">
        <f>IF(OR(G73="CHT",G73="DSBC"),"HĐLĐ",IF(OR(G73="DSTV",G73="Q.CHT"),"HĐTV","HĐCTV"))</f>
        <v>HĐTV</v>
      </c>
      <c r="F73" s="262" t="s">
        <v>350</v>
      </c>
      <c r="G73" s="262" t="s">
        <v>129</v>
      </c>
      <c r="H73" s="460" t="s">
        <v>359</v>
      </c>
      <c r="I73" s="309" t="s">
        <v>360</v>
      </c>
      <c r="J73" s="309" t="s">
        <v>361</v>
      </c>
      <c r="K73" s="268">
        <v>28</v>
      </c>
      <c r="L73" s="299">
        <v>25</v>
      </c>
      <c r="M73" s="375">
        <v>1.9</v>
      </c>
      <c r="N73" s="375">
        <v>202.37</v>
      </c>
      <c r="O73" s="262">
        <v>0</v>
      </c>
      <c r="P73" s="347"/>
      <c r="Q73" s="347"/>
      <c r="R73" s="348"/>
      <c r="S73" s="270">
        <f t="shared" si="278"/>
        <v>0</v>
      </c>
      <c r="T73" s="273">
        <f t="shared" si="31"/>
        <v>446428.57142857101</v>
      </c>
      <c r="U73" s="347"/>
      <c r="V73" s="347"/>
      <c r="W73" s="347"/>
      <c r="X73" s="347"/>
      <c r="Y73" s="347"/>
      <c r="Z73" s="347"/>
      <c r="AA73" s="310">
        <v>6000000</v>
      </c>
      <c r="AB73" s="311">
        <f>AA73</f>
        <v>6000000</v>
      </c>
      <c r="AC73" s="312">
        <v>6000000</v>
      </c>
      <c r="AD73" s="313"/>
      <c r="AE73" s="275">
        <f t="shared" si="158"/>
        <v>50892.857142857101</v>
      </c>
      <c r="AF73" s="276">
        <f t="shared" si="11"/>
        <v>8130937.5</v>
      </c>
      <c r="AG73" s="276">
        <v>0</v>
      </c>
      <c r="AH73" s="276">
        <v>0</v>
      </c>
      <c r="AI73" s="276">
        <v>1339286</v>
      </c>
      <c r="AJ73" s="276"/>
      <c r="AK73" s="276"/>
      <c r="AL73" s="276">
        <v>233333</v>
      </c>
      <c r="AM73" s="276">
        <v>0</v>
      </c>
      <c r="AN73" s="276">
        <v>0</v>
      </c>
      <c r="AO73" s="276">
        <v>0</v>
      </c>
      <c r="AP73" s="276">
        <v>0</v>
      </c>
      <c r="AQ73" s="276">
        <v>0</v>
      </c>
      <c r="AR73" s="276"/>
      <c r="AS73" s="276">
        <v>0</v>
      </c>
      <c r="AT73" s="276">
        <v>0</v>
      </c>
      <c r="AU73" s="276">
        <v>0</v>
      </c>
      <c r="AV73" s="276"/>
      <c r="AW73" s="276"/>
      <c r="AX73" s="349"/>
      <c r="AY73" s="350"/>
      <c r="AZ73" s="351"/>
      <c r="BA73" s="300">
        <v>0</v>
      </c>
      <c r="BB73" s="300">
        <v>0</v>
      </c>
      <c r="BC73" s="300">
        <v>0</v>
      </c>
      <c r="BD73" s="300">
        <v>0</v>
      </c>
      <c r="BE73" s="300">
        <v>0</v>
      </c>
      <c r="BF73" s="363">
        <v>500000</v>
      </c>
      <c r="BG73" s="279">
        <f t="shared" si="61"/>
        <v>9700877.9285714291</v>
      </c>
      <c r="BH73" s="277">
        <f t="shared" si="279"/>
        <v>0</v>
      </c>
      <c r="BI73" s="277">
        <f t="shared" si="280"/>
        <v>0</v>
      </c>
      <c r="BJ73" s="277">
        <f t="shared" si="281"/>
        <v>0</v>
      </c>
      <c r="BK73" s="277"/>
      <c r="BL73" s="280">
        <f t="shared" si="282"/>
        <v>0</v>
      </c>
      <c r="BM73" s="277">
        <f t="shared" si="283"/>
        <v>0</v>
      </c>
      <c r="BN73" s="277">
        <f t="shared" si="284"/>
        <v>0</v>
      </c>
      <c r="BO73" s="277">
        <f t="shared" si="285"/>
        <v>0</v>
      </c>
      <c r="BP73" s="277"/>
      <c r="BQ73" s="280">
        <f t="shared" si="286"/>
        <v>0</v>
      </c>
      <c r="BR73" s="333">
        <f>AF73</f>
        <v>8130937.5</v>
      </c>
      <c r="BS73" s="312">
        <f>T73+U73+V73+W73</f>
        <v>446428.57142857101</v>
      </c>
      <c r="BT73" s="281">
        <f t="shared" si="287"/>
        <v>1123511.8571428601</v>
      </c>
      <c r="BU73" s="282">
        <f t="shared" si="288"/>
        <v>0</v>
      </c>
      <c r="BV73" s="311"/>
      <c r="BW73" s="277">
        <f t="shared" si="289"/>
        <v>0</v>
      </c>
      <c r="BX73" s="277">
        <f t="shared" si="290"/>
        <v>0</v>
      </c>
      <c r="BY73" s="284">
        <f t="shared" si="291"/>
        <v>0</v>
      </c>
      <c r="BZ73" s="277">
        <f t="shared" si="292"/>
        <v>1123511.8571428601</v>
      </c>
      <c r="CA73" s="277">
        <f t="shared" si="293"/>
        <v>0</v>
      </c>
      <c r="CB73" s="283">
        <f t="shared" si="294"/>
        <v>9700878</v>
      </c>
      <c r="CC73" s="311"/>
      <c r="CD73" s="278"/>
      <c r="CE73" s="285">
        <f t="shared" si="295"/>
        <v>9700878</v>
      </c>
      <c r="CF73" s="352">
        <f t="shared" si="296"/>
        <v>0</v>
      </c>
      <c r="CG73" s="286">
        <f t="shared" si="297"/>
        <v>9700878</v>
      </c>
      <c r="CH73" s="334"/>
      <c r="CI73" s="335" t="s">
        <v>362</v>
      </c>
      <c r="CJ73" s="353"/>
      <c r="CK73" s="289">
        <v>9</v>
      </c>
      <c r="CL73" s="328"/>
      <c r="CM73" s="336"/>
      <c r="CN73" s="336"/>
      <c r="CO73" s="336"/>
      <c r="CP73" s="337"/>
      <c r="CQ73" s="338"/>
      <c r="CR73" s="337"/>
      <c r="CS73" s="339"/>
      <c r="CT73" s="339"/>
      <c r="CU73" s="339"/>
      <c r="CV73" s="340"/>
      <c r="CW73" s="340"/>
      <c r="CX73" s="340"/>
      <c r="CY73" s="314">
        <f>IF(CX73&gt;0,CX73,IF(CW73&gt;0,CW73,6000000))</f>
        <v>6000000</v>
      </c>
      <c r="CZ73" s="341"/>
      <c r="DA73" s="342"/>
      <c r="DB73" s="343"/>
      <c r="DC73" s="341"/>
      <c r="DE73" s="345"/>
      <c r="DF73" s="346"/>
      <c r="DG73" s="270"/>
    </row>
    <row r="74" spans="1:111" s="111" customFormat="1" ht="27" customHeight="1">
      <c r="A74" s="262">
        <v>65</v>
      </c>
      <c r="B74" s="263" t="s">
        <v>113</v>
      </c>
      <c r="C74" s="307" t="s">
        <v>286</v>
      </c>
      <c r="D74" s="265" t="s">
        <v>287</v>
      </c>
      <c r="E74" s="262" t="str">
        <f>IF(OR(G74="CHT",G74="DSBC"),"HĐLĐ",IF(OR(G74="DSTV",G74="Q.CHT"),"HĐTV","HĐCTV"))</f>
        <v>HĐTV</v>
      </c>
      <c r="F74" s="262" t="s">
        <v>350</v>
      </c>
      <c r="G74" s="262" t="s">
        <v>129</v>
      </c>
      <c r="H74" s="308">
        <v>46190</v>
      </c>
      <c r="I74" s="461" t="s">
        <v>288</v>
      </c>
      <c r="J74" s="309" t="s">
        <v>289</v>
      </c>
      <c r="K74" s="268">
        <v>28</v>
      </c>
      <c r="L74" s="299">
        <v>27</v>
      </c>
      <c r="M74" s="375">
        <v>169.61</v>
      </c>
      <c r="N74" s="375">
        <v>56.18</v>
      </c>
      <c r="O74" s="262">
        <v>0</v>
      </c>
      <c r="P74" s="347"/>
      <c r="Q74" s="347"/>
      <c r="R74" s="348"/>
      <c r="S74" s="270">
        <f t="shared" si="278"/>
        <v>0</v>
      </c>
      <c r="T74" s="273">
        <f t="shared" si="31"/>
        <v>482142.85714285698</v>
      </c>
      <c r="U74" s="347"/>
      <c r="V74" s="347"/>
      <c r="W74" s="347"/>
      <c r="X74" s="347"/>
      <c r="Y74" s="347"/>
      <c r="Z74" s="347"/>
      <c r="AA74" s="310">
        <v>6000000</v>
      </c>
      <c r="AB74" s="311">
        <f>AA74</f>
        <v>6000000</v>
      </c>
      <c r="AC74" s="312">
        <v>6000000</v>
      </c>
      <c r="AD74" s="313"/>
      <c r="AE74" s="275">
        <f t="shared" si="158"/>
        <v>4543125</v>
      </c>
      <c r="AF74" s="276">
        <f t="shared" si="11"/>
        <v>2257232.1428571399</v>
      </c>
      <c r="AG74" s="276">
        <v>0</v>
      </c>
      <c r="AH74" s="276">
        <v>0</v>
      </c>
      <c r="AI74" s="276">
        <v>0</v>
      </c>
      <c r="AJ74" s="276"/>
      <c r="AK74" s="276"/>
      <c r="AL74" s="276">
        <v>1000000</v>
      </c>
      <c r="AM74" s="276">
        <v>0</v>
      </c>
      <c r="AN74" s="276">
        <v>1590500</v>
      </c>
      <c r="AO74" s="276">
        <v>0</v>
      </c>
      <c r="AP74" s="276">
        <v>140</v>
      </c>
      <c r="AQ74" s="276">
        <v>0</v>
      </c>
      <c r="AR74" s="276"/>
      <c r="AS74" s="276">
        <v>0</v>
      </c>
      <c r="AT74" s="276">
        <v>0</v>
      </c>
      <c r="AU74" s="276">
        <v>0</v>
      </c>
      <c r="AV74" s="276"/>
      <c r="AW74" s="276"/>
      <c r="AX74" s="349"/>
      <c r="AY74" s="350"/>
      <c r="AZ74" s="351"/>
      <c r="BA74" s="300">
        <v>0</v>
      </c>
      <c r="BB74" s="300">
        <v>0</v>
      </c>
      <c r="BC74" s="300">
        <v>0</v>
      </c>
      <c r="BD74" s="300">
        <v>0</v>
      </c>
      <c r="BE74" s="300">
        <v>614000</v>
      </c>
      <c r="BF74" s="363">
        <v>0</v>
      </c>
      <c r="BG74" s="279">
        <f t="shared" si="61"/>
        <v>9259140</v>
      </c>
      <c r="BH74" s="277">
        <f t="shared" si="279"/>
        <v>0</v>
      </c>
      <c r="BI74" s="277">
        <f t="shared" si="280"/>
        <v>0</v>
      </c>
      <c r="BJ74" s="277">
        <f t="shared" si="281"/>
        <v>0</v>
      </c>
      <c r="BK74" s="277"/>
      <c r="BL74" s="280">
        <f t="shared" si="282"/>
        <v>0</v>
      </c>
      <c r="BM74" s="277">
        <f t="shared" si="283"/>
        <v>0</v>
      </c>
      <c r="BN74" s="277">
        <f t="shared" si="284"/>
        <v>0</v>
      </c>
      <c r="BO74" s="277">
        <f t="shared" si="285"/>
        <v>0</v>
      </c>
      <c r="BP74" s="277"/>
      <c r="BQ74" s="280">
        <f t="shared" si="286"/>
        <v>0</v>
      </c>
      <c r="BR74" s="333">
        <f>AF74</f>
        <v>2257232.1428571399</v>
      </c>
      <c r="BS74" s="312">
        <f>T74+U74+V74+W74</f>
        <v>482142.85714285698</v>
      </c>
      <c r="BT74" s="281">
        <f t="shared" si="287"/>
        <v>6519765</v>
      </c>
      <c r="BU74" s="282">
        <f t="shared" si="288"/>
        <v>0</v>
      </c>
      <c r="BV74" s="311"/>
      <c r="BW74" s="277">
        <f t="shared" si="289"/>
        <v>0</v>
      </c>
      <c r="BX74" s="277">
        <f t="shared" si="290"/>
        <v>0</v>
      </c>
      <c r="BY74" s="284">
        <f t="shared" si="291"/>
        <v>0</v>
      </c>
      <c r="BZ74" s="277">
        <f t="shared" si="292"/>
        <v>6519765</v>
      </c>
      <c r="CA74" s="277">
        <f t="shared" si="293"/>
        <v>651976.5</v>
      </c>
      <c r="CB74" s="283">
        <f t="shared" si="294"/>
        <v>8607164</v>
      </c>
      <c r="CC74" s="311"/>
      <c r="CD74" s="278"/>
      <c r="CE74" s="285">
        <f t="shared" si="295"/>
        <v>8607164</v>
      </c>
      <c r="CF74" s="352">
        <f t="shared" si="296"/>
        <v>0</v>
      </c>
      <c r="CG74" s="286">
        <f t="shared" si="297"/>
        <v>8607164</v>
      </c>
      <c r="CH74" s="334"/>
      <c r="CI74" s="378" t="s">
        <v>363</v>
      </c>
      <c r="CJ74" s="353"/>
      <c r="CK74" s="270">
        <v>1</v>
      </c>
      <c r="CL74" s="270"/>
      <c r="CM74" s="336"/>
      <c r="CN74" s="336"/>
      <c r="CO74" s="336"/>
      <c r="CP74" s="337"/>
      <c r="CQ74" s="338"/>
      <c r="CR74" s="337"/>
      <c r="CS74" s="339"/>
      <c r="CT74" s="339"/>
      <c r="CU74" s="339"/>
      <c r="CV74" s="340"/>
      <c r="CW74" s="340"/>
      <c r="CX74" s="340"/>
      <c r="CY74" s="314">
        <f>IF(CX74&gt;0,CX74,IF(CW74&gt;0,CW74,6000000))</f>
        <v>6000000</v>
      </c>
      <c r="CZ74" s="341"/>
      <c r="DA74" s="342"/>
      <c r="DB74" s="354" t="s">
        <v>364</v>
      </c>
      <c r="DC74" s="341"/>
      <c r="DE74" s="345"/>
      <c r="DF74" s="346"/>
      <c r="DG74" s="270"/>
    </row>
    <row r="75" spans="1:111" s="110" customFormat="1" ht="24" customHeight="1">
      <c r="A75" s="262"/>
      <c r="B75" s="263" t="s">
        <v>113</v>
      </c>
      <c r="C75" s="307" t="s">
        <v>200</v>
      </c>
      <c r="D75" s="368" t="s">
        <v>201</v>
      </c>
      <c r="E75" s="391" t="str">
        <f t="shared" ref="E75:E76" si="298">IF(OR(G75="CHT",G75="DSBC"),"HĐLĐ",IF(OR(G75="DSTV",G75="Q.CHT"),"HĐTV","HĐCTV"))</f>
        <v>HĐLĐ</v>
      </c>
      <c r="F75" s="262" t="s">
        <v>350</v>
      </c>
      <c r="G75" s="391" t="s">
        <v>117</v>
      </c>
      <c r="H75" s="392" t="s">
        <v>202</v>
      </c>
      <c r="I75" s="393" t="s">
        <v>203</v>
      </c>
      <c r="J75" s="393" t="s">
        <v>204</v>
      </c>
      <c r="K75" s="268">
        <v>28</v>
      </c>
      <c r="L75" s="299">
        <v>4</v>
      </c>
      <c r="M75" s="375">
        <v>32.700000000000003</v>
      </c>
      <c r="N75" s="375">
        <v>0</v>
      </c>
      <c r="O75" s="262">
        <v>0</v>
      </c>
      <c r="P75" s="347"/>
      <c r="Q75" s="347"/>
      <c r="R75" s="348"/>
      <c r="S75" s="270"/>
      <c r="T75" s="273"/>
      <c r="U75" s="347"/>
      <c r="V75" s="347"/>
      <c r="W75" s="347"/>
      <c r="X75" s="347"/>
      <c r="Y75" s="347"/>
      <c r="Z75" s="347"/>
      <c r="AA75" s="310">
        <v>6000000</v>
      </c>
      <c r="AB75" s="311">
        <f>AA75</f>
        <v>6000000</v>
      </c>
      <c r="AC75" s="312">
        <f>IF(E75="HĐTV",AB75*85%,0)</f>
        <v>0</v>
      </c>
      <c r="AD75" s="313"/>
      <c r="AE75" s="275">
        <f t="shared" si="158"/>
        <v>875892.85714285704</v>
      </c>
      <c r="AF75" s="276">
        <f t="shared" ref="AF75:AF88" si="299">IF(E75="HĐTV",AC75/28/8*N75*1.5,AA75/28/8*N75*1.5)</f>
        <v>0</v>
      </c>
      <c r="AG75" s="276">
        <v>0</v>
      </c>
      <c r="AH75" s="276">
        <v>0</v>
      </c>
      <c r="AI75" s="276">
        <v>0</v>
      </c>
      <c r="AJ75" s="276"/>
      <c r="AK75" s="276"/>
      <c r="AL75" s="276">
        <v>0</v>
      </c>
      <c r="AM75" s="276">
        <v>0</v>
      </c>
      <c r="AN75" s="276">
        <v>0</v>
      </c>
      <c r="AO75" s="276">
        <v>15362</v>
      </c>
      <c r="AP75" s="276">
        <v>0</v>
      </c>
      <c r="AQ75" s="276">
        <v>0</v>
      </c>
      <c r="AR75" s="276"/>
      <c r="AS75" s="276">
        <v>0</v>
      </c>
      <c r="AT75" s="276">
        <v>0</v>
      </c>
      <c r="AU75" s="276">
        <v>0</v>
      </c>
      <c r="AV75" s="276"/>
      <c r="AW75" s="276"/>
      <c r="AX75" s="276"/>
      <c r="AY75" s="367"/>
      <c r="AZ75" s="276"/>
      <c r="BA75" s="300">
        <v>0</v>
      </c>
      <c r="BB75" s="300">
        <v>0</v>
      </c>
      <c r="BC75" s="300">
        <v>0</v>
      </c>
      <c r="BD75" s="300">
        <v>0</v>
      </c>
      <c r="BE75" s="300">
        <v>0</v>
      </c>
      <c r="BF75" s="363">
        <v>0</v>
      </c>
      <c r="BG75" s="279">
        <f t="shared" ref="BG75:BG88" si="300">SUM(T75:Z75)+SUM(AD75:AZ75)-SUM(BA75:BF75)</f>
        <v>891254.85714285704</v>
      </c>
      <c r="BH75" s="277">
        <f t="shared" si="279"/>
        <v>0</v>
      </c>
      <c r="BI75" s="277">
        <f t="shared" si="280"/>
        <v>0</v>
      </c>
      <c r="BJ75" s="277">
        <f t="shared" si="281"/>
        <v>0</v>
      </c>
      <c r="BK75" s="277"/>
      <c r="BL75" s="280">
        <f t="shared" si="282"/>
        <v>0</v>
      </c>
      <c r="BM75" s="277">
        <f t="shared" si="283"/>
        <v>0</v>
      </c>
      <c r="BN75" s="277">
        <f t="shared" si="284"/>
        <v>0</v>
      </c>
      <c r="BO75" s="277">
        <f t="shared" si="285"/>
        <v>0</v>
      </c>
      <c r="BP75" s="277"/>
      <c r="BQ75" s="280">
        <f t="shared" si="286"/>
        <v>0</v>
      </c>
      <c r="BR75" s="333"/>
      <c r="BS75" s="312"/>
      <c r="BT75" s="281">
        <f t="shared" si="287"/>
        <v>891254.85714285704</v>
      </c>
      <c r="BU75" s="282">
        <f t="shared" si="288"/>
        <v>15500000</v>
      </c>
      <c r="BV75" s="311"/>
      <c r="BW75" s="277">
        <f t="shared" si="289"/>
        <v>0</v>
      </c>
      <c r="BX75" s="277">
        <f t="shared" si="290"/>
        <v>0</v>
      </c>
      <c r="BY75" s="284">
        <f t="shared" si="291"/>
        <v>15500000</v>
      </c>
      <c r="BZ75" s="277">
        <f t="shared" si="292"/>
        <v>0</v>
      </c>
      <c r="CA75" s="277">
        <f t="shared" si="293"/>
        <v>0</v>
      </c>
      <c r="CB75" s="283">
        <f t="shared" si="294"/>
        <v>891255</v>
      </c>
      <c r="CC75" s="311"/>
      <c r="CD75" s="278"/>
      <c r="CE75" s="285">
        <f t="shared" si="295"/>
        <v>891255</v>
      </c>
      <c r="CF75" s="352">
        <f t="shared" si="296"/>
        <v>0</v>
      </c>
      <c r="CG75" s="286">
        <f t="shared" si="297"/>
        <v>891255</v>
      </c>
      <c r="CH75" s="334"/>
      <c r="CI75" s="335"/>
      <c r="CJ75" s="270"/>
      <c r="CK75" s="289">
        <v>4</v>
      </c>
      <c r="CL75" s="270"/>
      <c r="CM75" s="336"/>
      <c r="CN75" s="336"/>
      <c r="CO75" s="336"/>
      <c r="CP75" s="337"/>
      <c r="CQ75" s="338"/>
      <c r="CR75" s="337"/>
      <c r="CS75" s="339"/>
      <c r="CT75" s="339"/>
      <c r="CU75" s="339"/>
      <c r="CV75" s="340"/>
      <c r="CW75" s="340"/>
      <c r="CX75" s="340"/>
      <c r="CY75" s="314">
        <f>IF(CX75&gt;0,CX75,IF(CW75&gt;0,CW75,6000000))</f>
        <v>6000000</v>
      </c>
      <c r="CZ75" s="341"/>
      <c r="DA75" s="342"/>
      <c r="DB75" s="343"/>
      <c r="DC75" s="344"/>
      <c r="DE75" s="345"/>
      <c r="DF75" s="346"/>
      <c r="DG75" s="270"/>
    </row>
    <row r="76" spans="1:111" s="110" customFormat="1" ht="27.75" customHeight="1">
      <c r="A76" s="262">
        <v>66</v>
      </c>
      <c r="B76" s="263">
        <v>7</v>
      </c>
      <c r="C76" s="395" t="s">
        <v>365</v>
      </c>
      <c r="D76" s="395" t="s">
        <v>366</v>
      </c>
      <c r="E76" s="262" t="str">
        <f t="shared" si="298"/>
        <v>HĐLĐ</v>
      </c>
      <c r="F76" s="262" t="s">
        <v>350</v>
      </c>
      <c r="G76" s="262" t="s">
        <v>117</v>
      </c>
      <c r="H76" s="462" t="s">
        <v>367</v>
      </c>
      <c r="I76" s="466" t="s">
        <v>368</v>
      </c>
      <c r="J76" s="358" t="s">
        <v>337</v>
      </c>
      <c r="K76" s="268">
        <v>28</v>
      </c>
      <c r="L76" s="299">
        <v>27</v>
      </c>
      <c r="M76" s="375">
        <v>251.72</v>
      </c>
      <c r="N76" s="375">
        <v>10.23</v>
      </c>
      <c r="O76" s="262">
        <v>0</v>
      </c>
      <c r="P76" s="299"/>
      <c r="Q76" s="329"/>
      <c r="R76" s="299"/>
      <c r="S76" s="270">
        <f t="shared" si="278"/>
        <v>5310000</v>
      </c>
      <c r="T76" s="273">
        <f t="shared" si="31"/>
        <v>482142.85714285698</v>
      </c>
      <c r="U76" s="299"/>
      <c r="V76" s="330"/>
      <c r="W76" s="299"/>
      <c r="X76" s="299"/>
      <c r="Y76" s="299"/>
      <c r="Z76" s="299"/>
      <c r="AA76" s="310">
        <v>6000000</v>
      </c>
      <c r="AB76" s="311">
        <f>AA76</f>
        <v>6000000</v>
      </c>
      <c r="AC76" s="312">
        <f>IF(E76="HĐTV",AB76*85%,0)</f>
        <v>0</v>
      </c>
      <c r="AD76" s="313"/>
      <c r="AE76" s="275">
        <f t="shared" si="158"/>
        <v>6742500</v>
      </c>
      <c r="AF76" s="276">
        <f t="shared" si="299"/>
        <v>411026.78571428597</v>
      </c>
      <c r="AG76" s="276">
        <v>0</v>
      </c>
      <c r="AH76" s="276">
        <v>0</v>
      </c>
      <c r="AI76" s="276">
        <v>0</v>
      </c>
      <c r="AJ76" s="276"/>
      <c r="AK76" s="276"/>
      <c r="AL76" s="276">
        <v>0</v>
      </c>
      <c r="AM76" s="276">
        <v>0</v>
      </c>
      <c r="AN76" s="276">
        <v>1392300</v>
      </c>
      <c r="AO76" s="276">
        <v>223268</v>
      </c>
      <c r="AP76" s="276">
        <v>0</v>
      </c>
      <c r="AQ76" s="276">
        <v>0</v>
      </c>
      <c r="AR76" s="276"/>
      <c r="AS76" s="276">
        <v>0</v>
      </c>
      <c r="AT76" s="276">
        <v>0</v>
      </c>
      <c r="AU76" s="276">
        <v>0</v>
      </c>
      <c r="AV76" s="276"/>
      <c r="AW76" s="278"/>
      <c r="AX76" s="278"/>
      <c r="AY76" s="394"/>
      <c r="AZ76" s="278"/>
      <c r="BA76" s="300">
        <v>0</v>
      </c>
      <c r="BB76" s="300">
        <v>0</v>
      </c>
      <c r="BC76" s="300">
        <v>0</v>
      </c>
      <c r="BD76" s="300">
        <v>0</v>
      </c>
      <c r="BE76" s="300">
        <v>76900</v>
      </c>
      <c r="BF76" s="363">
        <v>0</v>
      </c>
      <c r="BG76" s="279">
        <f t="shared" si="300"/>
        <v>9174337.6428571399</v>
      </c>
      <c r="BH76" s="277">
        <f t="shared" si="279"/>
        <v>929250</v>
      </c>
      <c r="BI76" s="277">
        <f t="shared" si="280"/>
        <v>159300</v>
      </c>
      <c r="BJ76" s="277">
        <f t="shared" si="281"/>
        <v>53100</v>
      </c>
      <c r="BK76" s="277"/>
      <c r="BL76" s="280">
        <f t="shared" si="282"/>
        <v>1141650</v>
      </c>
      <c r="BM76" s="277">
        <f t="shared" si="283"/>
        <v>424800</v>
      </c>
      <c r="BN76" s="277">
        <f t="shared" si="284"/>
        <v>79650</v>
      </c>
      <c r="BO76" s="277">
        <f t="shared" si="285"/>
        <v>53100</v>
      </c>
      <c r="BP76" s="277"/>
      <c r="BQ76" s="280">
        <f t="shared" si="286"/>
        <v>557550</v>
      </c>
      <c r="BR76" s="333">
        <f t="shared" ref="BR76:BR88" si="301">AF76</f>
        <v>411026.78571428597</v>
      </c>
      <c r="BS76" s="312">
        <f>T76+U76+V76+W76</f>
        <v>482142.85714285698</v>
      </c>
      <c r="BT76" s="281">
        <f t="shared" si="287"/>
        <v>8281168</v>
      </c>
      <c r="BU76" s="282">
        <f t="shared" si="288"/>
        <v>15500000</v>
      </c>
      <c r="BV76" s="312"/>
      <c r="BW76" s="277">
        <f t="shared" si="289"/>
        <v>0</v>
      </c>
      <c r="BX76" s="277">
        <f t="shared" si="290"/>
        <v>557550</v>
      </c>
      <c r="BY76" s="284">
        <f t="shared" si="291"/>
        <v>16057550</v>
      </c>
      <c r="BZ76" s="277">
        <f t="shared" si="292"/>
        <v>0</v>
      </c>
      <c r="CA76" s="277">
        <f t="shared" si="293"/>
        <v>0</v>
      </c>
      <c r="CB76" s="283">
        <f t="shared" si="294"/>
        <v>8616788</v>
      </c>
      <c r="CC76" s="312"/>
      <c r="CD76" s="278"/>
      <c r="CE76" s="285">
        <f t="shared" si="295"/>
        <v>8616788</v>
      </c>
      <c r="CF76" s="352">
        <f t="shared" si="296"/>
        <v>0</v>
      </c>
      <c r="CG76" s="286">
        <f t="shared" si="297"/>
        <v>8616788</v>
      </c>
      <c r="CH76" s="334"/>
      <c r="CI76" s="373" t="s">
        <v>369</v>
      </c>
      <c r="CJ76" s="353"/>
      <c r="CK76" s="271">
        <v>1</v>
      </c>
      <c r="CL76" s="270"/>
      <c r="CM76" s="374">
        <v>25</v>
      </c>
      <c r="CN76" s="374">
        <v>5</v>
      </c>
      <c r="CO76" s="374">
        <v>2026</v>
      </c>
      <c r="CP76" s="337">
        <f>IF((($CO$8-CO76)*12)+($CN$8-CN76)&gt;=12,((($CO$8-CO76)*12)+($CN$8-CN76))-1,0)</f>
        <v>0</v>
      </c>
      <c r="CQ76" s="338">
        <f>IF(CP76&lt;12,(($CQ$8-CO76)*12)+($CP$8-CN76),0)</f>
        <v>0</v>
      </c>
      <c r="CR76" s="337">
        <f>IF(OR(CP76&gt;12,CP76=12),((CP76-(CS76*12))+((($CQ$8-2024)*12)+($CP$8-4)))+1,0)</f>
        <v>0</v>
      </c>
      <c r="CS76" s="339">
        <f>IF(OR(CP76&gt;12,CP76=12),ROUNDDOWN(CP76/12,0),0)</f>
        <v>0</v>
      </c>
      <c r="CT76" s="339">
        <f>IF(CQ76&gt;11,ROUNDDOWN(CQ76/12,0),0)</f>
        <v>0</v>
      </c>
      <c r="CU76" s="339">
        <f>IF(CR76&gt;11,ROUNDDOWN(CR76/12,0),0)</f>
        <v>0</v>
      </c>
      <c r="CV76" s="340">
        <f>IF(CP76=0,0,6000000*1.07^CS76)</f>
        <v>0</v>
      </c>
      <c r="CW76" s="340">
        <f>IF(CT76&lt;2,0,6000000+(CT76-1)*500000)</f>
        <v>0</v>
      </c>
      <c r="CX76" s="340">
        <f>IF(CU76=0,CV76,IF(CU76&lt;1,0,CV76+CU76*500000))</f>
        <v>0</v>
      </c>
      <c r="CY76" s="314">
        <v>5100000</v>
      </c>
      <c r="CZ76" s="341"/>
      <c r="DA76" s="342"/>
      <c r="DB76" s="354" t="s">
        <v>370</v>
      </c>
      <c r="DC76" s="344"/>
      <c r="DE76" s="345"/>
      <c r="DF76" s="346" t="e">
        <f>VLOOKUP($D76,'[2]Med Service'!$D$11:$DI$87,110,0)</f>
        <v>#N/A</v>
      </c>
      <c r="DG76" s="299" t="str">
        <f>VLOOKUP($D76,'[3]BẢNG LƯƠNG'!$C$3:$AH$102,32,0)</f>
        <v/>
      </c>
    </row>
    <row r="77" spans="1:111" s="109" customFormat="1" ht="27" customHeight="1">
      <c r="A77" s="320"/>
      <c r="B77" s="321"/>
      <c r="C77" s="322"/>
      <c r="D77" s="323"/>
      <c r="E77" s="320"/>
      <c r="F77" s="320"/>
      <c r="G77" s="320"/>
      <c r="H77" s="324"/>
      <c r="I77" s="396"/>
      <c r="J77" s="396"/>
      <c r="K77" s="326">
        <f t="shared" ref="K77:L77" si="302">SUM(K71:K76)</f>
        <v>168</v>
      </c>
      <c r="L77" s="326">
        <f t="shared" si="302"/>
        <v>132</v>
      </c>
      <c r="M77" s="326">
        <f t="shared" ref="M77:BX77" si="303">SUM(M71:M76)</f>
        <v>722.9</v>
      </c>
      <c r="N77" s="326">
        <f t="shared" si="303"/>
        <v>479.56</v>
      </c>
      <c r="O77" s="326">
        <f t="shared" si="303"/>
        <v>0</v>
      </c>
      <c r="P77" s="326">
        <f t="shared" si="303"/>
        <v>0</v>
      </c>
      <c r="Q77" s="326">
        <f t="shared" si="303"/>
        <v>0</v>
      </c>
      <c r="R77" s="326">
        <f t="shared" si="303"/>
        <v>0</v>
      </c>
      <c r="S77" s="326">
        <f t="shared" si="303"/>
        <v>15930000</v>
      </c>
      <c r="T77" s="326">
        <f t="shared" si="303"/>
        <v>2285714.2857142901</v>
      </c>
      <c r="U77" s="326">
        <f t="shared" si="303"/>
        <v>0</v>
      </c>
      <c r="V77" s="326">
        <f t="shared" si="303"/>
        <v>0</v>
      </c>
      <c r="W77" s="326">
        <f t="shared" si="303"/>
        <v>0</v>
      </c>
      <c r="X77" s="326">
        <f t="shared" si="303"/>
        <v>0</v>
      </c>
      <c r="Y77" s="326">
        <f t="shared" si="303"/>
        <v>0</v>
      </c>
      <c r="Z77" s="326">
        <f t="shared" si="303"/>
        <v>0</v>
      </c>
      <c r="AA77" s="326">
        <f t="shared" si="303"/>
        <v>36000000</v>
      </c>
      <c r="AB77" s="326">
        <f t="shared" si="303"/>
        <v>24000000</v>
      </c>
      <c r="AC77" s="326">
        <f t="shared" si="303"/>
        <v>12000000</v>
      </c>
      <c r="AD77" s="326">
        <f t="shared" si="303"/>
        <v>0</v>
      </c>
      <c r="AE77" s="326">
        <f t="shared" si="303"/>
        <v>19363392.857142899</v>
      </c>
      <c r="AF77" s="326">
        <f t="shared" si="303"/>
        <v>19268035.714285702</v>
      </c>
      <c r="AG77" s="326">
        <f t="shared" si="303"/>
        <v>2000000</v>
      </c>
      <c r="AH77" s="326">
        <f t="shared" si="303"/>
        <v>0</v>
      </c>
      <c r="AI77" s="326">
        <f t="shared" si="303"/>
        <v>2732143</v>
      </c>
      <c r="AJ77" s="326">
        <f t="shared" si="303"/>
        <v>0</v>
      </c>
      <c r="AK77" s="326">
        <f t="shared" si="303"/>
        <v>0</v>
      </c>
      <c r="AL77" s="326">
        <f t="shared" si="303"/>
        <v>1733333</v>
      </c>
      <c r="AM77" s="326">
        <f t="shared" si="303"/>
        <v>1186872</v>
      </c>
      <c r="AN77" s="326">
        <f t="shared" si="303"/>
        <v>6950550</v>
      </c>
      <c r="AO77" s="326">
        <f t="shared" si="303"/>
        <v>248305</v>
      </c>
      <c r="AP77" s="326">
        <f t="shared" si="303"/>
        <v>240</v>
      </c>
      <c r="AQ77" s="326">
        <f t="shared" si="303"/>
        <v>0</v>
      </c>
      <c r="AR77" s="326">
        <f t="shared" si="303"/>
        <v>0</v>
      </c>
      <c r="AS77" s="326">
        <f t="shared" si="303"/>
        <v>0</v>
      </c>
      <c r="AT77" s="326">
        <f t="shared" si="303"/>
        <v>150000</v>
      </c>
      <c r="AU77" s="326">
        <f t="shared" si="303"/>
        <v>0</v>
      </c>
      <c r="AV77" s="326">
        <f t="shared" si="303"/>
        <v>0</v>
      </c>
      <c r="AW77" s="326">
        <f t="shared" si="303"/>
        <v>0</v>
      </c>
      <c r="AX77" s="326">
        <f t="shared" si="303"/>
        <v>0</v>
      </c>
      <c r="AY77" s="326">
        <f t="shared" si="303"/>
        <v>0</v>
      </c>
      <c r="AZ77" s="326">
        <f t="shared" si="303"/>
        <v>3306451.6129032299</v>
      </c>
      <c r="BA77" s="326">
        <f t="shared" si="303"/>
        <v>177000</v>
      </c>
      <c r="BB77" s="326">
        <f t="shared" si="303"/>
        <v>0</v>
      </c>
      <c r="BC77" s="326">
        <f t="shared" si="303"/>
        <v>0</v>
      </c>
      <c r="BD77" s="326">
        <f t="shared" si="303"/>
        <v>0</v>
      </c>
      <c r="BE77" s="326">
        <f t="shared" si="303"/>
        <v>736900</v>
      </c>
      <c r="BF77" s="326">
        <f t="shared" si="303"/>
        <v>500000</v>
      </c>
      <c r="BG77" s="326">
        <f t="shared" si="303"/>
        <v>57811137.470046103</v>
      </c>
      <c r="BH77" s="326">
        <f t="shared" si="303"/>
        <v>2787750</v>
      </c>
      <c r="BI77" s="326">
        <f t="shared" si="303"/>
        <v>477900</v>
      </c>
      <c r="BJ77" s="326">
        <f t="shared" si="303"/>
        <v>159300</v>
      </c>
      <c r="BK77" s="326">
        <f t="shared" si="303"/>
        <v>0</v>
      </c>
      <c r="BL77" s="326">
        <f t="shared" si="303"/>
        <v>3424950</v>
      </c>
      <c r="BM77" s="326">
        <f t="shared" si="303"/>
        <v>1274400</v>
      </c>
      <c r="BN77" s="326">
        <f t="shared" si="303"/>
        <v>238950</v>
      </c>
      <c r="BO77" s="326">
        <f t="shared" si="303"/>
        <v>159300</v>
      </c>
      <c r="BP77" s="326">
        <f t="shared" si="303"/>
        <v>0</v>
      </c>
      <c r="BQ77" s="326">
        <f t="shared" si="303"/>
        <v>1672650</v>
      </c>
      <c r="BR77" s="326">
        <f t="shared" si="303"/>
        <v>19268035.714285702</v>
      </c>
      <c r="BS77" s="326">
        <f t="shared" si="303"/>
        <v>2285714.2857142901</v>
      </c>
      <c r="BT77" s="326">
        <f t="shared" si="303"/>
        <v>36257387.470046103</v>
      </c>
      <c r="BU77" s="326">
        <f t="shared" si="303"/>
        <v>62000000</v>
      </c>
      <c r="BV77" s="326">
        <f t="shared" si="303"/>
        <v>0</v>
      </c>
      <c r="BW77" s="326">
        <f t="shared" si="303"/>
        <v>0</v>
      </c>
      <c r="BX77" s="326">
        <f t="shared" si="303"/>
        <v>1672650</v>
      </c>
      <c r="BY77" s="326">
        <f t="shared" ref="BY77:CG77" si="304">SUM(BY71:BY76)</f>
        <v>63672650</v>
      </c>
      <c r="BZ77" s="326">
        <f t="shared" si="304"/>
        <v>7643276.8571428601</v>
      </c>
      <c r="CA77" s="326">
        <f t="shared" si="304"/>
        <v>651976.5</v>
      </c>
      <c r="CB77" s="326">
        <f t="shared" si="304"/>
        <v>55486512</v>
      </c>
      <c r="CC77" s="326">
        <f t="shared" si="304"/>
        <v>0</v>
      </c>
      <c r="CD77" s="326">
        <f t="shared" si="304"/>
        <v>0</v>
      </c>
      <c r="CE77" s="326">
        <f t="shared" si="304"/>
        <v>55486512</v>
      </c>
      <c r="CF77" s="326">
        <f t="shared" si="304"/>
        <v>0</v>
      </c>
      <c r="CG77" s="326">
        <f t="shared" si="304"/>
        <v>55486512</v>
      </c>
      <c r="CH77" s="326">
        <f t="shared" ref="CH77:CI77" si="305">SUM(CH71:CH76)</f>
        <v>0</v>
      </c>
      <c r="CI77" s="326">
        <f t="shared" si="305"/>
        <v>0</v>
      </c>
      <c r="CJ77" s="326">
        <f>SUM(CJ73:CJ76)</f>
        <v>0</v>
      </c>
      <c r="CK77" s="326"/>
      <c r="CL77" s="326"/>
      <c r="CM77" s="326">
        <f t="shared" ref="CM77:DC77" si="306">SUM(CM71:CM76)</f>
        <v>30</v>
      </c>
      <c r="CN77" s="326">
        <f t="shared" si="306"/>
        <v>25</v>
      </c>
      <c r="CO77" s="326">
        <f t="shared" si="306"/>
        <v>6074</v>
      </c>
      <c r="CP77" s="326">
        <f t="shared" si="306"/>
        <v>0</v>
      </c>
      <c r="CQ77" s="326">
        <f t="shared" si="306"/>
        <v>38</v>
      </c>
      <c r="CR77" s="326">
        <f t="shared" si="306"/>
        <v>0</v>
      </c>
      <c r="CS77" s="326">
        <f t="shared" si="306"/>
        <v>0</v>
      </c>
      <c r="CT77" s="326">
        <f t="shared" si="306"/>
        <v>2</v>
      </c>
      <c r="CU77" s="326">
        <f t="shared" si="306"/>
        <v>0</v>
      </c>
      <c r="CV77" s="326">
        <f t="shared" si="306"/>
        <v>0</v>
      </c>
      <c r="CW77" s="326">
        <f t="shared" si="306"/>
        <v>0</v>
      </c>
      <c r="CX77" s="326">
        <f t="shared" si="306"/>
        <v>0</v>
      </c>
      <c r="CY77" s="326">
        <f t="shared" si="306"/>
        <v>35100000</v>
      </c>
      <c r="CZ77" s="326">
        <f t="shared" si="306"/>
        <v>0</v>
      </c>
      <c r="DA77" s="326">
        <f t="shared" si="306"/>
        <v>0</v>
      </c>
      <c r="DB77" s="326">
        <f t="shared" si="306"/>
        <v>0</v>
      </c>
      <c r="DC77" s="326">
        <f t="shared" si="306"/>
        <v>0</v>
      </c>
      <c r="DD77" s="326"/>
      <c r="DE77" s="326">
        <f>SUM(DE71:DE76)</f>
        <v>463873</v>
      </c>
      <c r="DF77" s="326" t="e">
        <f>SUM(DF71:DF76)</f>
        <v>#N/A</v>
      </c>
      <c r="DG77" s="326">
        <f>SUM(DG71:DG76)</f>
        <v>0</v>
      </c>
    </row>
    <row r="78" spans="1:111" s="111" customFormat="1" ht="27" customHeight="1">
      <c r="A78" s="262">
        <v>69</v>
      </c>
      <c r="B78" s="263">
        <v>7</v>
      </c>
      <c r="C78" s="265" t="s">
        <v>371</v>
      </c>
      <c r="D78" s="265" t="s">
        <v>372</v>
      </c>
      <c r="E78" s="262" t="str">
        <f>IF(OR(G78="CHT",G78="DSBC"),"HĐLĐ",IF(OR(G78="DSTV",G78="Q.CHT"),"HĐTV","HĐCTV"))</f>
        <v>HĐLĐ</v>
      </c>
      <c r="F78" s="262" t="s">
        <v>373</v>
      </c>
      <c r="G78" s="262" t="s">
        <v>154</v>
      </c>
      <c r="H78" s="308">
        <v>45008</v>
      </c>
      <c r="I78" s="309" t="s">
        <v>374</v>
      </c>
      <c r="J78" s="309" t="s">
        <v>375</v>
      </c>
      <c r="K78" s="268">
        <v>28</v>
      </c>
      <c r="L78" s="299">
        <v>23</v>
      </c>
      <c r="M78" s="375">
        <v>170.92</v>
      </c>
      <c r="N78" s="375">
        <v>47.16</v>
      </c>
      <c r="O78" s="262">
        <v>0</v>
      </c>
      <c r="P78" s="347"/>
      <c r="Q78" s="347"/>
      <c r="R78" s="348"/>
      <c r="S78" s="270">
        <f t="shared" ref="S78:S82" si="307">IF(E78="HĐLĐ",5310000,0)</f>
        <v>5310000</v>
      </c>
      <c r="T78" s="273">
        <f t="shared" ref="T78:T88" si="308">IF(500000/28*L78&gt;500000,500000,500000/28*L78)</f>
        <v>410714.28571428597</v>
      </c>
      <c r="U78" s="347"/>
      <c r="V78" s="347"/>
      <c r="W78" s="347"/>
      <c r="X78" s="347"/>
      <c r="Y78" s="347"/>
      <c r="Z78" s="347"/>
      <c r="AA78" s="331">
        <f>CY78</f>
        <v>6920000</v>
      </c>
      <c r="AB78" s="347"/>
      <c r="AC78" s="347"/>
      <c r="AD78" s="331"/>
      <c r="AE78" s="275">
        <f t="shared" si="158"/>
        <v>5280207.1428571399</v>
      </c>
      <c r="AF78" s="276">
        <f t="shared" si="299"/>
        <v>2185360.7142857099</v>
      </c>
      <c r="AG78" s="276">
        <v>2000000</v>
      </c>
      <c r="AH78" s="276">
        <v>0</v>
      </c>
      <c r="AI78" s="276">
        <v>0</v>
      </c>
      <c r="AJ78" s="276"/>
      <c r="AK78" s="276"/>
      <c r="AL78" s="276">
        <v>0</v>
      </c>
      <c r="AM78" s="276">
        <v>2751929</v>
      </c>
      <c r="AN78" s="276">
        <v>472750</v>
      </c>
      <c r="AO78" s="276">
        <v>14636</v>
      </c>
      <c r="AP78" s="276">
        <v>0</v>
      </c>
      <c r="AQ78" s="276">
        <v>0</v>
      </c>
      <c r="AR78" s="276"/>
      <c r="AS78" s="276">
        <v>0</v>
      </c>
      <c r="AT78" s="276">
        <v>0</v>
      </c>
      <c r="AU78" s="276">
        <v>0</v>
      </c>
      <c r="AV78" s="276"/>
      <c r="AW78" s="276"/>
      <c r="AX78" s="349"/>
      <c r="AY78" s="350"/>
      <c r="AZ78" s="351"/>
      <c r="BA78" s="276">
        <v>0</v>
      </c>
      <c r="BB78" s="276">
        <v>0</v>
      </c>
      <c r="BC78" s="276">
        <v>0</v>
      </c>
      <c r="BD78" s="276">
        <v>0</v>
      </c>
      <c r="BE78" s="276">
        <v>296052</v>
      </c>
      <c r="BF78" s="278">
        <v>0</v>
      </c>
      <c r="BG78" s="279">
        <f t="shared" si="300"/>
        <v>12819545.142857101</v>
      </c>
      <c r="BH78" s="277">
        <f t="shared" ref="BH78:BH82" si="309">S78*17.5%</f>
        <v>929250</v>
      </c>
      <c r="BI78" s="277">
        <f t="shared" ref="BI78:BI82" si="310">S78*3%</f>
        <v>159300</v>
      </c>
      <c r="BJ78" s="277">
        <f t="shared" ref="BJ78:BJ82" si="311">S78*1%</f>
        <v>53100</v>
      </c>
      <c r="BK78" s="277"/>
      <c r="BL78" s="280">
        <f t="shared" ref="BL78:BL82" si="312">SUM(BH78:BK78)</f>
        <v>1141650</v>
      </c>
      <c r="BM78" s="277">
        <f t="shared" ref="BM78:BM82" si="313">S78*8%</f>
        <v>424800</v>
      </c>
      <c r="BN78" s="277">
        <f t="shared" ref="BN78:BN82" si="314">S78*1.5%</f>
        <v>79650</v>
      </c>
      <c r="BO78" s="277">
        <f t="shared" ref="BO78:BO82" si="315">S78*1%</f>
        <v>53100</v>
      </c>
      <c r="BP78" s="277"/>
      <c r="BQ78" s="280">
        <f t="shared" ref="BQ78:BQ82" si="316">SUM(BM78:BP78)</f>
        <v>557550</v>
      </c>
      <c r="BR78" s="333">
        <f t="shared" si="301"/>
        <v>2185360.7142857099</v>
      </c>
      <c r="BS78" s="312">
        <f>T78+U78+V78+W78</f>
        <v>410714.28571428597</v>
      </c>
      <c r="BT78" s="281">
        <f t="shared" ref="BT78:BT82" si="317">BG78-BS78-BR78</f>
        <v>10223470.142857101</v>
      </c>
      <c r="BU78" s="282">
        <f t="shared" ref="BU78:BU82" si="318">IF(E78="HĐLĐ",15500000,0)</f>
        <v>15500000</v>
      </c>
      <c r="BV78" s="311"/>
      <c r="BW78" s="277">
        <f t="shared" ref="BW78:BW82" si="319">BV78*6200000</f>
        <v>0</v>
      </c>
      <c r="BX78" s="277">
        <f t="shared" ref="BX78:BX82" si="320">BQ78</f>
        <v>557550</v>
      </c>
      <c r="BY78" s="284">
        <f t="shared" ref="BY78:BY82" si="321">BU78+BW78+BX78</f>
        <v>16057550</v>
      </c>
      <c r="BZ78" s="277">
        <f t="shared" ref="BZ78:BZ82" si="322">IF(BT78-BY78&gt;0,BT78-BY78,0)</f>
        <v>0</v>
      </c>
      <c r="CA78" s="277">
        <f t="shared" ref="CA78:CA82" si="323">IF(AND(OR($E78="HĐTV",$E78="HĐCTV"),$BZ78&lt;5000000),0,IF(OR($E78="HĐTV",$E78="HĐCTV"),$BZ78*10%,ROUND(IF($BZ78&lt;=10000000,$BZ78*5%,IF($BZ78&lt;=30000000,$BZ78*10%-500000,IF($BZ78&lt;=60000000,$BZ78*20%-3500000,IF($BZ78&lt;=100000000,$BZ78*30%-9500000,$BZ78*35%-14500000)))),0)))</f>
        <v>0</v>
      </c>
      <c r="CB78" s="283">
        <f t="shared" ref="CB78:CB82" si="324">ROUND(BG78-BQ78-CA78,0)</f>
        <v>12261995</v>
      </c>
      <c r="CC78" s="311"/>
      <c r="CD78" s="278"/>
      <c r="CE78" s="285">
        <f t="shared" ref="CE78:CE82" si="325">CB78+CC78-CD78</f>
        <v>12261995</v>
      </c>
      <c r="CF78" s="333">
        <f>CE78-CG78</f>
        <v>0</v>
      </c>
      <c r="CG78" s="397">
        <f>CE78</f>
        <v>12261995</v>
      </c>
      <c r="CH78" s="311"/>
      <c r="CI78" s="335" t="s">
        <v>376</v>
      </c>
      <c r="CJ78" s="270">
        <f>VLOOKUP(D78,[1]CNT!$C$6:$AP$113,40,0)</f>
        <v>0</v>
      </c>
      <c r="CK78" s="289">
        <v>3</v>
      </c>
      <c r="CL78" s="336"/>
      <c r="CM78" s="336">
        <v>23</v>
      </c>
      <c r="CN78" s="336">
        <v>3</v>
      </c>
      <c r="CO78" s="336">
        <v>2023</v>
      </c>
      <c r="CP78" s="337">
        <f>IF((($CO$8-CO78)*12)+($CN$8-CN78)&gt;=12,((($CO$8-CO78)*12)+($CN$8-CN78))-1,0)</f>
        <v>12</v>
      </c>
      <c r="CQ78" s="338">
        <f>IF(CP78&lt;12,(($CQ$8-CO78)*12)+($CP$8-CN78),0)</f>
        <v>0</v>
      </c>
      <c r="CR78" s="337">
        <f>IF(OR(CP78&gt;12,CP78=12),((CP78-(CS78*12))+((($CQ$8-2024)*12)+($CP$8-4)))+1,0)</f>
        <v>26</v>
      </c>
      <c r="CS78" s="339">
        <f>IF(OR(CP78&gt;12,CP78=12),ROUNDDOWN(CP78/12,0),0)</f>
        <v>1</v>
      </c>
      <c r="CT78" s="339">
        <f t="shared" ref="CT78:CU82" si="326">IF(CQ78&gt;11,ROUNDDOWN(CQ78/12,0),0)</f>
        <v>0</v>
      </c>
      <c r="CU78" s="339">
        <f t="shared" si="326"/>
        <v>2</v>
      </c>
      <c r="CV78" s="340">
        <f>IF(CP78=0,0,6000000*1.07^CS78)</f>
        <v>6420000</v>
      </c>
      <c r="CW78" s="340">
        <f>IF(CT78&lt;2,0,6000000+(CT78-1)*500000)</f>
        <v>0</v>
      </c>
      <c r="CX78" s="340">
        <f>IF(CU78=0,CV78,IF(CU78&lt;1,0,CV78+CU78*500000))</f>
        <v>7420000</v>
      </c>
      <c r="CY78" s="314">
        <v>6920000</v>
      </c>
      <c r="CZ78" s="341"/>
      <c r="DA78" s="342">
        <f>CJ78</f>
        <v>0</v>
      </c>
      <c r="DB78" s="354" t="s">
        <v>377</v>
      </c>
      <c r="DC78" s="341"/>
      <c r="DE78" s="345">
        <f>VLOOKUP($D78,'[6]Tong hop'!$B$8:$Q$45,15,0)</f>
        <v>257279</v>
      </c>
      <c r="DF78" s="346">
        <f>VLOOKUP($D78,'[2]Med Service'!$D$11:$DI$87,110,0)</f>
        <v>0</v>
      </c>
      <c r="DG78" s="270" t="str">
        <f>VLOOKUP($D78,'[3]BẢNG LƯƠNG'!$C$3:$AH$102,32,0)</f>
        <v>Vào ca trễ 08/05/2026: 10.000đ
Vi phạm chấm điểm checklist  29/05/2026: 10.000đ</v>
      </c>
    </row>
    <row r="79" spans="1:111" s="110" customFormat="1" ht="27.75" customHeight="1">
      <c r="A79" s="262">
        <v>70</v>
      </c>
      <c r="B79" s="263">
        <v>7</v>
      </c>
      <c r="C79" s="265" t="s">
        <v>378</v>
      </c>
      <c r="D79" s="265" t="s">
        <v>379</v>
      </c>
      <c r="E79" s="262" t="str">
        <f>IF(OR(G79="CHT",G79="DSBC"),"HĐLĐ",IF(OR(G79="DSTV",G79="Q.CHT"),"HĐTV","HĐCTV"))</f>
        <v>HĐLĐ</v>
      </c>
      <c r="F79" s="262" t="s">
        <v>373</v>
      </c>
      <c r="G79" s="262" t="s">
        <v>117</v>
      </c>
      <c r="H79" s="308">
        <v>44562</v>
      </c>
      <c r="I79" s="309" t="s">
        <v>380</v>
      </c>
      <c r="J79" s="309" t="s">
        <v>381</v>
      </c>
      <c r="K79" s="268">
        <v>28</v>
      </c>
      <c r="L79" s="299">
        <v>31</v>
      </c>
      <c r="M79" s="375">
        <v>21</v>
      </c>
      <c r="N79" s="375">
        <v>247.77</v>
      </c>
      <c r="O79" s="262">
        <v>16</v>
      </c>
      <c r="P79" s="347"/>
      <c r="Q79" s="347"/>
      <c r="R79" s="348"/>
      <c r="S79" s="270">
        <f t="shared" si="307"/>
        <v>5310000</v>
      </c>
      <c r="T79" s="273">
        <f t="shared" si="308"/>
        <v>500000</v>
      </c>
      <c r="U79" s="347"/>
      <c r="V79" s="347"/>
      <c r="W79" s="347"/>
      <c r="X79" s="347"/>
      <c r="Y79" s="347"/>
      <c r="Z79" s="347"/>
      <c r="AA79" s="331">
        <f>CY79</f>
        <v>7869400</v>
      </c>
      <c r="AB79" s="347"/>
      <c r="AC79" s="347"/>
      <c r="AD79" s="347"/>
      <c r="AE79" s="275">
        <f t="shared" si="158"/>
        <v>737756.25</v>
      </c>
      <c r="AF79" s="276">
        <f t="shared" si="299"/>
        <v>13056704.71875</v>
      </c>
      <c r="AG79" s="276">
        <v>0</v>
      </c>
      <c r="AH79" s="276">
        <v>0</v>
      </c>
      <c r="AI79" s="276">
        <v>1500000</v>
      </c>
      <c r="AJ79" s="276"/>
      <c r="AK79" s="276"/>
      <c r="AL79" s="276">
        <v>1650000</v>
      </c>
      <c r="AM79" s="276">
        <v>0</v>
      </c>
      <c r="AN79" s="276">
        <v>6729100</v>
      </c>
      <c r="AO79" s="276">
        <v>36876</v>
      </c>
      <c r="AP79" s="276">
        <v>0</v>
      </c>
      <c r="AQ79" s="276">
        <v>0</v>
      </c>
      <c r="AR79" s="276"/>
      <c r="AS79" s="276">
        <v>324000</v>
      </c>
      <c r="AT79" s="276">
        <v>0</v>
      </c>
      <c r="AU79" s="276">
        <v>0</v>
      </c>
      <c r="AV79" s="276"/>
      <c r="AW79" s="276"/>
      <c r="AX79" s="276"/>
      <c r="AY79" s="276"/>
      <c r="AZ79" s="276"/>
      <c r="BA79" s="276">
        <v>0</v>
      </c>
      <c r="BB79" s="276">
        <v>0</v>
      </c>
      <c r="BC79" s="276">
        <v>0</v>
      </c>
      <c r="BD79" s="276">
        <v>0</v>
      </c>
      <c r="BE79" s="276">
        <v>617016</v>
      </c>
      <c r="BF79" s="278">
        <v>0</v>
      </c>
      <c r="BG79" s="279">
        <f t="shared" si="300"/>
        <v>23917420.96875</v>
      </c>
      <c r="BH79" s="277">
        <f t="shared" si="309"/>
        <v>929250</v>
      </c>
      <c r="BI79" s="277">
        <f t="shared" si="310"/>
        <v>159300</v>
      </c>
      <c r="BJ79" s="277">
        <f t="shared" si="311"/>
        <v>53100</v>
      </c>
      <c r="BK79" s="277"/>
      <c r="BL79" s="280">
        <f t="shared" si="312"/>
        <v>1141650</v>
      </c>
      <c r="BM79" s="277">
        <f t="shared" si="313"/>
        <v>424800</v>
      </c>
      <c r="BN79" s="277">
        <f t="shared" si="314"/>
        <v>79650</v>
      </c>
      <c r="BO79" s="277">
        <f t="shared" si="315"/>
        <v>53100</v>
      </c>
      <c r="BP79" s="277"/>
      <c r="BQ79" s="280">
        <f t="shared" si="316"/>
        <v>557550</v>
      </c>
      <c r="BR79" s="333">
        <f t="shared" si="301"/>
        <v>13056704.71875</v>
      </c>
      <c r="BS79" s="312">
        <f>T79+U79+V79+W79</f>
        <v>500000</v>
      </c>
      <c r="BT79" s="281">
        <f t="shared" si="317"/>
        <v>10360716.25</v>
      </c>
      <c r="BU79" s="282">
        <f t="shared" si="318"/>
        <v>15500000</v>
      </c>
      <c r="BV79" s="311"/>
      <c r="BW79" s="277">
        <f t="shared" si="319"/>
        <v>0</v>
      </c>
      <c r="BX79" s="277">
        <f t="shared" si="320"/>
        <v>557550</v>
      </c>
      <c r="BY79" s="284">
        <f t="shared" si="321"/>
        <v>16057550</v>
      </c>
      <c r="BZ79" s="277">
        <f t="shared" si="322"/>
        <v>0</v>
      </c>
      <c r="CA79" s="277">
        <f t="shared" si="323"/>
        <v>0</v>
      </c>
      <c r="CB79" s="283">
        <f t="shared" si="324"/>
        <v>23359871</v>
      </c>
      <c r="CC79" s="311"/>
      <c r="CD79" s="278"/>
      <c r="CE79" s="285">
        <f t="shared" si="325"/>
        <v>23359871</v>
      </c>
      <c r="CF79" s="333">
        <f>CE79-CG79</f>
        <v>0</v>
      </c>
      <c r="CG79" s="397">
        <f>CE79</f>
        <v>23359871</v>
      </c>
      <c r="CH79" s="311"/>
      <c r="CI79" s="335" t="s">
        <v>382</v>
      </c>
      <c r="CJ79" s="270" t="str">
        <f>VLOOKUP(D79,[1]CNT!$C$6:$AP$113,40,0)</f>
        <v>Sai doanh thu HD.7X6WNOMV : 137.000đ</v>
      </c>
      <c r="CK79" s="289">
        <v>2</v>
      </c>
      <c r="CL79" s="299"/>
      <c r="CM79" s="336">
        <v>25</v>
      </c>
      <c r="CN79" s="336">
        <v>3</v>
      </c>
      <c r="CO79" s="336">
        <v>2022</v>
      </c>
      <c r="CP79" s="337">
        <f>IF((($CO$8-CO79)*12)+($CN$8-CN79)&gt;=12,((($CO$8-CO79)*12)+($CN$8-CN79))-1,0)</f>
        <v>24</v>
      </c>
      <c r="CQ79" s="338">
        <f>IF(CP79&lt;12,(($CQ$8-CO79)*12)+($CP$8-CN79),0)</f>
        <v>0</v>
      </c>
      <c r="CR79" s="337">
        <f>IF(OR(CP79&gt;12,CP79=12),((CP79-(CS79*12))+((($CQ$8-2024)*12)+($CP$8-4)))+1,0)</f>
        <v>26</v>
      </c>
      <c r="CS79" s="339">
        <f>IF(OR(CP79&gt;12,CP79=12),ROUNDDOWN(CP79/12,0),0)</f>
        <v>2</v>
      </c>
      <c r="CT79" s="339">
        <f t="shared" si="326"/>
        <v>0</v>
      </c>
      <c r="CU79" s="339">
        <f t="shared" si="326"/>
        <v>2</v>
      </c>
      <c r="CV79" s="340">
        <f>IF(CP79=0,0,6000000*1.07^CS79)</f>
        <v>6869400</v>
      </c>
      <c r="CW79" s="340">
        <f>IF(CT79&lt;2,0,6000000+(CT79-1)*500000)</f>
        <v>0</v>
      </c>
      <c r="CX79" s="340">
        <f>IF(CU79=0,CV79,IF(CU79&lt;1,0,CV79+CU79*500000))</f>
        <v>7869400</v>
      </c>
      <c r="CY79" s="314">
        <f>IF(CX79&gt;0,CX79,IF(CW79&gt;0,CW79,6000000))</f>
        <v>7869400</v>
      </c>
      <c r="CZ79" s="341"/>
      <c r="DA79" s="342" t="str">
        <f>CJ79</f>
        <v>Sai doanh thu HD.7X6WNOMV : 137.000đ</v>
      </c>
      <c r="DB79" s="354" t="s">
        <v>383</v>
      </c>
      <c r="DC79" s="344"/>
      <c r="DE79" s="345"/>
      <c r="DF79" s="346">
        <f>VLOOKUP($D79,'[2]Med Service'!$D$11:$DI$87,110,0)</f>
        <v>0</v>
      </c>
      <c r="DG79" s="270" t="str">
        <f>VLOOKUP($D79,'[3]BẢNG LƯƠNG'!$C$3:$AH$102,32,0)</f>
        <v/>
      </c>
    </row>
    <row r="80" spans="1:111" s="111" customFormat="1" ht="27" customHeight="1">
      <c r="A80" s="262">
        <v>71</v>
      </c>
      <c r="B80" s="263">
        <v>7</v>
      </c>
      <c r="C80" s="265" t="s">
        <v>384</v>
      </c>
      <c r="D80" s="265" t="s">
        <v>385</v>
      </c>
      <c r="E80" s="262" t="str">
        <f>IF(OR(G80="CHT",G80="DSBC"),"HĐLĐ",IF(OR(G80="DSTV",G80="Q.CHT"),"HĐTV","HĐCTV"))</f>
        <v>HĐLĐ</v>
      </c>
      <c r="F80" s="262" t="s">
        <v>373</v>
      </c>
      <c r="G80" s="262" t="s">
        <v>117</v>
      </c>
      <c r="H80" s="308" t="s">
        <v>386</v>
      </c>
      <c r="I80" s="309" t="s">
        <v>387</v>
      </c>
      <c r="J80" s="309" t="s">
        <v>388</v>
      </c>
      <c r="K80" s="268">
        <v>28</v>
      </c>
      <c r="L80" s="299">
        <v>28</v>
      </c>
      <c r="M80" s="375">
        <v>216.41</v>
      </c>
      <c r="N80" s="375">
        <v>77.34</v>
      </c>
      <c r="O80" s="262">
        <v>0</v>
      </c>
      <c r="P80" s="270"/>
      <c r="Q80" s="270"/>
      <c r="R80" s="270"/>
      <c r="S80" s="270">
        <f t="shared" si="307"/>
        <v>5310000</v>
      </c>
      <c r="T80" s="273">
        <f t="shared" si="308"/>
        <v>500000</v>
      </c>
      <c r="U80" s="270"/>
      <c r="V80" s="270"/>
      <c r="W80" s="270"/>
      <c r="X80" s="270"/>
      <c r="Y80" s="270"/>
      <c r="Z80" s="270"/>
      <c r="AA80" s="331">
        <f>CY80</f>
        <v>6000000</v>
      </c>
      <c r="AB80" s="270"/>
      <c r="AC80" s="270"/>
      <c r="AD80" s="270"/>
      <c r="AE80" s="275">
        <f t="shared" si="158"/>
        <v>5796696.42857143</v>
      </c>
      <c r="AF80" s="276">
        <f t="shared" si="299"/>
        <v>3107410.7142857099</v>
      </c>
      <c r="AG80" s="276">
        <v>0</v>
      </c>
      <c r="AH80" s="276">
        <v>0</v>
      </c>
      <c r="AI80" s="276">
        <v>0</v>
      </c>
      <c r="AJ80" s="276"/>
      <c r="AK80" s="276"/>
      <c r="AL80" s="276">
        <v>1350000</v>
      </c>
      <c r="AM80" s="276">
        <v>0</v>
      </c>
      <c r="AN80" s="276">
        <v>4105900</v>
      </c>
      <c r="AO80" s="276">
        <v>124767</v>
      </c>
      <c r="AP80" s="276">
        <v>0</v>
      </c>
      <c r="AQ80" s="276">
        <v>0</v>
      </c>
      <c r="AR80" s="276"/>
      <c r="AS80" s="276">
        <v>0</v>
      </c>
      <c r="AT80" s="276">
        <v>0</v>
      </c>
      <c r="AU80" s="276">
        <v>0</v>
      </c>
      <c r="AV80" s="276"/>
      <c r="AW80" s="276"/>
      <c r="AX80" s="276"/>
      <c r="AY80" s="276"/>
      <c r="AZ80" s="276"/>
      <c r="BA80" s="276">
        <v>0</v>
      </c>
      <c r="BB80" s="276">
        <v>0</v>
      </c>
      <c r="BC80" s="276">
        <v>0</v>
      </c>
      <c r="BD80" s="276">
        <v>0</v>
      </c>
      <c r="BE80" s="276">
        <v>778511</v>
      </c>
      <c r="BF80" s="278">
        <v>0</v>
      </c>
      <c r="BG80" s="279">
        <f t="shared" si="300"/>
        <v>14206263.142857101</v>
      </c>
      <c r="BH80" s="277">
        <f t="shared" si="309"/>
        <v>929250</v>
      </c>
      <c r="BI80" s="277">
        <f t="shared" si="310"/>
        <v>159300</v>
      </c>
      <c r="BJ80" s="277">
        <f t="shared" si="311"/>
        <v>53100</v>
      </c>
      <c r="BK80" s="277"/>
      <c r="BL80" s="280">
        <f t="shared" si="312"/>
        <v>1141650</v>
      </c>
      <c r="BM80" s="277">
        <f t="shared" si="313"/>
        <v>424800</v>
      </c>
      <c r="BN80" s="277">
        <f t="shared" si="314"/>
        <v>79650</v>
      </c>
      <c r="BO80" s="277">
        <f t="shared" si="315"/>
        <v>53100</v>
      </c>
      <c r="BP80" s="277"/>
      <c r="BQ80" s="280">
        <f t="shared" si="316"/>
        <v>557550</v>
      </c>
      <c r="BR80" s="333">
        <f t="shared" si="301"/>
        <v>3107410.7142857099</v>
      </c>
      <c r="BS80" s="312">
        <f>T80+U80+V80+W80</f>
        <v>500000</v>
      </c>
      <c r="BT80" s="281">
        <f t="shared" si="317"/>
        <v>10598852.428571399</v>
      </c>
      <c r="BU80" s="282">
        <f t="shared" si="318"/>
        <v>15500000</v>
      </c>
      <c r="BV80" s="311"/>
      <c r="BW80" s="277">
        <f t="shared" si="319"/>
        <v>0</v>
      </c>
      <c r="BX80" s="277">
        <f t="shared" si="320"/>
        <v>557550</v>
      </c>
      <c r="BY80" s="284">
        <f t="shared" si="321"/>
        <v>16057550</v>
      </c>
      <c r="BZ80" s="277">
        <f t="shared" si="322"/>
        <v>0</v>
      </c>
      <c r="CA80" s="277">
        <f t="shared" si="323"/>
        <v>0</v>
      </c>
      <c r="CB80" s="283">
        <f t="shared" si="324"/>
        <v>13648713</v>
      </c>
      <c r="CC80" s="311"/>
      <c r="CD80" s="278"/>
      <c r="CE80" s="285">
        <f t="shared" si="325"/>
        <v>13648713</v>
      </c>
      <c r="CF80" s="333">
        <f>CE80-CG80</f>
        <v>0</v>
      </c>
      <c r="CG80" s="397">
        <f>CE80</f>
        <v>13648713</v>
      </c>
      <c r="CH80" s="311"/>
      <c r="CI80" s="335" t="s">
        <v>389</v>
      </c>
      <c r="CJ80" s="270">
        <f>VLOOKUP(D80,[1]CNT!$C$6:$AP$113,40,0)</f>
        <v>0</v>
      </c>
      <c r="CK80" s="289">
        <v>10</v>
      </c>
      <c r="CL80" s="299"/>
      <c r="CM80" s="336">
        <v>21</v>
      </c>
      <c r="CN80" s="336">
        <v>3</v>
      </c>
      <c r="CO80" s="336">
        <v>2025</v>
      </c>
      <c r="CP80" s="337">
        <f>IF((($CO$8-CO80)*12)+($CN$8-CN80)&gt;=12,((($CO$8-CO80)*12)+($CN$8-CN80))-1,0)</f>
        <v>0</v>
      </c>
      <c r="CQ80" s="338">
        <f>IF(CP80&lt;12,(($CQ$8-CO80)*12)+($CP$8-CN80),0)</f>
        <v>14</v>
      </c>
      <c r="CR80" s="337">
        <f>IF(OR(CP80&gt;12,CP80=12),((CP80-(CS80*12))+((($CQ$8-2024)*12)+($CP$8-4)))+1,0)</f>
        <v>0</v>
      </c>
      <c r="CS80" s="339">
        <f>IF(OR(CP80&gt;12,CP80=12),ROUNDDOWN(CP80/12,0),0)</f>
        <v>0</v>
      </c>
      <c r="CT80" s="339">
        <f t="shared" si="326"/>
        <v>1</v>
      </c>
      <c r="CU80" s="339">
        <f t="shared" si="326"/>
        <v>0</v>
      </c>
      <c r="CV80" s="340">
        <f>IF(CP80=0,0,6000000*1.07^CS80)</f>
        <v>0</v>
      </c>
      <c r="CW80" s="340">
        <f>IF(CT80&lt;2,0,6000000+(CT80-1)*500000)</f>
        <v>0</v>
      </c>
      <c r="CX80" s="340">
        <f>IF(CU80=0,CV80,IF(CU80&lt;1,0,CV80+CU80*500000))</f>
        <v>0</v>
      </c>
      <c r="CY80" s="314">
        <f>IF(CX80&gt;0,CX80,IF(CW80&gt;0,CW80,6000000))</f>
        <v>6000000</v>
      </c>
      <c r="CZ80" s="341"/>
      <c r="DA80" s="342">
        <f>CJ80</f>
        <v>0</v>
      </c>
      <c r="DB80" s="354" t="s">
        <v>390</v>
      </c>
      <c r="DC80" s="341"/>
      <c r="DE80" s="345"/>
      <c r="DF80" s="346">
        <f>VLOOKUP($D80,'[2]Med Service'!$D$11:$DI$87,110,0)</f>
        <v>0</v>
      </c>
      <c r="DG80" s="270" t="str">
        <f>VLOOKUP($D80,'[3]BẢNG LƯƠNG'!$C$3:$AH$102,32,0)</f>
        <v/>
      </c>
    </row>
    <row r="81" spans="1:111" s="111" customFormat="1" ht="27" customHeight="1">
      <c r="A81" s="262">
        <v>72</v>
      </c>
      <c r="B81" s="263">
        <v>7</v>
      </c>
      <c r="C81" s="265" t="s">
        <v>391</v>
      </c>
      <c r="D81" s="265" t="s">
        <v>392</v>
      </c>
      <c r="E81" s="262" t="str">
        <f>IF(OR(G81="CHT",G81="DSBC"),"HĐLĐ",IF(OR(G81="DSTV",G81="Q.CHT"),"HĐTV","HĐCTV"))</f>
        <v>HĐLĐ</v>
      </c>
      <c r="F81" s="262" t="s">
        <v>373</v>
      </c>
      <c r="G81" s="262" t="s">
        <v>117</v>
      </c>
      <c r="H81" s="308">
        <v>45062</v>
      </c>
      <c r="I81" s="309" t="s">
        <v>393</v>
      </c>
      <c r="J81" s="309" t="s">
        <v>264</v>
      </c>
      <c r="K81" s="268">
        <v>28</v>
      </c>
      <c r="L81" s="299">
        <v>28</v>
      </c>
      <c r="M81" s="375">
        <v>117.18</v>
      </c>
      <c r="N81" s="375">
        <v>176.26</v>
      </c>
      <c r="O81" s="262">
        <v>0</v>
      </c>
      <c r="P81" s="347"/>
      <c r="Q81" s="347"/>
      <c r="R81" s="348"/>
      <c r="S81" s="270">
        <f t="shared" si="307"/>
        <v>5310000</v>
      </c>
      <c r="T81" s="273">
        <f t="shared" si="308"/>
        <v>500000</v>
      </c>
      <c r="U81" s="347"/>
      <c r="V81" s="347"/>
      <c r="W81" s="347"/>
      <c r="X81" s="347"/>
      <c r="Y81" s="347"/>
      <c r="Z81" s="347"/>
      <c r="AA81" s="331">
        <f>CY81</f>
        <v>7000000</v>
      </c>
      <c r="AB81" s="347"/>
      <c r="AC81" s="347"/>
      <c r="AD81" s="347"/>
      <c r="AE81" s="275">
        <f t="shared" si="158"/>
        <v>3661875</v>
      </c>
      <c r="AF81" s="276">
        <f t="shared" si="299"/>
        <v>8262187.5</v>
      </c>
      <c r="AG81" s="276">
        <v>0</v>
      </c>
      <c r="AH81" s="276">
        <v>0</v>
      </c>
      <c r="AI81" s="276">
        <v>0</v>
      </c>
      <c r="AJ81" s="276"/>
      <c r="AK81" s="276"/>
      <c r="AL81" s="276">
        <v>1150000</v>
      </c>
      <c r="AM81" s="276">
        <v>0</v>
      </c>
      <c r="AN81" s="276">
        <v>5186750</v>
      </c>
      <c r="AO81" s="276">
        <v>23664</v>
      </c>
      <c r="AP81" s="276">
        <v>0</v>
      </c>
      <c r="AQ81" s="276">
        <v>0</v>
      </c>
      <c r="AR81" s="276"/>
      <c r="AS81" s="276">
        <v>184000</v>
      </c>
      <c r="AT81" s="276">
        <v>0</v>
      </c>
      <c r="AU81" s="276">
        <v>0</v>
      </c>
      <c r="AV81" s="276"/>
      <c r="AW81" s="276"/>
      <c r="AX81" s="349"/>
      <c r="AY81" s="367"/>
      <c r="AZ81" s="351"/>
      <c r="BA81" s="276">
        <v>0</v>
      </c>
      <c r="BB81" s="276">
        <v>0</v>
      </c>
      <c r="BC81" s="276">
        <v>0</v>
      </c>
      <c r="BD81" s="276">
        <v>0</v>
      </c>
      <c r="BE81" s="276">
        <v>280701</v>
      </c>
      <c r="BF81" s="278">
        <v>0</v>
      </c>
      <c r="BG81" s="279">
        <f t="shared" si="300"/>
        <v>18687775.5</v>
      </c>
      <c r="BH81" s="277">
        <f t="shared" si="309"/>
        <v>929250</v>
      </c>
      <c r="BI81" s="277">
        <f t="shared" si="310"/>
        <v>159300</v>
      </c>
      <c r="BJ81" s="277">
        <f t="shared" si="311"/>
        <v>53100</v>
      </c>
      <c r="BK81" s="277"/>
      <c r="BL81" s="280">
        <f t="shared" si="312"/>
        <v>1141650</v>
      </c>
      <c r="BM81" s="277">
        <f t="shared" si="313"/>
        <v>424800</v>
      </c>
      <c r="BN81" s="277">
        <f t="shared" si="314"/>
        <v>79650</v>
      </c>
      <c r="BO81" s="277">
        <f t="shared" si="315"/>
        <v>53100</v>
      </c>
      <c r="BP81" s="277"/>
      <c r="BQ81" s="280">
        <f t="shared" si="316"/>
        <v>557550</v>
      </c>
      <c r="BR81" s="333">
        <f t="shared" si="301"/>
        <v>8262187.5</v>
      </c>
      <c r="BS81" s="312">
        <f>T81+U81+V81+W81</f>
        <v>500000</v>
      </c>
      <c r="BT81" s="281">
        <f t="shared" si="317"/>
        <v>9925588</v>
      </c>
      <c r="BU81" s="282">
        <f t="shared" si="318"/>
        <v>15500000</v>
      </c>
      <c r="BV81" s="311"/>
      <c r="BW81" s="277">
        <f t="shared" si="319"/>
        <v>0</v>
      </c>
      <c r="BX81" s="277">
        <f t="shared" si="320"/>
        <v>557550</v>
      </c>
      <c r="BY81" s="284">
        <f t="shared" si="321"/>
        <v>16057550</v>
      </c>
      <c r="BZ81" s="277">
        <f t="shared" si="322"/>
        <v>0</v>
      </c>
      <c r="CA81" s="277">
        <f t="shared" si="323"/>
        <v>0</v>
      </c>
      <c r="CB81" s="283">
        <f t="shared" si="324"/>
        <v>18130226</v>
      </c>
      <c r="CC81" s="311"/>
      <c r="CD81" s="278"/>
      <c r="CE81" s="285">
        <f t="shared" si="325"/>
        <v>18130226</v>
      </c>
      <c r="CF81" s="333">
        <f>CE81-CG81</f>
        <v>0</v>
      </c>
      <c r="CG81" s="397">
        <f>CE81</f>
        <v>18130226</v>
      </c>
      <c r="CH81" s="311"/>
      <c r="CI81" s="335" t="s">
        <v>394</v>
      </c>
      <c r="CJ81" s="270">
        <f>VLOOKUP(D81,[1]CNT!$C$6:$AP$113,40,0)</f>
        <v>0</v>
      </c>
      <c r="CK81" s="289">
        <v>4</v>
      </c>
      <c r="CL81" s="299"/>
      <c r="CM81" s="336">
        <v>16</v>
      </c>
      <c r="CN81" s="336">
        <v>5</v>
      </c>
      <c r="CO81" s="336">
        <v>2023</v>
      </c>
      <c r="CP81" s="337">
        <f>IF((($CO$8-CO81)*12)+($CN$8-CN81)&gt;=12,((($CO$8-CO81)*12)+($CN$8-CN81))-1,0)</f>
        <v>0</v>
      </c>
      <c r="CQ81" s="338">
        <f>IF(CP81&lt;12,(($CQ$8-CO81)*12)+($CP$8-CN81),0)</f>
        <v>36</v>
      </c>
      <c r="CR81" s="337">
        <f>IF(OR(CP81&gt;12,CP81=12),((CP81-(CS81*12))+((($CQ$8-2024)*12)+($CP$8-4)))+1,0)</f>
        <v>0</v>
      </c>
      <c r="CS81" s="339">
        <f>IF(OR(CP81&gt;12,CP81=12),ROUNDDOWN(CP81/12,0),0)</f>
        <v>0</v>
      </c>
      <c r="CT81" s="339">
        <f t="shared" si="326"/>
        <v>3</v>
      </c>
      <c r="CU81" s="339">
        <f t="shared" si="326"/>
        <v>0</v>
      </c>
      <c r="CV81" s="340">
        <f>IF(CP81=0,0,6000000*1.07^CS81)</f>
        <v>0</v>
      </c>
      <c r="CW81" s="340">
        <f>IF(CT81&lt;2,0,6000000+(CT81-1)*500000)</f>
        <v>7000000</v>
      </c>
      <c r="CX81" s="340">
        <f>IF(CU81=0,CV81,IF(CU81&lt;1,0,CV81+CU81*500000))</f>
        <v>0</v>
      </c>
      <c r="CY81" s="314">
        <f>IF(CX81&gt;0,CX81,IF(CW81&gt;0,CW81,6000000))</f>
        <v>7000000</v>
      </c>
      <c r="CZ81" s="341"/>
      <c r="DA81" s="342">
        <f>CJ81</f>
        <v>0</v>
      </c>
      <c r="DB81" s="354" t="s">
        <v>395</v>
      </c>
      <c r="DC81" s="341"/>
      <c r="DE81" s="345">
        <f>VLOOKUP($D81,'[6]Tong hop'!$B$8:$Q$45,15,0)</f>
        <v>909431</v>
      </c>
      <c r="DF81" s="346">
        <f>VLOOKUP($D81,'[2]Med Service'!$D$11:$DI$87,110,0)</f>
        <v>0</v>
      </c>
      <c r="DG81" s="270" t="str">
        <f>VLOOKUP($D81,'[3]BẢNG LƯƠNG'!$C$3:$AH$102,32,0)</f>
        <v/>
      </c>
    </row>
    <row r="82" spans="1:111" s="111" customFormat="1" ht="27" customHeight="1">
      <c r="A82" s="262">
        <v>73</v>
      </c>
      <c r="B82" s="263">
        <v>7</v>
      </c>
      <c r="C82" s="265" t="s">
        <v>396</v>
      </c>
      <c r="D82" s="265" t="s">
        <v>397</v>
      </c>
      <c r="E82" s="262" t="str">
        <f>IF(OR(G82="CHT",G82="DSBC"),"HĐLĐ",IF(OR(G82="DSTV",G82="Q.CHT"),"HĐTV","HĐCTV"))</f>
        <v>HĐLĐ</v>
      </c>
      <c r="F82" s="262" t="s">
        <v>373</v>
      </c>
      <c r="G82" s="262" t="s">
        <v>117</v>
      </c>
      <c r="H82" s="308" t="s">
        <v>398</v>
      </c>
      <c r="I82" s="467" t="s">
        <v>399</v>
      </c>
      <c r="J82" s="398" t="s">
        <v>220</v>
      </c>
      <c r="K82" s="268">
        <v>28</v>
      </c>
      <c r="L82" s="299">
        <v>26</v>
      </c>
      <c r="M82" s="375">
        <v>216.68</v>
      </c>
      <c r="N82" s="375">
        <v>41.13</v>
      </c>
      <c r="O82" s="262">
        <v>0</v>
      </c>
      <c r="P82" s="347"/>
      <c r="Q82" s="347"/>
      <c r="R82" s="348"/>
      <c r="S82" s="270">
        <f t="shared" si="307"/>
        <v>5310000</v>
      </c>
      <c r="T82" s="273">
        <f t="shared" si="308"/>
        <v>464285.71428571403</v>
      </c>
      <c r="U82" s="347"/>
      <c r="V82" s="347"/>
      <c r="W82" s="347"/>
      <c r="X82" s="347"/>
      <c r="Y82" s="347"/>
      <c r="Z82" s="347"/>
      <c r="AA82" s="331">
        <f>CY82</f>
        <v>6000000</v>
      </c>
      <c r="AB82" s="347"/>
      <c r="AC82" s="347"/>
      <c r="AD82" s="347"/>
      <c r="AE82" s="275">
        <f t="shared" si="158"/>
        <v>5803928.57142857</v>
      </c>
      <c r="AF82" s="276">
        <f t="shared" si="299"/>
        <v>1652544.6428571399</v>
      </c>
      <c r="AG82" s="276">
        <v>0</v>
      </c>
      <c r="AH82" s="276">
        <v>0</v>
      </c>
      <c r="AI82" s="276">
        <v>0</v>
      </c>
      <c r="AJ82" s="276"/>
      <c r="AK82" s="276"/>
      <c r="AL82" s="276">
        <v>0</v>
      </c>
      <c r="AM82" s="276">
        <v>0</v>
      </c>
      <c r="AN82" s="276">
        <v>1520650</v>
      </c>
      <c r="AO82" s="276">
        <v>170114</v>
      </c>
      <c r="AP82" s="276">
        <v>0</v>
      </c>
      <c r="AQ82" s="276">
        <v>500000</v>
      </c>
      <c r="AR82" s="276"/>
      <c r="AS82" s="276">
        <v>0</v>
      </c>
      <c r="AT82" s="276">
        <v>0</v>
      </c>
      <c r="AU82" s="276">
        <v>0</v>
      </c>
      <c r="AV82" s="276"/>
      <c r="AW82" s="276"/>
      <c r="AX82" s="349"/>
      <c r="AY82" s="350"/>
      <c r="AZ82" s="351"/>
      <c r="BA82" s="276">
        <v>0</v>
      </c>
      <c r="BB82" s="276">
        <v>0</v>
      </c>
      <c r="BC82" s="276">
        <v>0</v>
      </c>
      <c r="BD82" s="276">
        <v>0</v>
      </c>
      <c r="BE82" s="276">
        <v>540631</v>
      </c>
      <c r="BF82" s="278">
        <v>0</v>
      </c>
      <c r="BG82" s="279">
        <f t="shared" si="300"/>
        <v>9570891.9285714291</v>
      </c>
      <c r="BH82" s="277">
        <f t="shared" si="309"/>
        <v>929250</v>
      </c>
      <c r="BI82" s="277">
        <f t="shared" si="310"/>
        <v>159300</v>
      </c>
      <c r="BJ82" s="277">
        <f t="shared" si="311"/>
        <v>53100</v>
      </c>
      <c r="BK82" s="277"/>
      <c r="BL82" s="280">
        <f t="shared" si="312"/>
        <v>1141650</v>
      </c>
      <c r="BM82" s="277">
        <f t="shared" si="313"/>
        <v>424800</v>
      </c>
      <c r="BN82" s="277">
        <f t="shared" si="314"/>
        <v>79650</v>
      </c>
      <c r="BO82" s="277">
        <f t="shared" si="315"/>
        <v>53100</v>
      </c>
      <c r="BP82" s="277"/>
      <c r="BQ82" s="280">
        <f t="shared" si="316"/>
        <v>557550</v>
      </c>
      <c r="BR82" s="333">
        <f t="shared" si="301"/>
        <v>1652544.6428571399</v>
      </c>
      <c r="BS82" s="312">
        <f>T82+U82+V82+W82</f>
        <v>464285.71428571403</v>
      </c>
      <c r="BT82" s="281">
        <f t="shared" si="317"/>
        <v>7454061.57142857</v>
      </c>
      <c r="BU82" s="282">
        <f t="shared" si="318"/>
        <v>15500000</v>
      </c>
      <c r="BV82" s="311"/>
      <c r="BW82" s="277">
        <f t="shared" si="319"/>
        <v>0</v>
      </c>
      <c r="BX82" s="277">
        <f t="shared" si="320"/>
        <v>557550</v>
      </c>
      <c r="BY82" s="284">
        <f t="shared" si="321"/>
        <v>16057550</v>
      </c>
      <c r="BZ82" s="277">
        <f t="shared" si="322"/>
        <v>0</v>
      </c>
      <c r="CA82" s="277">
        <f t="shared" si="323"/>
        <v>0</v>
      </c>
      <c r="CB82" s="283">
        <f t="shared" si="324"/>
        <v>9013342</v>
      </c>
      <c r="CC82" s="311"/>
      <c r="CD82" s="278"/>
      <c r="CE82" s="285">
        <f t="shared" si="325"/>
        <v>9013342</v>
      </c>
      <c r="CF82" s="333">
        <f>CE82-CG82</f>
        <v>0</v>
      </c>
      <c r="CG82" s="397">
        <f>CE82</f>
        <v>9013342</v>
      </c>
      <c r="CH82" s="311"/>
      <c r="CI82" s="335" t="str">
        <f>VLOOKUP($C82,[5]Sheet1!$C$5:$K$139,9,0)</f>
        <v>dung.tran@medigoapp.com</v>
      </c>
      <c r="CJ82" s="270" t="str">
        <f>VLOOKUP(D82,[1]CNT!$C$6:$AP$113,40,0)</f>
        <v>Sai doanh thu HD.VQWXD95V : 119.000Đ</v>
      </c>
      <c r="CK82" s="289">
        <v>10</v>
      </c>
      <c r="CL82" s="299"/>
      <c r="CM82" s="336">
        <v>10</v>
      </c>
      <c r="CN82" s="336">
        <v>3</v>
      </c>
      <c r="CO82" s="336">
        <v>2026</v>
      </c>
      <c r="CP82" s="337">
        <f>IF((($CO$8-CO82)*12)+($CN$8-CN82)&gt;=12,((($CO$8-CO82)*12)+($CN$8-CN82))-1,0)</f>
        <v>0</v>
      </c>
      <c r="CQ82" s="338">
        <f>IF(CP82&lt;12,(($CQ$8-CO82)*12)+($CP$8-CN82),0)</f>
        <v>2</v>
      </c>
      <c r="CR82" s="337">
        <f>IF(OR(CP82&gt;12,CP82=12),((CP82-(CS82*12))+((($CQ$8-2024)*12)+($CP$8-4)))+1,0)</f>
        <v>0</v>
      </c>
      <c r="CS82" s="339">
        <f>IF(OR(CP82&gt;12,CP82=12),ROUNDDOWN(CP82/12,0),0)</f>
        <v>0</v>
      </c>
      <c r="CT82" s="339">
        <f t="shared" si="326"/>
        <v>0</v>
      </c>
      <c r="CU82" s="339">
        <f t="shared" si="326"/>
        <v>0</v>
      </c>
      <c r="CV82" s="340">
        <f>IF(CP82=0,0,6000000*1.07^CS82)</f>
        <v>0</v>
      </c>
      <c r="CW82" s="340">
        <f>IF(CT82&lt;2,0,6000000+(CT82-1)*500000)</f>
        <v>0</v>
      </c>
      <c r="CX82" s="340">
        <f>IF(CU82=0,CV82,IF(CU82&lt;1,0,CV82+CU82*500000))</f>
        <v>0</v>
      </c>
      <c r="CY82" s="314">
        <f>IF(CX82&gt;0,CX82,IF(CW82&gt;0,CW82,6000000))</f>
        <v>6000000</v>
      </c>
      <c r="CZ82" s="341"/>
      <c r="DA82" s="342" t="str">
        <f>CJ82</f>
        <v>Sai doanh thu HD.VQWXD95V : 119.000Đ</v>
      </c>
      <c r="DB82" s="354" t="s">
        <v>400</v>
      </c>
      <c r="DC82" s="341"/>
      <c r="DE82" s="345"/>
      <c r="DF82" s="346">
        <f>VLOOKUP($D82,'[2]Med Service'!$D$11:$DI$87,110,0)</f>
        <v>0</v>
      </c>
      <c r="DG82" s="270" t="str">
        <f>VLOOKUP($D82,'[3]BẢNG LƯƠNG'!$C$3:$AH$102,32,0)</f>
        <v>Không chốt tiền theo ca 02/05/2026: 100.000đ
Không dọn dẹp vệ sinh nơi làm việc 23/05/2026: 10.000đ</v>
      </c>
    </row>
    <row r="83" spans="1:111" s="109" customFormat="1" ht="27" customHeight="1">
      <c r="A83" s="320"/>
      <c r="B83" s="321"/>
      <c r="C83" s="322"/>
      <c r="D83" s="323"/>
      <c r="E83" s="320"/>
      <c r="F83" s="320"/>
      <c r="G83" s="320"/>
      <c r="H83" s="326"/>
      <c r="I83" s="326">
        <f t="shared" ref="I83:BT83" si="327">SUM(I78:I82)</f>
        <v>0</v>
      </c>
      <c r="J83" s="326">
        <f t="shared" si="327"/>
        <v>0</v>
      </c>
      <c r="K83" s="327"/>
      <c r="L83" s="326">
        <f>SUM(L78:L82)</f>
        <v>136</v>
      </c>
      <c r="M83" s="326">
        <f t="shared" si="327"/>
        <v>742.19</v>
      </c>
      <c r="N83" s="326">
        <f t="shared" si="327"/>
        <v>589.66</v>
      </c>
      <c r="O83" s="326">
        <f t="shared" si="327"/>
        <v>16</v>
      </c>
      <c r="P83" s="326">
        <f t="shared" si="327"/>
        <v>0</v>
      </c>
      <c r="Q83" s="326">
        <f t="shared" si="327"/>
        <v>0</v>
      </c>
      <c r="R83" s="326">
        <f t="shared" si="327"/>
        <v>0</v>
      </c>
      <c r="S83" s="326">
        <f t="shared" si="327"/>
        <v>26550000</v>
      </c>
      <c r="T83" s="326">
        <f t="shared" si="327"/>
        <v>2375000</v>
      </c>
      <c r="U83" s="326">
        <f t="shared" si="327"/>
        <v>0</v>
      </c>
      <c r="V83" s="326">
        <f t="shared" si="327"/>
        <v>0</v>
      </c>
      <c r="W83" s="326">
        <f t="shared" si="327"/>
        <v>0</v>
      </c>
      <c r="X83" s="326">
        <f t="shared" si="327"/>
        <v>0</v>
      </c>
      <c r="Y83" s="326">
        <f t="shared" si="327"/>
        <v>0</v>
      </c>
      <c r="Z83" s="326">
        <f t="shared" si="327"/>
        <v>0</v>
      </c>
      <c r="AA83" s="326">
        <f t="shared" si="327"/>
        <v>33789400</v>
      </c>
      <c r="AB83" s="326">
        <f t="shared" si="327"/>
        <v>0</v>
      </c>
      <c r="AC83" s="326">
        <f t="shared" si="327"/>
        <v>0</v>
      </c>
      <c r="AD83" s="326">
        <f t="shared" si="327"/>
        <v>0</v>
      </c>
      <c r="AE83" s="326">
        <f t="shared" si="327"/>
        <v>21280463.392857101</v>
      </c>
      <c r="AF83" s="326">
        <f t="shared" si="327"/>
        <v>28264208.290178601</v>
      </c>
      <c r="AG83" s="326">
        <f t="shared" si="327"/>
        <v>2000000</v>
      </c>
      <c r="AH83" s="326">
        <f t="shared" si="327"/>
        <v>0</v>
      </c>
      <c r="AI83" s="326">
        <f t="shared" si="327"/>
        <v>1500000</v>
      </c>
      <c r="AJ83" s="326">
        <f t="shared" si="327"/>
        <v>0</v>
      </c>
      <c r="AK83" s="326">
        <f t="shared" si="327"/>
        <v>0</v>
      </c>
      <c r="AL83" s="326">
        <f t="shared" si="327"/>
        <v>4150000</v>
      </c>
      <c r="AM83" s="326">
        <f t="shared" si="327"/>
        <v>2751929</v>
      </c>
      <c r="AN83" s="326">
        <f t="shared" si="327"/>
        <v>18015150</v>
      </c>
      <c r="AO83" s="326">
        <f t="shared" si="327"/>
        <v>370057</v>
      </c>
      <c r="AP83" s="326">
        <f t="shared" si="327"/>
        <v>0</v>
      </c>
      <c r="AQ83" s="326">
        <f t="shared" si="327"/>
        <v>500000</v>
      </c>
      <c r="AR83" s="326">
        <f t="shared" si="327"/>
        <v>0</v>
      </c>
      <c r="AS83" s="326">
        <f t="shared" si="327"/>
        <v>508000</v>
      </c>
      <c r="AT83" s="326">
        <f t="shared" si="327"/>
        <v>0</v>
      </c>
      <c r="AU83" s="326">
        <f t="shared" si="327"/>
        <v>0</v>
      </c>
      <c r="AV83" s="326">
        <f t="shared" si="327"/>
        <v>0</v>
      </c>
      <c r="AW83" s="326">
        <f t="shared" si="327"/>
        <v>0</v>
      </c>
      <c r="AX83" s="326">
        <f t="shared" si="327"/>
        <v>0</v>
      </c>
      <c r="AY83" s="326">
        <f t="shared" si="327"/>
        <v>0</v>
      </c>
      <c r="AZ83" s="326">
        <f t="shared" si="327"/>
        <v>0</v>
      </c>
      <c r="BA83" s="326">
        <f t="shared" si="327"/>
        <v>0</v>
      </c>
      <c r="BB83" s="326">
        <f t="shared" si="327"/>
        <v>0</v>
      </c>
      <c r="BC83" s="326">
        <f t="shared" si="327"/>
        <v>0</v>
      </c>
      <c r="BD83" s="326">
        <f t="shared" si="327"/>
        <v>0</v>
      </c>
      <c r="BE83" s="326">
        <f t="shared" si="327"/>
        <v>2512911</v>
      </c>
      <c r="BF83" s="326">
        <f t="shared" si="327"/>
        <v>0</v>
      </c>
      <c r="BG83" s="326">
        <f t="shared" si="327"/>
        <v>79201896.683035702</v>
      </c>
      <c r="BH83" s="326">
        <f t="shared" si="327"/>
        <v>4646250</v>
      </c>
      <c r="BI83" s="326">
        <f t="shared" si="327"/>
        <v>796500</v>
      </c>
      <c r="BJ83" s="326">
        <f t="shared" si="327"/>
        <v>265500</v>
      </c>
      <c r="BK83" s="326">
        <f t="shared" si="327"/>
        <v>0</v>
      </c>
      <c r="BL83" s="326">
        <f t="shared" si="327"/>
        <v>5708250</v>
      </c>
      <c r="BM83" s="326">
        <f t="shared" si="327"/>
        <v>2124000</v>
      </c>
      <c r="BN83" s="326">
        <f t="shared" si="327"/>
        <v>398250</v>
      </c>
      <c r="BO83" s="326">
        <f t="shared" si="327"/>
        <v>265500</v>
      </c>
      <c r="BP83" s="326">
        <f t="shared" si="327"/>
        <v>0</v>
      </c>
      <c r="BQ83" s="326">
        <f t="shared" si="327"/>
        <v>2787750</v>
      </c>
      <c r="BR83" s="326">
        <f t="shared" si="327"/>
        <v>28264208.290178601</v>
      </c>
      <c r="BS83" s="326">
        <f t="shared" si="327"/>
        <v>2375000</v>
      </c>
      <c r="BT83" s="326">
        <f t="shared" si="327"/>
        <v>48562688.392857097</v>
      </c>
      <c r="BU83" s="326">
        <f t="shared" ref="BU83:CE83" si="328">SUM(BU78:BU82)</f>
        <v>77500000</v>
      </c>
      <c r="BV83" s="326">
        <f t="shared" si="328"/>
        <v>0</v>
      </c>
      <c r="BW83" s="326">
        <f t="shared" si="328"/>
        <v>0</v>
      </c>
      <c r="BX83" s="326">
        <f t="shared" si="328"/>
        <v>2787750</v>
      </c>
      <c r="BY83" s="326">
        <f t="shared" si="328"/>
        <v>80287750</v>
      </c>
      <c r="BZ83" s="326">
        <f t="shared" si="328"/>
        <v>0</v>
      </c>
      <c r="CA83" s="326">
        <f t="shared" si="328"/>
        <v>0</v>
      </c>
      <c r="CB83" s="326">
        <f t="shared" si="328"/>
        <v>76414147</v>
      </c>
      <c r="CC83" s="326">
        <f t="shared" si="328"/>
        <v>0</v>
      </c>
      <c r="CD83" s="326">
        <f t="shared" si="328"/>
        <v>0</v>
      </c>
      <c r="CE83" s="326">
        <f t="shared" si="328"/>
        <v>76414147</v>
      </c>
      <c r="CF83" s="382">
        <f t="shared" ref="CF83:CG83" si="329">SUM(CF78:CF82)</f>
        <v>0</v>
      </c>
      <c r="CG83" s="399">
        <f t="shared" si="329"/>
        <v>76414147</v>
      </c>
      <c r="CH83" s="326">
        <f t="shared" ref="CH83:DG83" si="330">SUM(CH78:CH82)</f>
        <v>0</v>
      </c>
      <c r="CI83" s="326">
        <f t="shared" si="330"/>
        <v>0</v>
      </c>
      <c r="CJ83" s="326">
        <f t="shared" si="330"/>
        <v>0</v>
      </c>
      <c r="CK83" s="326"/>
      <c r="CL83" s="326"/>
      <c r="CM83" s="326">
        <f t="shared" si="330"/>
        <v>95</v>
      </c>
      <c r="CN83" s="326">
        <f t="shared" si="330"/>
        <v>17</v>
      </c>
      <c r="CO83" s="326">
        <f t="shared" si="330"/>
        <v>10119</v>
      </c>
      <c r="CP83" s="326">
        <f t="shared" si="330"/>
        <v>36</v>
      </c>
      <c r="CQ83" s="326">
        <f t="shared" si="330"/>
        <v>52</v>
      </c>
      <c r="CR83" s="326">
        <f t="shared" si="330"/>
        <v>52</v>
      </c>
      <c r="CS83" s="326">
        <f t="shared" si="330"/>
        <v>3</v>
      </c>
      <c r="CT83" s="326">
        <f t="shared" si="330"/>
        <v>4</v>
      </c>
      <c r="CU83" s="326">
        <f t="shared" si="330"/>
        <v>4</v>
      </c>
      <c r="CV83" s="326">
        <f t="shared" si="330"/>
        <v>13289400</v>
      </c>
      <c r="CW83" s="326">
        <f t="shared" si="330"/>
        <v>7000000</v>
      </c>
      <c r="CX83" s="326">
        <f t="shared" si="330"/>
        <v>15289400</v>
      </c>
      <c r="CY83" s="326">
        <f t="shared" si="330"/>
        <v>33789400</v>
      </c>
      <c r="CZ83" s="326">
        <f t="shared" si="330"/>
        <v>0</v>
      </c>
      <c r="DA83" s="326">
        <f t="shared" si="330"/>
        <v>0</v>
      </c>
      <c r="DB83" s="326">
        <f t="shared" si="330"/>
        <v>0</v>
      </c>
      <c r="DC83" s="326">
        <f t="shared" si="330"/>
        <v>0</v>
      </c>
      <c r="DD83" s="326"/>
      <c r="DE83" s="326">
        <f t="shared" si="330"/>
        <v>1166710</v>
      </c>
      <c r="DF83" s="326">
        <f t="shared" si="330"/>
        <v>0</v>
      </c>
      <c r="DG83" s="326">
        <f t="shared" si="330"/>
        <v>0</v>
      </c>
    </row>
    <row r="84" spans="1:111" s="111" customFormat="1" ht="27" customHeight="1">
      <c r="A84" s="262">
        <v>78</v>
      </c>
      <c r="B84" s="263">
        <v>6</v>
      </c>
      <c r="C84" s="265" t="s">
        <v>401</v>
      </c>
      <c r="D84" s="265" t="s">
        <v>402</v>
      </c>
      <c r="E84" s="262" t="str">
        <f>IF(OR(G84="CHT",G84="DSBC"),"HĐLĐ",IF(OR(G84="DSTV",G84="Q.CHT"),"HĐTV","HĐCTV"))</f>
        <v>HĐLĐ</v>
      </c>
      <c r="F84" s="262" t="s">
        <v>403</v>
      </c>
      <c r="G84" s="262" t="s">
        <v>154</v>
      </c>
      <c r="H84" s="308">
        <v>44674</v>
      </c>
      <c r="I84" s="309" t="s">
        <v>404</v>
      </c>
      <c r="J84" s="309" t="s">
        <v>132</v>
      </c>
      <c r="K84" s="268">
        <v>28</v>
      </c>
      <c r="L84" s="299">
        <v>30</v>
      </c>
      <c r="M84" s="375">
        <v>262.85000000000002</v>
      </c>
      <c r="N84" s="375">
        <v>12.98</v>
      </c>
      <c r="O84" s="262">
        <v>16</v>
      </c>
      <c r="P84" s="347"/>
      <c r="Q84" s="347"/>
      <c r="R84" s="348"/>
      <c r="S84" s="270">
        <f t="shared" ref="S84:S88" si="331">IF(E84="HĐLĐ",5310000,0)</f>
        <v>5310000</v>
      </c>
      <c r="T84" s="273">
        <f t="shared" si="308"/>
        <v>500000</v>
      </c>
      <c r="U84" s="347"/>
      <c r="V84" s="347"/>
      <c r="W84" s="347"/>
      <c r="X84" s="347"/>
      <c r="Y84" s="347"/>
      <c r="Z84" s="347"/>
      <c r="AA84" s="331">
        <f>CY84</f>
        <v>7920000</v>
      </c>
      <c r="AB84" s="347"/>
      <c r="AC84" s="347"/>
      <c r="AD84" s="347"/>
      <c r="AE84" s="275">
        <f t="shared" si="158"/>
        <v>9293625</v>
      </c>
      <c r="AF84" s="276">
        <f t="shared" si="299"/>
        <v>688403.57142857101</v>
      </c>
      <c r="AG84" s="276">
        <v>2000000</v>
      </c>
      <c r="AH84" s="276">
        <v>0</v>
      </c>
      <c r="AI84" s="276">
        <v>0</v>
      </c>
      <c r="AJ84" s="276"/>
      <c r="AK84" s="276"/>
      <c r="AL84" s="276">
        <v>650000</v>
      </c>
      <c r="AM84" s="276">
        <v>3556950</v>
      </c>
      <c r="AN84" s="276">
        <v>5423800</v>
      </c>
      <c r="AO84" s="276">
        <v>23983</v>
      </c>
      <c r="AP84" s="276">
        <v>0</v>
      </c>
      <c r="AQ84" s="276">
        <v>0</v>
      </c>
      <c r="AR84" s="276"/>
      <c r="AS84" s="276">
        <v>0</v>
      </c>
      <c r="AT84" s="276">
        <v>0</v>
      </c>
      <c r="AU84" s="276">
        <v>0</v>
      </c>
      <c r="AV84" s="276"/>
      <c r="AW84" s="276"/>
      <c r="AX84" s="276"/>
      <c r="AY84" s="367"/>
      <c r="AZ84" s="276"/>
      <c r="BA84" s="276">
        <v>0</v>
      </c>
      <c r="BB84" s="276">
        <v>0</v>
      </c>
      <c r="BC84" s="276">
        <v>0</v>
      </c>
      <c r="BD84" s="276">
        <v>0</v>
      </c>
      <c r="BE84" s="276">
        <v>0</v>
      </c>
      <c r="BF84" s="276">
        <v>0</v>
      </c>
      <c r="BG84" s="279">
        <f t="shared" si="300"/>
        <v>22136761.571428601</v>
      </c>
      <c r="BH84" s="277">
        <f t="shared" ref="BH84:BH88" si="332">S84*17.5%</f>
        <v>929250</v>
      </c>
      <c r="BI84" s="277">
        <f t="shared" ref="BI84:BI88" si="333">S84*3%</f>
        <v>159300</v>
      </c>
      <c r="BJ84" s="277">
        <f t="shared" ref="BJ84:BJ88" si="334">S84*1%</f>
        <v>53100</v>
      </c>
      <c r="BK84" s="277"/>
      <c r="BL84" s="280">
        <f t="shared" ref="BL84:BL88" si="335">SUM(BH84:BK84)</f>
        <v>1141650</v>
      </c>
      <c r="BM84" s="277">
        <f t="shared" ref="BM84:BM88" si="336">S84*8%</f>
        <v>424800</v>
      </c>
      <c r="BN84" s="277">
        <f t="shared" ref="BN84:BN88" si="337">S84*1.5%</f>
        <v>79650</v>
      </c>
      <c r="BO84" s="277">
        <f t="shared" ref="BO84:BO88" si="338">S84*1%</f>
        <v>53100</v>
      </c>
      <c r="BP84" s="277"/>
      <c r="BQ84" s="280">
        <f t="shared" ref="BQ84:BQ88" si="339">SUM(BM84:BP84)</f>
        <v>557550</v>
      </c>
      <c r="BR84" s="333">
        <f t="shared" si="301"/>
        <v>688403.57142857101</v>
      </c>
      <c r="BS84" s="312">
        <f>T84+U84+V84+W84</f>
        <v>500000</v>
      </c>
      <c r="BT84" s="281">
        <f t="shared" ref="BT84:BT88" si="340">BG84-BS84-BR84</f>
        <v>20948358</v>
      </c>
      <c r="BU84" s="282">
        <f t="shared" ref="BU84:BU88" si="341">IF(E84="HĐLĐ",15500000,0)</f>
        <v>15500000</v>
      </c>
      <c r="BV84" s="311"/>
      <c r="BW84" s="277">
        <f t="shared" ref="BW84:BW88" si="342">BV84*6200000</f>
        <v>0</v>
      </c>
      <c r="BX84" s="277">
        <f t="shared" ref="BX84:BX88" si="343">BQ84</f>
        <v>557550</v>
      </c>
      <c r="BY84" s="284">
        <f t="shared" ref="BY84:BY88" si="344">BU84+BW84+BX84</f>
        <v>16057550</v>
      </c>
      <c r="BZ84" s="277">
        <f t="shared" ref="BZ84:BZ88" si="345">IF(BT84-BY84&gt;0,BT84-BY84,0)</f>
        <v>4890808</v>
      </c>
      <c r="CA84" s="277">
        <f t="shared" ref="CA84:CA88" si="346">IF(AND(OR($E84="HĐTV",$E84="HĐCTV"),$BZ84&lt;5000000),0,IF(OR($E84="HĐTV",$E84="HĐCTV"),$BZ84*10%,ROUND(IF($BZ84&lt;=10000000,$BZ84*5%,IF($BZ84&lt;=30000000,$BZ84*10%-500000,IF($BZ84&lt;=60000000,$BZ84*20%-3500000,IF($BZ84&lt;=100000000,$BZ84*30%-9500000,$BZ84*35%-14500000)))),0)))</f>
        <v>244540</v>
      </c>
      <c r="CB84" s="283">
        <f t="shared" ref="CB84:CB88" si="347">ROUND(BG84-BQ84-CA84,0)</f>
        <v>21334672</v>
      </c>
      <c r="CC84" s="311"/>
      <c r="CD84" s="278"/>
      <c r="CE84" s="285">
        <f t="shared" ref="CE84:CE88" si="348">CB84+CC84-CD84</f>
        <v>21334672</v>
      </c>
      <c r="CF84" s="333">
        <f>CE84-CG84</f>
        <v>0</v>
      </c>
      <c r="CG84" s="397">
        <f>CE84</f>
        <v>21334672</v>
      </c>
      <c r="CH84" s="311"/>
      <c r="CI84" s="335" t="s">
        <v>405</v>
      </c>
      <c r="CJ84" s="270">
        <f>VLOOKUP(D84,[1]CNT!$C$6:$AP$113,40,0)</f>
        <v>0</v>
      </c>
      <c r="CK84" s="289">
        <v>4</v>
      </c>
      <c r="CL84" s="270"/>
      <c r="CM84" s="336">
        <v>23</v>
      </c>
      <c r="CN84" s="336">
        <v>4</v>
      </c>
      <c r="CO84" s="336">
        <v>2022</v>
      </c>
      <c r="CP84" s="337">
        <f>IF((($CO$8-CO84)*12)+($CN$8-CN84)&gt;=12,((($CO$8-CO84)*12)+($CN$8-CN84))-1,0)</f>
        <v>23</v>
      </c>
      <c r="CQ84" s="338">
        <f>IF(CP84&lt;12,(($CQ$8-CO84)*12)+($CP$8-CN84),0)</f>
        <v>0</v>
      </c>
      <c r="CR84" s="337">
        <f>IF(OR(CP84&gt;12,CP84=12),((CP84-(CS84*12))+((($CQ$8-2024)*12)+($CP$8-4)))+1,0)</f>
        <v>37</v>
      </c>
      <c r="CS84" s="339">
        <f>IF(OR(CP84&gt;12,CP84=12),ROUNDDOWN(CP84/12,0),0)</f>
        <v>1</v>
      </c>
      <c r="CT84" s="339">
        <f>IF(CQ84&gt;11,ROUNDDOWN(CQ84/12,0),0)</f>
        <v>0</v>
      </c>
      <c r="CU84" s="339">
        <f>IF(CR84&gt;11,ROUNDDOWN(CR84/12,0),0)</f>
        <v>3</v>
      </c>
      <c r="CV84" s="340">
        <f>IF(CP84=0,0,6000000*1.07^CS84)</f>
        <v>6420000</v>
      </c>
      <c r="CW84" s="340">
        <f>IF(CT84&lt;2,0,6000000+(CT84-1)*500000)</f>
        <v>0</v>
      </c>
      <c r="CX84" s="340">
        <f>IF(CU84=0,CV84,IF(CU84&lt;1,0,CV84+CU84*500000))</f>
        <v>7920000</v>
      </c>
      <c r="CY84" s="314">
        <f>IF(CX84&gt;0,CX84,IF(CW84&gt;0,CW84,6000000))</f>
        <v>7920000</v>
      </c>
      <c r="CZ84" s="341"/>
      <c r="DA84" s="342">
        <f>CJ84</f>
        <v>0</v>
      </c>
      <c r="DB84" s="343"/>
      <c r="DC84" s="341"/>
      <c r="DE84" s="345">
        <f>VLOOKUP($D84,'[6]Tong hop'!$B$8:$Q$45,15,0)</f>
        <v>1149740</v>
      </c>
      <c r="DF84" s="400">
        <f>VLOOKUP($D84,'[2]Med Service'!$D$11:$DI$87,110,0)</f>
        <v>0</v>
      </c>
      <c r="DG84" s="270" t="str">
        <f>VLOOKUP($D84,'[3]BẢNG LƯƠNG'!$C$3:$AH$102,32,0)</f>
        <v>Không thực hiện quy trình bán hàng 11/05/2026: 10.000đ</v>
      </c>
    </row>
    <row r="85" spans="1:111" s="110" customFormat="1" ht="24" customHeight="1">
      <c r="A85" s="262">
        <v>74</v>
      </c>
      <c r="B85" s="263">
        <v>6</v>
      </c>
      <c r="C85" s="265" t="s">
        <v>406</v>
      </c>
      <c r="D85" s="265" t="s">
        <v>407</v>
      </c>
      <c r="E85" s="262" t="str">
        <f>IF(OR(G85="CHT",G85="DSBC"),"HĐLĐ",IF(OR(G85="DSTV",G85="Q.CHT"),"HĐTV","HĐCTV"))</f>
        <v>HĐLĐ</v>
      </c>
      <c r="F85" s="262" t="s">
        <v>403</v>
      </c>
      <c r="G85" s="262" t="s">
        <v>117</v>
      </c>
      <c r="H85" s="308" t="s">
        <v>408</v>
      </c>
      <c r="I85" s="309" t="s">
        <v>409</v>
      </c>
      <c r="J85" s="309" t="s">
        <v>332</v>
      </c>
      <c r="K85" s="268">
        <v>28</v>
      </c>
      <c r="L85" s="299">
        <v>26</v>
      </c>
      <c r="M85" s="375">
        <v>29.45</v>
      </c>
      <c r="N85" s="375">
        <v>195.06</v>
      </c>
      <c r="O85" s="262">
        <v>0</v>
      </c>
      <c r="P85" s="347"/>
      <c r="Q85" s="347"/>
      <c r="R85" s="348"/>
      <c r="S85" s="270">
        <f t="shared" si="331"/>
        <v>5310000</v>
      </c>
      <c r="T85" s="273">
        <f t="shared" si="308"/>
        <v>464285.71428571403</v>
      </c>
      <c r="U85" s="347"/>
      <c r="V85" s="347"/>
      <c r="W85" s="347"/>
      <c r="X85" s="347"/>
      <c r="Y85" s="347"/>
      <c r="Z85" s="347"/>
      <c r="AA85" s="331">
        <f>CY85</f>
        <v>6000000</v>
      </c>
      <c r="AB85" s="347"/>
      <c r="AC85" s="347"/>
      <c r="AD85" s="347"/>
      <c r="AE85" s="275">
        <f t="shared" si="158"/>
        <v>788839.28571428603</v>
      </c>
      <c r="AF85" s="276">
        <f t="shared" si="299"/>
        <v>7837232.1428571399</v>
      </c>
      <c r="AG85" s="276">
        <v>0</v>
      </c>
      <c r="AH85" s="276">
        <v>0</v>
      </c>
      <c r="AI85" s="276">
        <v>1285714</v>
      </c>
      <c r="AJ85" s="276"/>
      <c r="AK85" s="276"/>
      <c r="AL85" s="276">
        <v>100000</v>
      </c>
      <c r="AM85" s="276">
        <v>0</v>
      </c>
      <c r="AN85" s="276">
        <v>4697300</v>
      </c>
      <c r="AO85" s="276">
        <v>78869</v>
      </c>
      <c r="AP85" s="276">
        <v>0</v>
      </c>
      <c r="AQ85" s="276">
        <v>0</v>
      </c>
      <c r="AR85" s="276"/>
      <c r="AS85" s="276">
        <v>0</v>
      </c>
      <c r="AT85" s="276">
        <v>0</v>
      </c>
      <c r="AU85" s="276">
        <v>0</v>
      </c>
      <c r="AV85" s="276"/>
      <c r="AW85" s="276"/>
      <c r="AX85" s="349"/>
      <c r="AY85" s="350"/>
      <c r="AZ85" s="351"/>
      <c r="BA85" s="276">
        <v>0</v>
      </c>
      <c r="BB85" s="276">
        <v>0</v>
      </c>
      <c r="BC85" s="276">
        <v>0</v>
      </c>
      <c r="BD85" s="276">
        <v>0</v>
      </c>
      <c r="BE85" s="276">
        <v>88900</v>
      </c>
      <c r="BF85" s="276">
        <v>0</v>
      </c>
      <c r="BG85" s="279">
        <f t="shared" si="300"/>
        <v>15163340.142857101</v>
      </c>
      <c r="BH85" s="277">
        <f t="shared" si="332"/>
        <v>929250</v>
      </c>
      <c r="BI85" s="277">
        <f t="shared" si="333"/>
        <v>159300</v>
      </c>
      <c r="BJ85" s="277">
        <f t="shared" si="334"/>
        <v>53100</v>
      </c>
      <c r="BK85" s="277"/>
      <c r="BL85" s="280">
        <f t="shared" si="335"/>
        <v>1141650</v>
      </c>
      <c r="BM85" s="277">
        <f t="shared" si="336"/>
        <v>424800</v>
      </c>
      <c r="BN85" s="277">
        <f t="shared" si="337"/>
        <v>79650</v>
      </c>
      <c r="BO85" s="277">
        <f t="shared" si="338"/>
        <v>53100</v>
      </c>
      <c r="BP85" s="277"/>
      <c r="BQ85" s="280">
        <f t="shared" si="339"/>
        <v>557550</v>
      </c>
      <c r="BR85" s="333">
        <f t="shared" si="301"/>
        <v>7837232.1428571399</v>
      </c>
      <c r="BS85" s="312">
        <f>T85+U85+V85+W85</f>
        <v>464285.71428571403</v>
      </c>
      <c r="BT85" s="281">
        <f t="shared" si="340"/>
        <v>6861822.2857142901</v>
      </c>
      <c r="BU85" s="282">
        <f t="shared" si="341"/>
        <v>15500000</v>
      </c>
      <c r="BV85" s="311"/>
      <c r="BW85" s="277">
        <f t="shared" si="342"/>
        <v>0</v>
      </c>
      <c r="BX85" s="277">
        <f t="shared" si="343"/>
        <v>557550</v>
      </c>
      <c r="BY85" s="284">
        <f t="shared" si="344"/>
        <v>16057550</v>
      </c>
      <c r="BZ85" s="277">
        <f t="shared" si="345"/>
        <v>0</v>
      </c>
      <c r="CA85" s="277">
        <f t="shared" si="346"/>
        <v>0</v>
      </c>
      <c r="CB85" s="283">
        <f t="shared" si="347"/>
        <v>14605790</v>
      </c>
      <c r="CC85" s="311"/>
      <c r="CD85" s="278"/>
      <c r="CE85" s="285">
        <f t="shared" si="348"/>
        <v>14605790</v>
      </c>
      <c r="CF85" s="333">
        <f>CE85-CG85</f>
        <v>0</v>
      </c>
      <c r="CG85" s="397">
        <f>CE85</f>
        <v>14605790</v>
      </c>
      <c r="CH85" s="311"/>
      <c r="CI85" s="335" t="str">
        <f>VLOOKUP($C85,[5]Sheet1!$C$5:$K$139,9,0)</f>
        <v>tuan.nguyen@medigoapp.com</v>
      </c>
      <c r="CJ85" s="270">
        <f>VLOOKUP(D85,[1]CNT!$C$6:$AP$113,40,0)</f>
        <v>0</v>
      </c>
      <c r="CK85" s="289">
        <v>12</v>
      </c>
      <c r="CL85" s="270"/>
      <c r="CM85" s="336">
        <v>29</v>
      </c>
      <c r="CN85" s="336">
        <v>9</v>
      </c>
      <c r="CO85" s="336">
        <v>2025</v>
      </c>
      <c r="CP85" s="337">
        <f>IF((($CO$8-CO85)*12)+($CN$8-CN85)&gt;=12,((($CO$8-CO85)*12)+($CN$8-CN85))-1,0)</f>
        <v>0</v>
      </c>
      <c r="CQ85" s="338">
        <f>IF(CP85&lt;12,(($CQ$8-CO85)*12)+($CP$8-CN85),0)</f>
        <v>8</v>
      </c>
      <c r="CR85" s="337">
        <f>IF(OR(CP85&gt;12,CP85=12),((CP85-(CS85*12))+((($CQ$8-2024)*12)+($CP$8-4)))+1,0)</f>
        <v>0</v>
      </c>
      <c r="CS85" s="339">
        <f>IF(OR(CP85&gt;12,CP85=12),ROUNDDOWN(CP85/12,0),0)</f>
        <v>0</v>
      </c>
      <c r="CT85" s="339">
        <f t="shared" ref="CT85:CU85" si="349">IF(CQ85&gt;11,ROUNDDOWN(CQ85/12,0),0)</f>
        <v>0</v>
      </c>
      <c r="CU85" s="339">
        <f t="shared" si="349"/>
        <v>0</v>
      </c>
      <c r="CV85" s="340">
        <f>IF(CP85=0,0,6000000*1.07^CS85)</f>
        <v>0</v>
      </c>
      <c r="CW85" s="340">
        <f>IF(CT85&lt;2,0,6000000+(CT85-1)*500000)</f>
        <v>0</v>
      </c>
      <c r="CX85" s="340">
        <f>IF(CU85=0,CV85,IF(CU85&lt;1,0,CV85+CU85*500000))</f>
        <v>0</v>
      </c>
      <c r="CY85" s="314">
        <f>IF(CX85&gt;0,CX85,IF(CW85&gt;0,CW85,6000000))</f>
        <v>6000000</v>
      </c>
      <c r="CZ85" s="341"/>
      <c r="DA85" s="342">
        <f>CJ85</f>
        <v>0</v>
      </c>
      <c r="DB85" s="354" t="s">
        <v>410</v>
      </c>
      <c r="DC85" s="344"/>
      <c r="DE85" s="345"/>
      <c r="DF85" s="400">
        <f>VLOOKUP($D85,'[2]Med Service'!$D$11:$DI$87,110,0)</f>
        <v>0</v>
      </c>
      <c r="DG85" s="270" t="str">
        <f>VLOOKUP($D85,'[3]BẢNG LƯƠNG'!$C$3:$AH$102,32,0)</f>
        <v>Lệch doanh thu HD.BJ41DRW7: 87.000đ</v>
      </c>
    </row>
    <row r="86" spans="1:111" s="111" customFormat="1" ht="27" customHeight="1">
      <c r="A86" s="262">
        <v>76</v>
      </c>
      <c r="B86" s="263">
        <v>6</v>
      </c>
      <c r="C86" s="265" t="s">
        <v>411</v>
      </c>
      <c r="D86" s="265" t="s">
        <v>412</v>
      </c>
      <c r="E86" s="262" t="str">
        <f>IF(OR(G86="CHT",G86="DSBC"),"HĐLĐ",IF(OR(G86="DSTV",G86="Q.CHT"),"HĐTV","HĐCTV"))</f>
        <v>HĐLĐ</v>
      </c>
      <c r="F86" s="262" t="s">
        <v>403</v>
      </c>
      <c r="G86" s="262" t="s">
        <v>117</v>
      </c>
      <c r="H86" s="308" t="s">
        <v>413</v>
      </c>
      <c r="I86" s="309" t="s">
        <v>414</v>
      </c>
      <c r="J86" s="309" t="s">
        <v>220</v>
      </c>
      <c r="K86" s="268">
        <v>28</v>
      </c>
      <c r="L86" s="299">
        <v>28</v>
      </c>
      <c r="M86" s="375">
        <v>207.67</v>
      </c>
      <c r="N86" s="375">
        <v>29.92</v>
      </c>
      <c r="O86" s="262">
        <v>0</v>
      </c>
      <c r="P86" s="347"/>
      <c r="Q86" s="347"/>
      <c r="R86" s="348"/>
      <c r="S86" s="270">
        <f t="shared" si="331"/>
        <v>5310000</v>
      </c>
      <c r="T86" s="273">
        <f t="shared" si="308"/>
        <v>500000</v>
      </c>
      <c r="U86" s="347"/>
      <c r="V86" s="347"/>
      <c r="W86" s="347"/>
      <c r="X86" s="347"/>
      <c r="Y86" s="347"/>
      <c r="Z86" s="347"/>
      <c r="AA86" s="331">
        <f>CY86</f>
        <v>6000000</v>
      </c>
      <c r="AB86" s="347"/>
      <c r="AC86" s="347"/>
      <c r="AD86" s="347"/>
      <c r="AE86" s="275">
        <f t="shared" si="158"/>
        <v>5562589.2857142901</v>
      </c>
      <c r="AF86" s="276">
        <f t="shared" si="299"/>
        <v>1202142.8571428601</v>
      </c>
      <c r="AG86" s="276">
        <v>0</v>
      </c>
      <c r="AH86" s="276">
        <v>0</v>
      </c>
      <c r="AI86" s="276">
        <v>0</v>
      </c>
      <c r="AJ86" s="276"/>
      <c r="AK86" s="276"/>
      <c r="AL86" s="276">
        <v>2150000</v>
      </c>
      <c r="AM86" s="276">
        <v>4119839</v>
      </c>
      <c r="AN86" s="276">
        <v>6838500</v>
      </c>
      <c r="AO86" s="276">
        <v>27571</v>
      </c>
      <c r="AP86" s="276">
        <v>0</v>
      </c>
      <c r="AQ86" s="276">
        <v>0</v>
      </c>
      <c r="AR86" s="276"/>
      <c r="AS86" s="276">
        <v>0</v>
      </c>
      <c r="AT86" s="276">
        <v>0</v>
      </c>
      <c r="AU86" s="276">
        <v>0</v>
      </c>
      <c r="AV86" s="276"/>
      <c r="AW86" s="276"/>
      <c r="AX86" s="349"/>
      <c r="AY86" s="350"/>
      <c r="AZ86" s="351"/>
      <c r="BA86" s="276">
        <v>0</v>
      </c>
      <c r="BB86" s="276">
        <v>0</v>
      </c>
      <c r="BC86" s="276">
        <v>0</v>
      </c>
      <c r="BD86" s="276">
        <v>0</v>
      </c>
      <c r="BE86" s="276">
        <v>101200</v>
      </c>
      <c r="BF86" s="276">
        <v>0</v>
      </c>
      <c r="BG86" s="279">
        <f t="shared" si="300"/>
        <v>20299442.142857101</v>
      </c>
      <c r="BH86" s="277">
        <f t="shared" si="332"/>
        <v>929250</v>
      </c>
      <c r="BI86" s="277">
        <f t="shared" si="333"/>
        <v>159300</v>
      </c>
      <c r="BJ86" s="277">
        <f t="shared" si="334"/>
        <v>53100</v>
      </c>
      <c r="BK86" s="277"/>
      <c r="BL86" s="280">
        <f t="shared" si="335"/>
        <v>1141650</v>
      </c>
      <c r="BM86" s="277">
        <f t="shared" si="336"/>
        <v>424800</v>
      </c>
      <c r="BN86" s="277">
        <f t="shared" si="337"/>
        <v>79650</v>
      </c>
      <c r="BO86" s="277">
        <f t="shared" si="338"/>
        <v>53100</v>
      </c>
      <c r="BP86" s="277"/>
      <c r="BQ86" s="280">
        <f t="shared" si="339"/>
        <v>557550</v>
      </c>
      <c r="BR86" s="333">
        <f t="shared" si="301"/>
        <v>1202142.8571428601</v>
      </c>
      <c r="BS86" s="312">
        <f>T86+U86+V86+W86</f>
        <v>500000</v>
      </c>
      <c r="BT86" s="281">
        <f t="shared" si="340"/>
        <v>18597299.285714298</v>
      </c>
      <c r="BU86" s="282">
        <f t="shared" si="341"/>
        <v>15500000</v>
      </c>
      <c r="BV86" s="311"/>
      <c r="BW86" s="277">
        <f t="shared" si="342"/>
        <v>0</v>
      </c>
      <c r="BX86" s="277">
        <f t="shared" si="343"/>
        <v>557550</v>
      </c>
      <c r="BY86" s="284">
        <f t="shared" si="344"/>
        <v>16057550</v>
      </c>
      <c r="BZ86" s="277">
        <f t="shared" si="345"/>
        <v>2539749.2857142799</v>
      </c>
      <c r="CA86" s="277">
        <f t="shared" si="346"/>
        <v>126987</v>
      </c>
      <c r="CB86" s="283">
        <f t="shared" si="347"/>
        <v>19614905</v>
      </c>
      <c r="CC86" s="311"/>
      <c r="CD86" s="278"/>
      <c r="CE86" s="285">
        <f t="shared" si="348"/>
        <v>19614905</v>
      </c>
      <c r="CF86" s="333">
        <f>CE86-CG86</f>
        <v>0</v>
      </c>
      <c r="CG86" s="397">
        <f>CE86</f>
        <v>19614905</v>
      </c>
      <c r="CH86" s="311"/>
      <c r="CI86" s="335" t="str">
        <f>VLOOKUP($C86,[5]Sheet1!$C$5:$K$139,9,0)</f>
        <v>hang.vu@medigoapp.com</v>
      </c>
      <c r="CJ86" s="270">
        <f>VLOOKUP(D86,[1]CNT!$C$6:$AP$113,40,0)</f>
        <v>0</v>
      </c>
      <c r="CK86" s="289">
        <v>9</v>
      </c>
      <c r="CL86" s="270"/>
      <c r="CM86" s="336">
        <v>22</v>
      </c>
      <c r="CN86" s="336">
        <v>9</v>
      </c>
      <c r="CO86" s="336">
        <v>2025</v>
      </c>
      <c r="CP86" s="337">
        <f>IF((($CO$8-CO86)*12)+($CN$8-CN86)&gt;=12,((($CO$8-CO86)*12)+($CN$8-CN86))-1,0)</f>
        <v>0</v>
      </c>
      <c r="CQ86" s="338">
        <f>IF(CP86&lt;12,(($CQ$8-CO86)*12)+($CP$8-CN86),0)</f>
        <v>8</v>
      </c>
      <c r="CR86" s="337">
        <f>IF(OR(CP86&gt;12,CP86=12),((CP86-(CS86*12))+((($CQ$8-2024)*12)+($CP$8-4)))+1,0)</f>
        <v>0</v>
      </c>
      <c r="CS86" s="339">
        <f>IF(OR(CP86&gt;12,CP86=12),ROUNDDOWN(CP86/12,0),0)</f>
        <v>0</v>
      </c>
      <c r="CT86" s="339">
        <f>IF(CQ86&gt;11,ROUNDDOWN(CQ86/12,0),0)</f>
        <v>0</v>
      </c>
      <c r="CU86" s="339">
        <f>IF(CR86&gt;11,ROUNDDOWN(CR86/12,0),0)</f>
        <v>0</v>
      </c>
      <c r="CV86" s="340">
        <f>IF(CP86=0,0,6000000*1.07^CS86)</f>
        <v>0</v>
      </c>
      <c r="CW86" s="340">
        <f>IF(CT86&lt;2,0,6000000+(CT86-1)*500000)</f>
        <v>0</v>
      </c>
      <c r="CX86" s="340">
        <f>IF(CU86=0,CV86,IF(CU86&lt;1,0,CV86+CU86*500000))</f>
        <v>0</v>
      </c>
      <c r="CY86" s="314">
        <f>IF(CX86&gt;0,CX86,IF(CW86&gt;0,CW86,6000000))</f>
        <v>6000000</v>
      </c>
      <c r="CZ86" s="341"/>
      <c r="DA86" s="342">
        <f>CJ86</f>
        <v>0</v>
      </c>
      <c r="DB86" s="354" t="s">
        <v>415</v>
      </c>
      <c r="DC86" s="341"/>
      <c r="DE86" s="345"/>
      <c r="DF86" s="400">
        <f>VLOOKUP($D86,'[2]Med Service'!$D$11:$DI$87,110,0)</f>
        <v>0</v>
      </c>
      <c r="DG86" s="270" t="str">
        <f>VLOOKUP($D86,'[3]BẢNG LƯƠNG'!$C$3:$AH$102,32,0)</f>
        <v>Lệch doanh thu HD:B2G9ZKJB: 187.300đ</v>
      </c>
    </row>
    <row r="87" spans="1:111" s="111" customFormat="1" ht="27" customHeight="1">
      <c r="A87" s="262">
        <v>77</v>
      </c>
      <c r="B87" s="263">
        <v>6</v>
      </c>
      <c r="C87" s="265" t="s">
        <v>416</v>
      </c>
      <c r="D87" s="265" t="s">
        <v>417</v>
      </c>
      <c r="E87" s="262" t="str">
        <f>IF(OR(G87="CHT",G87="DSBC"),"HĐLĐ",IF(OR(G87="DSTV",G87="Q.CHT"),"HĐTV","HĐCTV"))</f>
        <v>HĐLĐ</v>
      </c>
      <c r="F87" s="111" t="s">
        <v>403</v>
      </c>
      <c r="G87" s="262" t="s">
        <v>117</v>
      </c>
      <c r="H87" s="308" t="s">
        <v>418</v>
      </c>
      <c r="I87" s="309" t="s">
        <v>419</v>
      </c>
      <c r="J87" s="309" t="s">
        <v>119</v>
      </c>
      <c r="K87" s="268">
        <v>28</v>
      </c>
      <c r="L87" s="299">
        <v>27</v>
      </c>
      <c r="M87" s="375">
        <v>172.93</v>
      </c>
      <c r="N87" s="375">
        <v>72.39</v>
      </c>
      <c r="O87" s="262">
        <v>0</v>
      </c>
      <c r="P87" s="270"/>
      <c r="Q87" s="270"/>
      <c r="R87" s="270"/>
      <c r="S87" s="270">
        <f t="shared" si="331"/>
        <v>5310000</v>
      </c>
      <c r="T87" s="273">
        <f t="shared" si="308"/>
        <v>482142.85714285698</v>
      </c>
      <c r="U87" s="270"/>
      <c r="V87" s="270"/>
      <c r="W87" s="270"/>
      <c r="X87" s="270"/>
      <c r="Y87" s="270"/>
      <c r="Z87" s="270"/>
      <c r="AA87" s="331">
        <f>CY87</f>
        <v>6000000</v>
      </c>
      <c r="AB87" s="270"/>
      <c r="AC87" s="270"/>
      <c r="AD87" s="270"/>
      <c r="AE87" s="275">
        <f t="shared" si="158"/>
        <v>4632053.57142857</v>
      </c>
      <c r="AF87" s="276">
        <f t="shared" si="299"/>
        <v>2908526.7857142901</v>
      </c>
      <c r="AG87" s="276">
        <v>0</v>
      </c>
      <c r="AH87" s="276">
        <v>0</v>
      </c>
      <c r="AI87" s="276">
        <v>0</v>
      </c>
      <c r="AJ87" s="276"/>
      <c r="AK87" s="276"/>
      <c r="AL87" s="276">
        <v>950000</v>
      </c>
      <c r="AM87" s="276">
        <v>3917023</v>
      </c>
      <c r="AN87" s="276">
        <v>7370500</v>
      </c>
      <c r="AO87" s="276">
        <v>104556</v>
      </c>
      <c r="AP87" s="276">
        <v>120</v>
      </c>
      <c r="AQ87" s="276">
        <v>0</v>
      </c>
      <c r="AR87" s="276"/>
      <c r="AS87" s="276">
        <v>0</v>
      </c>
      <c r="AT87" s="276">
        <v>0</v>
      </c>
      <c r="AU87" s="276">
        <v>292335</v>
      </c>
      <c r="AV87" s="276"/>
      <c r="AW87" s="276"/>
      <c r="AX87" s="276"/>
      <c r="AY87" s="276"/>
      <c r="AZ87" s="276"/>
      <c r="BA87" s="276">
        <v>0</v>
      </c>
      <c r="BB87" s="276">
        <v>0</v>
      </c>
      <c r="BC87" s="276">
        <v>0</v>
      </c>
      <c r="BD87" s="276">
        <v>0</v>
      </c>
      <c r="BE87" s="276">
        <v>358000</v>
      </c>
      <c r="BF87" s="276">
        <v>0</v>
      </c>
      <c r="BG87" s="279">
        <f t="shared" si="300"/>
        <v>20299257.214285702</v>
      </c>
      <c r="BH87" s="277">
        <f t="shared" si="332"/>
        <v>929250</v>
      </c>
      <c r="BI87" s="277">
        <f t="shared" si="333"/>
        <v>159300</v>
      </c>
      <c r="BJ87" s="277">
        <f t="shared" si="334"/>
        <v>53100</v>
      </c>
      <c r="BK87" s="277"/>
      <c r="BL87" s="280">
        <f t="shared" si="335"/>
        <v>1141650</v>
      </c>
      <c r="BM87" s="277">
        <f t="shared" si="336"/>
        <v>424800</v>
      </c>
      <c r="BN87" s="277">
        <f t="shared" si="337"/>
        <v>79650</v>
      </c>
      <c r="BO87" s="277">
        <f t="shared" si="338"/>
        <v>53100</v>
      </c>
      <c r="BP87" s="277"/>
      <c r="BQ87" s="280">
        <f t="shared" si="339"/>
        <v>557550</v>
      </c>
      <c r="BR87" s="333">
        <f t="shared" si="301"/>
        <v>2908526.7857142901</v>
      </c>
      <c r="BS87" s="312">
        <f>T87+U87+V87+W87</f>
        <v>482142.85714285698</v>
      </c>
      <c r="BT87" s="281">
        <f t="shared" si="340"/>
        <v>16908587.571428601</v>
      </c>
      <c r="BU87" s="282">
        <f t="shared" si="341"/>
        <v>15500000</v>
      </c>
      <c r="BV87" s="311"/>
      <c r="BW87" s="277">
        <f t="shared" si="342"/>
        <v>0</v>
      </c>
      <c r="BX87" s="277">
        <f t="shared" si="343"/>
        <v>557550</v>
      </c>
      <c r="BY87" s="284">
        <f t="shared" si="344"/>
        <v>16057550</v>
      </c>
      <c r="BZ87" s="277">
        <f t="shared" si="345"/>
        <v>851037.57142857101</v>
      </c>
      <c r="CA87" s="277">
        <f t="shared" si="346"/>
        <v>42552</v>
      </c>
      <c r="CB87" s="283">
        <f t="shared" si="347"/>
        <v>19699155</v>
      </c>
      <c r="CC87" s="311"/>
      <c r="CD87" s="278"/>
      <c r="CE87" s="285">
        <f t="shared" si="348"/>
        <v>19699155</v>
      </c>
      <c r="CF87" s="333">
        <f>CE87-CG87</f>
        <v>0</v>
      </c>
      <c r="CG87" s="397">
        <f>CE87</f>
        <v>19699155</v>
      </c>
      <c r="CH87" s="311"/>
      <c r="CI87" s="335" t="str">
        <f>VLOOKUP($C87,[5]Sheet1!$C$5:$K$139,9,0)</f>
        <v>ly.dinh@medigoapp.com</v>
      </c>
      <c r="CJ87" s="270">
        <f>VLOOKUP(D87,[1]CNT!$C$6:$AP$113,40,0)</f>
        <v>0</v>
      </c>
      <c r="CK87" s="289">
        <v>12</v>
      </c>
      <c r="CL87" s="270"/>
      <c r="CM87" s="336">
        <v>3</v>
      </c>
      <c r="CN87" s="336">
        <v>11</v>
      </c>
      <c r="CO87" s="336">
        <v>2025</v>
      </c>
      <c r="CP87" s="337">
        <f>IF((($CO$8-CO87)*12)+($CN$8-CN87)&gt;=12,((($CO$8-CO87)*12)+($CN$8-CN87))-1,0)</f>
        <v>0</v>
      </c>
      <c r="CQ87" s="338">
        <f>IF(CP87&lt;12,(($CQ$8-CO87)*12)+($CP$8-CN87),0)</f>
        <v>6</v>
      </c>
      <c r="CR87" s="337">
        <f>IF(OR(CP87&gt;12,CP87=12),((CP87-(CS87*12))+((($CQ$8-2024)*12)+($CP$8-4)))+1,0)</f>
        <v>0</v>
      </c>
      <c r="CS87" s="339">
        <f>IF(OR(CP87&gt;12,CP87=12),ROUNDDOWN(CP87/12,0),0)</f>
        <v>0</v>
      </c>
      <c r="CT87" s="339">
        <f>IF(CQ87&gt;11,ROUNDDOWN(CQ87/12,0),0)</f>
        <v>0</v>
      </c>
      <c r="CU87" s="339">
        <f>IF(CR87&gt;11,ROUNDDOWN(CR87/12,0),0)</f>
        <v>0</v>
      </c>
      <c r="CV87" s="340">
        <f>IF(CP87=0,0,6000000*1.07^CS87)</f>
        <v>0</v>
      </c>
      <c r="CW87" s="340">
        <f>IF(CT87&lt;2,0,6000000+(CT87-1)*500000)</f>
        <v>0</v>
      </c>
      <c r="CX87" s="340">
        <f>IF(CU87=0,CV87,IF(CU87&lt;1,0,CV87+CU87*500000))</f>
        <v>0</v>
      </c>
      <c r="CY87" s="314">
        <f>IF(CX87&gt;0,CX87,IF(CW87&gt;0,CW87,6000000))</f>
        <v>6000000</v>
      </c>
      <c r="CZ87" s="341"/>
      <c r="DA87" s="342">
        <f>CJ87</f>
        <v>0</v>
      </c>
      <c r="DB87" s="354" t="s">
        <v>420</v>
      </c>
      <c r="DC87" s="341"/>
      <c r="DE87" s="345"/>
      <c r="DF87" s="400">
        <f>VLOOKUP($D87,'[2]Med Service'!$D$11:$DI$87,110,0)</f>
        <v>0</v>
      </c>
      <c r="DG87" s="270" t="str">
        <f>VLOOKUP($D87,'[3]BẢNG LƯƠNG'!$C$3:$AH$102,32,0)</f>
        <v/>
      </c>
    </row>
    <row r="88" spans="1:111" s="113" customFormat="1" ht="27" customHeight="1">
      <c r="A88" s="262"/>
      <c r="B88" s="263"/>
      <c r="C88" s="368"/>
      <c r="D88" s="371" t="s">
        <v>421</v>
      </c>
      <c r="E88" s="262" t="str">
        <f>IF(OR(G88="CHT",G88="DSBC"),"HĐLĐ",IF(OR(G88="DSTV",G88="Q.CHT"),"HĐTV","HĐCTV"))</f>
        <v>HĐTV</v>
      </c>
      <c r="F88" s="262" t="s">
        <v>403</v>
      </c>
      <c r="G88" s="262" t="s">
        <v>129</v>
      </c>
      <c r="H88" s="308">
        <v>46250</v>
      </c>
      <c r="I88" s="468" t="s">
        <v>422</v>
      </c>
      <c r="J88" s="401" t="s">
        <v>220</v>
      </c>
      <c r="K88" s="268">
        <v>28</v>
      </c>
      <c r="L88" s="299">
        <v>14</v>
      </c>
      <c r="M88" s="375">
        <v>124.53</v>
      </c>
      <c r="N88" s="375">
        <v>0</v>
      </c>
      <c r="O88" s="262">
        <v>0</v>
      </c>
      <c r="P88" s="270"/>
      <c r="Q88" s="270"/>
      <c r="R88" s="270"/>
      <c r="S88" s="270">
        <f t="shared" si="331"/>
        <v>0</v>
      </c>
      <c r="T88" s="273">
        <f t="shared" si="308"/>
        <v>250000</v>
      </c>
      <c r="U88" s="270"/>
      <c r="V88" s="270"/>
      <c r="W88" s="270"/>
      <c r="X88" s="270"/>
      <c r="Y88" s="270"/>
      <c r="Z88" s="270"/>
      <c r="AA88" s="310">
        <v>6000000</v>
      </c>
      <c r="AB88" s="311">
        <f>AA88</f>
        <v>6000000</v>
      </c>
      <c r="AC88" s="312">
        <v>6000000</v>
      </c>
      <c r="AD88" s="313"/>
      <c r="AE88" s="275">
        <f t="shared" si="158"/>
        <v>3335625</v>
      </c>
      <c r="AF88" s="276">
        <f t="shared" si="299"/>
        <v>0</v>
      </c>
      <c r="AG88" s="276">
        <v>0</v>
      </c>
      <c r="AH88" s="276">
        <v>0</v>
      </c>
      <c r="AI88" s="276">
        <v>0</v>
      </c>
      <c r="AJ88" s="276"/>
      <c r="AK88" s="276"/>
      <c r="AL88" s="276">
        <v>0</v>
      </c>
      <c r="AM88" s="276">
        <v>0</v>
      </c>
      <c r="AN88" s="276">
        <v>0</v>
      </c>
      <c r="AO88" s="276">
        <v>0</v>
      </c>
      <c r="AP88" s="276">
        <v>0</v>
      </c>
      <c r="AQ88" s="276">
        <v>0</v>
      </c>
      <c r="AR88" s="276"/>
      <c r="AS88" s="276">
        <v>0</v>
      </c>
      <c r="AT88" s="276">
        <v>0</v>
      </c>
      <c r="AU88" s="276">
        <v>0</v>
      </c>
      <c r="AV88" s="276"/>
      <c r="AW88" s="276"/>
      <c r="AX88" s="276"/>
      <c r="AY88" s="276"/>
      <c r="AZ88" s="276"/>
      <c r="BA88" s="276">
        <v>0</v>
      </c>
      <c r="BB88" s="276">
        <v>0</v>
      </c>
      <c r="BC88" s="276">
        <v>0</v>
      </c>
      <c r="BD88" s="276">
        <v>0</v>
      </c>
      <c r="BE88" s="276">
        <v>0</v>
      </c>
      <c r="BF88" s="276">
        <v>0</v>
      </c>
      <c r="BG88" s="279">
        <f t="shared" si="300"/>
        <v>3585625</v>
      </c>
      <c r="BH88" s="277">
        <f t="shared" si="332"/>
        <v>0</v>
      </c>
      <c r="BI88" s="277">
        <f t="shared" si="333"/>
        <v>0</v>
      </c>
      <c r="BJ88" s="277">
        <f t="shared" si="334"/>
        <v>0</v>
      </c>
      <c r="BK88" s="277"/>
      <c r="BL88" s="280">
        <f t="shared" si="335"/>
        <v>0</v>
      </c>
      <c r="BM88" s="277">
        <f t="shared" si="336"/>
        <v>0</v>
      </c>
      <c r="BN88" s="277">
        <f t="shared" si="337"/>
        <v>0</v>
      </c>
      <c r="BO88" s="277">
        <f t="shared" si="338"/>
        <v>0</v>
      </c>
      <c r="BP88" s="277"/>
      <c r="BQ88" s="280">
        <f t="shared" si="339"/>
        <v>0</v>
      </c>
      <c r="BR88" s="333">
        <f t="shared" si="301"/>
        <v>0</v>
      </c>
      <c r="BS88" s="312">
        <f>T88+U88+V88+W88</f>
        <v>250000</v>
      </c>
      <c r="BT88" s="281">
        <f t="shared" si="340"/>
        <v>3335625</v>
      </c>
      <c r="BU88" s="282">
        <f t="shared" si="341"/>
        <v>0</v>
      </c>
      <c r="BV88" s="311"/>
      <c r="BW88" s="277">
        <f t="shared" si="342"/>
        <v>0</v>
      </c>
      <c r="BX88" s="277">
        <f t="shared" si="343"/>
        <v>0</v>
      </c>
      <c r="BY88" s="284">
        <f t="shared" si="344"/>
        <v>0</v>
      </c>
      <c r="BZ88" s="277">
        <f t="shared" si="345"/>
        <v>3335625</v>
      </c>
      <c r="CA88" s="277">
        <f t="shared" si="346"/>
        <v>0</v>
      </c>
      <c r="CB88" s="283">
        <f t="shared" si="347"/>
        <v>3585625</v>
      </c>
      <c r="CC88" s="311"/>
      <c r="CD88" s="278"/>
      <c r="CE88" s="285">
        <f t="shared" si="348"/>
        <v>3585625</v>
      </c>
      <c r="CF88" s="333">
        <f>CE88-CG88</f>
        <v>0</v>
      </c>
      <c r="CG88" s="397">
        <f>CE88</f>
        <v>3585625</v>
      </c>
      <c r="CH88" s="311"/>
      <c r="CI88" s="335"/>
      <c r="CJ88" s="270"/>
      <c r="CK88" s="289">
        <v>11</v>
      </c>
      <c r="CL88" s="299"/>
      <c r="CM88" s="336"/>
      <c r="CN88" s="336"/>
      <c r="CO88" s="336"/>
      <c r="CP88" s="337"/>
      <c r="CQ88" s="338"/>
      <c r="CR88" s="337"/>
      <c r="CS88" s="339"/>
      <c r="CT88" s="339"/>
      <c r="CU88" s="339"/>
      <c r="CV88" s="340"/>
      <c r="CW88" s="340"/>
      <c r="CX88" s="340"/>
      <c r="CY88" s="314">
        <f>IF(CX88&gt;0,CX88,IF(CW88&gt;0,CW88,6000000))</f>
        <v>6000000</v>
      </c>
      <c r="CZ88" s="341"/>
      <c r="DA88" s="342"/>
      <c r="DB88" s="402"/>
      <c r="DC88" s="341"/>
      <c r="DE88" s="403"/>
      <c r="DF88" s="404"/>
      <c r="DG88" s="270"/>
    </row>
    <row r="89" spans="1:111" s="114" customFormat="1" ht="27" customHeight="1">
      <c r="A89" s="405"/>
      <c r="B89" s="406"/>
      <c r="C89" s="407"/>
      <c r="D89" s="408"/>
      <c r="E89" s="409"/>
      <c r="F89" s="410"/>
      <c r="G89" s="411"/>
      <c r="H89" s="412"/>
      <c r="I89" s="413"/>
      <c r="J89" s="413"/>
      <c r="K89" s="414">
        <f t="shared" ref="K89" si="350">SUM(K85:K88)</f>
        <v>112</v>
      </c>
      <c r="L89" s="414">
        <f>SUM(L84:L88)</f>
        <v>125</v>
      </c>
      <c r="M89" s="414">
        <f t="shared" ref="M89:BX89" si="351">SUM(M84:M88)</f>
        <v>797.43</v>
      </c>
      <c r="N89" s="414">
        <f t="shared" si="351"/>
        <v>310.35000000000002</v>
      </c>
      <c r="O89" s="414">
        <f t="shared" si="351"/>
        <v>16</v>
      </c>
      <c r="P89" s="414">
        <f t="shared" si="351"/>
        <v>0</v>
      </c>
      <c r="Q89" s="414">
        <f t="shared" si="351"/>
        <v>0</v>
      </c>
      <c r="R89" s="414">
        <f t="shared" si="351"/>
        <v>0</v>
      </c>
      <c r="S89" s="414">
        <f t="shared" si="351"/>
        <v>21240000</v>
      </c>
      <c r="T89" s="414">
        <f t="shared" si="351"/>
        <v>2196428.57142857</v>
      </c>
      <c r="U89" s="414">
        <f t="shared" si="351"/>
        <v>0</v>
      </c>
      <c r="V89" s="414">
        <f t="shared" si="351"/>
        <v>0</v>
      </c>
      <c r="W89" s="414">
        <f t="shared" si="351"/>
        <v>0</v>
      </c>
      <c r="X89" s="414">
        <f t="shared" si="351"/>
        <v>0</v>
      </c>
      <c r="Y89" s="414">
        <f t="shared" si="351"/>
        <v>0</v>
      </c>
      <c r="Z89" s="414">
        <f t="shared" si="351"/>
        <v>0</v>
      </c>
      <c r="AA89" s="414">
        <f t="shared" si="351"/>
        <v>31920000</v>
      </c>
      <c r="AB89" s="414">
        <f t="shared" si="351"/>
        <v>6000000</v>
      </c>
      <c r="AC89" s="414">
        <f t="shared" si="351"/>
        <v>6000000</v>
      </c>
      <c r="AD89" s="414">
        <f t="shared" si="351"/>
        <v>0</v>
      </c>
      <c r="AE89" s="414">
        <f t="shared" si="351"/>
        <v>23612732.142857101</v>
      </c>
      <c r="AF89" s="414">
        <f t="shared" si="351"/>
        <v>12636305.357142899</v>
      </c>
      <c r="AG89" s="414">
        <f t="shared" si="351"/>
        <v>2000000</v>
      </c>
      <c r="AH89" s="414">
        <f t="shared" si="351"/>
        <v>0</v>
      </c>
      <c r="AI89" s="414">
        <f t="shared" si="351"/>
        <v>1285714</v>
      </c>
      <c r="AJ89" s="414">
        <f t="shared" si="351"/>
        <v>0</v>
      </c>
      <c r="AK89" s="414">
        <f t="shared" si="351"/>
        <v>0</v>
      </c>
      <c r="AL89" s="414">
        <f t="shared" si="351"/>
        <v>3850000</v>
      </c>
      <c r="AM89" s="414">
        <f t="shared" si="351"/>
        <v>11593812</v>
      </c>
      <c r="AN89" s="414">
        <f t="shared" si="351"/>
        <v>24330100</v>
      </c>
      <c r="AO89" s="414">
        <f t="shared" si="351"/>
        <v>234979</v>
      </c>
      <c r="AP89" s="414">
        <f t="shared" si="351"/>
        <v>120</v>
      </c>
      <c r="AQ89" s="414">
        <f t="shared" si="351"/>
        <v>0</v>
      </c>
      <c r="AR89" s="414">
        <f t="shared" si="351"/>
        <v>0</v>
      </c>
      <c r="AS89" s="414">
        <f t="shared" si="351"/>
        <v>0</v>
      </c>
      <c r="AT89" s="414">
        <f t="shared" si="351"/>
        <v>0</v>
      </c>
      <c r="AU89" s="414">
        <f t="shared" si="351"/>
        <v>292335</v>
      </c>
      <c r="AV89" s="414">
        <f t="shared" si="351"/>
        <v>0</v>
      </c>
      <c r="AW89" s="414">
        <f t="shared" si="351"/>
        <v>0</v>
      </c>
      <c r="AX89" s="414">
        <f t="shared" si="351"/>
        <v>0</v>
      </c>
      <c r="AY89" s="414">
        <f t="shared" si="351"/>
        <v>0</v>
      </c>
      <c r="AZ89" s="414">
        <f t="shared" si="351"/>
        <v>0</v>
      </c>
      <c r="BA89" s="414">
        <f t="shared" si="351"/>
        <v>0</v>
      </c>
      <c r="BB89" s="414">
        <f t="shared" si="351"/>
        <v>0</v>
      </c>
      <c r="BC89" s="414">
        <f t="shared" si="351"/>
        <v>0</v>
      </c>
      <c r="BD89" s="414">
        <f t="shared" si="351"/>
        <v>0</v>
      </c>
      <c r="BE89" s="414">
        <f t="shared" si="351"/>
        <v>548100</v>
      </c>
      <c r="BF89" s="414">
        <f t="shared" si="351"/>
        <v>0</v>
      </c>
      <c r="BG89" s="414">
        <f t="shared" si="351"/>
        <v>81484426.071428597</v>
      </c>
      <c r="BH89" s="414">
        <f t="shared" si="351"/>
        <v>3717000</v>
      </c>
      <c r="BI89" s="414">
        <f t="shared" si="351"/>
        <v>637200</v>
      </c>
      <c r="BJ89" s="414">
        <f t="shared" si="351"/>
        <v>212400</v>
      </c>
      <c r="BK89" s="414">
        <f t="shared" si="351"/>
        <v>0</v>
      </c>
      <c r="BL89" s="414">
        <f t="shared" si="351"/>
        <v>4566600</v>
      </c>
      <c r="BM89" s="414">
        <f t="shared" si="351"/>
        <v>1699200</v>
      </c>
      <c r="BN89" s="414">
        <f t="shared" si="351"/>
        <v>318600</v>
      </c>
      <c r="BO89" s="414">
        <f t="shared" si="351"/>
        <v>212400</v>
      </c>
      <c r="BP89" s="414">
        <f t="shared" si="351"/>
        <v>0</v>
      </c>
      <c r="BQ89" s="414">
        <f t="shared" si="351"/>
        <v>2230200</v>
      </c>
      <c r="BR89" s="414">
        <f t="shared" si="351"/>
        <v>12636305.357142899</v>
      </c>
      <c r="BS89" s="414">
        <f t="shared" si="351"/>
        <v>2196428.57142857</v>
      </c>
      <c r="BT89" s="414">
        <f t="shared" si="351"/>
        <v>66651692.142857097</v>
      </c>
      <c r="BU89" s="414">
        <f t="shared" si="351"/>
        <v>62000000</v>
      </c>
      <c r="BV89" s="414">
        <f t="shared" si="351"/>
        <v>0</v>
      </c>
      <c r="BW89" s="414">
        <f t="shared" si="351"/>
        <v>0</v>
      </c>
      <c r="BX89" s="414">
        <f t="shared" si="351"/>
        <v>2230200</v>
      </c>
      <c r="BY89" s="414">
        <f t="shared" ref="BY89:CG89" si="352">SUM(BY84:BY88)</f>
        <v>64230200</v>
      </c>
      <c r="BZ89" s="414">
        <f t="shared" si="352"/>
        <v>11617219.857142899</v>
      </c>
      <c r="CA89" s="414">
        <f t="shared" si="352"/>
        <v>414079</v>
      </c>
      <c r="CB89" s="414">
        <f t="shared" si="352"/>
        <v>78840147</v>
      </c>
      <c r="CC89" s="414">
        <f t="shared" si="352"/>
        <v>0</v>
      </c>
      <c r="CD89" s="414">
        <f t="shared" si="352"/>
        <v>0</v>
      </c>
      <c r="CE89" s="414">
        <f t="shared" si="352"/>
        <v>78840147</v>
      </c>
      <c r="CF89" s="414">
        <f t="shared" si="352"/>
        <v>0</v>
      </c>
      <c r="CG89" s="414">
        <f t="shared" si="352"/>
        <v>78840147</v>
      </c>
      <c r="CH89" s="414">
        <f t="shared" ref="CH89:CJ89" si="353">SUM(CH85:CH88)</f>
        <v>0</v>
      </c>
      <c r="CI89" s="414">
        <f t="shared" si="353"/>
        <v>0</v>
      </c>
      <c r="CJ89" s="414">
        <f t="shared" si="353"/>
        <v>0</v>
      </c>
      <c r="CK89" s="414"/>
      <c r="CL89" s="414"/>
      <c r="CM89" s="414">
        <f t="shared" ref="CM89:DC89" si="354">SUM(CM85:CM88)</f>
        <v>54</v>
      </c>
      <c r="CN89" s="414">
        <f t="shared" si="354"/>
        <v>29</v>
      </c>
      <c r="CO89" s="414">
        <f t="shared" si="354"/>
        <v>6075</v>
      </c>
      <c r="CP89" s="414">
        <f t="shared" si="354"/>
        <v>0</v>
      </c>
      <c r="CQ89" s="414">
        <f t="shared" si="354"/>
        <v>22</v>
      </c>
      <c r="CR89" s="414">
        <f t="shared" si="354"/>
        <v>0</v>
      </c>
      <c r="CS89" s="414">
        <f t="shared" si="354"/>
        <v>0</v>
      </c>
      <c r="CT89" s="414">
        <f t="shared" si="354"/>
        <v>0</v>
      </c>
      <c r="CU89" s="414">
        <f t="shared" si="354"/>
        <v>0</v>
      </c>
      <c r="CV89" s="414">
        <f t="shared" si="354"/>
        <v>0</v>
      </c>
      <c r="CW89" s="414">
        <f t="shared" si="354"/>
        <v>0</v>
      </c>
      <c r="CX89" s="414">
        <f t="shared" si="354"/>
        <v>0</v>
      </c>
      <c r="CY89" s="414">
        <f t="shared" si="354"/>
        <v>24000000</v>
      </c>
      <c r="CZ89" s="414">
        <f t="shared" si="354"/>
        <v>0</v>
      </c>
      <c r="DA89" s="414">
        <f t="shared" si="354"/>
        <v>0</v>
      </c>
      <c r="DB89" s="414">
        <f t="shared" si="354"/>
        <v>0</v>
      </c>
      <c r="DC89" s="414">
        <f t="shared" si="354"/>
        <v>0</v>
      </c>
      <c r="DD89" s="414"/>
      <c r="DE89" s="414">
        <f>SUM(DE85:DE88)</f>
        <v>0</v>
      </c>
      <c r="DF89" s="414">
        <f>SUM(DF85:DF88)</f>
        <v>0</v>
      </c>
      <c r="DG89" s="414">
        <f>SUM(DG85:DG88)</f>
        <v>0</v>
      </c>
    </row>
    <row r="90" spans="1:111" s="115" customFormat="1" ht="27" customHeight="1">
      <c r="A90" s="415"/>
      <c r="B90" s="416"/>
      <c r="C90" s="417"/>
      <c r="D90" s="418"/>
      <c r="E90" s="419"/>
      <c r="F90" s="420"/>
      <c r="G90" s="421"/>
      <c r="H90" s="422"/>
      <c r="I90" s="422"/>
      <c r="J90" s="422"/>
      <c r="K90" s="422"/>
      <c r="L90" s="423">
        <f t="shared" ref="L90:AH90" si="355">SUM(L11:L88)</f>
        <v>2789</v>
      </c>
      <c r="M90" s="424">
        <f t="shared" si="355"/>
        <v>15430.95</v>
      </c>
      <c r="N90" s="424">
        <f t="shared" si="355"/>
        <v>9936.4299999999894</v>
      </c>
      <c r="O90" s="424">
        <f t="shared" si="355"/>
        <v>576</v>
      </c>
      <c r="P90" s="424">
        <f t="shared" si="355"/>
        <v>0</v>
      </c>
      <c r="Q90" s="424">
        <f t="shared" si="355"/>
        <v>0</v>
      </c>
      <c r="R90" s="424">
        <f t="shared" si="355"/>
        <v>0</v>
      </c>
      <c r="S90" s="424">
        <f t="shared" si="355"/>
        <v>382320000</v>
      </c>
      <c r="T90" s="424">
        <f t="shared" si="355"/>
        <v>47625000</v>
      </c>
      <c r="U90" s="424">
        <f t="shared" si="355"/>
        <v>0</v>
      </c>
      <c r="V90" s="424">
        <f t="shared" si="355"/>
        <v>0</v>
      </c>
      <c r="W90" s="424">
        <f t="shared" si="355"/>
        <v>0</v>
      </c>
      <c r="X90" s="424">
        <f t="shared" si="355"/>
        <v>0</v>
      </c>
      <c r="Y90" s="424">
        <f t="shared" si="355"/>
        <v>0</v>
      </c>
      <c r="Z90" s="424">
        <f t="shared" si="355"/>
        <v>0</v>
      </c>
      <c r="AA90" s="424">
        <f t="shared" si="355"/>
        <v>793938116</v>
      </c>
      <c r="AB90" s="424">
        <f t="shared" si="355"/>
        <v>351000000</v>
      </c>
      <c r="AC90" s="424">
        <f t="shared" si="355"/>
        <v>198000000</v>
      </c>
      <c r="AD90" s="424">
        <f t="shared" si="355"/>
        <v>0</v>
      </c>
      <c r="AE90" s="424">
        <f t="shared" si="355"/>
        <v>417745247.33107102</v>
      </c>
      <c r="AF90" s="425">
        <f t="shared" si="355"/>
        <v>412247646.14678597</v>
      </c>
      <c r="AG90" s="425">
        <f t="shared" si="355"/>
        <v>20000000</v>
      </c>
      <c r="AH90" s="425">
        <f t="shared" si="355"/>
        <v>0</v>
      </c>
      <c r="AI90" s="425"/>
      <c r="AJ90" s="425"/>
      <c r="AK90" s="425"/>
      <c r="AL90" s="425">
        <f>SUM(AL12:AL87)</f>
        <v>64483332</v>
      </c>
      <c r="AM90" s="425">
        <f t="shared" ref="AM90:AS90" si="356">SUM(AM11:AM88)</f>
        <v>35916168</v>
      </c>
      <c r="AN90" s="425">
        <f t="shared" si="356"/>
        <v>186213410</v>
      </c>
      <c r="AO90" s="425">
        <f t="shared" si="356"/>
        <v>3523561</v>
      </c>
      <c r="AP90" s="425">
        <f t="shared" si="356"/>
        <v>1200</v>
      </c>
      <c r="AQ90" s="425">
        <f t="shared" si="356"/>
        <v>19302800</v>
      </c>
      <c r="AR90" s="425">
        <f t="shared" si="356"/>
        <v>0</v>
      </c>
      <c r="AS90" s="425">
        <f t="shared" si="356"/>
        <v>1446000</v>
      </c>
      <c r="AT90" s="425"/>
      <c r="AU90" s="425">
        <f t="shared" ref="AU90:CG90" si="357">SUM(AU11:AU88)</f>
        <v>19187479</v>
      </c>
      <c r="AV90" s="425">
        <f t="shared" si="357"/>
        <v>0</v>
      </c>
      <c r="AW90" s="425">
        <f t="shared" si="357"/>
        <v>0</v>
      </c>
      <c r="AX90" s="425">
        <f t="shared" si="357"/>
        <v>0</v>
      </c>
      <c r="AY90" s="425">
        <f t="shared" si="357"/>
        <v>800000</v>
      </c>
      <c r="AZ90" s="425">
        <f t="shared" si="357"/>
        <v>11612903.225806501</v>
      </c>
      <c r="BA90" s="425">
        <f t="shared" si="357"/>
        <v>354000</v>
      </c>
      <c r="BB90" s="425">
        <f t="shared" si="357"/>
        <v>0</v>
      </c>
      <c r="BC90" s="425">
        <f t="shared" si="357"/>
        <v>1200000</v>
      </c>
      <c r="BD90" s="425">
        <f t="shared" si="357"/>
        <v>0</v>
      </c>
      <c r="BE90" s="425">
        <f t="shared" si="357"/>
        <v>8646922</v>
      </c>
      <c r="BF90" s="425">
        <f t="shared" si="357"/>
        <v>3000000</v>
      </c>
      <c r="BG90" s="425">
        <f t="shared" si="357"/>
        <v>1290175274.70366</v>
      </c>
      <c r="BH90" s="425">
        <f t="shared" si="357"/>
        <v>66906000</v>
      </c>
      <c r="BI90" s="425">
        <f t="shared" si="357"/>
        <v>11469600</v>
      </c>
      <c r="BJ90" s="425">
        <f t="shared" si="357"/>
        <v>3823200</v>
      </c>
      <c r="BK90" s="425">
        <f t="shared" si="357"/>
        <v>0</v>
      </c>
      <c r="BL90" s="425">
        <f t="shared" si="357"/>
        <v>82198800</v>
      </c>
      <c r="BM90" s="425">
        <f t="shared" si="357"/>
        <v>30585600</v>
      </c>
      <c r="BN90" s="425">
        <f t="shared" si="357"/>
        <v>5734800</v>
      </c>
      <c r="BO90" s="425">
        <f t="shared" si="357"/>
        <v>3823200</v>
      </c>
      <c r="BP90" s="425">
        <f t="shared" si="357"/>
        <v>0</v>
      </c>
      <c r="BQ90" s="425">
        <f t="shared" si="357"/>
        <v>40143600</v>
      </c>
      <c r="BR90" s="425">
        <f t="shared" si="357"/>
        <v>374769208.64678597</v>
      </c>
      <c r="BS90" s="425">
        <f t="shared" si="357"/>
        <v>41398457.142857097</v>
      </c>
      <c r="BT90" s="425">
        <f t="shared" si="357"/>
        <v>874007608.91402102</v>
      </c>
      <c r="BU90" s="425">
        <f t="shared" si="357"/>
        <v>1395000000</v>
      </c>
      <c r="BV90" s="425">
        <f t="shared" si="357"/>
        <v>2</v>
      </c>
      <c r="BW90" s="425">
        <f t="shared" si="357"/>
        <v>12400000</v>
      </c>
      <c r="BX90" s="425">
        <f t="shared" si="357"/>
        <v>40143600</v>
      </c>
      <c r="BY90" s="425">
        <f t="shared" si="357"/>
        <v>1447543600</v>
      </c>
      <c r="BZ90" s="425">
        <f t="shared" si="357"/>
        <v>199356853.964286</v>
      </c>
      <c r="CA90" s="425">
        <f t="shared" si="357"/>
        <v>16448410.1571429</v>
      </c>
      <c r="CB90" s="425">
        <f t="shared" si="357"/>
        <v>1233583267</v>
      </c>
      <c r="CC90" s="425">
        <f t="shared" si="357"/>
        <v>1392856</v>
      </c>
      <c r="CD90" s="425">
        <f t="shared" si="357"/>
        <v>22000000</v>
      </c>
      <c r="CE90" s="425">
        <f t="shared" si="357"/>
        <v>1212976123</v>
      </c>
      <c r="CF90" s="425">
        <f t="shared" si="357"/>
        <v>0</v>
      </c>
      <c r="CG90" s="426">
        <f t="shared" si="357"/>
        <v>1212976123</v>
      </c>
      <c r="CH90" s="427"/>
      <c r="CI90" s="428"/>
      <c r="CJ90" s="417"/>
      <c r="CK90" s="429"/>
      <c r="CL90" s="430"/>
      <c r="CM90" s="422"/>
      <c r="CN90" s="422"/>
      <c r="CO90" s="422"/>
      <c r="CP90" s="431"/>
      <c r="CQ90" s="432"/>
      <c r="CR90" s="431"/>
      <c r="CS90" s="433"/>
      <c r="CT90" s="433"/>
      <c r="CU90" s="433"/>
      <c r="CV90" s="434"/>
      <c r="CW90" s="434"/>
      <c r="CX90" s="434"/>
      <c r="CY90" s="435"/>
      <c r="CZ90" s="436"/>
      <c r="DA90" s="437"/>
      <c r="DE90" s="438"/>
      <c r="DF90" s="439"/>
      <c r="DG90" s="270"/>
    </row>
    <row r="91" spans="1:111" s="115" customFormat="1" ht="21.75" customHeight="1">
      <c r="G91" s="440"/>
      <c r="H91" s="441"/>
      <c r="L91" s="442"/>
      <c r="M91" s="438" t="e">
        <f>#REF!</f>
        <v>#REF!</v>
      </c>
      <c r="N91" s="438" t="e">
        <f>#REF!</f>
        <v>#REF!</v>
      </c>
      <c r="O91" s="438" t="e">
        <f>#REF!</f>
        <v>#REF!</v>
      </c>
      <c r="P91" s="438" t="e">
        <f>#REF!</f>
        <v>#REF!</v>
      </c>
      <c r="Q91" s="438" t="e">
        <f>#REF!</f>
        <v>#REF!</v>
      </c>
      <c r="R91" s="438" t="e">
        <f>#REF!</f>
        <v>#REF!</v>
      </c>
      <c r="S91" s="438" t="e">
        <f>#REF!</f>
        <v>#REF!</v>
      </c>
      <c r="T91" s="438" t="e">
        <f>#REF!</f>
        <v>#REF!</v>
      </c>
      <c r="U91" s="438" t="e">
        <f>#REF!</f>
        <v>#REF!</v>
      </c>
      <c r="V91" s="438" t="e">
        <f>#REF!</f>
        <v>#REF!</v>
      </c>
      <c r="W91" s="438" t="e">
        <f>#REF!</f>
        <v>#REF!</v>
      </c>
      <c r="X91" s="438" t="e">
        <f>#REF!</f>
        <v>#REF!</v>
      </c>
      <c r="Y91" s="438" t="e">
        <f>#REF!</f>
        <v>#REF!</v>
      </c>
      <c r="Z91" s="438" t="e">
        <f>#REF!</f>
        <v>#REF!</v>
      </c>
      <c r="AA91" s="438" t="e">
        <f>#REF!</f>
        <v>#REF!</v>
      </c>
      <c r="AB91" s="438" t="e">
        <f>#REF!</f>
        <v>#REF!</v>
      </c>
      <c r="AC91" s="438" t="e">
        <f>#REF!</f>
        <v>#REF!</v>
      </c>
      <c r="AD91" s="438" t="e">
        <f>#REF!</f>
        <v>#REF!</v>
      </c>
      <c r="AE91" s="438" t="e">
        <f>#REF!</f>
        <v>#REF!</v>
      </c>
      <c r="AF91" s="443" t="e">
        <f>#REF!</f>
        <v>#REF!</v>
      </c>
      <c r="AG91" s="443" t="e">
        <f>#REF!</f>
        <v>#REF!</v>
      </c>
      <c r="AH91" s="443" t="e">
        <f>#REF!</f>
        <v>#REF!</v>
      </c>
      <c r="AI91" s="443"/>
      <c r="AJ91" s="443"/>
      <c r="AK91" s="443"/>
      <c r="AL91" s="443" t="e">
        <f>#REF!</f>
        <v>#REF!</v>
      </c>
      <c r="AM91" s="443" t="e">
        <f>#REF!</f>
        <v>#REF!</v>
      </c>
      <c r="AN91" s="443" t="e">
        <f>#REF!</f>
        <v>#REF!</v>
      </c>
      <c r="AO91" s="443" t="e">
        <f>#REF!</f>
        <v>#REF!</v>
      </c>
      <c r="AP91" s="443" t="e">
        <f>#REF!</f>
        <v>#REF!</v>
      </c>
      <c r="AQ91" s="443" t="e">
        <f>#REF!</f>
        <v>#REF!</v>
      </c>
      <c r="AR91" s="443" t="e">
        <f>#REF!</f>
        <v>#REF!</v>
      </c>
      <c r="AS91" s="443"/>
      <c r="AT91" s="443"/>
      <c r="AU91" s="443"/>
      <c r="AV91" s="443" t="e">
        <f>#REF!</f>
        <v>#REF!</v>
      </c>
      <c r="AW91" s="443" t="e">
        <f>#REF!</f>
        <v>#REF!</v>
      </c>
      <c r="AX91" s="443" t="e">
        <f>#REF!</f>
        <v>#REF!</v>
      </c>
      <c r="AY91" s="443" t="e">
        <f>#REF!</f>
        <v>#REF!</v>
      </c>
      <c r="AZ91" s="443" t="e">
        <f>#REF!</f>
        <v>#REF!</v>
      </c>
      <c r="BA91" s="443" t="e">
        <f>#REF!</f>
        <v>#REF!</v>
      </c>
      <c r="BB91" s="443" t="e">
        <f>#REF!</f>
        <v>#REF!</v>
      </c>
      <c r="BC91" s="443" t="e">
        <f>#REF!</f>
        <v>#REF!</v>
      </c>
      <c r="BD91" s="443" t="e">
        <f>#REF!</f>
        <v>#REF!</v>
      </c>
      <c r="BE91" s="443" t="e">
        <f>#REF!</f>
        <v>#REF!</v>
      </c>
      <c r="BF91" s="443" t="e">
        <f>#REF!</f>
        <v>#REF!</v>
      </c>
      <c r="BG91" s="443" t="e">
        <f>#REF!</f>
        <v>#REF!</v>
      </c>
      <c r="BH91" s="443" t="e">
        <f>#REF!</f>
        <v>#REF!</v>
      </c>
      <c r="BI91" s="443" t="e">
        <f>#REF!</f>
        <v>#REF!</v>
      </c>
      <c r="BJ91" s="443" t="e">
        <f>#REF!</f>
        <v>#REF!</v>
      </c>
      <c r="BK91" s="443" t="e">
        <f>#REF!</f>
        <v>#REF!</v>
      </c>
      <c r="BL91" s="443" t="e">
        <f>#REF!</f>
        <v>#REF!</v>
      </c>
      <c r="BM91" s="443" t="e">
        <f>#REF!</f>
        <v>#REF!</v>
      </c>
      <c r="BN91" s="443" t="e">
        <f>#REF!</f>
        <v>#REF!</v>
      </c>
      <c r="BO91" s="443" t="e">
        <f>#REF!</f>
        <v>#REF!</v>
      </c>
      <c r="BP91" s="443" t="e">
        <f>#REF!</f>
        <v>#REF!</v>
      </c>
      <c r="BQ91" s="443" t="e">
        <f>#REF!</f>
        <v>#REF!</v>
      </c>
      <c r="BR91" s="444" t="e">
        <f>AF91</f>
        <v>#REF!</v>
      </c>
      <c r="BS91" s="443" t="e">
        <f>#REF!</f>
        <v>#REF!</v>
      </c>
      <c r="BT91" s="443" t="e">
        <f>#REF!</f>
        <v>#REF!</v>
      </c>
      <c r="BU91" s="443" t="e">
        <f>#REF!</f>
        <v>#REF!</v>
      </c>
      <c r="BV91" s="443" t="e">
        <f>#REF!</f>
        <v>#REF!</v>
      </c>
      <c r="BW91" s="443" t="e">
        <f>#REF!</f>
        <v>#REF!</v>
      </c>
      <c r="BX91" s="443" t="e">
        <f>#REF!</f>
        <v>#REF!</v>
      </c>
      <c r="BY91" s="443" t="e">
        <f>#REF!</f>
        <v>#REF!</v>
      </c>
      <c r="BZ91" s="443" t="e">
        <f>#REF!</f>
        <v>#REF!</v>
      </c>
      <c r="CA91" s="443" t="e">
        <f>#REF!</f>
        <v>#REF!</v>
      </c>
      <c r="CB91" s="443" t="e">
        <f>#REF!</f>
        <v>#REF!</v>
      </c>
      <c r="CC91" s="443" t="e">
        <f>#REF!</f>
        <v>#REF!</v>
      </c>
      <c r="CD91" s="443" t="e">
        <f>#REF!</f>
        <v>#REF!</v>
      </c>
      <c r="CE91" s="443" t="e">
        <f>#REF!</f>
        <v>#REF!</v>
      </c>
      <c r="CF91" s="443" t="e">
        <f>#REF!</f>
        <v>#REF!</v>
      </c>
      <c r="CG91" s="445" t="e">
        <f>#REF!</f>
        <v>#REF!</v>
      </c>
      <c r="CI91" s="417"/>
      <c r="CK91" s="446"/>
      <c r="DE91" s="438"/>
      <c r="DF91" s="439"/>
      <c r="DG91" s="270"/>
    </row>
    <row r="92" spans="1:111" s="115" customFormat="1" ht="15.75" customHeight="1">
      <c r="G92" s="440"/>
      <c r="H92" s="441"/>
      <c r="L92" s="447" t="e">
        <f>L91-#REF!</f>
        <v>#REF!</v>
      </c>
      <c r="M92" s="448" t="e">
        <f>M91-#REF!</f>
        <v>#REF!</v>
      </c>
      <c r="N92" s="448" t="e">
        <f>N91-#REF!</f>
        <v>#REF!</v>
      </c>
      <c r="O92" s="448" t="e">
        <f>O91-#REF!</f>
        <v>#REF!</v>
      </c>
      <c r="P92" s="448" t="e">
        <f>P91-#REF!</f>
        <v>#REF!</v>
      </c>
      <c r="Q92" s="448" t="e">
        <f>Q91-#REF!</f>
        <v>#REF!</v>
      </c>
      <c r="R92" s="448" t="e">
        <f>R91-#REF!</f>
        <v>#REF!</v>
      </c>
      <c r="S92" s="448" t="e">
        <f>S91-#REF!</f>
        <v>#REF!</v>
      </c>
      <c r="T92" s="448" t="e">
        <f>T91-#REF!</f>
        <v>#REF!</v>
      </c>
      <c r="U92" s="448" t="e">
        <f>U91-#REF!</f>
        <v>#REF!</v>
      </c>
      <c r="V92" s="448" t="e">
        <f>V91-#REF!</f>
        <v>#REF!</v>
      </c>
      <c r="W92" s="448" t="e">
        <f>W91-#REF!</f>
        <v>#REF!</v>
      </c>
      <c r="X92" s="448" t="e">
        <f>X91-#REF!</f>
        <v>#REF!</v>
      </c>
      <c r="Y92" s="448" t="e">
        <f>Y91-#REF!</f>
        <v>#REF!</v>
      </c>
      <c r="Z92" s="448" t="e">
        <f>Z91-#REF!</f>
        <v>#REF!</v>
      </c>
      <c r="AA92" s="448" t="e">
        <f>AA91-#REF!</f>
        <v>#REF!</v>
      </c>
      <c r="AB92" s="448" t="e">
        <f>AB91-#REF!</f>
        <v>#REF!</v>
      </c>
      <c r="AC92" s="448" t="e">
        <f>AC91-#REF!</f>
        <v>#REF!</v>
      </c>
      <c r="AD92" s="448" t="e">
        <f>AD91-#REF!</f>
        <v>#REF!</v>
      </c>
      <c r="AE92" s="448" t="e">
        <f>AE91-#REF!</f>
        <v>#REF!</v>
      </c>
      <c r="AF92" s="120" t="e">
        <f>AF91-#REF!</f>
        <v>#REF!</v>
      </c>
      <c r="AG92" s="120" t="e">
        <f>AG91-#REF!</f>
        <v>#REF!</v>
      </c>
      <c r="AH92" s="120" t="e">
        <f>AH91-#REF!</f>
        <v>#REF!</v>
      </c>
      <c r="AI92" s="120"/>
      <c r="AJ92" s="120"/>
      <c r="AK92" s="120"/>
      <c r="AL92" s="120" t="e">
        <f>AL91-#REF!</f>
        <v>#REF!</v>
      </c>
      <c r="AM92" s="120" t="e">
        <f>AM91-#REF!</f>
        <v>#REF!</v>
      </c>
      <c r="AN92" s="120" t="e">
        <f>AN91-#REF!</f>
        <v>#REF!</v>
      </c>
      <c r="AO92" s="120" t="e">
        <f>AO91-#REF!</f>
        <v>#REF!</v>
      </c>
      <c r="AP92" s="120" t="e">
        <f>AP91-#REF!</f>
        <v>#REF!</v>
      </c>
      <c r="AQ92" s="120" t="e">
        <f>AQ91-#REF!</f>
        <v>#REF!</v>
      </c>
      <c r="AR92" s="120" t="e">
        <f>AR91-#REF!</f>
        <v>#REF!</v>
      </c>
      <c r="AS92" s="120"/>
      <c r="AT92" s="120"/>
      <c r="AU92" s="120"/>
      <c r="AV92" s="120" t="e">
        <f>AV91-#REF!</f>
        <v>#REF!</v>
      </c>
      <c r="AW92" s="120" t="e">
        <f>AW91-#REF!</f>
        <v>#REF!</v>
      </c>
      <c r="AX92" s="120" t="e">
        <f>AX91-#REF!</f>
        <v>#REF!</v>
      </c>
      <c r="AY92" s="120" t="e">
        <f>AY91-#REF!</f>
        <v>#REF!</v>
      </c>
      <c r="AZ92" s="120" t="e">
        <f>AZ91-#REF!</f>
        <v>#REF!</v>
      </c>
      <c r="BA92" s="120" t="e">
        <f>BA91-#REF!</f>
        <v>#REF!</v>
      </c>
      <c r="BB92" s="120" t="e">
        <f>BB91-#REF!</f>
        <v>#REF!</v>
      </c>
      <c r="BC92" s="120" t="e">
        <f>BC91-#REF!</f>
        <v>#REF!</v>
      </c>
      <c r="BD92" s="120" t="e">
        <f>BD91-#REF!</f>
        <v>#REF!</v>
      </c>
      <c r="BE92" s="120" t="e">
        <f>BE91-#REF!</f>
        <v>#REF!</v>
      </c>
      <c r="BF92" s="120" t="e">
        <f>BF91-#REF!</f>
        <v>#REF!</v>
      </c>
      <c r="BG92" s="120" t="e">
        <f>BG91-#REF!</f>
        <v>#REF!</v>
      </c>
      <c r="BH92" s="120" t="e">
        <f>BH91-#REF!</f>
        <v>#REF!</v>
      </c>
      <c r="BI92" s="120" t="e">
        <f>BI91-#REF!</f>
        <v>#REF!</v>
      </c>
      <c r="BJ92" s="120" t="e">
        <f>BJ91-#REF!</f>
        <v>#REF!</v>
      </c>
      <c r="BK92" s="120" t="e">
        <f>BK91-#REF!</f>
        <v>#REF!</v>
      </c>
      <c r="BL92" s="120" t="e">
        <f>BL91-#REF!</f>
        <v>#REF!</v>
      </c>
      <c r="BM92" s="120" t="e">
        <f>BM91-#REF!</f>
        <v>#REF!</v>
      </c>
      <c r="BN92" s="120" t="e">
        <f>BN91-#REF!</f>
        <v>#REF!</v>
      </c>
      <c r="BO92" s="120" t="e">
        <f>BO91-#REF!</f>
        <v>#REF!</v>
      </c>
      <c r="BP92" s="120" t="e">
        <f>BP91-#REF!</f>
        <v>#REF!</v>
      </c>
      <c r="BQ92" s="120" t="e">
        <f>BQ91-#REF!</f>
        <v>#REF!</v>
      </c>
      <c r="BR92" s="444" t="e">
        <f>AF92</f>
        <v>#REF!</v>
      </c>
      <c r="BS92" s="120" t="e">
        <f>BS91-#REF!</f>
        <v>#REF!</v>
      </c>
      <c r="BT92" s="120" t="e">
        <f>BT91-#REF!</f>
        <v>#REF!</v>
      </c>
      <c r="BU92" s="120" t="e">
        <f>BU91-#REF!</f>
        <v>#REF!</v>
      </c>
      <c r="BV92" s="120" t="e">
        <f>BV91-#REF!</f>
        <v>#REF!</v>
      </c>
      <c r="BW92" s="120" t="e">
        <f>BW91-#REF!</f>
        <v>#REF!</v>
      </c>
      <c r="BX92" s="120" t="e">
        <f>BX91-#REF!</f>
        <v>#REF!</v>
      </c>
      <c r="BY92" s="120" t="e">
        <f>BY91-#REF!</f>
        <v>#REF!</v>
      </c>
      <c r="BZ92" s="120" t="e">
        <f>BZ91-#REF!</f>
        <v>#REF!</v>
      </c>
      <c r="CA92" s="120" t="e">
        <f>CA91-#REF!</f>
        <v>#REF!</v>
      </c>
      <c r="CB92" s="120" t="e">
        <f>CB91-#REF!</f>
        <v>#REF!</v>
      </c>
      <c r="CC92" s="120" t="e">
        <f>CC91-#REF!</f>
        <v>#REF!</v>
      </c>
      <c r="CD92" s="120" t="e">
        <f>CD91-#REF!</f>
        <v>#REF!</v>
      </c>
      <c r="CE92" s="120" t="e">
        <f>CE91-#REF!</f>
        <v>#REF!</v>
      </c>
      <c r="CF92" s="120" t="e">
        <f>CF91-#REF!</f>
        <v>#REF!</v>
      </c>
      <c r="CG92" s="445" t="e">
        <f>CG91-#REF!</f>
        <v>#REF!</v>
      </c>
      <c r="CI92" s="417"/>
      <c r="CK92" s="446"/>
      <c r="DE92" s="438"/>
      <c r="DF92" s="439"/>
      <c r="DG92" s="270"/>
    </row>
    <row r="93" spans="1:111" s="115" customFormat="1" ht="15.75" customHeight="1">
      <c r="G93" s="440"/>
      <c r="H93" s="441"/>
      <c r="L93" s="449"/>
      <c r="M93" s="128"/>
      <c r="N93" s="128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444">
        <f>AF93</f>
        <v>0</v>
      </c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  <c r="CE93" s="120"/>
      <c r="CF93" s="120"/>
      <c r="CG93" s="445"/>
      <c r="CI93" s="417"/>
      <c r="CJ93" s="450" t="e">
        <f>#REF!+#REF!+#REF!+#REF!+#REF!+CJ29+CJ27+CJ36+#REF!</f>
        <v>#REF!</v>
      </c>
      <c r="CK93" s="128"/>
      <c r="DE93" s="438"/>
      <c r="DF93" s="439"/>
    </row>
    <row r="94" spans="1:111" s="115" customFormat="1" ht="15.75" customHeight="1">
      <c r="G94" s="440"/>
      <c r="H94" s="441"/>
      <c r="L94" s="449"/>
      <c r="M94" s="128"/>
      <c r="N94" s="128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0"/>
      <c r="CE94" s="120"/>
      <c r="CF94" s="120"/>
      <c r="CG94" s="445"/>
      <c r="CI94" s="417"/>
      <c r="CJ94" s="451"/>
      <c r="CK94" s="128"/>
      <c r="DE94" s="438"/>
      <c r="DF94" s="439"/>
    </row>
    <row r="95" spans="1:111" s="115" customFormat="1" ht="15.75" customHeight="1">
      <c r="G95" s="440"/>
      <c r="H95" s="441"/>
      <c r="L95" s="449"/>
      <c r="M95" s="128"/>
      <c r="N95" s="128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  <c r="AV95" s="120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0"/>
      <c r="CE95" s="120"/>
      <c r="CF95" s="120"/>
      <c r="CG95" s="445"/>
      <c r="CI95" s="417"/>
      <c r="CJ95" s="451"/>
      <c r="CK95" s="128"/>
      <c r="DE95" s="438"/>
      <c r="DF95" s="439"/>
    </row>
    <row r="96" spans="1:111" s="115" customFormat="1" ht="15.75" customHeight="1">
      <c r="G96" s="440"/>
      <c r="H96" s="441"/>
      <c r="L96" s="449"/>
      <c r="M96" s="128"/>
      <c r="N96" s="128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  <c r="AV96" s="120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0"/>
      <c r="BJ96" s="120"/>
      <c r="BK96" s="120"/>
      <c r="BL96" s="120"/>
      <c r="BM96" s="120"/>
      <c r="BN96" s="120"/>
      <c r="BO96" s="120"/>
      <c r="BP96" s="12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0"/>
      <c r="CE96" s="120"/>
      <c r="CF96" s="120"/>
      <c r="CG96" s="445"/>
      <c r="CH96" s="452"/>
      <c r="CI96" s="417"/>
      <c r="CJ96" s="451"/>
      <c r="CK96" s="128"/>
      <c r="DE96" s="438"/>
      <c r="DF96" s="439"/>
    </row>
    <row r="97" spans="7:110" s="115" customFormat="1" ht="15.75" customHeight="1">
      <c r="G97" s="440"/>
      <c r="H97" s="441"/>
      <c r="L97" s="449"/>
      <c r="M97" s="128"/>
      <c r="N97" s="128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  <c r="AV97" s="120"/>
      <c r="AW97" s="120"/>
      <c r="AX97" s="120"/>
      <c r="AY97" s="120"/>
      <c r="AZ97" s="445">
        <v>696428</v>
      </c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  <c r="CE97" s="120"/>
      <c r="CF97" s="120"/>
      <c r="CG97" s="445"/>
      <c r="CI97" s="417"/>
      <c r="CJ97" s="451"/>
      <c r="CK97" s="128"/>
      <c r="DE97" s="438"/>
      <c r="DF97" s="439"/>
    </row>
    <row r="98" spans="7:110" s="115" customFormat="1" ht="15.75" customHeight="1">
      <c r="G98" s="440"/>
      <c r="H98" s="441"/>
      <c r="L98" s="449"/>
      <c r="M98" s="128"/>
      <c r="N98" s="128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20"/>
      <c r="AY98" s="120"/>
      <c r="AZ98" s="445">
        <v>214286</v>
      </c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0"/>
      <c r="CE98" s="120"/>
      <c r="CF98" s="120"/>
      <c r="CG98" s="445"/>
      <c r="CJ98" s="451"/>
      <c r="CK98" s="128"/>
      <c r="DE98" s="438"/>
      <c r="DF98" s="439"/>
    </row>
    <row r="99" spans="7:110" s="115" customFormat="1" ht="15.75" customHeight="1">
      <c r="G99" s="440"/>
      <c r="H99" s="441"/>
      <c r="L99" s="449"/>
      <c r="M99" s="128"/>
      <c r="N99" s="128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0"/>
      <c r="BN99" s="120"/>
      <c r="BO99" s="120"/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0"/>
      <c r="CE99" s="120"/>
      <c r="CF99" s="120"/>
      <c r="CG99" s="445"/>
      <c r="CJ99" s="451"/>
      <c r="CK99" s="128"/>
      <c r="CT99" s="453"/>
      <c r="DE99" s="438"/>
      <c r="DF99" s="439"/>
    </row>
    <row r="100" spans="7:110" s="115" customFormat="1" ht="15.75" customHeight="1">
      <c r="G100" s="440"/>
      <c r="H100" s="441"/>
      <c r="L100" s="449"/>
      <c r="M100" s="128"/>
      <c r="N100" s="128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0"/>
      <c r="CE100" s="120"/>
      <c r="CF100" s="120"/>
      <c r="CG100" s="445"/>
      <c r="CJ100" s="451"/>
      <c r="CK100" s="128"/>
      <c r="CT100" s="453"/>
      <c r="DE100" s="438"/>
      <c r="DF100" s="439"/>
    </row>
    <row r="101" spans="7:110" s="115" customFormat="1" ht="15.75" customHeight="1">
      <c r="G101" s="440"/>
      <c r="H101" s="441"/>
      <c r="L101" s="449"/>
      <c r="M101" s="128"/>
      <c r="N101" s="128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20"/>
      <c r="BI101" s="120"/>
      <c r="BJ101" s="120"/>
      <c r="BK101" s="120"/>
      <c r="BL101" s="120"/>
      <c r="BM101" s="120"/>
      <c r="BN101" s="120"/>
      <c r="BO101" s="120"/>
      <c r="BP101" s="120"/>
      <c r="BQ101" s="120"/>
      <c r="BR101" s="120"/>
      <c r="BS101" s="120"/>
      <c r="BT101" s="120"/>
      <c r="BU101" s="120"/>
      <c r="BV101" s="120"/>
      <c r="BW101" s="120"/>
      <c r="BX101" s="120"/>
      <c r="BY101" s="120"/>
      <c r="BZ101" s="120"/>
      <c r="CA101" s="120"/>
      <c r="CB101" s="120"/>
      <c r="CC101" s="120"/>
      <c r="CD101" s="120"/>
      <c r="CE101" s="120"/>
      <c r="CF101" s="120"/>
      <c r="CG101" s="445"/>
      <c r="CJ101" s="451"/>
      <c r="CK101" s="128"/>
      <c r="CT101" s="453"/>
      <c r="DE101" s="438"/>
      <c r="DF101" s="439"/>
    </row>
    <row r="102" spans="7:110" s="115" customFormat="1" ht="15.75" customHeight="1">
      <c r="G102" s="440"/>
      <c r="H102" s="441"/>
      <c r="L102" s="449"/>
      <c r="M102" s="128"/>
      <c r="N102" s="128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>
        <f>BT29+BT47+BT63+BT75</f>
        <v>21606046</v>
      </c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20"/>
      <c r="CG102" s="445"/>
      <c r="CJ102" s="451"/>
      <c r="CK102" s="128"/>
      <c r="CT102" s="453"/>
      <c r="DE102" s="438"/>
      <c r="DF102" s="439"/>
    </row>
    <row r="103" spans="7:110" s="115" customFormat="1" ht="15.75" customHeight="1">
      <c r="G103" s="440"/>
      <c r="H103" s="441"/>
      <c r="L103" s="449"/>
      <c r="M103" s="128"/>
      <c r="N103" s="128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20"/>
      <c r="BI103" s="120"/>
      <c r="BJ103" s="120"/>
      <c r="BK103" s="120"/>
      <c r="BL103" s="120"/>
      <c r="BM103" s="120"/>
      <c r="BN103" s="120"/>
      <c r="BO103" s="120"/>
      <c r="BP103" s="120"/>
      <c r="BQ103" s="120"/>
      <c r="BR103" s="120"/>
      <c r="BS103" s="120"/>
      <c r="BT103" s="120"/>
      <c r="BU103" s="120"/>
      <c r="BV103" s="120"/>
      <c r="BW103" s="120"/>
      <c r="BX103" s="120"/>
      <c r="BY103" s="120"/>
      <c r="BZ103" s="120"/>
      <c r="CA103" s="120"/>
      <c r="CB103" s="120"/>
      <c r="CC103" s="120"/>
      <c r="CD103" s="120"/>
      <c r="CE103" s="120"/>
      <c r="CF103" s="120"/>
      <c r="CG103" s="445"/>
      <c r="CJ103" s="451"/>
      <c r="CK103" s="128"/>
      <c r="CT103" s="453"/>
      <c r="DE103" s="438"/>
      <c r="DF103" s="439"/>
    </row>
    <row r="104" spans="7:110" s="115" customFormat="1" ht="15.75" customHeight="1">
      <c r="G104" s="440"/>
      <c r="H104" s="441"/>
      <c r="L104" s="449"/>
      <c r="M104" s="128"/>
      <c r="N104" s="128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0"/>
      <c r="BR104" s="120"/>
      <c r="BS104" s="120"/>
      <c r="BT104" s="120"/>
      <c r="BU104" s="120"/>
      <c r="BV104" s="120"/>
      <c r="BW104" t="s">
        <v>423</v>
      </c>
      <c r="BX104" s="120"/>
      <c r="BY104" s="120"/>
      <c r="BZ104" s="120"/>
      <c r="CA104" s="120"/>
      <c r="CB104" s="120"/>
      <c r="CC104" s="120"/>
      <c r="CD104" s="120"/>
      <c r="CE104" s="120"/>
      <c r="CF104" s="120"/>
      <c r="CG104" s="445"/>
      <c r="CJ104" s="451"/>
      <c r="CK104" s="128"/>
      <c r="CT104" s="453"/>
      <c r="DE104" s="438"/>
      <c r="DF104" s="439"/>
    </row>
    <row r="105" spans="7:110" s="115" customFormat="1" ht="15.75" customHeight="1">
      <c r="G105" s="440"/>
      <c r="H105" s="441"/>
      <c r="L105" s="449"/>
      <c r="M105" s="128"/>
      <c r="N105" s="128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0"/>
      <c r="CD105" s="120"/>
      <c r="CE105" s="120"/>
      <c r="CF105" s="120"/>
      <c r="CG105" s="445">
        <v>910714</v>
      </c>
      <c r="CJ105" s="451"/>
      <c r="CK105" s="128"/>
      <c r="CT105" s="453"/>
      <c r="DE105" s="438"/>
      <c r="DF105" s="439"/>
    </row>
    <row r="106" spans="7:110" s="115" customFormat="1" ht="15.75" customHeight="1">
      <c r="G106" s="440"/>
      <c r="H106" s="441"/>
      <c r="L106" s="449"/>
      <c r="M106" s="128"/>
      <c r="N106" s="128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0"/>
      <c r="BN106" s="120"/>
      <c r="BO106" s="120"/>
      <c r="BP106" s="12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0"/>
      <c r="CE106" s="120"/>
      <c r="CF106" s="120"/>
      <c r="CG106" s="445"/>
      <c r="CJ106" s="451"/>
      <c r="CK106" s="128"/>
      <c r="CT106" s="453"/>
      <c r="DE106" s="438"/>
      <c r="DF106" s="439"/>
    </row>
    <row r="107" spans="7:110" s="115" customFormat="1" ht="15.75" customHeight="1">
      <c r="G107" s="440"/>
      <c r="H107" s="441"/>
      <c r="L107" s="449"/>
      <c r="M107" s="128"/>
      <c r="N107" s="128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0"/>
      <c r="CE107" s="120"/>
      <c r="CF107" s="120"/>
      <c r="CG107" s="445">
        <f>CG99+CG100-CG105</f>
        <v>-910714</v>
      </c>
      <c r="CI107" s="417"/>
      <c r="CJ107" s="451"/>
      <c r="CK107" s="128"/>
      <c r="DE107" s="438"/>
      <c r="DF107" s="439"/>
    </row>
    <row r="108" spans="7:110" s="115" customFormat="1" ht="15.75" customHeight="1">
      <c r="G108" s="440"/>
      <c r="H108" s="441"/>
      <c r="L108" s="449"/>
      <c r="M108" s="128"/>
      <c r="N108" s="128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0"/>
      <c r="BN108" s="120"/>
      <c r="BO108" s="120"/>
      <c r="BP108" s="12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0"/>
      <c r="CD108" s="120"/>
      <c r="CE108" s="120"/>
      <c r="CF108" s="120"/>
      <c r="CG108" s="445"/>
      <c r="CI108" s="417"/>
      <c r="CJ108" s="451"/>
      <c r="CK108" s="128"/>
      <c r="DE108" s="438"/>
      <c r="DF108" s="439"/>
    </row>
    <row r="109" spans="7:110" s="115" customFormat="1" ht="15.75" customHeight="1">
      <c r="G109" s="440"/>
      <c r="H109" s="441"/>
      <c r="L109" s="449"/>
      <c r="M109" s="128"/>
      <c r="N109" s="128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20"/>
      <c r="BI109" s="120"/>
      <c r="BJ109" s="120"/>
      <c r="BK109" s="120"/>
      <c r="BL109" s="120"/>
      <c r="BM109" s="120"/>
      <c r="BN109" s="120"/>
      <c r="BO109" s="120"/>
      <c r="BP109" s="12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D109" s="120"/>
      <c r="CE109" s="120"/>
      <c r="CF109" s="120"/>
      <c r="CG109" s="445"/>
      <c r="CI109" s="417"/>
      <c r="CJ109" s="451"/>
      <c r="CK109" s="128"/>
      <c r="DE109" s="438"/>
      <c r="DF109" s="439"/>
    </row>
    <row r="110" spans="7:110" s="115" customFormat="1" ht="15.75" customHeight="1">
      <c r="G110" s="440"/>
      <c r="H110" s="441"/>
      <c r="L110" s="449"/>
      <c r="M110" s="128"/>
      <c r="N110" s="128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0"/>
      <c r="CE110" s="120"/>
      <c r="CF110" s="120"/>
      <c r="CG110" s="445"/>
      <c r="CI110" s="417"/>
      <c r="CJ110" s="451"/>
      <c r="CK110" s="128"/>
      <c r="DE110" s="438"/>
      <c r="DF110" s="439"/>
    </row>
    <row r="111" spans="7:110" s="115" customFormat="1" ht="15.75" customHeight="1">
      <c r="G111" s="440"/>
      <c r="H111" s="441"/>
      <c r="L111" s="449"/>
      <c r="M111" s="128"/>
      <c r="N111" s="128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0"/>
      <c r="CE111" s="120"/>
      <c r="CF111" s="120"/>
      <c r="CG111" s="445"/>
      <c r="CI111" s="417"/>
      <c r="CJ111" s="451"/>
      <c r="CK111" s="128"/>
      <c r="DE111" s="438"/>
      <c r="DF111" s="439"/>
    </row>
    <row r="112" spans="7:110" s="115" customFormat="1" ht="15.75" customHeight="1">
      <c r="G112" s="440"/>
      <c r="H112" s="441"/>
      <c r="L112" s="449"/>
      <c r="M112" s="128"/>
      <c r="N112" s="128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D112" s="120"/>
      <c r="CE112" s="120"/>
      <c r="CF112" s="120"/>
      <c r="CG112" s="445"/>
      <c r="CI112" s="417"/>
      <c r="CJ112" s="451"/>
      <c r="CK112" s="128"/>
      <c r="DE112" s="438"/>
      <c r="DF112" s="439"/>
    </row>
    <row r="113" spans="7:110" s="115" customFormat="1" ht="15.75" customHeight="1">
      <c r="G113" s="440"/>
      <c r="H113" s="441"/>
      <c r="L113" s="449"/>
      <c r="M113" s="128"/>
      <c r="N113" s="128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0"/>
      <c r="CE113" s="120"/>
      <c r="CF113" s="120"/>
      <c r="CG113" s="445"/>
      <c r="CI113" s="417"/>
      <c r="CJ113" s="451"/>
      <c r="CK113" s="128"/>
      <c r="DE113" s="438"/>
      <c r="DF113" s="439"/>
    </row>
    <row r="114" spans="7:110" s="115" customFormat="1" ht="15.75" customHeight="1">
      <c r="G114" s="440"/>
      <c r="H114" s="441"/>
      <c r="L114" s="449"/>
      <c r="M114" s="128"/>
      <c r="N114" s="128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0"/>
      <c r="CE114" s="120"/>
      <c r="CF114" s="120"/>
      <c r="CG114" s="445"/>
      <c r="CI114" s="417"/>
      <c r="CJ114" s="451"/>
      <c r="CK114" s="128"/>
      <c r="DE114" s="438"/>
      <c r="DF114" s="439"/>
    </row>
    <row r="115" spans="7:110" s="115" customFormat="1" ht="15.75" customHeight="1">
      <c r="G115" s="440"/>
      <c r="H115" s="441"/>
      <c r="L115" s="449"/>
      <c r="M115" s="128"/>
      <c r="N115" s="128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D115" s="120"/>
      <c r="CE115" s="120"/>
      <c r="CF115" s="120"/>
      <c r="CG115" s="445"/>
      <c r="CI115" s="417"/>
      <c r="CJ115" s="451"/>
      <c r="CK115" s="128"/>
      <c r="DE115" s="438"/>
      <c r="DF115" s="439"/>
    </row>
    <row r="116" spans="7:110" s="115" customFormat="1" ht="15.75" customHeight="1">
      <c r="G116" s="440"/>
      <c r="H116" s="441"/>
      <c r="L116" s="449"/>
      <c r="M116" s="128"/>
      <c r="N116" s="128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D116" s="120"/>
      <c r="CE116" s="120"/>
      <c r="CF116" s="120"/>
      <c r="CG116" s="445"/>
      <c r="CI116" s="417"/>
      <c r="CJ116" s="451"/>
      <c r="CK116" s="128"/>
      <c r="DE116" s="438"/>
      <c r="DF116" s="439"/>
    </row>
    <row r="117" spans="7:110" s="115" customFormat="1" ht="15.75" customHeight="1">
      <c r="G117" s="440"/>
      <c r="H117" s="441"/>
      <c r="L117" s="449"/>
      <c r="M117" s="128"/>
      <c r="N117" s="128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0"/>
      <c r="CE117" s="120"/>
      <c r="CF117" s="120"/>
      <c r="CG117" s="445"/>
      <c r="CI117" s="417"/>
      <c r="CJ117" s="451"/>
      <c r="CK117" s="128"/>
      <c r="DE117" s="438"/>
      <c r="DF117" s="439"/>
    </row>
    <row r="118" spans="7:110" s="115" customFormat="1" ht="15.75" customHeight="1">
      <c r="G118" s="440"/>
      <c r="H118" s="441"/>
      <c r="L118" s="449"/>
      <c r="M118" s="128"/>
      <c r="N118" s="128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  <c r="AV118" s="120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0"/>
      <c r="BN118" s="120"/>
      <c r="BO118" s="120"/>
      <c r="BP118" s="12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0"/>
      <c r="CD118" s="120"/>
      <c r="CE118" s="120"/>
      <c r="CF118" s="120"/>
      <c r="CG118" s="445"/>
      <c r="CI118" s="417"/>
      <c r="CJ118" s="451"/>
      <c r="CK118" s="128"/>
      <c r="DE118" s="438"/>
      <c r="DF118" s="439"/>
    </row>
    <row r="119" spans="7:110" s="115" customFormat="1" ht="15.75" customHeight="1">
      <c r="G119" s="440"/>
      <c r="H119" s="441"/>
      <c r="L119" s="449"/>
      <c r="M119" s="128"/>
      <c r="N119" s="128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0"/>
      <c r="CE119" s="120"/>
      <c r="CF119" s="120"/>
      <c r="CG119" s="445"/>
      <c r="CI119" s="417"/>
      <c r="CJ119" s="451"/>
      <c r="CK119" s="128"/>
      <c r="DE119" s="438"/>
      <c r="DF119" s="439"/>
    </row>
    <row r="120" spans="7:110" s="115" customFormat="1" ht="15.75" customHeight="1">
      <c r="G120" s="440"/>
      <c r="H120" s="441"/>
      <c r="L120" s="449"/>
      <c r="M120" s="128"/>
      <c r="N120" s="128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0"/>
      <c r="AU120" s="120"/>
      <c r="AV120" s="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0"/>
      <c r="BN120" s="120"/>
      <c r="BO120" s="120"/>
      <c r="BP120" s="12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0"/>
      <c r="CE120" s="120"/>
      <c r="CF120" s="120"/>
      <c r="CG120" s="445"/>
      <c r="CI120" s="417"/>
      <c r="CJ120" s="451"/>
      <c r="CK120" s="128"/>
      <c r="DE120" s="438"/>
      <c r="DF120" s="439"/>
    </row>
    <row r="121" spans="7:110" s="115" customFormat="1" ht="15.75" customHeight="1">
      <c r="G121" s="440"/>
      <c r="H121" s="441"/>
      <c r="L121" s="449"/>
      <c r="M121" s="128"/>
      <c r="N121" s="128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0"/>
      <c r="AU121" s="120"/>
      <c r="AV121" s="120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/>
      <c r="CC121" s="120"/>
      <c r="CD121" s="120"/>
      <c r="CE121" s="120"/>
      <c r="CF121" s="120"/>
      <c r="CG121" s="445"/>
      <c r="CI121" s="417"/>
      <c r="CJ121" s="451"/>
      <c r="CK121" s="128"/>
      <c r="DE121" s="438"/>
      <c r="DF121" s="439"/>
    </row>
    <row r="122" spans="7:110" s="115" customFormat="1" ht="15.75" customHeight="1">
      <c r="G122" s="440"/>
      <c r="H122" s="441"/>
      <c r="L122" s="449"/>
      <c r="M122" s="128"/>
      <c r="N122" s="128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0"/>
      <c r="BM122" s="120"/>
      <c r="BN122" s="120"/>
      <c r="BO122" s="120"/>
      <c r="BP122" s="12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0"/>
      <c r="CE122" s="120"/>
      <c r="CF122" s="120"/>
      <c r="CG122" s="445"/>
      <c r="CI122" s="417"/>
      <c r="CJ122" s="451"/>
      <c r="CK122" s="128"/>
      <c r="DE122" s="438"/>
      <c r="DF122" s="439"/>
    </row>
    <row r="123" spans="7:110" s="115" customFormat="1" ht="15.75" customHeight="1">
      <c r="G123" s="440"/>
      <c r="H123" s="441"/>
      <c r="L123" s="449"/>
      <c r="M123" s="128"/>
      <c r="N123" s="128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  <c r="AS123" s="120"/>
      <c r="AT123" s="120"/>
      <c r="AU123" s="120"/>
      <c r="AV123" s="120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0"/>
      <c r="BM123" s="120"/>
      <c r="BN123" s="120"/>
      <c r="BO123" s="120"/>
      <c r="BP123" s="120"/>
      <c r="BQ123" s="120"/>
      <c r="BR123" s="120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/>
      <c r="CC123" s="120"/>
      <c r="CD123" s="120"/>
      <c r="CE123" s="120"/>
      <c r="CF123" s="120"/>
      <c r="CG123" s="445"/>
      <c r="CI123" s="417"/>
      <c r="CJ123" s="451"/>
      <c r="CK123" s="128"/>
      <c r="DE123" s="438"/>
      <c r="DF123" s="439"/>
    </row>
    <row r="124" spans="7:110" s="115" customFormat="1" ht="15.75" customHeight="1">
      <c r="G124" s="440"/>
      <c r="H124" s="441"/>
      <c r="L124" s="449"/>
      <c r="M124" s="128"/>
      <c r="N124" s="128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120"/>
      <c r="BJ124" s="120"/>
      <c r="BK124" s="120"/>
      <c r="BL124" s="120"/>
      <c r="BM124" s="120"/>
      <c r="BN124" s="120"/>
      <c r="BO124" s="120"/>
      <c r="BP124" s="120"/>
      <c r="BQ124" s="120"/>
      <c r="BR124" s="120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0"/>
      <c r="CE124" s="120"/>
      <c r="CF124" s="120"/>
      <c r="CG124" s="445"/>
      <c r="CI124" s="417"/>
      <c r="CJ124" s="451"/>
      <c r="CK124" s="128"/>
      <c r="DE124" s="438"/>
      <c r="DF124" s="439"/>
    </row>
    <row r="125" spans="7:110" s="115" customFormat="1" ht="15.75" customHeight="1">
      <c r="G125" s="440"/>
      <c r="H125" s="441"/>
      <c r="L125" s="449"/>
      <c r="M125" s="128"/>
      <c r="N125" s="128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20"/>
      <c r="AU125" s="120"/>
      <c r="AV125" s="120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  <c r="BG125" s="120"/>
      <c r="BH125" s="120"/>
      <c r="BI125" s="120"/>
      <c r="BJ125" s="120"/>
      <c r="BK125" s="120"/>
      <c r="BL125" s="120"/>
      <c r="BM125" s="120"/>
      <c r="BN125" s="120"/>
      <c r="BO125" s="120"/>
      <c r="BP125" s="12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0"/>
      <c r="CD125" s="120"/>
      <c r="CE125" s="120"/>
      <c r="CF125" s="120"/>
      <c r="CG125" s="445"/>
      <c r="CI125" s="417"/>
      <c r="CJ125" s="451"/>
      <c r="CK125" s="128"/>
      <c r="DE125" s="438"/>
      <c r="DF125" s="439"/>
    </row>
    <row r="126" spans="7:110" s="115" customFormat="1" ht="15.75" customHeight="1">
      <c r="G126" s="440"/>
      <c r="H126" s="441"/>
      <c r="L126" s="449"/>
      <c r="M126" s="128"/>
      <c r="N126" s="128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  <c r="BG126" s="120"/>
      <c r="BH126" s="120"/>
      <c r="BI126" s="120"/>
      <c r="BJ126" s="120"/>
      <c r="BK126" s="120"/>
      <c r="BL126" s="120"/>
      <c r="BM126" s="120"/>
      <c r="BN126" s="120"/>
      <c r="BO126" s="120"/>
      <c r="BP126" s="120"/>
      <c r="BQ126" s="120"/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0"/>
      <c r="CD126" s="120"/>
      <c r="CE126" s="120"/>
      <c r="CF126" s="120"/>
      <c r="CG126" s="445"/>
      <c r="CI126" s="417"/>
      <c r="CJ126" s="451"/>
      <c r="CK126" s="128"/>
      <c r="DE126" s="438"/>
      <c r="DF126" s="439"/>
    </row>
    <row r="127" spans="7:110" s="115" customFormat="1" ht="15.75" customHeight="1">
      <c r="G127" s="440"/>
      <c r="H127" s="441"/>
      <c r="L127" s="449"/>
      <c r="M127" s="128"/>
      <c r="N127" s="128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20"/>
      <c r="AU127" s="120"/>
      <c r="AV127" s="120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0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0"/>
      <c r="CE127" s="120"/>
      <c r="CF127" s="120"/>
      <c r="CG127" s="445"/>
      <c r="CI127" s="417"/>
      <c r="CJ127" s="451"/>
      <c r="CK127" s="128"/>
      <c r="DE127" s="438"/>
      <c r="DF127" s="439"/>
    </row>
    <row r="128" spans="7:110" s="115" customFormat="1" ht="15.75" customHeight="1">
      <c r="G128" s="440"/>
      <c r="H128" s="441"/>
      <c r="L128" s="449"/>
      <c r="M128" s="128"/>
      <c r="N128" s="128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/>
      <c r="BR128" s="120"/>
      <c r="BS128" s="120"/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0"/>
      <c r="CD128" s="120"/>
      <c r="CE128" s="120"/>
      <c r="CF128" s="120"/>
      <c r="CG128" s="445"/>
      <c r="CI128" s="417"/>
      <c r="CJ128" s="451"/>
      <c r="CK128" s="128"/>
      <c r="DE128" s="438"/>
      <c r="DF128" s="439"/>
    </row>
    <row r="129" spans="7:110" s="115" customFormat="1" ht="15.75" customHeight="1">
      <c r="G129" s="440"/>
      <c r="H129" s="441"/>
      <c r="L129" s="449"/>
      <c r="M129" s="128"/>
      <c r="N129" s="128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20"/>
      <c r="AU129" s="120"/>
      <c r="AV129" s="120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0"/>
      <c r="BN129" s="120"/>
      <c r="BO129" s="120"/>
      <c r="BP129" s="120"/>
      <c r="BQ129" s="120"/>
      <c r="BR129" s="120"/>
      <c r="BS129" s="120"/>
      <c r="BT129" s="120"/>
      <c r="BU129" s="120"/>
      <c r="BV129" s="120"/>
      <c r="BW129" s="120"/>
      <c r="BX129" s="120"/>
      <c r="BY129" s="120"/>
      <c r="BZ129" s="120"/>
      <c r="CA129" s="120"/>
      <c r="CB129" s="120"/>
      <c r="CC129" s="120"/>
      <c r="CD129" s="120"/>
      <c r="CE129" s="120"/>
      <c r="CF129" s="120"/>
      <c r="CG129" s="445"/>
      <c r="CI129" s="417"/>
      <c r="CJ129" s="451"/>
      <c r="CK129" s="128"/>
      <c r="DE129" s="438"/>
      <c r="DF129" s="439"/>
    </row>
    <row r="130" spans="7:110" s="115" customFormat="1" ht="15.75" customHeight="1">
      <c r="G130" s="440"/>
      <c r="H130" s="441"/>
      <c r="L130" s="449"/>
      <c r="M130" s="128"/>
      <c r="N130" s="128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20"/>
      <c r="AU130" s="120"/>
      <c r="AV130" s="120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0"/>
      <c r="BN130" s="120"/>
      <c r="BO130" s="120"/>
      <c r="BP130" s="120"/>
      <c r="BQ130" s="120"/>
      <c r="BR130" s="120"/>
      <c r="BS130" s="120"/>
      <c r="BT130" s="120"/>
      <c r="BU130" s="120"/>
      <c r="BV130" s="120"/>
      <c r="BW130" s="120"/>
      <c r="BX130" s="120"/>
      <c r="BY130" s="120"/>
      <c r="BZ130" s="120"/>
      <c r="CA130" s="120"/>
      <c r="CB130" s="120"/>
      <c r="CC130" s="120"/>
      <c r="CD130" s="120"/>
      <c r="CE130" s="120"/>
      <c r="CF130" s="120"/>
      <c r="CG130" s="445"/>
      <c r="CI130" s="417"/>
      <c r="CJ130" s="451"/>
      <c r="CK130" s="128"/>
      <c r="DE130" s="438"/>
      <c r="DF130" s="439"/>
    </row>
    <row r="131" spans="7:110" s="115" customFormat="1" ht="15.75" customHeight="1">
      <c r="G131" s="440"/>
      <c r="H131" s="441"/>
      <c r="L131" s="449"/>
      <c r="M131" s="128"/>
      <c r="N131" s="128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  <c r="AS131" s="120"/>
      <c r="AT131" s="120"/>
      <c r="AU131" s="120"/>
      <c r="AV131" s="120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D131" s="120"/>
      <c r="CE131" s="120"/>
      <c r="CF131" s="120"/>
      <c r="CG131" s="445"/>
      <c r="CI131" s="417"/>
      <c r="CJ131" s="451"/>
      <c r="CK131" s="128"/>
      <c r="DE131" s="438"/>
      <c r="DF131" s="439"/>
    </row>
    <row r="132" spans="7:110" s="115" customFormat="1" ht="15.75" customHeight="1">
      <c r="G132" s="440"/>
      <c r="H132" s="441"/>
      <c r="L132" s="449"/>
      <c r="M132" s="128"/>
      <c r="N132" s="128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0"/>
      <c r="AU132" s="120"/>
      <c r="AV132" s="120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120"/>
      <c r="BS132" s="120"/>
      <c r="BT132" s="120"/>
      <c r="BU132" s="120"/>
      <c r="BV132" s="120"/>
      <c r="BW132" s="120"/>
      <c r="BX132" s="120"/>
      <c r="BY132" s="120"/>
      <c r="BZ132" s="120"/>
      <c r="CA132" s="120"/>
      <c r="CB132" s="120"/>
      <c r="CC132" s="120"/>
      <c r="CD132" s="120"/>
      <c r="CE132" s="120"/>
      <c r="CF132" s="120"/>
      <c r="CG132" s="445"/>
      <c r="CI132" s="417"/>
      <c r="CJ132" s="451"/>
      <c r="CK132" s="128"/>
      <c r="DE132" s="438"/>
      <c r="DF132" s="439"/>
    </row>
    <row r="133" spans="7:110" s="115" customFormat="1" ht="15.75" customHeight="1">
      <c r="G133" s="440"/>
      <c r="H133" s="441"/>
      <c r="L133" s="449"/>
      <c r="M133" s="128"/>
      <c r="N133" s="128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0"/>
      <c r="BU133" s="120"/>
      <c r="BV133" s="120"/>
      <c r="BW133" s="120"/>
      <c r="BX133" s="120"/>
      <c r="BY133" s="120"/>
      <c r="BZ133" s="120"/>
      <c r="CA133" s="120"/>
      <c r="CB133" s="120"/>
      <c r="CC133" s="120"/>
      <c r="CD133" s="120"/>
      <c r="CE133" s="120"/>
      <c r="CF133" s="120"/>
      <c r="CG133" s="445"/>
      <c r="CI133" s="417"/>
      <c r="CJ133" s="451"/>
      <c r="CK133" s="128"/>
      <c r="DE133" s="438"/>
      <c r="DF133" s="439"/>
    </row>
    <row r="134" spans="7:110" s="115" customFormat="1" ht="15.75" customHeight="1">
      <c r="G134" s="440"/>
      <c r="H134" s="441"/>
      <c r="L134" s="449"/>
      <c r="M134" s="128"/>
      <c r="N134" s="128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0"/>
      <c r="BU134" s="120"/>
      <c r="BV134" s="120"/>
      <c r="BW134" s="120"/>
      <c r="BX134" s="120"/>
      <c r="BY134" s="120"/>
      <c r="BZ134" s="120"/>
      <c r="CA134" s="120"/>
      <c r="CB134" s="120"/>
      <c r="CC134" s="120"/>
      <c r="CD134" s="120"/>
      <c r="CE134" s="120"/>
      <c r="CF134" s="120"/>
      <c r="CG134" s="445"/>
      <c r="CI134" s="417"/>
      <c r="CJ134" s="451"/>
      <c r="CK134" s="128"/>
      <c r="DE134" s="438"/>
      <c r="DF134" s="439"/>
    </row>
    <row r="135" spans="7:110" s="115" customFormat="1" ht="15.75" customHeight="1">
      <c r="G135" s="440"/>
      <c r="H135" s="441"/>
      <c r="L135" s="449"/>
      <c r="M135" s="128"/>
      <c r="N135" s="128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20"/>
      <c r="AU135" s="120"/>
      <c r="AV135" s="120"/>
      <c r="AW135" s="120"/>
      <c r="AX135" s="120"/>
      <c r="AY135" s="120"/>
      <c r="AZ135" s="120"/>
      <c r="BA135" s="120"/>
      <c r="BB135" s="120"/>
      <c r="BC135" s="120"/>
      <c r="BD135" s="120"/>
      <c r="BE135" s="120"/>
      <c r="BF135" s="120"/>
      <c r="BG135" s="120"/>
      <c r="BH135" s="120"/>
      <c r="BI135" s="120"/>
      <c r="BJ135" s="120"/>
      <c r="BK135" s="120"/>
      <c r="BL135" s="120"/>
      <c r="BM135" s="120"/>
      <c r="BN135" s="120"/>
      <c r="BO135" s="120"/>
      <c r="BP135" s="120"/>
      <c r="BQ135" s="120"/>
      <c r="BR135" s="120"/>
      <c r="BS135" s="120"/>
      <c r="BT135" s="120"/>
      <c r="BU135" s="120"/>
      <c r="BV135" s="120"/>
      <c r="BW135" s="120"/>
      <c r="BX135" s="120"/>
      <c r="BY135" s="120"/>
      <c r="BZ135" s="120"/>
      <c r="CA135" s="120"/>
      <c r="CB135" s="120"/>
      <c r="CC135" s="120"/>
      <c r="CD135" s="120"/>
      <c r="CE135" s="120"/>
      <c r="CF135" s="120"/>
      <c r="CG135" s="445"/>
      <c r="CI135" s="417"/>
      <c r="CJ135" s="451"/>
      <c r="CK135" s="128"/>
      <c r="DE135" s="438"/>
      <c r="DF135" s="439"/>
    </row>
    <row r="136" spans="7:110" s="115" customFormat="1" ht="15.75" customHeight="1">
      <c r="G136" s="440"/>
      <c r="H136" s="441"/>
      <c r="L136" s="449"/>
      <c r="M136" s="128"/>
      <c r="N136" s="128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0"/>
      <c r="CE136" s="120"/>
      <c r="CF136" s="120"/>
      <c r="CG136" s="445"/>
      <c r="CI136" s="417"/>
      <c r="CJ136" s="451"/>
      <c r="CK136" s="128"/>
      <c r="DE136" s="438"/>
      <c r="DF136" s="439"/>
    </row>
    <row r="137" spans="7:110" s="115" customFormat="1" ht="15.75" customHeight="1">
      <c r="G137" s="440"/>
      <c r="H137" s="441"/>
      <c r="L137" s="449"/>
      <c r="M137" s="128"/>
      <c r="N137" s="128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0"/>
      <c r="CE137" s="120"/>
      <c r="CF137" s="120"/>
      <c r="CG137" s="445"/>
      <c r="CI137" s="417"/>
      <c r="CJ137" s="451"/>
      <c r="CK137" s="128"/>
      <c r="DE137" s="438"/>
      <c r="DF137" s="439"/>
    </row>
    <row r="138" spans="7:110" s="115" customFormat="1" ht="15.75" customHeight="1">
      <c r="G138" s="440"/>
      <c r="H138" s="441"/>
      <c r="L138" s="449"/>
      <c r="M138" s="128"/>
      <c r="N138" s="128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0"/>
      <c r="CE138" s="120"/>
      <c r="CF138" s="120"/>
      <c r="CG138" s="445"/>
      <c r="CI138" s="417"/>
      <c r="CJ138" s="451"/>
      <c r="CK138" s="128"/>
      <c r="DE138" s="438"/>
      <c r="DF138" s="439"/>
    </row>
    <row r="139" spans="7:110" s="115" customFormat="1" ht="15.75" customHeight="1">
      <c r="G139" s="440"/>
      <c r="H139" s="441"/>
      <c r="L139" s="449"/>
      <c r="M139" s="128"/>
      <c r="N139" s="128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0"/>
      <c r="AU139" s="120"/>
      <c r="AV139" s="120"/>
      <c r="AW139" s="120"/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0"/>
      <c r="CD139" s="120"/>
      <c r="CE139" s="120"/>
      <c r="CF139" s="120"/>
      <c r="CG139" s="445"/>
      <c r="CI139" s="417"/>
      <c r="CJ139" s="451"/>
      <c r="CK139" s="128"/>
      <c r="DE139" s="438"/>
      <c r="DF139" s="439"/>
    </row>
    <row r="140" spans="7:110" s="115" customFormat="1" ht="15.75" customHeight="1">
      <c r="G140" s="440"/>
      <c r="H140" s="441"/>
      <c r="L140" s="449"/>
      <c r="M140" s="128"/>
      <c r="N140" s="128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0"/>
      <c r="AU140" s="120"/>
      <c r="AV140" s="120"/>
      <c r="AW140" s="120"/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0"/>
      <c r="BU140" s="120"/>
      <c r="BV140" s="120"/>
      <c r="BW140" s="120"/>
      <c r="BX140" s="120"/>
      <c r="BY140" s="120"/>
      <c r="BZ140" s="120"/>
      <c r="CA140" s="120"/>
      <c r="CB140" s="120"/>
      <c r="CC140" s="120"/>
      <c r="CD140" s="120"/>
      <c r="CE140" s="120"/>
      <c r="CF140" s="120"/>
      <c r="CG140" s="445"/>
      <c r="CI140" s="417"/>
      <c r="CJ140" s="451"/>
      <c r="CK140" s="128"/>
      <c r="DE140" s="438"/>
      <c r="DF140" s="439"/>
    </row>
    <row r="141" spans="7:110" s="115" customFormat="1" ht="15.75" customHeight="1">
      <c r="G141" s="440"/>
      <c r="H141" s="441"/>
      <c r="L141" s="449"/>
      <c r="M141" s="128"/>
      <c r="N141" s="128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  <c r="AV141" s="120"/>
      <c r="AW141" s="120"/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0"/>
      <c r="CE141" s="120"/>
      <c r="CF141" s="120"/>
      <c r="CG141" s="445"/>
      <c r="CI141" s="417"/>
      <c r="CJ141" s="451"/>
      <c r="CK141" s="128"/>
      <c r="DE141" s="438"/>
      <c r="DF141" s="439"/>
    </row>
    <row r="142" spans="7:110" s="115" customFormat="1" ht="15.75" customHeight="1">
      <c r="G142" s="440"/>
      <c r="H142" s="441"/>
      <c r="L142" s="449"/>
      <c r="M142" s="128"/>
      <c r="N142" s="128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0"/>
      <c r="CD142" s="120"/>
      <c r="CE142" s="120"/>
      <c r="CF142" s="120"/>
      <c r="CG142" s="445"/>
      <c r="CI142" s="417"/>
      <c r="CJ142" s="451"/>
      <c r="CK142" s="128"/>
      <c r="DE142" s="438"/>
      <c r="DF142" s="439"/>
    </row>
    <row r="143" spans="7:110" s="115" customFormat="1" ht="15.75" customHeight="1">
      <c r="G143" s="440"/>
      <c r="H143" s="441"/>
      <c r="L143" s="449"/>
      <c r="M143" s="128"/>
      <c r="N143" s="128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0"/>
      <c r="AV143" s="120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0"/>
      <c r="CD143" s="120"/>
      <c r="CE143" s="120"/>
      <c r="CF143" s="120"/>
      <c r="CG143" s="445"/>
      <c r="CI143" s="417"/>
      <c r="CJ143" s="451"/>
      <c r="CK143" s="128"/>
      <c r="DE143" s="438"/>
      <c r="DF143" s="439"/>
    </row>
    <row r="144" spans="7:110" s="115" customFormat="1" ht="15.75" customHeight="1">
      <c r="G144" s="440"/>
      <c r="H144" s="441"/>
      <c r="L144" s="449"/>
      <c r="M144" s="128"/>
      <c r="N144" s="128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0"/>
      <c r="BN144" s="120"/>
      <c r="BO144" s="120"/>
      <c r="BP144" s="12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/>
      <c r="CC144" s="120"/>
      <c r="CD144" s="120"/>
      <c r="CE144" s="120"/>
      <c r="CF144" s="120"/>
      <c r="CG144" s="445"/>
      <c r="CI144" s="417"/>
      <c r="CJ144" s="451"/>
      <c r="CK144" s="128"/>
      <c r="DE144" s="438"/>
      <c r="DF144" s="439"/>
    </row>
    <row r="145" spans="7:110" s="115" customFormat="1" ht="15.75" customHeight="1">
      <c r="G145" s="440"/>
      <c r="H145" s="441"/>
      <c r="L145" s="449"/>
      <c r="M145" s="128"/>
      <c r="N145" s="128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0"/>
      <c r="CD145" s="120"/>
      <c r="CE145" s="120"/>
      <c r="CF145" s="120"/>
      <c r="CG145" s="445"/>
      <c r="CI145" s="417"/>
      <c r="CJ145" s="451"/>
      <c r="CK145" s="128"/>
      <c r="DE145" s="438"/>
      <c r="DF145" s="439"/>
    </row>
    <row r="146" spans="7:110" s="115" customFormat="1" ht="15.75" customHeight="1">
      <c r="G146" s="440"/>
      <c r="H146" s="441"/>
      <c r="L146" s="449"/>
      <c r="M146" s="128"/>
      <c r="N146" s="128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0"/>
      <c r="BN146" s="120"/>
      <c r="BO146" s="120"/>
      <c r="BP146" s="120"/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0"/>
      <c r="CD146" s="120"/>
      <c r="CE146" s="120"/>
      <c r="CF146" s="120"/>
      <c r="CG146" s="445"/>
      <c r="CI146" s="417"/>
      <c r="CJ146" s="451"/>
      <c r="CK146" s="128"/>
      <c r="DE146" s="438"/>
      <c r="DF146" s="439"/>
    </row>
    <row r="147" spans="7:110" ht="15.75" customHeight="1">
      <c r="G147" s="454"/>
      <c r="H147" s="455"/>
    </row>
    <row r="148" spans="7:110" ht="15.75" customHeight="1">
      <c r="G148" s="454"/>
      <c r="H148" s="455"/>
    </row>
    <row r="149" spans="7:110" ht="15.75" customHeight="1">
      <c r="G149" s="454"/>
      <c r="H149" s="455"/>
    </row>
    <row r="150" spans="7:110" ht="15.75" customHeight="1">
      <c r="G150" s="454"/>
      <c r="H150" s="455"/>
    </row>
    <row r="151" spans="7:110" ht="15.75" customHeight="1">
      <c r="G151" s="454"/>
      <c r="H151" s="455"/>
    </row>
    <row r="152" spans="7:110" ht="15.75" customHeight="1">
      <c r="G152" s="454"/>
      <c r="H152" s="455"/>
    </row>
    <row r="153" spans="7:110" ht="15.75" customHeight="1">
      <c r="G153" s="454"/>
      <c r="H153" s="455"/>
    </row>
    <row r="154" spans="7:110" ht="15.75" customHeight="1">
      <c r="G154" s="454"/>
      <c r="H154" s="455"/>
    </row>
    <row r="155" spans="7:110" ht="15.75" customHeight="1">
      <c r="G155" s="454"/>
      <c r="H155" s="455"/>
    </row>
    <row r="156" spans="7:110" ht="15.75" customHeight="1">
      <c r="G156" s="454"/>
      <c r="H156" s="455"/>
    </row>
    <row r="157" spans="7:110" ht="15.75" customHeight="1">
      <c r="G157" s="454"/>
      <c r="H157" s="455"/>
    </row>
    <row r="158" spans="7:110" ht="15.75" customHeight="1">
      <c r="G158" s="454"/>
      <c r="H158" s="455"/>
    </row>
    <row r="159" spans="7:110" ht="15.75" customHeight="1">
      <c r="G159" s="454"/>
      <c r="H159" s="455"/>
    </row>
    <row r="160" spans="7:110" ht="15.75" customHeight="1">
      <c r="G160" s="454"/>
      <c r="H160" s="455"/>
    </row>
    <row r="161" spans="7:8" ht="15.75" customHeight="1">
      <c r="G161" s="454"/>
      <c r="H161" s="455"/>
    </row>
    <row r="162" spans="7:8" ht="15.75" customHeight="1">
      <c r="G162" s="454"/>
      <c r="H162" s="455"/>
    </row>
    <row r="163" spans="7:8" ht="15.75" customHeight="1">
      <c r="G163" s="454"/>
      <c r="H163" s="455"/>
    </row>
    <row r="164" spans="7:8" ht="15.75" customHeight="1">
      <c r="G164" s="454"/>
      <c r="H164" s="455"/>
    </row>
    <row r="165" spans="7:8" ht="15.75" customHeight="1">
      <c r="G165" s="454"/>
      <c r="H165" s="455"/>
    </row>
    <row r="166" spans="7:8" ht="15.75" customHeight="1">
      <c r="G166" s="454"/>
      <c r="H166" s="455"/>
    </row>
    <row r="167" spans="7:8" ht="15.75" customHeight="1">
      <c r="G167" s="454"/>
      <c r="H167" s="455"/>
    </row>
    <row r="168" spans="7:8" ht="15.75" customHeight="1">
      <c r="G168" s="454"/>
      <c r="H168" s="455"/>
    </row>
    <row r="169" spans="7:8" ht="15.75" customHeight="1">
      <c r="G169" s="454"/>
      <c r="H169" s="455"/>
    </row>
    <row r="170" spans="7:8" ht="15.75" customHeight="1">
      <c r="G170" s="454"/>
      <c r="H170" s="455"/>
    </row>
    <row r="171" spans="7:8" ht="15.75" customHeight="1">
      <c r="G171" s="454"/>
      <c r="H171" s="455"/>
    </row>
    <row r="172" spans="7:8" ht="15.75" customHeight="1">
      <c r="G172" s="454"/>
      <c r="H172" s="455"/>
    </row>
    <row r="173" spans="7:8" ht="15.75" customHeight="1">
      <c r="G173" s="454"/>
      <c r="H173" s="455"/>
    </row>
    <row r="174" spans="7:8" ht="15.75" customHeight="1">
      <c r="G174" s="454"/>
      <c r="H174" s="455"/>
    </row>
    <row r="175" spans="7:8" ht="15.75" customHeight="1">
      <c r="G175" s="454"/>
      <c r="H175" s="455"/>
    </row>
    <row r="176" spans="7:8" ht="15.75" customHeight="1">
      <c r="G176" s="454"/>
      <c r="H176" s="455"/>
    </row>
    <row r="177" spans="7:8" ht="15.75" customHeight="1">
      <c r="G177" s="454"/>
      <c r="H177" s="455"/>
    </row>
    <row r="178" spans="7:8" ht="15.75" customHeight="1">
      <c r="G178" s="454"/>
      <c r="H178" s="455"/>
    </row>
    <row r="179" spans="7:8" ht="15.75" customHeight="1">
      <c r="G179" s="454"/>
      <c r="H179" s="455"/>
    </row>
    <row r="180" spans="7:8" ht="15.75" customHeight="1">
      <c r="G180" s="454"/>
      <c r="H180" s="455"/>
    </row>
    <row r="181" spans="7:8" ht="15.75" customHeight="1">
      <c r="G181" s="454"/>
      <c r="H181" s="455"/>
    </row>
    <row r="182" spans="7:8" ht="15.75" customHeight="1">
      <c r="G182" s="454"/>
      <c r="H182" s="455"/>
    </row>
    <row r="183" spans="7:8" ht="15.75" customHeight="1">
      <c r="G183" s="454"/>
      <c r="H183" s="455"/>
    </row>
    <row r="184" spans="7:8" ht="15.75" customHeight="1">
      <c r="G184" s="454"/>
      <c r="H184" s="455"/>
    </row>
    <row r="185" spans="7:8" ht="15.75" customHeight="1">
      <c r="G185" s="454"/>
      <c r="H185" s="455"/>
    </row>
    <row r="186" spans="7:8" ht="15.75" customHeight="1">
      <c r="G186" s="454"/>
      <c r="H186" s="455"/>
    </row>
    <row r="187" spans="7:8" ht="15.75" customHeight="1">
      <c r="G187" s="454"/>
      <c r="H187" s="455"/>
    </row>
    <row r="188" spans="7:8" ht="15.75" customHeight="1">
      <c r="G188" s="454"/>
      <c r="H188" s="455"/>
    </row>
    <row r="189" spans="7:8" ht="15.75" customHeight="1">
      <c r="G189" s="454"/>
      <c r="H189" s="455"/>
    </row>
    <row r="190" spans="7:8" ht="15.75" customHeight="1">
      <c r="G190" s="454"/>
      <c r="H190" s="455"/>
    </row>
    <row r="191" spans="7:8" ht="15.75" customHeight="1">
      <c r="G191" s="454"/>
      <c r="H191" s="455"/>
    </row>
    <row r="192" spans="7:8" ht="15.75" customHeight="1">
      <c r="G192" s="454"/>
      <c r="H192" s="455"/>
    </row>
    <row r="193" spans="7:8" ht="15.75" customHeight="1">
      <c r="G193" s="454"/>
      <c r="H193" s="455"/>
    </row>
    <row r="194" spans="7:8" ht="15.75" customHeight="1">
      <c r="G194" s="454"/>
      <c r="H194" s="455"/>
    </row>
    <row r="195" spans="7:8" ht="15.75" customHeight="1">
      <c r="G195" s="454"/>
      <c r="H195" s="455"/>
    </row>
    <row r="196" spans="7:8" ht="15.75" customHeight="1">
      <c r="G196" s="454"/>
      <c r="H196" s="455"/>
    </row>
    <row r="197" spans="7:8" ht="15.75" customHeight="1">
      <c r="G197" s="454"/>
      <c r="H197" s="455"/>
    </row>
    <row r="198" spans="7:8" ht="15.75" customHeight="1">
      <c r="G198" s="454"/>
      <c r="H198" s="455"/>
    </row>
    <row r="199" spans="7:8" ht="15.75" customHeight="1">
      <c r="G199" s="454"/>
      <c r="H199" s="455"/>
    </row>
    <row r="200" spans="7:8" ht="15.75" customHeight="1">
      <c r="G200" s="454"/>
      <c r="H200" s="455"/>
    </row>
    <row r="201" spans="7:8" ht="15.75" customHeight="1">
      <c r="G201" s="454"/>
      <c r="H201" s="455"/>
    </row>
    <row r="202" spans="7:8" ht="15.75" customHeight="1">
      <c r="G202" s="454"/>
      <c r="H202" s="455"/>
    </row>
    <row r="203" spans="7:8" ht="15.75" customHeight="1">
      <c r="G203" s="454"/>
      <c r="H203" s="455"/>
    </row>
    <row r="204" spans="7:8" ht="15.75" customHeight="1">
      <c r="G204" s="454"/>
      <c r="H204" s="455"/>
    </row>
    <row r="205" spans="7:8" ht="15.75" customHeight="1">
      <c r="G205" s="454"/>
      <c r="H205" s="455"/>
    </row>
    <row r="206" spans="7:8" ht="15.75" customHeight="1">
      <c r="G206" s="454"/>
      <c r="H206" s="455"/>
    </row>
    <row r="207" spans="7:8" ht="15.75" customHeight="1">
      <c r="G207" s="454"/>
      <c r="H207" s="455"/>
    </row>
    <row r="208" spans="7:8" ht="15.75" customHeight="1">
      <c r="G208" s="454"/>
      <c r="H208" s="455"/>
    </row>
    <row r="209" spans="7:8" ht="15.75" customHeight="1">
      <c r="G209" s="454"/>
      <c r="H209" s="455"/>
    </row>
    <row r="210" spans="7:8" ht="15.75" customHeight="1">
      <c r="G210" s="454"/>
      <c r="H210" s="455"/>
    </row>
    <row r="211" spans="7:8" ht="15.75" customHeight="1">
      <c r="G211" s="454"/>
      <c r="H211" s="455"/>
    </row>
    <row r="212" spans="7:8" ht="15.75" customHeight="1">
      <c r="G212" s="454"/>
      <c r="H212" s="455"/>
    </row>
    <row r="213" spans="7:8" ht="15.75" customHeight="1">
      <c r="G213" s="454"/>
      <c r="H213" s="455"/>
    </row>
    <row r="214" spans="7:8" ht="15.75" customHeight="1">
      <c r="G214" s="454"/>
      <c r="H214" s="455"/>
    </row>
    <row r="215" spans="7:8" ht="15.75" customHeight="1">
      <c r="G215" s="454"/>
      <c r="H215" s="455"/>
    </row>
    <row r="216" spans="7:8" ht="15.75" customHeight="1">
      <c r="G216" s="454"/>
      <c r="H216" s="455"/>
    </row>
    <row r="217" spans="7:8" ht="15.75" customHeight="1">
      <c r="G217" s="454"/>
      <c r="H217" s="455"/>
    </row>
    <row r="218" spans="7:8" ht="15.75" customHeight="1">
      <c r="G218" s="454"/>
      <c r="H218" s="455"/>
    </row>
    <row r="219" spans="7:8" ht="15.75" customHeight="1">
      <c r="G219" s="454"/>
      <c r="H219" s="455"/>
    </row>
    <row r="220" spans="7:8" ht="15.75" customHeight="1">
      <c r="G220" s="454"/>
      <c r="H220" s="455"/>
    </row>
    <row r="221" spans="7:8" ht="15.75" customHeight="1">
      <c r="G221" s="454"/>
      <c r="H221" s="455"/>
    </row>
    <row r="222" spans="7:8" ht="15.75" customHeight="1">
      <c r="G222" s="454"/>
      <c r="H222" s="455"/>
    </row>
    <row r="223" spans="7:8" ht="15.75" customHeight="1">
      <c r="G223" s="454"/>
      <c r="H223" s="455"/>
    </row>
    <row r="224" spans="7:8" ht="15.75" customHeight="1">
      <c r="G224" s="454"/>
      <c r="H224" s="455"/>
    </row>
    <row r="225" spans="7:8" ht="15.75" customHeight="1">
      <c r="G225" s="454"/>
      <c r="H225" s="455"/>
    </row>
    <row r="226" spans="7:8" ht="15.75" customHeight="1">
      <c r="G226" s="454"/>
      <c r="H226" s="455"/>
    </row>
    <row r="227" spans="7:8" ht="15.75" customHeight="1">
      <c r="G227" s="454"/>
      <c r="H227" s="455"/>
    </row>
    <row r="228" spans="7:8" ht="15.75" customHeight="1">
      <c r="G228" s="454"/>
      <c r="H228" s="455"/>
    </row>
    <row r="229" spans="7:8" ht="15.75" customHeight="1">
      <c r="G229" s="454"/>
      <c r="H229" s="455"/>
    </row>
    <row r="230" spans="7:8" ht="15.75" customHeight="1">
      <c r="G230" s="454"/>
      <c r="H230" s="455"/>
    </row>
    <row r="231" spans="7:8" ht="15.75" customHeight="1">
      <c r="G231" s="454"/>
      <c r="H231" s="455"/>
    </row>
    <row r="232" spans="7:8" ht="15.75" customHeight="1">
      <c r="G232" s="454"/>
      <c r="H232" s="455"/>
    </row>
    <row r="233" spans="7:8" ht="15.75" customHeight="1">
      <c r="G233" s="454"/>
      <c r="H233" s="455"/>
    </row>
    <row r="234" spans="7:8" ht="15.75" customHeight="1">
      <c r="G234" s="454"/>
      <c r="H234" s="455"/>
    </row>
    <row r="235" spans="7:8" ht="15.75" customHeight="1">
      <c r="G235" s="454"/>
      <c r="H235" s="455"/>
    </row>
    <row r="236" spans="7:8" ht="15.75" customHeight="1">
      <c r="G236" s="454"/>
      <c r="H236" s="455"/>
    </row>
    <row r="237" spans="7:8" ht="15.75" customHeight="1">
      <c r="G237" s="454"/>
      <c r="H237" s="455"/>
    </row>
    <row r="238" spans="7:8" ht="15.75" customHeight="1">
      <c r="G238" s="454"/>
      <c r="H238" s="455"/>
    </row>
    <row r="239" spans="7:8" ht="15.75" customHeight="1">
      <c r="G239" s="454"/>
      <c r="H239" s="455"/>
    </row>
    <row r="240" spans="7:8" ht="15.75" customHeight="1">
      <c r="G240" s="454"/>
      <c r="H240" s="455"/>
    </row>
    <row r="241" spans="7:8" ht="15.75" customHeight="1">
      <c r="G241" s="454"/>
      <c r="H241" s="455"/>
    </row>
    <row r="242" spans="7:8" ht="15.75" customHeight="1">
      <c r="G242" s="454"/>
      <c r="H242" s="455"/>
    </row>
    <row r="243" spans="7:8" ht="15.75" customHeight="1">
      <c r="G243" s="454"/>
      <c r="H243" s="455"/>
    </row>
    <row r="244" spans="7:8" ht="15.75" customHeight="1">
      <c r="G244" s="454"/>
      <c r="H244" s="455"/>
    </row>
    <row r="245" spans="7:8" ht="15.75" customHeight="1">
      <c r="G245" s="454"/>
      <c r="H245" s="455"/>
    </row>
    <row r="246" spans="7:8" ht="15.75" customHeight="1">
      <c r="G246" s="454"/>
      <c r="H246" s="455"/>
    </row>
    <row r="247" spans="7:8" ht="15.75" customHeight="1">
      <c r="G247" s="454"/>
      <c r="H247" s="455"/>
    </row>
    <row r="248" spans="7:8" ht="15.75" customHeight="1">
      <c r="G248" s="454"/>
      <c r="H248" s="455"/>
    </row>
    <row r="249" spans="7:8" ht="15.75" customHeight="1">
      <c r="G249" s="454"/>
      <c r="H249" s="455"/>
    </row>
    <row r="250" spans="7:8" ht="15.75" customHeight="1">
      <c r="G250" s="454"/>
      <c r="H250" s="455"/>
    </row>
    <row r="251" spans="7:8" ht="15.75" customHeight="1">
      <c r="G251" s="454"/>
      <c r="H251" s="455"/>
    </row>
    <row r="252" spans="7:8" ht="15.75" customHeight="1">
      <c r="G252" s="454"/>
      <c r="H252" s="455"/>
    </row>
    <row r="253" spans="7:8" ht="15.75" customHeight="1">
      <c r="G253" s="454"/>
      <c r="H253" s="455"/>
    </row>
    <row r="254" spans="7:8" ht="15.75" customHeight="1">
      <c r="G254" s="454"/>
      <c r="H254" s="455"/>
    </row>
    <row r="255" spans="7:8" ht="15.75" customHeight="1">
      <c r="G255" s="454"/>
      <c r="H255" s="455"/>
    </row>
    <row r="256" spans="7:8" ht="15.75" customHeight="1">
      <c r="G256" s="454"/>
      <c r="H256" s="455"/>
    </row>
    <row r="257" spans="7:8" ht="15.75" customHeight="1">
      <c r="G257" s="454"/>
      <c r="H257" s="455"/>
    </row>
    <row r="258" spans="7:8" ht="15.75" customHeight="1">
      <c r="G258" s="454"/>
      <c r="H258" s="455"/>
    </row>
    <row r="259" spans="7:8" ht="15.75" customHeight="1">
      <c r="G259" s="454"/>
      <c r="H259" s="455"/>
    </row>
    <row r="260" spans="7:8" ht="15.75" customHeight="1">
      <c r="G260" s="454"/>
      <c r="H260" s="455"/>
    </row>
    <row r="261" spans="7:8" ht="15.75" customHeight="1">
      <c r="G261" s="454"/>
      <c r="H261" s="455"/>
    </row>
    <row r="262" spans="7:8" ht="15.75" customHeight="1">
      <c r="G262" s="454"/>
      <c r="H262" s="455"/>
    </row>
    <row r="263" spans="7:8" ht="15.75" customHeight="1">
      <c r="G263" s="454"/>
      <c r="H263" s="455"/>
    </row>
    <row r="264" spans="7:8" ht="15.75" customHeight="1">
      <c r="G264" s="454"/>
      <c r="H264" s="455"/>
    </row>
    <row r="265" spans="7:8" ht="15.75" customHeight="1">
      <c r="G265" s="454"/>
      <c r="H265" s="455"/>
    </row>
    <row r="266" spans="7:8" ht="15.75" customHeight="1">
      <c r="G266" s="454"/>
      <c r="H266" s="455"/>
    </row>
    <row r="267" spans="7:8" ht="15.75" customHeight="1">
      <c r="G267" s="454"/>
      <c r="H267" s="455"/>
    </row>
    <row r="268" spans="7:8" ht="15.75" customHeight="1">
      <c r="G268" s="454"/>
      <c r="H268" s="455"/>
    </row>
    <row r="269" spans="7:8" ht="15.75" customHeight="1">
      <c r="G269" s="454"/>
      <c r="H269" s="455"/>
    </row>
    <row r="270" spans="7:8" ht="15.75" customHeight="1">
      <c r="G270" s="454"/>
      <c r="H270" s="455"/>
    </row>
    <row r="271" spans="7:8" ht="15.75" customHeight="1">
      <c r="G271" s="454"/>
      <c r="H271" s="455"/>
    </row>
    <row r="272" spans="7:8" ht="15.75" customHeight="1">
      <c r="G272" s="454"/>
      <c r="H272" s="455"/>
    </row>
    <row r="273" spans="7:8" ht="15.75" customHeight="1">
      <c r="G273" s="454"/>
      <c r="H273" s="455"/>
    </row>
    <row r="274" spans="7:8" ht="15.75" customHeight="1">
      <c r="G274" s="454"/>
      <c r="H274" s="455"/>
    </row>
    <row r="275" spans="7:8" ht="15.75" customHeight="1">
      <c r="G275" s="454"/>
      <c r="H275" s="455"/>
    </row>
    <row r="276" spans="7:8" ht="15.75" customHeight="1">
      <c r="G276" s="454"/>
      <c r="H276" s="455"/>
    </row>
    <row r="277" spans="7:8" ht="15.75" customHeight="1">
      <c r="G277" s="454"/>
      <c r="H277" s="455"/>
    </row>
    <row r="278" spans="7:8" ht="15.75" customHeight="1">
      <c r="G278" s="454"/>
      <c r="H278" s="455"/>
    </row>
    <row r="279" spans="7:8" ht="15.75" customHeight="1">
      <c r="G279" s="454"/>
      <c r="H279" s="455"/>
    </row>
    <row r="280" spans="7:8" ht="15.75" customHeight="1">
      <c r="G280" s="454"/>
      <c r="H280" s="455"/>
    </row>
    <row r="281" spans="7:8" ht="15.75" customHeight="1">
      <c r="G281" s="454"/>
      <c r="H281" s="455"/>
    </row>
    <row r="282" spans="7:8" ht="15.75" customHeight="1">
      <c r="G282" s="454"/>
      <c r="H282" s="455"/>
    </row>
    <row r="283" spans="7:8" ht="15.75" customHeight="1">
      <c r="G283" s="454"/>
      <c r="H283" s="455"/>
    </row>
    <row r="284" spans="7:8" ht="15.75" customHeight="1">
      <c r="G284" s="454"/>
      <c r="H284" s="455"/>
    </row>
    <row r="285" spans="7:8" ht="15.75" customHeight="1">
      <c r="G285" s="454"/>
      <c r="H285" s="455"/>
    </row>
    <row r="286" spans="7:8" ht="15.75" customHeight="1">
      <c r="G286" s="454"/>
      <c r="H286" s="455"/>
    </row>
    <row r="287" spans="7:8" ht="15.75" customHeight="1">
      <c r="G287" s="454"/>
      <c r="H287" s="455"/>
    </row>
    <row r="288" spans="7:8" ht="15.75" customHeight="1">
      <c r="G288" s="454"/>
      <c r="H288" s="455"/>
    </row>
    <row r="289" spans="7:8" ht="15.75" customHeight="1">
      <c r="G289" s="454"/>
      <c r="H289" s="455"/>
    </row>
    <row r="290" spans="7:8" ht="15.75" customHeight="1">
      <c r="G290" s="454"/>
      <c r="H290" s="455"/>
    </row>
    <row r="291" spans="7:8" ht="15.75" customHeight="1">
      <c r="G291" s="454"/>
      <c r="H291" s="455"/>
    </row>
    <row r="292" spans="7:8" ht="15.75" customHeight="1">
      <c r="G292" s="454"/>
      <c r="H292" s="455"/>
    </row>
    <row r="293" spans="7:8" ht="15.75" customHeight="1">
      <c r="G293" s="454"/>
      <c r="H293" s="455"/>
    </row>
    <row r="294" spans="7:8" ht="15.75" customHeight="1">
      <c r="G294" s="454"/>
      <c r="H294" s="455"/>
    </row>
    <row r="295" spans="7:8" ht="15.75" customHeight="1">
      <c r="G295" s="454"/>
      <c r="H295" s="455"/>
    </row>
    <row r="296" spans="7:8" ht="15.75" customHeight="1">
      <c r="G296" s="454"/>
      <c r="H296" s="455"/>
    </row>
    <row r="297" spans="7:8" ht="15.75" customHeight="1">
      <c r="G297" s="454"/>
      <c r="H297" s="455"/>
    </row>
    <row r="298" spans="7:8" ht="15.75" customHeight="1">
      <c r="G298" s="454"/>
      <c r="H298" s="455"/>
    </row>
    <row r="299" spans="7:8" ht="15.75" customHeight="1">
      <c r="G299" s="454"/>
      <c r="H299" s="455"/>
    </row>
    <row r="300" spans="7:8" ht="15.75" customHeight="1">
      <c r="G300" s="454"/>
      <c r="H300" s="455"/>
    </row>
    <row r="301" spans="7:8" ht="15.75" customHeight="1">
      <c r="G301" s="454"/>
      <c r="H301" s="455"/>
    </row>
    <row r="302" spans="7:8" ht="15.75" customHeight="1">
      <c r="G302" s="454"/>
      <c r="H302" s="455"/>
    </row>
    <row r="303" spans="7:8" ht="15.75" customHeight="1">
      <c r="G303" s="454"/>
      <c r="H303" s="455"/>
    </row>
    <row r="304" spans="7:8" ht="15.75" customHeight="1">
      <c r="G304" s="454"/>
      <c r="H304" s="455"/>
    </row>
    <row r="305" spans="7:8" ht="15.75" customHeight="1">
      <c r="G305" s="454"/>
      <c r="H305" s="455"/>
    </row>
    <row r="306" spans="7:8" ht="15.75" customHeight="1">
      <c r="G306" s="454"/>
      <c r="H306" s="455"/>
    </row>
    <row r="307" spans="7:8" ht="15.75" customHeight="1">
      <c r="G307" s="454"/>
      <c r="H307" s="455"/>
    </row>
    <row r="308" spans="7:8" ht="15.75" customHeight="1">
      <c r="G308" s="454"/>
      <c r="H308" s="455"/>
    </row>
    <row r="309" spans="7:8" ht="15.75" customHeight="1">
      <c r="G309" s="454"/>
      <c r="H309" s="455"/>
    </row>
    <row r="310" spans="7:8" ht="15.75" customHeight="1">
      <c r="G310" s="454"/>
      <c r="H310" s="455"/>
    </row>
    <row r="311" spans="7:8" ht="15.75" customHeight="1">
      <c r="G311" s="454"/>
      <c r="H311" s="455"/>
    </row>
    <row r="312" spans="7:8" ht="15.75" customHeight="1">
      <c r="G312" s="454"/>
      <c r="H312" s="455"/>
    </row>
    <row r="313" spans="7:8" ht="15.75" customHeight="1">
      <c r="G313" s="454"/>
      <c r="H313" s="455"/>
    </row>
    <row r="314" spans="7:8" ht="15.75" customHeight="1">
      <c r="G314" s="454"/>
      <c r="H314" s="455"/>
    </row>
    <row r="315" spans="7:8" ht="15.75" customHeight="1">
      <c r="G315" s="454"/>
      <c r="H315" s="455"/>
    </row>
    <row r="316" spans="7:8" ht="15.75" customHeight="1">
      <c r="G316" s="454"/>
      <c r="H316" s="455"/>
    </row>
    <row r="317" spans="7:8" ht="15.75" customHeight="1">
      <c r="G317" s="454"/>
      <c r="H317" s="455"/>
    </row>
    <row r="318" spans="7:8" ht="15.75" customHeight="1">
      <c r="G318" s="454"/>
      <c r="H318" s="455"/>
    </row>
    <row r="319" spans="7:8" ht="15.75" customHeight="1">
      <c r="G319" s="454"/>
      <c r="H319" s="455"/>
    </row>
    <row r="320" spans="7:8" ht="15.75" customHeight="1">
      <c r="G320" s="454"/>
      <c r="H320" s="455"/>
    </row>
    <row r="321" spans="7:8" ht="15.75" customHeight="1">
      <c r="G321" s="454"/>
      <c r="H321" s="455"/>
    </row>
    <row r="322" spans="7:8" ht="15.75" customHeight="1">
      <c r="G322" s="454"/>
      <c r="H322" s="455"/>
    </row>
    <row r="323" spans="7:8" ht="15.75" customHeight="1">
      <c r="G323" s="454"/>
      <c r="H323" s="455"/>
    </row>
    <row r="324" spans="7:8" ht="15.75" customHeight="1">
      <c r="G324" s="454"/>
      <c r="H324" s="455"/>
    </row>
    <row r="325" spans="7:8" ht="15.75" customHeight="1">
      <c r="G325" s="454"/>
      <c r="H325" s="455"/>
    </row>
    <row r="326" spans="7:8" ht="15.75" customHeight="1">
      <c r="G326" s="454"/>
      <c r="H326" s="455"/>
    </row>
    <row r="327" spans="7:8" ht="15.75" customHeight="1">
      <c r="G327" s="454"/>
      <c r="H327" s="455"/>
    </row>
    <row r="328" spans="7:8" ht="15.75" customHeight="1">
      <c r="G328" s="454"/>
      <c r="H328" s="455"/>
    </row>
    <row r="329" spans="7:8" ht="15.75" customHeight="1">
      <c r="G329" s="454"/>
      <c r="H329" s="455"/>
    </row>
    <row r="330" spans="7:8" ht="15.75" customHeight="1">
      <c r="G330" s="454"/>
      <c r="H330" s="455"/>
    </row>
    <row r="331" spans="7:8" ht="15.75" customHeight="1">
      <c r="G331" s="454"/>
      <c r="H331" s="455"/>
    </row>
    <row r="332" spans="7:8" ht="15.75" customHeight="1">
      <c r="G332" s="454"/>
      <c r="H332" s="455"/>
    </row>
    <row r="333" spans="7:8" ht="15.75" customHeight="1">
      <c r="G333" s="454"/>
      <c r="H333" s="455"/>
    </row>
    <row r="334" spans="7:8" ht="15.75" customHeight="1">
      <c r="G334" s="454"/>
      <c r="H334" s="455"/>
    </row>
    <row r="335" spans="7:8" ht="15.75" customHeight="1">
      <c r="G335" s="454"/>
      <c r="H335" s="455"/>
    </row>
    <row r="336" spans="7:8" ht="15.75" customHeight="1">
      <c r="G336" s="454"/>
      <c r="H336" s="455"/>
    </row>
    <row r="337" spans="7:8" ht="15.75" customHeight="1">
      <c r="G337" s="454"/>
      <c r="H337" s="455"/>
    </row>
    <row r="338" spans="7:8" ht="15.75" customHeight="1">
      <c r="G338" s="454"/>
      <c r="H338" s="455"/>
    </row>
    <row r="339" spans="7:8" ht="15.75" customHeight="1">
      <c r="G339" s="454"/>
      <c r="H339" s="455"/>
    </row>
    <row r="340" spans="7:8" ht="15.75" customHeight="1">
      <c r="G340" s="454"/>
      <c r="H340" s="455"/>
    </row>
    <row r="341" spans="7:8" ht="15.75" customHeight="1">
      <c r="G341" s="454"/>
      <c r="H341" s="455"/>
    </row>
    <row r="342" spans="7:8" ht="15.75" customHeight="1">
      <c r="G342" s="454"/>
      <c r="H342" s="455"/>
    </row>
    <row r="343" spans="7:8" ht="15.75" customHeight="1">
      <c r="G343" s="454"/>
      <c r="H343" s="455"/>
    </row>
    <row r="344" spans="7:8" ht="15.75" customHeight="1">
      <c r="G344" s="454"/>
      <c r="H344" s="455"/>
    </row>
    <row r="345" spans="7:8" ht="15.75" customHeight="1">
      <c r="G345" s="454"/>
      <c r="H345" s="455"/>
    </row>
    <row r="346" spans="7:8" ht="15.75" customHeight="1">
      <c r="G346" s="454"/>
      <c r="H346" s="455"/>
    </row>
    <row r="347" spans="7:8" ht="15.75" customHeight="1">
      <c r="G347" s="454"/>
      <c r="H347" s="455"/>
    </row>
    <row r="348" spans="7:8" ht="15.75" customHeight="1">
      <c r="G348" s="454"/>
      <c r="H348" s="455"/>
    </row>
    <row r="349" spans="7:8" ht="15.75" customHeight="1">
      <c r="G349" s="454"/>
      <c r="H349" s="455"/>
    </row>
    <row r="350" spans="7:8" ht="15.75" customHeight="1">
      <c r="G350" s="454"/>
      <c r="H350" s="455"/>
    </row>
    <row r="351" spans="7:8" ht="15.75" customHeight="1">
      <c r="G351" s="454"/>
      <c r="H351" s="455"/>
    </row>
    <row r="352" spans="7:8" ht="15.75" customHeight="1">
      <c r="G352" s="454"/>
      <c r="H352" s="455"/>
    </row>
    <row r="353" spans="7:8" ht="15.75" customHeight="1">
      <c r="G353" s="454"/>
      <c r="H353" s="455"/>
    </row>
    <row r="354" spans="7:8" ht="15.75" customHeight="1">
      <c r="G354" s="454"/>
      <c r="H354" s="455"/>
    </row>
    <row r="355" spans="7:8" ht="15.75" customHeight="1">
      <c r="G355" s="454"/>
      <c r="H355" s="455"/>
    </row>
    <row r="356" spans="7:8" ht="15.75" customHeight="1">
      <c r="G356" s="454"/>
      <c r="H356" s="455"/>
    </row>
    <row r="357" spans="7:8" ht="15.75" customHeight="1">
      <c r="G357" s="454"/>
      <c r="H357" s="455"/>
    </row>
    <row r="358" spans="7:8" ht="15.75" customHeight="1">
      <c r="G358" s="454"/>
      <c r="H358" s="455"/>
    </row>
    <row r="359" spans="7:8" ht="15.75" customHeight="1">
      <c r="G359" s="454"/>
      <c r="H359" s="455"/>
    </row>
    <row r="360" spans="7:8" ht="15.75" customHeight="1">
      <c r="G360" s="454"/>
      <c r="H360" s="455"/>
    </row>
    <row r="361" spans="7:8" ht="15.75" customHeight="1">
      <c r="G361" s="454"/>
      <c r="H361" s="455"/>
    </row>
    <row r="362" spans="7:8" ht="15.75" customHeight="1">
      <c r="G362" s="454"/>
      <c r="H362" s="455"/>
    </row>
    <row r="363" spans="7:8" ht="15.75" customHeight="1">
      <c r="G363" s="454"/>
      <c r="H363" s="455"/>
    </row>
    <row r="364" spans="7:8" ht="15.75" customHeight="1">
      <c r="G364" s="454"/>
      <c r="H364" s="455"/>
    </row>
    <row r="365" spans="7:8" ht="15.75" customHeight="1">
      <c r="G365" s="454"/>
      <c r="H365" s="455"/>
    </row>
    <row r="366" spans="7:8" ht="15.75" customHeight="1">
      <c r="G366" s="454"/>
      <c r="H366" s="455"/>
    </row>
    <row r="367" spans="7:8" ht="15.75" customHeight="1">
      <c r="G367" s="454"/>
      <c r="H367" s="455"/>
    </row>
    <row r="368" spans="7:8" ht="15.75" customHeight="1">
      <c r="G368" s="454"/>
      <c r="H368" s="455"/>
    </row>
    <row r="369" spans="7:8" ht="15.75" customHeight="1">
      <c r="G369" s="454"/>
      <c r="H369" s="455"/>
    </row>
    <row r="370" spans="7:8" ht="15.75" customHeight="1">
      <c r="G370" s="454"/>
      <c r="H370" s="455"/>
    </row>
    <row r="371" spans="7:8" ht="15.75" customHeight="1">
      <c r="G371" s="454"/>
      <c r="H371" s="455"/>
    </row>
    <row r="372" spans="7:8" ht="15.75" customHeight="1">
      <c r="G372" s="454"/>
      <c r="H372" s="455"/>
    </row>
    <row r="373" spans="7:8" ht="15.75" customHeight="1">
      <c r="G373" s="454"/>
      <c r="H373" s="455"/>
    </row>
    <row r="374" spans="7:8" ht="15.75" customHeight="1">
      <c r="G374" s="454"/>
      <c r="H374" s="455"/>
    </row>
    <row r="375" spans="7:8" ht="15.75" customHeight="1">
      <c r="G375" s="454"/>
      <c r="H375" s="455"/>
    </row>
    <row r="376" spans="7:8" ht="15.75" customHeight="1">
      <c r="G376" s="454"/>
      <c r="H376" s="455"/>
    </row>
    <row r="377" spans="7:8" ht="15.75" customHeight="1">
      <c r="G377" s="454"/>
      <c r="H377" s="455"/>
    </row>
    <row r="378" spans="7:8" ht="15.75" customHeight="1">
      <c r="G378" s="454"/>
      <c r="H378" s="455"/>
    </row>
    <row r="379" spans="7:8" ht="15.75" customHeight="1">
      <c r="G379" s="454"/>
      <c r="H379" s="455"/>
    </row>
    <row r="380" spans="7:8" ht="15.75" customHeight="1">
      <c r="G380" s="454"/>
      <c r="H380" s="455"/>
    </row>
    <row r="381" spans="7:8" ht="15.75" customHeight="1">
      <c r="G381" s="454"/>
      <c r="H381" s="455"/>
    </row>
    <row r="382" spans="7:8" ht="15.75" customHeight="1">
      <c r="G382" s="454"/>
      <c r="H382" s="455"/>
    </row>
    <row r="383" spans="7:8" ht="15.75" customHeight="1">
      <c r="G383" s="454"/>
      <c r="H383" s="455"/>
    </row>
    <row r="384" spans="7:8" ht="15.75" customHeight="1">
      <c r="G384" s="454"/>
      <c r="H384" s="455"/>
    </row>
    <row r="385" spans="7:8" ht="15.75" customHeight="1">
      <c r="G385" s="454"/>
      <c r="H385" s="455"/>
    </row>
    <row r="386" spans="7:8" ht="15.75" customHeight="1">
      <c r="G386" s="454"/>
      <c r="H386" s="455"/>
    </row>
    <row r="387" spans="7:8" ht="15.75" customHeight="1">
      <c r="G387" s="454"/>
      <c r="H387" s="455"/>
    </row>
    <row r="388" spans="7:8" ht="15.75" customHeight="1">
      <c r="G388" s="454"/>
      <c r="H388" s="455"/>
    </row>
    <row r="389" spans="7:8" ht="15.75" customHeight="1">
      <c r="G389" s="454"/>
      <c r="H389" s="455"/>
    </row>
    <row r="390" spans="7:8" ht="15.75" customHeight="1">
      <c r="G390" s="454"/>
      <c r="H390" s="455"/>
    </row>
    <row r="391" spans="7:8" ht="15.75" customHeight="1">
      <c r="G391" s="454"/>
      <c r="H391" s="455"/>
    </row>
    <row r="392" spans="7:8" ht="15.75" customHeight="1">
      <c r="G392" s="454"/>
      <c r="H392" s="455"/>
    </row>
    <row r="393" spans="7:8" ht="15.75" customHeight="1">
      <c r="G393" s="454"/>
      <c r="H393" s="455"/>
    </row>
    <row r="394" spans="7:8" ht="15.75" customHeight="1">
      <c r="G394" s="454"/>
      <c r="H394" s="455"/>
    </row>
    <row r="395" spans="7:8" ht="15.75" customHeight="1">
      <c r="G395" s="454"/>
      <c r="H395" s="455"/>
    </row>
    <row r="396" spans="7:8" ht="15.75" customHeight="1">
      <c r="G396" s="454"/>
      <c r="H396" s="455"/>
    </row>
    <row r="397" spans="7:8" ht="15.75" customHeight="1">
      <c r="G397" s="454"/>
      <c r="H397" s="455"/>
    </row>
    <row r="398" spans="7:8" ht="15.75" customHeight="1">
      <c r="G398" s="454"/>
      <c r="H398" s="455"/>
    </row>
    <row r="399" spans="7:8" ht="15.75" customHeight="1">
      <c r="G399" s="454"/>
      <c r="H399" s="455"/>
    </row>
    <row r="400" spans="7:8" ht="15.75" customHeight="1">
      <c r="G400" s="454"/>
      <c r="H400" s="455"/>
    </row>
    <row r="401" spans="7:8" ht="15.75" customHeight="1">
      <c r="G401" s="454"/>
      <c r="H401" s="455"/>
    </row>
    <row r="402" spans="7:8" ht="15.75" customHeight="1">
      <c r="G402" s="454"/>
      <c r="H402" s="455"/>
    </row>
    <row r="403" spans="7:8" ht="15.75" customHeight="1">
      <c r="G403" s="454"/>
      <c r="H403" s="455"/>
    </row>
    <row r="404" spans="7:8" ht="15.75" customHeight="1">
      <c r="G404" s="454"/>
      <c r="H404" s="455"/>
    </row>
    <row r="405" spans="7:8" ht="15.75" customHeight="1">
      <c r="G405" s="454"/>
      <c r="H405" s="455"/>
    </row>
    <row r="406" spans="7:8" ht="15.75" customHeight="1">
      <c r="G406" s="454"/>
      <c r="H406" s="455"/>
    </row>
    <row r="407" spans="7:8" ht="15.75" customHeight="1">
      <c r="G407" s="454"/>
      <c r="H407" s="455"/>
    </row>
    <row r="408" spans="7:8" ht="15.75" customHeight="1">
      <c r="G408" s="454"/>
      <c r="H408" s="455"/>
    </row>
    <row r="409" spans="7:8" ht="15.75" customHeight="1">
      <c r="G409" s="454"/>
      <c r="H409" s="455"/>
    </row>
    <row r="410" spans="7:8" ht="15.75" customHeight="1">
      <c r="G410" s="454"/>
      <c r="H410" s="455"/>
    </row>
    <row r="411" spans="7:8" ht="15.75" customHeight="1">
      <c r="G411" s="454"/>
      <c r="H411" s="455"/>
    </row>
    <row r="412" spans="7:8" ht="15.75" customHeight="1">
      <c r="G412" s="454"/>
      <c r="H412" s="455"/>
    </row>
    <row r="413" spans="7:8" ht="15.75" customHeight="1">
      <c r="G413" s="454"/>
      <c r="H413" s="455"/>
    </row>
    <row r="414" spans="7:8" ht="15.75" customHeight="1">
      <c r="G414" s="454"/>
      <c r="H414" s="455"/>
    </row>
    <row r="415" spans="7:8" ht="15.75" customHeight="1">
      <c r="G415" s="454"/>
      <c r="H415" s="455"/>
    </row>
    <row r="416" spans="7:8" ht="15.75" customHeight="1">
      <c r="G416" s="454"/>
      <c r="H416" s="455"/>
    </row>
    <row r="417" spans="7:8" ht="15.75" customHeight="1">
      <c r="G417" s="454"/>
      <c r="H417" s="455"/>
    </row>
    <row r="418" spans="7:8" ht="15.75" customHeight="1">
      <c r="G418" s="454"/>
      <c r="H418" s="455"/>
    </row>
    <row r="419" spans="7:8" ht="15.75" customHeight="1">
      <c r="G419" s="454"/>
      <c r="H419" s="455"/>
    </row>
    <row r="420" spans="7:8" ht="15.75" customHeight="1">
      <c r="G420" s="454"/>
      <c r="H420" s="455"/>
    </row>
    <row r="421" spans="7:8" ht="15.75" customHeight="1">
      <c r="G421" s="454"/>
      <c r="H421" s="455"/>
    </row>
    <row r="422" spans="7:8" ht="15.75" customHeight="1">
      <c r="G422" s="454"/>
      <c r="H422" s="455"/>
    </row>
    <row r="423" spans="7:8" ht="15.75" customHeight="1">
      <c r="G423" s="454"/>
      <c r="H423" s="455"/>
    </row>
    <row r="424" spans="7:8" ht="15.75" customHeight="1">
      <c r="G424" s="454"/>
      <c r="H424" s="455"/>
    </row>
    <row r="425" spans="7:8" ht="15.75" customHeight="1">
      <c r="G425" s="454"/>
      <c r="H425" s="455"/>
    </row>
    <row r="426" spans="7:8" ht="15.75" customHeight="1">
      <c r="G426" s="454"/>
      <c r="H426" s="455"/>
    </row>
    <row r="427" spans="7:8" ht="15.75" customHeight="1">
      <c r="G427" s="454"/>
      <c r="H427" s="455"/>
    </row>
    <row r="428" spans="7:8" ht="15.75" customHeight="1">
      <c r="G428" s="454"/>
      <c r="H428" s="455"/>
    </row>
    <row r="429" spans="7:8" ht="15.75" customHeight="1">
      <c r="G429" s="454"/>
      <c r="H429" s="455"/>
    </row>
    <row r="430" spans="7:8" ht="15.75" customHeight="1">
      <c r="G430" s="454"/>
      <c r="H430" s="455"/>
    </row>
    <row r="431" spans="7:8" ht="15.75" customHeight="1">
      <c r="G431" s="454"/>
      <c r="H431" s="455"/>
    </row>
    <row r="432" spans="7:8" ht="15.75" customHeight="1">
      <c r="G432" s="454"/>
      <c r="H432" s="455"/>
    </row>
    <row r="433" spans="7:8" ht="15.75" customHeight="1">
      <c r="G433" s="454"/>
      <c r="H433" s="455"/>
    </row>
    <row r="434" spans="7:8" ht="15.75" customHeight="1">
      <c r="G434" s="454"/>
      <c r="H434" s="455"/>
    </row>
    <row r="435" spans="7:8" ht="15.75" customHeight="1">
      <c r="G435" s="454"/>
      <c r="H435" s="455"/>
    </row>
    <row r="436" spans="7:8" ht="15.75" customHeight="1">
      <c r="G436" s="454"/>
      <c r="H436" s="455"/>
    </row>
    <row r="437" spans="7:8" ht="15.75" customHeight="1">
      <c r="G437" s="454"/>
      <c r="H437" s="455"/>
    </row>
    <row r="438" spans="7:8" ht="15.75" customHeight="1">
      <c r="G438" s="454"/>
      <c r="H438" s="455"/>
    </row>
    <row r="439" spans="7:8" ht="15.75" customHeight="1">
      <c r="G439" s="454"/>
      <c r="H439" s="455"/>
    </row>
    <row r="440" spans="7:8" ht="15.75" customHeight="1">
      <c r="G440" s="454"/>
      <c r="H440" s="455"/>
    </row>
    <row r="441" spans="7:8" ht="15.75" customHeight="1">
      <c r="G441" s="454"/>
      <c r="H441" s="455"/>
    </row>
    <row r="442" spans="7:8" ht="15.75" customHeight="1">
      <c r="G442" s="454"/>
      <c r="H442" s="455"/>
    </row>
    <row r="443" spans="7:8" ht="15.75" customHeight="1">
      <c r="G443" s="454"/>
      <c r="H443" s="455"/>
    </row>
    <row r="444" spans="7:8" ht="15.75" customHeight="1">
      <c r="G444" s="454"/>
      <c r="H444" s="455"/>
    </row>
    <row r="445" spans="7:8" ht="15.75" customHeight="1">
      <c r="G445" s="454"/>
      <c r="H445" s="455"/>
    </row>
    <row r="446" spans="7:8" ht="15.75" customHeight="1">
      <c r="G446" s="454"/>
      <c r="H446" s="455"/>
    </row>
    <row r="447" spans="7:8" ht="15.75" customHeight="1">
      <c r="G447" s="454"/>
      <c r="H447" s="455"/>
    </row>
    <row r="448" spans="7:8" ht="15.75" customHeight="1">
      <c r="G448" s="454"/>
      <c r="H448" s="455"/>
    </row>
    <row r="449" spans="7:8" ht="15.75" customHeight="1">
      <c r="G449" s="454"/>
      <c r="H449" s="455"/>
    </row>
    <row r="450" spans="7:8" ht="15.75" customHeight="1">
      <c r="G450" s="454"/>
      <c r="H450" s="455"/>
    </row>
    <row r="451" spans="7:8" ht="15.75" customHeight="1">
      <c r="G451" s="454"/>
      <c r="H451" s="455"/>
    </row>
    <row r="452" spans="7:8" ht="15.75" customHeight="1">
      <c r="G452" s="454"/>
      <c r="H452" s="455"/>
    </row>
    <row r="453" spans="7:8" ht="15.75" customHeight="1">
      <c r="G453" s="454"/>
      <c r="H453" s="455"/>
    </row>
    <row r="454" spans="7:8" ht="15.75" customHeight="1">
      <c r="G454" s="454"/>
      <c r="H454" s="455"/>
    </row>
    <row r="455" spans="7:8" ht="15.75" customHeight="1">
      <c r="G455" s="454"/>
      <c r="H455" s="455"/>
    </row>
    <row r="456" spans="7:8" ht="15.75" customHeight="1">
      <c r="G456" s="454"/>
      <c r="H456" s="455"/>
    </row>
    <row r="457" spans="7:8" ht="15.75" customHeight="1">
      <c r="G457" s="454"/>
      <c r="H457" s="455"/>
    </row>
    <row r="458" spans="7:8" ht="15.75" customHeight="1">
      <c r="G458" s="454"/>
      <c r="H458" s="455"/>
    </row>
    <row r="459" spans="7:8" ht="15.75" customHeight="1">
      <c r="G459" s="454"/>
      <c r="H459" s="455"/>
    </row>
    <row r="460" spans="7:8" ht="15.75" customHeight="1">
      <c r="G460" s="454"/>
      <c r="H460" s="455"/>
    </row>
    <row r="461" spans="7:8" ht="15.75" customHeight="1">
      <c r="G461" s="454"/>
      <c r="H461" s="455"/>
    </row>
    <row r="462" spans="7:8" ht="15.75" customHeight="1">
      <c r="G462" s="454"/>
      <c r="H462" s="455"/>
    </row>
    <row r="463" spans="7:8" ht="15.75" customHeight="1">
      <c r="G463" s="454"/>
      <c r="H463" s="455"/>
    </row>
    <row r="464" spans="7:8" ht="15.75" customHeight="1">
      <c r="G464" s="454"/>
      <c r="H464" s="455"/>
    </row>
    <row r="465" spans="7:8" ht="15.75" customHeight="1">
      <c r="G465" s="454"/>
      <c r="H465" s="455"/>
    </row>
    <row r="466" spans="7:8" ht="15.75" customHeight="1">
      <c r="G466" s="454"/>
      <c r="H466" s="455"/>
    </row>
    <row r="467" spans="7:8" ht="15.75" customHeight="1">
      <c r="G467" s="454"/>
      <c r="H467" s="455"/>
    </row>
    <row r="468" spans="7:8" ht="15.75" customHeight="1">
      <c r="G468" s="454"/>
      <c r="H468" s="455"/>
    </row>
    <row r="469" spans="7:8" ht="15.75" customHeight="1">
      <c r="G469" s="454"/>
      <c r="H469" s="455"/>
    </row>
    <row r="470" spans="7:8" ht="15.75" customHeight="1">
      <c r="G470" s="454"/>
      <c r="H470" s="455"/>
    </row>
    <row r="471" spans="7:8" ht="15.75" customHeight="1">
      <c r="G471" s="454"/>
      <c r="H471" s="455"/>
    </row>
    <row r="472" spans="7:8" ht="15.75" customHeight="1">
      <c r="G472" s="454"/>
      <c r="H472" s="455"/>
    </row>
    <row r="473" spans="7:8" ht="15.75" customHeight="1">
      <c r="G473" s="454"/>
      <c r="H473" s="455"/>
    </row>
    <row r="474" spans="7:8" ht="15.75" customHeight="1">
      <c r="G474" s="454"/>
      <c r="H474" s="455"/>
    </row>
    <row r="475" spans="7:8" ht="15.75" customHeight="1">
      <c r="G475" s="454"/>
      <c r="H475" s="455"/>
    </row>
    <row r="476" spans="7:8" ht="15.75" customHeight="1">
      <c r="G476" s="454"/>
      <c r="H476" s="455"/>
    </row>
    <row r="477" spans="7:8" ht="15.75" customHeight="1">
      <c r="G477" s="454"/>
      <c r="H477" s="455"/>
    </row>
    <row r="478" spans="7:8" ht="15.75" customHeight="1">
      <c r="G478" s="454"/>
      <c r="H478" s="455"/>
    </row>
    <row r="479" spans="7:8" ht="15.75" customHeight="1">
      <c r="G479" s="454"/>
      <c r="H479" s="455"/>
    </row>
    <row r="480" spans="7:8" ht="15.75" customHeight="1">
      <c r="G480" s="454"/>
      <c r="H480" s="455"/>
    </row>
    <row r="481" spans="7:8" ht="15.75" customHeight="1">
      <c r="G481" s="454"/>
      <c r="H481" s="455"/>
    </row>
    <row r="482" spans="7:8" ht="15.75" customHeight="1">
      <c r="G482" s="454"/>
      <c r="H482" s="455"/>
    </row>
    <row r="483" spans="7:8" ht="15.75" customHeight="1">
      <c r="G483" s="454"/>
      <c r="H483" s="455"/>
    </row>
    <row r="484" spans="7:8" ht="15.75" customHeight="1">
      <c r="G484" s="454"/>
      <c r="H484" s="455"/>
    </row>
    <row r="485" spans="7:8" ht="15.75" customHeight="1">
      <c r="G485" s="454"/>
      <c r="H485" s="455"/>
    </row>
    <row r="486" spans="7:8" ht="15.75" customHeight="1">
      <c r="G486" s="454"/>
      <c r="H486" s="455"/>
    </row>
    <row r="487" spans="7:8" ht="15.75" customHeight="1">
      <c r="G487" s="454"/>
      <c r="H487" s="455"/>
    </row>
    <row r="488" spans="7:8" ht="15.75" customHeight="1">
      <c r="G488" s="454"/>
      <c r="H488" s="455"/>
    </row>
    <row r="489" spans="7:8" ht="15.75" customHeight="1">
      <c r="G489" s="454"/>
      <c r="H489" s="455"/>
    </row>
    <row r="490" spans="7:8" ht="15.75" customHeight="1">
      <c r="G490" s="454"/>
      <c r="H490" s="455"/>
    </row>
    <row r="491" spans="7:8" ht="15.75" customHeight="1">
      <c r="G491" s="454"/>
      <c r="H491" s="455"/>
    </row>
    <row r="492" spans="7:8" ht="15.75" customHeight="1">
      <c r="G492" s="454"/>
      <c r="H492" s="455"/>
    </row>
    <row r="493" spans="7:8" ht="15.75" customHeight="1">
      <c r="G493" s="454"/>
      <c r="H493" s="455"/>
    </row>
    <row r="494" spans="7:8" ht="15.75" customHeight="1">
      <c r="G494" s="454"/>
      <c r="H494" s="455"/>
    </row>
    <row r="495" spans="7:8" ht="15.75" customHeight="1">
      <c r="G495" s="454"/>
      <c r="H495" s="455"/>
    </row>
    <row r="496" spans="7:8" ht="15.75" customHeight="1">
      <c r="G496" s="454"/>
      <c r="H496" s="455"/>
    </row>
    <row r="497" spans="7:8" ht="15.75" customHeight="1">
      <c r="G497" s="454"/>
      <c r="H497" s="455"/>
    </row>
    <row r="498" spans="7:8" ht="15.75" customHeight="1">
      <c r="G498" s="454"/>
      <c r="H498" s="455"/>
    </row>
    <row r="499" spans="7:8" ht="15.75" customHeight="1">
      <c r="G499" s="454"/>
      <c r="H499" s="455"/>
    </row>
    <row r="500" spans="7:8" ht="15.75" customHeight="1">
      <c r="G500" s="454"/>
      <c r="H500" s="455"/>
    </row>
    <row r="501" spans="7:8" ht="15.75" customHeight="1">
      <c r="G501" s="454"/>
      <c r="H501" s="455"/>
    </row>
    <row r="502" spans="7:8" ht="15.75" customHeight="1">
      <c r="G502" s="454"/>
      <c r="H502" s="455"/>
    </row>
    <row r="503" spans="7:8" ht="15.75" customHeight="1">
      <c r="G503" s="454"/>
      <c r="H503" s="455"/>
    </row>
    <row r="504" spans="7:8" ht="15.75" customHeight="1">
      <c r="G504" s="454"/>
      <c r="H504" s="455"/>
    </row>
    <row r="505" spans="7:8" ht="15.75" customHeight="1">
      <c r="G505" s="454"/>
      <c r="H505" s="455"/>
    </row>
    <row r="506" spans="7:8" ht="15.75" customHeight="1">
      <c r="G506" s="454"/>
      <c r="H506" s="455"/>
    </row>
    <row r="507" spans="7:8" ht="15.75" customHeight="1">
      <c r="G507" s="454"/>
      <c r="H507" s="455"/>
    </row>
    <row r="508" spans="7:8" ht="15.75" customHeight="1">
      <c r="G508" s="454"/>
      <c r="H508" s="455"/>
    </row>
    <row r="509" spans="7:8" ht="15.75" customHeight="1">
      <c r="G509" s="454"/>
      <c r="H509" s="455"/>
    </row>
    <row r="510" spans="7:8" ht="15.75" customHeight="1">
      <c r="G510" s="454"/>
      <c r="H510" s="455"/>
    </row>
    <row r="511" spans="7:8" ht="15.75" customHeight="1">
      <c r="G511" s="454"/>
      <c r="H511" s="455"/>
    </row>
    <row r="512" spans="7:8" ht="15.75" customHeight="1">
      <c r="G512" s="454"/>
      <c r="H512" s="455"/>
    </row>
    <row r="513" spans="7:8" ht="15.75" customHeight="1">
      <c r="G513" s="454"/>
      <c r="H513" s="455"/>
    </row>
    <row r="514" spans="7:8" ht="15.75" customHeight="1">
      <c r="G514" s="454"/>
      <c r="H514" s="455"/>
    </row>
    <row r="515" spans="7:8" ht="15.75" customHeight="1">
      <c r="G515" s="454"/>
      <c r="H515" s="455"/>
    </row>
    <row r="516" spans="7:8" ht="15.75" customHeight="1">
      <c r="G516" s="454"/>
      <c r="H516" s="455"/>
    </row>
    <row r="517" spans="7:8" ht="15.75" customHeight="1">
      <c r="G517" s="454"/>
      <c r="H517" s="455"/>
    </row>
    <row r="518" spans="7:8" ht="15.75" customHeight="1">
      <c r="G518" s="454"/>
      <c r="H518" s="455"/>
    </row>
    <row r="519" spans="7:8" ht="15.75" customHeight="1">
      <c r="G519" s="454"/>
      <c r="H519" s="455"/>
    </row>
    <row r="520" spans="7:8" ht="15.75" customHeight="1">
      <c r="G520" s="454"/>
      <c r="H520" s="455"/>
    </row>
    <row r="521" spans="7:8" ht="15.75" customHeight="1">
      <c r="G521" s="454"/>
      <c r="H521" s="455"/>
    </row>
    <row r="522" spans="7:8" ht="15.75" customHeight="1">
      <c r="G522" s="454"/>
      <c r="H522" s="455"/>
    </row>
    <row r="523" spans="7:8" ht="15.75" customHeight="1">
      <c r="G523" s="454"/>
      <c r="H523" s="455"/>
    </row>
    <row r="524" spans="7:8" ht="15.75" customHeight="1">
      <c r="G524" s="454"/>
      <c r="H524" s="455"/>
    </row>
    <row r="525" spans="7:8" ht="15.75" customHeight="1">
      <c r="G525" s="454"/>
      <c r="H525" s="455"/>
    </row>
    <row r="526" spans="7:8" ht="15.75" customHeight="1">
      <c r="G526" s="454"/>
      <c r="H526" s="455"/>
    </row>
    <row r="527" spans="7:8" ht="15.75" customHeight="1">
      <c r="G527" s="454"/>
      <c r="H527" s="455"/>
    </row>
    <row r="528" spans="7:8" ht="15.75" customHeight="1">
      <c r="G528" s="454"/>
      <c r="H528" s="455"/>
    </row>
    <row r="529" spans="7:8" ht="15.75" customHeight="1">
      <c r="G529" s="454"/>
      <c r="H529" s="455"/>
    </row>
    <row r="530" spans="7:8" ht="15.75" customHeight="1">
      <c r="G530" s="454"/>
      <c r="H530" s="455"/>
    </row>
    <row r="531" spans="7:8" ht="15.75" customHeight="1">
      <c r="G531" s="454"/>
      <c r="H531" s="455"/>
    </row>
    <row r="532" spans="7:8" ht="15.75" customHeight="1">
      <c r="G532" s="454"/>
      <c r="H532" s="455"/>
    </row>
    <row r="533" spans="7:8" ht="15.75" customHeight="1">
      <c r="G533" s="454"/>
      <c r="H533" s="455"/>
    </row>
    <row r="534" spans="7:8" ht="15.75" customHeight="1">
      <c r="G534" s="454"/>
      <c r="H534" s="455"/>
    </row>
    <row r="535" spans="7:8" ht="15.75" customHeight="1">
      <c r="G535" s="454"/>
      <c r="H535" s="455"/>
    </row>
    <row r="536" spans="7:8" ht="15.75" customHeight="1">
      <c r="G536" s="454"/>
      <c r="H536" s="455"/>
    </row>
    <row r="537" spans="7:8" ht="15.75" customHeight="1">
      <c r="G537" s="454"/>
      <c r="H537" s="455"/>
    </row>
    <row r="538" spans="7:8" ht="15.75" customHeight="1">
      <c r="G538" s="454"/>
      <c r="H538" s="455"/>
    </row>
    <row r="539" spans="7:8" ht="15.75" customHeight="1">
      <c r="G539" s="454"/>
      <c r="H539" s="455"/>
    </row>
    <row r="540" spans="7:8" ht="15.75" customHeight="1">
      <c r="G540" s="454"/>
      <c r="H540" s="455"/>
    </row>
    <row r="541" spans="7:8" ht="15.75" customHeight="1">
      <c r="G541" s="454"/>
      <c r="H541" s="455"/>
    </row>
    <row r="542" spans="7:8" ht="15.75" customHeight="1">
      <c r="G542" s="454"/>
      <c r="H542" s="455"/>
    </row>
    <row r="543" spans="7:8" ht="15.75" customHeight="1">
      <c r="G543" s="454"/>
      <c r="H543" s="455"/>
    </row>
    <row r="544" spans="7:8" ht="15.75" customHeight="1">
      <c r="G544" s="454"/>
      <c r="H544" s="455"/>
    </row>
    <row r="545" spans="7:8" ht="15.75" customHeight="1">
      <c r="G545" s="454"/>
      <c r="H545" s="455"/>
    </row>
    <row r="546" spans="7:8" ht="15.75" customHeight="1">
      <c r="G546" s="454"/>
      <c r="H546" s="455"/>
    </row>
    <row r="547" spans="7:8" ht="15.75" customHeight="1">
      <c r="G547" s="454"/>
      <c r="H547" s="455"/>
    </row>
    <row r="548" spans="7:8" ht="15.75" customHeight="1">
      <c r="G548" s="454"/>
      <c r="H548" s="455"/>
    </row>
    <row r="549" spans="7:8" ht="15.75" customHeight="1">
      <c r="G549" s="454"/>
      <c r="H549" s="455"/>
    </row>
    <row r="550" spans="7:8" ht="15.75" customHeight="1">
      <c r="G550" s="454"/>
      <c r="H550" s="455"/>
    </row>
    <row r="551" spans="7:8" ht="15.75" customHeight="1">
      <c r="G551" s="454"/>
      <c r="H551" s="455"/>
    </row>
    <row r="552" spans="7:8" ht="15.75" customHeight="1">
      <c r="G552" s="454"/>
      <c r="H552" s="455"/>
    </row>
    <row r="553" spans="7:8" ht="15.75" customHeight="1">
      <c r="G553" s="454"/>
      <c r="H553" s="455"/>
    </row>
    <row r="554" spans="7:8" ht="15.75" customHeight="1">
      <c r="G554" s="454"/>
      <c r="H554" s="455"/>
    </row>
    <row r="555" spans="7:8" ht="15.75" customHeight="1">
      <c r="G555" s="454"/>
      <c r="H555" s="455"/>
    </row>
    <row r="556" spans="7:8" ht="15.75" customHeight="1">
      <c r="G556" s="454"/>
      <c r="H556" s="455"/>
    </row>
    <row r="557" spans="7:8" ht="15.75" customHeight="1">
      <c r="G557" s="454"/>
      <c r="H557" s="455"/>
    </row>
    <row r="558" spans="7:8" ht="15.75" customHeight="1">
      <c r="G558" s="454"/>
      <c r="H558" s="455"/>
    </row>
    <row r="559" spans="7:8" ht="15.75" customHeight="1">
      <c r="G559" s="454"/>
      <c r="H559" s="455"/>
    </row>
    <row r="560" spans="7:8" ht="15.75" customHeight="1">
      <c r="G560" s="454"/>
      <c r="H560" s="455"/>
    </row>
    <row r="561" spans="7:8" ht="15.75" customHeight="1">
      <c r="G561" s="454"/>
      <c r="H561" s="455"/>
    </row>
    <row r="562" spans="7:8" ht="15.75" customHeight="1">
      <c r="G562" s="454"/>
      <c r="H562" s="455"/>
    </row>
    <row r="563" spans="7:8" ht="15.75" customHeight="1">
      <c r="G563" s="454"/>
      <c r="H563" s="455"/>
    </row>
    <row r="564" spans="7:8" ht="15.75" customHeight="1">
      <c r="G564" s="454"/>
      <c r="H564" s="455"/>
    </row>
    <row r="565" spans="7:8" ht="15.75" customHeight="1">
      <c r="G565" s="454"/>
      <c r="H565" s="455"/>
    </row>
    <row r="566" spans="7:8" ht="15.75" customHeight="1">
      <c r="G566" s="454"/>
      <c r="H566" s="455"/>
    </row>
    <row r="567" spans="7:8" ht="15.75" customHeight="1">
      <c r="G567" s="454"/>
      <c r="H567" s="455"/>
    </row>
    <row r="568" spans="7:8" ht="15.75" customHeight="1">
      <c r="G568" s="454"/>
      <c r="H568" s="455"/>
    </row>
    <row r="569" spans="7:8" ht="15.75" customHeight="1">
      <c r="G569" s="454"/>
      <c r="H569" s="455"/>
    </row>
    <row r="570" spans="7:8" ht="15.75" customHeight="1">
      <c r="G570" s="454"/>
      <c r="H570" s="455"/>
    </row>
    <row r="571" spans="7:8" ht="15.75" customHeight="1">
      <c r="G571" s="454"/>
      <c r="H571" s="455"/>
    </row>
    <row r="572" spans="7:8" ht="15.75" customHeight="1">
      <c r="G572" s="454"/>
      <c r="H572" s="455"/>
    </row>
    <row r="573" spans="7:8" ht="15.75" customHeight="1">
      <c r="G573" s="454"/>
      <c r="H573" s="455"/>
    </row>
    <row r="574" spans="7:8" ht="15.75" customHeight="1">
      <c r="G574" s="454"/>
      <c r="H574" s="455"/>
    </row>
    <row r="575" spans="7:8" ht="15.75" customHeight="1">
      <c r="G575" s="454"/>
      <c r="H575" s="455"/>
    </row>
    <row r="576" spans="7:8" ht="15.75" customHeight="1">
      <c r="G576" s="454"/>
      <c r="H576" s="455"/>
    </row>
    <row r="577" spans="7:8" ht="15.75" customHeight="1">
      <c r="G577" s="454"/>
      <c r="H577" s="455"/>
    </row>
    <row r="578" spans="7:8" ht="15.75" customHeight="1">
      <c r="G578" s="454"/>
      <c r="H578" s="455"/>
    </row>
    <row r="579" spans="7:8" ht="15.75" customHeight="1">
      <c r="G579" s="454"/>
      <c r="H579" s="455"/>
    </row>
    <row r="580" spans="7:8" ht="15.75" customHeight="1">
      <c r="G580" s="454"/>
      <c r="H580" s="455"/>
    </row>
    <row r="581" spans="7:8" ht="15.75" customHeight="1">
      <c r="G581" s="454"/>
      <c r="H581" s="455"/>
    </row>
    <row r="582" spans="7:8" ht="15.75" customHeight="1">
      <c r="G582" s="454"/>
      <c r="H582" s="455"/>
    </row>
    <row r="583" spans="7:8" ht="15.75" customHeight="1">
      <c r="G583" s="454"/>
      <c r="H583" s="455"/>
    </row>
    <row r="584" spans="7:8" ht="15.75" customHeight="1">
      <c r="G584" s="454"/>
      <c r="H584" s="455"/>
    </row>
    <row r="585" spans="7:8" ht="15.75" customHeight="1">
      <c r="G585" s="454"/>
      <c r="H585" s="455"/>
    </row>
    <row r="586" spans="7:8" ht="15.75" customHeight="1">
      <c r="G586" s="454"/>
      <c r="H586" s="455"/>
    </row>
    <row r="587" spans="7:8" ht="15.75" customHeight="1">
      <c r="G587" s="454"/>
      <c r="H587" s="455"/>
    </row>
    <row r="588" spans="7:8" ht="15.75" customHeight="1">
      <c r="G588" s="454"/>
      <c r="H588" s="455"/>
    </row>
    <row r="589" spans="7:8" ht="15.75" customHeight="1">
      <c r="G589" s="454"/>
      <c r="H589" s="455"/>
    </row>
    <row r="590" spans="7:8" ht="15.75" customHeight="1">
      <c r="G590" s="454"/>
      <c r="H590" s="455"/>
    </row>
    <row r="591" spans="7:8" ht="15.75" customHeight="1">
      <c r="G591" s="454"/>
      <c r="H591" s="455"/>
    </row>
    <row r="592" spans="7:8" ht="15.75" customHeight="1">
      <c r="G592" s="454"/>
      <c r="H592" s="455"/>
    </row>
    <row r="593" spans="7:8" ht="15.75" customHeight="1">
      <c r="G593" s="454"/>
      <c r="H593" s="455"/>
    </row>
    <row r="594" spans="7:8" ht="15.75" customHeight="1">
      <c r="G594" s="454"/>
      <c r="H594" s="455"/>
    </row>
    <row r="595" spans="7:8" ht="15.75" customHeight="1">
      <c r="G595" s="454"/>
      <c r="H595" s="455"/>
    </row>
    <row r="596" spans="7:8" ht="15.75" customHeight="1">
      <c r="G596" s="454"/>
      <c r="H596" s="455"/>
    </row>
    <row r="597" spans="7:8" ht="15.75" customHeight="1">
      <c r="G597" s="454"/>
      <c r="H597" s="455"/>
    </row>
    <row r="598" spans="7:8" ht="15.75" customHeight="1">
      <c r="G598" s="454"/>
      <c r="H598" s="455"/>
    </row>
    <row r="599" spans="7:8" ht="15.75" customHeight="1">
      <c r="G599" s="454"/>
      <c r="H599" s="455"/>
    </row>
    <row r="600" spans="7:8" ht="15.75" customHeight="1">
      <c r="G600" s="454"/>
      <c r="H600" s="455"/>
    </row>
    <row r="601" spans="7:8" ht="15.75" customHeight="1">
      <c r="G601" s="454"/>
      <c r="H601" s="455"/>
    </row>
    <row r="602" spans="7:8" ht="15.75" customHeight="1">
      <c r="G602" s="454"/>
      <c r="H602" s="455"/>
    </row>
    <row r="603" spans="7:8" ht="15.75" customHeight="1">
      <c r="G603" s="454"/>
      <c r="H603" s="455"/>
    </row>
    <row r="604" spans="7:8" ht="15.75" customHeight="1">
      <c r="G604" s="454"/>
      <c r="H604" s="455"/>
    </row>
    <row r="605" spans="7:8" ht="15.75" customHeight="1">
      <c r="G605" s="454"/>
      <c r="H605" s="455"/>
    </row>
    <row r="606" spans="7:8" ht="15.75" customHeight="1">
      <c r="G606" s="454"/>
      <c r="H606" s="455"/>
    </row>
    <row r="607" spans="7:8" ht="15.75" customHeight="1">
      <c r="G607" s="454"/>
      <c r="H607" s="455"/>
    </row>
    <row r="608" spans="7:8" ht="15.75" customHeight="1">
      <c r="G608" s="454"/>
      <c r="H608" s="455"/>
    </row>
    <row r="609" spans="7:8" ht="15.75" customHeight="1">
      <c r="G609" s="454"/>
      <c r="H609" s="455"/>
    </row>
    <row r="610" spans="7:8" ht="15.75" customHeight="1">
      <c r="G610" s="454"/>
      <c r="H610" s="455"/>
    </row>
    <row r="611" spans="7:8" ht="15.75" customHeight="1">
      <c r="G611" s="454"/>
      <c r="H611" s="455"/>
    </row>
    <row r="612" spans="7:8" ht="15.75" customHeight="1">
      <c r="G612" s="454"/>
      <c r="H612" s="455"/>
    </row>
    <row r="613" spans="7:8" ht="15.75" customHeight="1">
      <c r="G613" s="454"/>
      <c r="H613" s="455"/>
    </row>
    <row r="614" spans="7:8" ht="15.75" customHeight="1">
      <c r="G614" s="454"/>
      <c r="H614" s="455"/>
    </row>
    <row r="615" spans="7:8" ht="15.75" customHeight="1">
      <c r="G615" s="454"/>
      <c r="H615" s="455"/>
    </row>
    <row r="616" spans="7:8" ht="15.75" customHeight="1">
      <c r="G616" s="454"/>
      <c r="H616" s="455"/>
    </row>
    <row r="617" spans="7:8" ht="15.75" customHeight="1">
      <c r="G617" s="454"/>
      <c r="H617" s="455"/>
    </row>
    <row r="618" spans="7:8" ht="15.75" customHeight="1">
      <c r="G618" s="454"/>
      <c r="H618" s="455"/>
    </row>
    <row r="619" spans="7:8" ht="15.75" customHeight="1">
      <c r="G619" s="454"/>
      <c r="H619" s="455"/>
    </row>
    <row r="620" spans="7:8" ht="15.75" customHeight="1">
      <c r="G620" s="454"/>
      <c r="H620" s="455"/>
    </row>
    <row r="621" spans="7:8" ht="15.75" customHeight="1">
      <c r="G621" s="454"/>
      <c r="H621" s="455"/>
    </row>
    <row r="622" spans="7:8" ht="15.75" customHeight="1">
      <c r="G622" s="454"/>
      <c r="H622" s="455"/>
    </row>
    <row r="623" spans="7:8" ht="15.75" customHeight="1">
      <c r="G623" s="454"/>
      <c r="H623" s="455"/>
    </row>
    <row r="624" spans="7:8" ht="15.75" customHeight="1">
      <c r="G624" s="454"/>
      <c r="H624" s="455"/>
    </row>
    <row r="625" spans="7:8" ht="15.75" customHeight="1">
      <c r="G625" s="454"/>
      <c r="H625" s="455"/>
    </row>
    <row r="626" spans="7:8" ht="15.75" customHeight="1">
      <c r="G626" s="454"/>
      <c r="H626" s="455"/>
    </row>
    <row r="627" spans="7:8" ht="15.75" customHeight="1">
      <c r="G627" s="454"/>
      <c r="H627" s="455"/>
    </row>
    <row r="628" spans="7:8" ht="15.75" customHeight="1">
      <c r="G628" s="454"/>
      <c r="H628" s="455"/>
    </row>
    <row r="629" spans="7:8" ht="15.75" customHeight="1">
      <c r="G629" s="454"/>
      <c r="H629" s="455"/>
    </row>
    <row r="630" spans="7:8" ht="15.75" customHeight="1">
      <c r="G630" s="454"/>
      <c r="H630" s="455"/>
    </row>
    <row r="631" spans="7:8" ht="15.75" customHeight="1">
      <c r="G631" s="454"/>
      <c r="H631" s="455"/>
    </row>
    <row r="632" spans="7:8" ht="15.75" customHeight="1">
      <c r="G632" s="454"/>
      <c r="H632" s="455"/>
    </row>
    <row r="633" spans="7:8" ht="15.75" customHeight="1">
      <c r="G633" s="454"/>
      <c r="H633" s="455"/>
    </row>
    <row r="634" spans="7:8" ht="15.75" customHeight="1">
      <c r="G634" s="454"/>
      <c r="H634" s="455"/>
    </row>
    <row r="635" spans="7:8" ht="15.75" customHeight="1">
      <c r="G635" s="454"/>
      <c r="H635" s="455"/>
    </row>
    <row r="636" spans="7:8" ht="15.75" customHeight="1">
      <c r="G636" s="454"/>
      <c r="H636" s="455"/>
    </row>
    <row r="637" spans="7:8" ht="15.75" customHeight="1">
      <c r="G637" s="454"/>
      <c r="H637" s="455"/>
    </row>
    <row r="638" spans="7:8" ht="15.75" customHeight="1">
      <c r="G638" s="454"/>
      <c r="H638" s="455"/>
    </row>
    <row r="639" spans="7:8" ht="15.75" customHeight="1">
      <c r="G639" s="454"/>
      <c r="H639" s="455"/>
    </row>
    <row r="640" spans="7:8" ht="15.75" customHeight="1">
      <c r="G640" s="454"/>
      <c r="H640" s="455"/>
    </row>
    <row r="641" spans="7:8" ht="15.75" customHeight="1">
      <c r="G641" s="454"/>
      <c r="H641" s="455"/>
    </row>
    <row r="642" spans="7:8" ht="15.75" customHeight="1">
      <c r="G642" s="454"/>
      <c r="H642" s="455"/>
    </row>
    <row r="643" spans="7:8" ht="15.75" customHeight="1">
      <c r="G643" s="454"/>
      <c r="H643" s="455"/>
    </row>
    <row r="644" spans="7:8" ht="15.75" customHeight="1">
      <c r="G644" s="454"/>
      <c r="H644" s="455"/>
    </row>
    <row r="645" spans="7:8" ht="15.75" customHeight="1">
      <c r="G645" s="454"/>
      <c r="H645" s="455"/>
    </row>
    <row r="646" spans="7:8" ht="15.75" customHeight="1">
      <c r="G646" s="454"/>
      <c r="H646" s="455"/>
    </row>
    <row r="647" spans="7:8" ht="15.75" customHeight="1">
      <c r="G647" s="454"/>
      <c r="H647" s="455"/>
    </row>
    <row r="648" spans="7:8" ht="15.75" customHeight="1">
      <c r="G648" s="454"/>
      <c r="H648" s="455"/>
    </row>
    <row r="649" spans="7:8" ht="15.75" customHeight="1">
      <c r="G649" s="454"/>
      <c r="H649" s="455"/>
    </row>
    <row r="650" spans="7:8" ht="15.75" customHeight="1">
      <c r="G650" s="454"/>
      <c r="H650" s="455"/>
    </row>
    <row r="651" spans="7:8" ht="15.75" customHeight="1">
      <c r="G651" s="454"/>
      <c r="H651" s="455"/>
    </row>
    <row r="652" spans="7:8" ht="15.75" customHeight="1">
      <c r="G652" s="454"/>
      <c r="H652" s="455"/>
    </row>
    <row r="653" spans="7:8" ht="15.75" customHeight="1">
      <c r="G653" s="454"/>
      <c r="H653" s="455"/>
    </row>
    <row r="654" spans="7:8" ht="15.75" customHeight="1">
      <c r="G654" s="454"/>
      <c r="H654" s="455"/>
    </row>
    <row r="655" spans="7:8" ht="15.75" customHeight="1">
      <c r="G655" s="454"/>
      <c r="H655" s="455"/>
    </row>
    <row r="656" spans="7:8" ht="15.75" customHeight="1">
      <c r="G656" s="454"/>
      <c r="H656" s="455"/>
    </row>
    <row r="657" spans="7:103" ht="15.75" customHeight="1">
      <c r="G657" s="454"/>
      <c r="H657" s="455"/>
    </row>
    <row r="658" spans="7:103" ht="15.75" customHeight="1">
      <c r="G658" s="454"/>
      <c r="H658" s="455"/>
    </row>
    <row r="659" spans="7:103" ht="15.75" customHeight="1">
      <c r="G659" s="454"/>
      <c r="H659" s="455"/>
    </row>
    <row r="660" spans="7:103" ht="15.75" customHeight="1">
      <c r="G660" s="454"/>
      <c r="H660" s="455"/>
    </row>
    <row r="661" spans="7:103" ht="15.75" customHeight="1">
      <c r="G661" s="454"/>
      <c r="H661" s="455"/>
    </row>
    <row r="662" spans="7:103" ht="15.75" customHeight="1">
      <c r="G662" s="454"/>
      <c r="H662" s="455"/>
    </row>
    <row r="663" spans="7:103" ht="15.75" customHeight="1">
      <c r="G663" s="454"/>
      <c r="H663" s="455"/>
    </row>
    <row r="664" spans="7:103" ht="15.75" customHeight="1">
      <c r="G664" s="454"/>
      <c r="H664" s="455"/>
    </row>
    <row r="665" spans="7:103" ht="15.75" customHeight="1">
      <c r="G665" s="454"/>
      <c r="H665" s="455"/>
    </row>
    <row r="666" spans="7:103" ht="15.75" customHeight="1">
      <c r="G666" s="454"/>
      <c r="H666" s="455"/>
    </row>
    <row r="667" spans="7:103" ht="15.75" customHeight="1">
      <c r="G667" s="454"/>
      <c r="H667" s="455"/>
    </row>
    <row r="668" spans="7:103" ht="15.75" customHeight="1">
      <c r="G668" s="454"/>
      <c r="H668" s="455"/>
    </row>
    <row r="669" spans="7:103" ht="15.75" customHeight="1">
      <c r="G669" s="454"/>
      <c r="H669" s="455"/>
    </row>
    <row r="670" spans="7:103" ht="15.75" customHeight="1">
      <c r="G670" s="454"/>
      <c r="H670" s="455"/>
    </row>
    <row r="671" spans="7:103" ht="30" customHeight="1">
      <c r="G671" s="454"/>
      <c r="H671" s="455"/>
    </row>
    <row r="672" spans="7:103" ht="13.8">
      <c r="G672" s="454"/>
      <c r="K672" s="116">
        <f t="shared" ref="K672:AH672" si="358">SUBTOTAL(9,K18:K671)</f>
        <v>2322</v>
      </c>
      <c r="L672" s="117" t="e">
        <f t="shared" si="358"/>
        <v>#REF!</v>
      </c>
      <c r="M672" s="118" t="e">
        <f t="shared" si="358"/>
        <v>#REF!</v>
      </c>
      <c r="N672" s="118" t="e">
        <f t="shared" si="358"/>
        <v>#REF!</v>
      </c>
      <c r="O672" s="116" t="e">
        <f t="shared" si="358"/>
        <v>#REF!</v>
      </c>
      <c r="P672" s="116" t="e">
        <f t="shared" si="358"/>
        <v>#REF!</v>
      </c>
      <c r="Q672" s="116" t="e">
        <f t="shared" si="358"/>
        <v>#REF!</v>
      </c>
      <c r="R672" s="116" t="e">
        <f t="shared" si="358"/>
        <v>#REF!</v>
      </c>
      <c r="S672" s="116" t="e">
        <f t="shared" si="358"/>
        <v>#REF!</v>
      </c>
      <c r="T672" s="116" t="e">
        <f t="shared" si="358"/>
        <v>#REF!</v>
      </c>
      <c r="U672" s="116" t="e">
        <f t="shared" si="358"/>
        <v>#REF!</v>
      </c>
      <c r="V672" s="116" t="e">
        <f t="shared" si="358"/>
        <v>#REF!</v>
      </c>
      <c r="W672" s="116" t="e">
        <f t="shared" si="358"/>
        <v>#REF!</v>
      </c>
      <c r="X672" s="116" t="e">
        <f t="shared" si="358"/>
        <v>#REF!</v>
      </c>
      <c r="Y672" s="116" t="e">
        <f t="shared" si="358"/>
        <v>#REF!</v>
      </c>
      <c r="Z672" s="116" t="e">
        <f t="shared" si="358"/>
        <v>#REF!</v>
      </c>
      <c r="AA672" s="116" t="e">
        <f t="shared" si="358"/>
        <v>#REF!</v>
      </c>
      <c r="AB672" s="116" t="e">
        <f t="shared" si="358"/>
        <v>#REF!</v>
      </c>
      <c r="AC672" s="116" t="e">
        <f t="shared" si="358"/>
        <v>#REF!</v>
      </c>
      <c r="AD672" s="116" t="e">
        <f t="shared" si="358"/>
        <v>#REF!</v>
      </c>
      <c r="AE672" s="116" t="e">
        <f t="shared" si="358"/>
        <v>#REF!</v>
      </c>
      <c r="AF672" s="119" t="e">
        <f t="shared" si="358"/>
        <v>#REF!</v>
      </c>
      <c r="AG672" s="119" t="e">
        <f t="shared" si="358"/>
        <v>#REF!</v>
      </c>
      <c r="AH672" s="119" t="e">
        <f t="shared" si="358"/>
        <v>#REF!</v>
      </c>
      <c r="AL672" s="119" t="e">
        <f t="shared" ref="AL672:AR672" si="359">SUBTOTAL(9,AL18:AL671)</f>
        <v>#REF!</v>
      </c>
      <c r="AM672" s="119" t="e">
        <f t="shared" si="359"/>
        <v>#REF!</v>
      </c>
      <c r="AN672" s="119" t="e">
        <f t="shared" si="359"/>
        <v>#REF!</v>
      </c>
      <c r="AO672" s="119" t="e">
        <f t="shared" si="359"/>
        <v>#REF!</v>
      </c>
      <c r="AP672" s="119" t="e">
        <f t="shared" si="359"/>
        <v>#REF!</v>
      </c>
      <c r="AQ672" s="119" t="e">
        <f t="shared" si="359"/>
        <v>#REF!</v>
      </c>
      <c r="AR672" s="119" t="e">
        <f t="shared" si="359"/>
        <v>#REF!</v>
      </c>
      <c r="AV672" s="120" t="e">
        <f t="shared" ref="AV672:BQ672" si="360">SUBTOTAL(9,AV18:AV671)</f>
        <v>#REF!</v>
      </c>
      <c r="AW672" s="119" t="e">
        <f t="shared" si="360"/>
        <v>#REF!</v>
      </c>
      <c r="AX672" s="119" t="e">
        <f t="shared" si="360"/>
        <v>#REF!</v>
      </c>
      <c r="AY672" s="119" t="e">
        <f t="shared" si="360"/>
        <v>#REF!</v>
      </c>
      <c r="AZ672" s="119" t="e">
        <f t="shared" si="360"/>
        <v>#REF!</v>
      </c>
      <c r="BA672" s="119" t="e">
        <f t="shared" si="360"/>
        <v>#REF!</v>
      </c>
      <c r="BB672" s="119" t="e">
        <f t="shared" si="360"/>
        <v>#REF!</v>
      </c>
      <c r="BC672" s="119" t="e">
        <f t="shared" si="360"/>
        <v>#REF!</v>
      </c>
      <c r="BD672" s="119" t="e">
        <f t="shared" si="360"/>
        <v>#REF!</v>
      </c>
      <c r="BE672" s="119" t="e">
        <f t="shared" si="360"/>
        <v>#REF!</v>
      </c>
      <c r="BF672" s="119" t="e">
        <f t="shared" si="360"/>
        <v>#REF!</v>
      </c>
      <c r="BG672" s="121" t="e">
        <f t="shared" si="360"/>
        <v>#REF!</v>
      </c>
      <c r="BH672" s="119" t="e">
        <f t="shared" si="360"/>
        <v>#REF!</v>
      </c>
      <c r="BI672" s="119" t="e">
        <f t="shared" si="360"/>
        <v>#REF!</v>
      </c>
      <c r="BJ672" s="119" t="e">
        <f t="shared" si="360"/>
        <v>#REF!</v>
      </c>
      <c r="BK672" s="119" t="e">
        <f t="shared" si="360"/>
        <v>#REF!</v>
      </c>
      <c r="BL672" s="119" t="e">
        <f t="shared" si="360"/>
        <v>#REF!</v>
      </c>
      <c r="BM672" s="119" t="e">
        <f t="shared" si="360"/>
        <v>#REF!</v>
      </c>
      <c r="BN672" s="119" t="e">
        <f t="shared" si="360"/>
        <v>#REF!</v>
      </c>
      <c r="BO672" s="119" t="e">
        <f t="shared" si="360"/>
        <v>#REF!</v>
      </c>
      <c r="BP672" s="119" t="e">
        <f t="shared" si="360"/>
        <v>#REF!</v>
      </c>
      <c r="BQ672" s="119" t="e">
        <f t="shared" si="360"/>
        <v>#REF!</v>
      </c>
      <c r="BS672" s="119" t="e">
        <f t="shared" ref="BS672:CK672" si="361">SUBTOTAL(9,BS18:BS671)</f>
        <v>#REF!</v>
      </c>
      <c r="BT672" s="119" t="e">
        <f t="shared" si="361"/>
        <v>#REF!</v>
      </c>
      <c r="BU672" s="119" t="e">
        <f t="shared" si="361"/>
        <v>#REF!</v>
      </c>
      <c r="BV672" s="119" t="e">
        <f t="shared" si="361"/>
        <v>#REF!</v>
      </c>
      <c r="BW672" s="119" t="e">
        <f t="shared" si="361"/>
        <v>#REF!</v>
      </c>
      <c r="BX672" s="119" t="e">
        <f t="shared" si="361"/>
        <v>#REF!</v>
      </c>
      <c r="BY672" s="119" t="e">
        <f t="shared" si="361"/>
        <v>#REF!</v>
      </c>
      <c r="BZ672" s="119" t="e">
        <f t="shared" si="361"/>
        <v>#REF!</v>
      </c>
      <c r="CA672" s="119" t="e">
        <f t="shared" si="361"/>
        <v>#REF!</v>
      </c>
      <c r="CB672" s="122" t="e">
        <f t="shared" si="361"/>
        <v>#REF!</v>
      </c>
      <c r="CC672" s="119" t="e">
        <f t="shared" si="361"/>
        <v>#REF!</v>
      </c>
      <c r="CD672" s="119" t="e">
        <f t="shared" si="361"/>
        <v>#REF!</v>
      </c>
      <c r="CE672" s="119" t="e">
        <f t="shared" si="361"/>
        <v>#REF!</v>
      </c>
      <c r="CF672" s="119" t="e">
        <f t="shared" si="361"/>
        <v>#REF!</v>
      </c>
      <c r="CG672" s="123" t="e">
        <f t="shared" si="361"/>
        <v>#REF!</v>
      </c>
      <c r="CH672" s="116">
        <f t="shared" si="361"/>
        <v>0</v>
      </c>
      <c r="CI672" s="124">
        <f t="shared" si="361"/>
        <v>0</v>
      </c>
      <c r="CJ672" s="125" t="e">
        <f t="shared" si="361"/>
        <v>#REF!</v>
      </c>
      <c r="CK672" s="118">
        <f t="shared" si="361"/>
        <v>691</v>
      </c>
      <c r="CM672" s="116">
        <f t="shared" ref="CM672:CY672" si="362">SUBTOTAL(9,CM18:CM671)</f>
        <v>1189</v>
      </c>
      <c r="CN672" s="116">
        <f t="shared" si="362"/>
        <v>448</v>
      </c>
      <c r="CO672" s="116">
        <f t="shared" si="362"/>
        <v>145756</v>
      </c>
      <c r="CP672" s="116">
        <f t="shared" si="362"/>
        <v>180</v>
      </c>
      <c r="CQ672" s="116">
        <f t="shared" si="362"/>
        <v>912</v>
      </c>
      <c r="CR672" s="116">
        <f t="shared" si="362"/>
        <v>220</v>
      </c>
      <c r="CS672" s="116">
        <f t="shared" si="362"/>
        <v>14</v>
      </c>
      <c r="CT672" s="116">
        <f t="shared" si="362"/>
        <v>44</v>
      </c>
      <c r="CU672" s="116">
        <f t="shared" si="362"/>
        <v>17</v>
      </c>
      <c r="CV672" s="116">
        <f t="shared" si="362"/>
        <v>54087858</v>
      </c>
      <c r="CW672" s="116">
        <f t="shared" si="362"/>
        <v>59500000</v>
      </c>
      <c r="CX672" s="116">
        <f t="shared" si="362"/>
        <v>62587858</v>
      </c>
      <c r="CY672" s="116">
        <f t="shared" si="362"/>
        <v>722587858</v>
      </c>
    </row>
    <row r="673" spans="7:7" ht="13.8">
      <c r="G673" s="454"/>
    </row>
    <row r="674" spans="7:7" ht="13.8">
      <c r="G674" s="454"/>
    </row>
    <row r="675" spans="7:7" ht="13.8">
      <c r="G675" s="454"/>
    </row>
    <row r="676" spans="7:7" ht="13.8">
      <c r="G676" s="454"/>
    </row>
    <row r="677" spans="7:7" ht="13.8">
      <c r="G677" s="454"/>
    </row>
    <row r="678" spans="7:7" ht="13.8">
      <c r="G678" s="454"/>
    </row>
    <row r="679" spans="7:7" ht="13.8">
      <c r="G679" s="454"/>
    </row>
    <row r="680" spans="7:7" ht="13.8">
      <c r="G680" s="454"/>
    </row>
    <row r="681" spans="7:7" ht="13.8">
      <c r="G681" s="454"/>
    </row>
    <row r="682" spans="7:7" ht="13.8">
      <c r="G682" s="454"/>
    </row>
    <row r="683" spans="7:7" ht="13.8">
      <c r="G683" s="454"/>
    </row>
    <row r="684" spans="7:7" ht="13.8">
      <c r="G684" s="454"/>
    </row>
    <row r="685" spans="7:7" ht="13.8">
      <c r="G685" s="454"/>
    </row>
    <row r="686" spans="7:7" ht="13.8">
      <c r="G686" s="454"/>
    </row>
    <row r="687" spans="7:7" ht="13.8">
      <c r="G687" s="454"/>
    </row>
    <row r="688" spans="7:7" ht="13.8">
      <c r="G688" s="454"/>
    </row>
    <row r="689" spans="7:7" ht="13.8">
      <c r="G689" s="454"/>
    </row>
    <row r="690" spans="7:7" ht="13.8">
      <c r="G690" s="454"/>
    </row>
    <row r="691" spans="7:7" ht="13.8">
      <c r="G691" s="454"/>
    </row>
    <row r="692" spans="7:7" ht="13.8">
      <c r="G692" s="454"/>
    </row>
    <row r="693" spans="7:7" ht="13.8">
      <c r="G693" s="454"/>
    </row>
    <row r="694" spans="7:7" ht="13.8">
      <c r="G694" s="454"/>
    </row>
    <row r="695" spans="7:7" ht="13.8">
      <c r="G695" s="454"/>
    </row>
    <row r="696" spans="7:7" ht="13.8">
      <c r="G696" s="454"/>
    </row>
    <row r="697" spans="7:7" ht="13.8">
      <c r="G697" s="454"/>
    </row>
    <row r="698" spans="7:7" ht="13.8">
      <c r="G698" s="454"/>
    </row>
    <row r="699" spans="7:7" ht="13.8">
      <c r="G699" s="454"/>
    </row>
    <row r="700" spans="7:7" ht="13.8">
      <c r="G700" s="454"/>
    </row>
    <row r="701" spans="7:7" ht="13.8">
      <c r="G701" s="454"/>
    </row>
    <row r="702" spans="7:7" ht="13.8">
      <c r="G702" s="454"/>
    </row>
    <row r="703" spans="7:7" ht="13.8">
      <c r="G703" s="454"/>
    </row>
    <row r="704" spans="7:7" ht="13.8">
      <c r="G704" s="454"/>
    </row>
    <row r="705" spans="7:7" ht="13.8">
      <c r="G705" s="454"/>
    </row>
    <row r="706" spans="7:7" ht="13.8">
      <c r="G706" s="454"/>
    </row>
    <row r="707" spans="7:7" ht="13.8">
      <c r="G707" s="454"/>
    </row>
    <row r="708" spans="7:7" ht="13.8">
      <c r="G708" s="454"/>
    </row>
    <row r="709" spans="7:7" ht="13.8">
      <c r="G709" s="454"/>
    </row>
    <row r="710" spans="7:7" ht="13.8">
      <c r="G710" s="454"/>
    </row>
    <row r="711" spans="7:7" ht="13.8">
      <c r="G711" s="454"/>
    </row>
    <row r="712" spans="7:7" ht="13.8">
      <c r="G712" s="454"/>
    </row>
    <row r="713" spans="7:7" ht="13.8">
      <c r="G713" s="454"/>
    </row>
    <row r="714" spans="7:7" ht="13.8">
      <c r="G714" s="454"/>
    </row>
    <row r="715" spans="7:7" ht="13.8">
      <c r="G715" s="454"/>
    </row>
    <row r="716" spans="7:7" ht="13.8">
      <c r="G716" s="454"/>
    </row>
    <row r="717" spans="7:7" ht="13.8">
      <c r="G717" s="454"/>
    </row>
    <row r="718" spans="7:7" ht="13.8">
      <c r="G718" s="454"/>
    </row>
    <row r="719" spans="7:7" ht="13.8">
      <c r="G719" s="454"/>
    </row>
    <row r="720" spans="7:7" ht="13.8">
      <c r="G720" s="454"/>
    </row>
    <row r="721" spans="7:7" ht="13.8">
      <c r="G721" s="454"/>
    </row>
    <row r="722" spans="7:7" ht="13.8">
      <c r="G722" s="454"/>
    </row>
    <row r="723" spans="7:7" ht="13.8">
      <c r="G723" s="454"/>
    </row>
    <row r="724" spans="7:7" ht="13.8">
      <c r="G724" s="454"/>
    </row>
    <row r="725" spans="7:7" ht="13.8">
      <c r="G725" s="454"/>
    </row>
    <row r="726" spans="7:7" ht="13.8">
      <c r="G726" s="454"/>
    </row>
    <row r="727" spans="7:7" ht="13.8">
      <c r="G727" s="454"/>
    </row>
    <row r="728" spans="7:7" ht="13.8">
      <c r="G728" s="454"/>
    </row>
    <row r="729" spans="7:7" ht="13.8">
      <c r="G729" s="454"/>
    </row>
    <row r="730" spans="7:7" ht="13.8">
      <c r="G730" s="454"/>
    </row>
    <row r="731" spans="7:7" ht="13.8">
      <c r="G731" s="454"/>
    </row>
    <row r="732" spans="7:7" ht="13.8">
      <c r="G732" s="454"/>
    </row>
    <row r="733" spans="7:7" ht="13.8">
      <c r="G733" s="454"/>
    </row>
    <row r="734" spans="7:7" ht="13.8">
      <c r="G734" s="454"/>
    </row>
    <row r="735" spans="7:7" ht="13.8">
      <c r="G735" s="454"/>
    </row>
    <row r="736" spans="7:7" ht="13.8">
      <c r="G736" s="454"/>
    </row>
    <row r="737" spans="7:7" ht="13.8">
      <c r="G737" s="454"/>
    </row>
    <row r="738" spans="7:7" ht="13.8">
      <c r="G738" s="454"/>
    </row>
    <row r="739" spans="7:7" ht="13.8">
      <c r="G739" s="454"/>
    </row>
    <row r="740" spans="7:7" ht="13.8">
      <c r="G740" s="454"/>
    </row>
    <row r="741" spans="7:7" ht="13.8">
      <c r="G741" s="454"/>
    </row>
    <row r="742" spans="7:7" ht="13.8">
      <c r="G742" s="454"/>
    </row>
    <row r="743" spans="7:7" ht="13.8">
      <c r="G743" s="454"/>
    </row>
    <row r="744" spans="7:7" ht="13.8">
      <c r="G744" s="454"/>
    </row>
    <row r="745" spans="7:7" ht="13.8">
      <c r="G745" s="454"/>
    </row>
    <row r="746" spans="7:7" ht="13.8">
      <c r="G746" s="454"/>
    </row>
    <row r="747" spans="7:7" ht="13.8">
      <c r="G747" s="454"/>
    </row>
    <row r="748" spans="7:7" ht="13.8">
      <c r="G748" s="454"/>
    </row>
    <row r="749" spans="7:7" ht="13.8">
      <c r="G749" s="454"/>
    </row>
    <row r="750" spans="7:7" ht="13.8">
      <c r="G750" s="454"/>
    </row>
  </sheetData>
  <autoFilter ref="A9:DG107" xr:uid="{00000000-0009-0000-0000-000000000000}"/>
  <conditionalFormatting sqref="D1:D1048576">
    <cfRule type="duplicateValues" dxfId="173" priority="1"/>
  </conditionalFormatting>
  <conditionalFormatting sqref="D10">
    <cfRule type="duplicateValues" dxfId="172" priority="116"/>
  </conditionalFormatting>
  <conditionalFormatting sqref="D14">
    <cfRule type="duplicateValues" dxfId="171" priority="16"/>
  </conditionalFormatting>
  <conditionalFormatting sqref="D15">
    <cfRule type="duplicateValues" dxfId="170" priority="192"/>
  </conditionalFormatting>
  <conditionalFormatting sqref="D16">
    <cfRule type="duplicateValues" dxfId="169" priority="190"/>
  </conditionalFormatting>
  <conditionalFormatting sqref="D17">
    <cfRule type="duplicateValues" dxfId="168" priority="14"/>
    <cfRule type="duplicateValues" dxfId="167" priority="15"/>
  </conditionalFormatting>
  <conditionalFormatting sqref="D23">
    <cfRule type="duplicateValues" dxfId="166" priority="13"/>
  </conditionalFormatting>
  <conditionalFormatting sqref="D33">
    <cfRule type="duplicateValues" dxfId="165" priority="176"/>
  </conditionalFormatting>
  <conditionalFormatting sqref="D34">
    <cfRule type="duplicateValues" dxfId="164" priority="11"/>
  </conditionalFormatting>
  <conditionalFormatting sqref="D38">
    <cfRule type="duplicateValues" dxfId="163" priority="10"/>
  </conditionalFormatting>
  <conditionalFormatting sqref="D39">
    <cfRule type="duplicateValues" dxfId="162" priority="8"/>
    <cfRule type="duplicateValues" dxfId="161" priority="9"/>
  </conditionalFormatting>
  <conditionalFormatting sqref="D41">
    <cfRule type="duplicateValues" dxfId="160" priority="169"/>
  </conditionalFormatting>
  <conditionalFormatting sqref="D42">
    <cfRule type="duplicateValues" dxfId="159" priority="7"/>
  </conditionalFormatting>
  <conditionalFormatting sqref="D48">
    <cfRule type="expression" dxfId="158" priority="6056">
      <formula>COUNTIF($B$3:$B$932,D48)&gt;1</formula>
    </cfRule>
    <cfRule type="expression" dxfId="157" priority="6057">
      <formula>COUNTIF($C$2:$C$952,D48)&gt;1</formula>
    </cfRule>
    <cfRule type="expression" dxfId="156" priority="6058">
      <formula>COUNTIF($B$3:$B$933,D48)&gt;1</formula>
    </cfRule>
    <cfRule type="expression" dxfId="155" priority="6059">
      <formula>COUNTIF($B$2:$B$924,D48)&gt;1</formula>
    </cfRule>
    <cfRule type="expression" dxfId="154" priority="6060">
      <formula>COUNTIF($B$2:$B$928,D48)&gt;1</formula>
    </cfRule>
    <cfRule type="expression" dxfId="153" priority="6061">
      <formula>COUNTIF($B$2:$B$946,D48)&gt;1</formula>
    </cfRule>
    <cfRule type="expression" dxfId="152" priority="6062">
      <formula>COUNTIF($B$3:$B$926,D48)&gt;1</formula>
    </cfRule>
    <cfRule type="expression" dxfId="151" priority="6063">
      <formula>COUNTIF($C$2:$C$946,D48)&gt;1</formula>
    </cfRule>
    <cfRule type="expression" dxfId="150" priority="6064">
      <formula>COUNTIF($B$3:$B$927,D48)&gt;1</formula>
    </cfRule>
    <cfRule type="expression" dxfId="149" priority="6065">
      <formula>COUNTIF($C$2:$C$945,D48)&gt;1</formula>
    </cfRule>
    <cfRule type="expression" dxfId="148" priority="6066">
      <formula>COUNTIF($B$2:$B$932,D48)&gt;1</formula>
    </cfRule>
    <cfRule type="expression" dxfId="147" priority="6067">
      <formula>COUNTIF($C$2:$C$948,D48)&gt;1</formula>
    </cfRule>
    <cfRule type="expression" dxfId="146" priority="6068">
      <formula>COUNTIF($C$2:$C$947,D48)&gt;1</formula>
    </cfRule>
    <cfRule type="expression" dxfId="145" priority="6069">
      <formula>COUNTIF($B$2:$B$954,D48)&gt;1</formula>
    </cfRule>
    <cfRule type="expression" dxfId="144" priority="6070">
      <formula>COUNTIF($M$3:$M$88,D48)&gt;1</formula>
    </cfRule>
    <cfRule type="expression" dxfId="143" priority="6071">
      <formula>COUNTIF($C$2:$C$953,D48)&gt;1</formula>
    </cfRule>
    <cfRule type="expression" dxfId="142" priority="6072">
      <formula>COUNTIF($B$2:$B$936,D48)&gt;1</formula>
    </cfRule>
    <cfRule type="expression" dxfId="141" priority="6073">
      <formula>COUNTIF($C$2:$C$950,D48)&gt;1</formula>
    </cfRule>
    <cfRule type="expression" dxfId="140" priority="6074">
      <formula>COUNTIF($C$2:$C$954,D48)&gt;1</formula>
    </cfRule>
    <cfRule type="expression" dxfId="139" priority="6075">
      <formula>COUNTIF($C$2:$C$951,D48)&gt;1</formula>
    </cfRule>
    <cfRule type="expression" dxfId="138" priority="6076">
      <formula>COUNTIF($C$2:$C$949,D48)&gt;1</formula>
    </cfRule>
    <cfRule type="expression" dxfId="137" priority="6077">
      <formula>COUNTIF($C$2:$C$955,D48)&gt;1</formula>
    </cfRule>
    <cfRule type="expression" dxfId="136" priority="6078">
      <formula>COUNTIF($C$2:$C$956,D48)&gt;1</formula>
    </cfRule>
    <cfRule type="expression" dxfId="135" priority="6079">
      <formula>COUNTIF($L$3:$L$46,D48)&gt;1</formula>
    </cfRule>
    <cfRule type="expression" dxfId="134" priority="6080">
      <formula>COUNTIF($C$2:$C$957,D48)&gt;1</formula>
    </cfRule>
    <cfRule type="expression" dxfId="133" priority="6081">
      <formula>COUNTIF($B$2:$B$948,D48)&gt;1</formula>
    </cfRule>
    <cfRule type="expression" dxfId="132" priority="6082">
      <formula>COUNTIF($B$2:$B$951,D48)&gt;1</formula>
    </cfRule>
    <cfRule type="expression" dxfId="131" priority="6083">
      <formula>COUNTIF($C$2:$C$958,D48)&gt;1</formula>
    </cfRule>
    <cfRule type="expression" dxfId="130" priority="6084">
      <formula>COUNTIF($B$2:$B$918,D48)&gt;1</formula>
    </cfRule>
    <cfRule type="expression" dxfId="129" priority="6085">
      <formula>COUNTIF($B$2:$B$939,D48)&gt;1</formula>
    </cfRule>
    <cfRule type="expression" dxfId="128" priority="6086">
      <formula>COUNTIF($B$2:$B$943,D48)&gt;1</formula>
    </cfRule>
    <cfRule type="expression" dxfId="127" priority="6087">
      <formula>COUNTIF($B$2:$B$961,D48)&gt;1</formula>
    </cfRule>
    <cfRule type="expression" dxfId="126" priority="6088">
      <formula>COUNTIF($C$2:$C$963,D48)&gt;1</formula>
    </cfRule>
    <cfRule type="expression" dxfId="125" priority="6089">
      <formula>COUNTIF($C$2:$C$965,D48)&gt;1</formula>
    </cfRule>
    <cfRule type="expression" dxfId="124" priority="6090">
      <formula>COUNTIF($C$2:$C$964,D48)&gt;1</formula>
    </cfRule>
    <cfRule type="expression" dxfId="123" priority="6091">
      <formula>COUNTIF($C$2:$C$969,D48)&gt;1</formula>
    </cfRule>
    <cfRule type="expression" dxfId="122" priority="6092">
      <formula>COUNTIF($C$2:$C$961,D48)&gt;1</formula>
    </cfRule>
    <cfRule type="expression" dxfId="121" priority="6093">
      <formula>COUNTIF($H$3:$H$49,D48)&gt;1</formula>
    </cfRule>
    <cfRule type="expression" dxfId="120" priority="6094">
      <formula>COUNTIF($C$2:$C$968,D48)&gt;1</formula>
    </cfRule>
    <cfRule type="expression" dxfId="119" priority="6095">
      <formula>COUNTIF($C$2:$C$960,D48)&gt;1</formula>
    </cfRule>
    <cfRule type="expression" dxfId="118" priority="6096">
      <formula>COUNTIF($C$2:$C$962,D48)&gt;1</formula>
    </cfRule>
    <cfRule type="expression" dxfId="117" priority="6028">
      <formula>COUNTIF($C$2:$C$931,D48)&gt;1</formula>
    </cfRule>
    <cfRule type="expression" dxfId="116" priority="6097">
      <formula>COUNTIF($B$3:$B$50,D48)&gt;1</formula>
    </cfRule>
    <cfRule type="expression" dxfId="115" priority="6098">
      <formula>COUNTIF($C$2:$C$972,D48)&gt;1</formula>
    </cfRule>
    <cfRule type="expression" dxfId="114" priority="6099">
      <formula>COUNTIF($C$2:$C$974,D48)&gt;1</formula>
    </cfRule>
    <cfRule type="expression" dxfId="113" priority="6100">
      <formula>COUNTIF($B$2:$B$930,D48)&gt;1</formula>
    </cfRule>
    <cfRule type="expression" dxfId="112" priority="6015">
      <formula>COUNTIF($C$2:$C$984,D48)&gt;1</formula>
    </cfRule>
    <cfRule type="expression" dxfId="111" priority="6016">
      <formula>COUNTIF($B$3:$B$934,D48)&gt;1</formula>
    </cfRule>
    <cfRule type="expression" dxfId="110" priority="6017">
      <formula>COUNTIF($B$3:$B$935,D48)&gt;1</formula>
    </cfRule>
    <cfRule type="expression" dxfId="109" priority="6018">
      <formula>COUNTIF($B$2:$B$912,D48)&gt;1</formula>
    </cfRule>
    <cfRule type="expression" dxfId="108" priority="6019">
      <formula>COUNTIF($B$2:$B$916,D48)&gt;1</formula>
    </cfRule>
    <cfRule type="expression" dxfId="107" priority="6020">
      <formula>COUNTIF($B$2:$B$934,D48)&gt;1</formula>
    </cfRule>
    <cfRule type="expression" dxfId="106" priority="6021">
      <formula>COUNTIF($B$3:$B$914,D48)&gt;1</formula>
    </cfRule>
    <cfRule type="expression" dxfId="105" priority="6022">
      <formula>COUNTIF($C$2:$C$934,D48)&gt;1</formula>
    </cfRule>
    <cfRule type="expression" dxfId="104" priority="6023">
      <formula>COUNTIF($B$3:$B$915,D48)&gt;1</formula>
    </cfRule>
    <cfRule type="expression" dxfId="103" priority="6024">
      <formula>COUNTIF($B$3:$B$921,D48)&gt;1</formula>
    </cfRule>
    <cfRule type="expression" dxfId="102" priority="6025">
      <formula>COUNTIF($B$3:$B$922,D48)&gt;1</formula>
    </cfRule>
    <cfRule type="expression" dxfId="101" priority="6026">
      <formula>COUNTIF($B$3:$B$920,D48)&gt;1</formula>
    </cfRule>
    <cfRule type="expression" dxfId="100" priority="6027">
      <formula>COUNTIF($C$2:$C$933,D48)&gt;1</formula>
    </cfRule>
    <cfRule type="expression" dxfId="99" priority="6046">
      <formula>COUNTIF($C$2:$C$937,D48)&gt;1</formula>
    </cfRule>
    <cfRule type="expression" dxfId="98" priority="6029">
      <formula>COUNTIF($B$3:$B$912,D48)&gt;1</formula>
    </cfRule>
    <cfRule type="expression" dxfId="97" priority="6030">
      <formula>COUNTIF($C$2:$C$932,D48)&gt;1</formula>
    </cfRule>
    <cfRule type="expression" dxfId="96" priority="6031">
      <formula>COUNTIF($B$3:$B$913,D48)&gt;1</formula>
    </cfRule>
    <cfRule type="expression" dxfId="95" priority="6032">
      <formula>COUNTIF($M$3:$M$45,D48)&gt;1</formula>
    </cfRule>
    <cfRule type="expression" dxfId="94" priority="6033">
      <formula>COUNTIF($C$2:$C$942,D48)&gt;1</formula>
    </cfRule>
    <cfRule type="expression" dxfId="93" priority="6034">
      <formula>COUNTIF($L$3:$L$45,D48)&gt;1</formula>
    </cfRule>
    <cfRule type="expression" dxfId="92" priority="6035">
      <formula>COUNTIF($B$3:$B$88,D48)&gt;1</formula>
    </cfRule>
    <cfRule type="expression" dxfId="91" priority="6036">
      <formula>COUNTIF($C$2:$C$939,D48)&gt;1</formula>
    </cfRule>
    <cfRule type="expression" dxfId="90" priority="6037">
      <formula>COUNTIF($B$3:$B$918,D48)&gt;1</formula>
    </cfRule>
    <cfRule type="expression" dxfId="89" priority="6038">
      <formula>COUNTIF($C$2:$C$938,D48)&gt;1</formula>
    </cfRule>
    <cfRule type="expression" dxfId="88" priority="6039">
      <formula>COUNTIF($B$3:$B$919,D48)&gt;1</formula>
    </cfRule>
    <cfRule type="expression" dxfId="87" priority="6040">
      <formula>COUNTIF($C$2:$C$935,D48)&gt;1</formula>
    </cfRule>
    <cfRule type="expression" dxfId="86" priority="6041">
      <formula>COUNTIF($B$3:$B$916,D48)&gt;1</formula>
    </cfRule>
    <cfRule type="expression" dxfId="85" priority="6042">
      <formula>COUNTIF($C$2:$C$936,D48)&gt;1</formula>
    </cfRule>
    <cfRule type="expression" dxfId="84" priority="6043">
      <formula>COUNTIF($B$3:$B$917,D48)&gt;1</formula>
    </cfRule>
    <cfRule type="expression" dxfId="83" priority="6044">
      <formula>COUNTIF($C$2:$C$930,D48)&gt;1</formula>
    </cfRule>
    <cfRule type="expression" dxfId="82" priority="6045">
      <formula>COUNTIF($C$2:$C$940,D48)&gt;1</formula>
    </cfRule>
    <cfRule type="expression" dxfId="81" priority="6047">
      <formula>COUNTIF($C$2:$C$941,D48)&gt;1</formula>
    </cfRule>
    <cfRule type="expression" dxfId="80" priority="6048">
      <formula>COUNTIF($B$3:$B$928,D48)&gt;1</formula>
    </cfRule>
    <cfRule type="expression" dxfId="79" priority="6049">
      <formula>COUNTIF($B$2:$B$944,D48)&gt;1</formula>
    </cfRule>
    <cfRule type="expression" dxfId="78" priority="6050">
      <formula>COUNTIF($B$2:$B$933,D48)&gt;1</formula>
    </cfRule>
    <cfRule type="expression" dxfId="77" priority="6051">
      <formula>COUNTIF($C$2:$C$943,D48)&gt;1</formula>
    </cfRule>
    <cfRule type="expression" dxfId="76" priority="6052">
      <formula>COUNTIF($B$3:$B$924,D48)&gt;1</formula>
    </cfRule>
    <cfRule type="expression" dxfId="75" priority="6053">
      <formula>COUNTIF($C$2:$C$944,D48)&gt;1</formula>
    </cfRule>
    <cfRule type="expression" dxfId="74" priority="6054">
      <formula>COUNTIF($B$3:$B$925,D48)&gt;1</formula>
    </cfRule>
    <cfRule type="expression" dxfId="73" priority="6055">
      <formula>COUNTIF($B$2:$B$941,D48)&gt;1</formula>
    </cfRule>
  </conditionalFormatting>
  <conditionalFormatting sqref="D54">
    <cfRule type="duplicateValues" dxfId="72" priority="6"/>
  </conditionalFormatting>
  <conditionalFormatting sqref="D57">
    <cfRule type="duplicateValues" dxfId="71" priority="5"/>
  </conditionalFormatting>
  <conditionalFormatting sqref="D61">
    <cfRule type="duplicateValues" dxfId="70" priority="6101"/>
  </conditionalFormatting>
  <conditionalFormatting sqref="D63">
    <cfRule type="duplicateValues" dxfId="69" priority="3"/>
  </conditionalFormatting>
  <conditionalFormatting sqref="D64">
    <cfRule type="duplicateValues" dxfId="68" priority="21"/>
  </conditionalFormatting>
  <conditionalFormatting sqref="D73">
    <cfRule type="duplicateValues" dxfId="67" priority="6013"/>
  </conditionalFormatting>
  <conditionalFormatting sqref="D75">
    <cfRule type="duplicateValues" dxfId="66" priority="2"/>
  </conditionalFormatting>
  <conditionalFormatting sqref="D76">
    <cfRule type="duplicateValues" dxfId="65" priority="184"/>
  </conditionalFormatting>
  <conditionalFormatting sqref="D78">
    <cfRule type="duplicateValues" dxfId="64" priority="202"/>
  </conditionalFormatting>
  <conditionalFormatting sqref="D80">
    <cfRule type="duplicateValues" dxfId="63" priority="200"/>
  </conditionalFormatting>
  <conditionalFormatting sqref="D88">
    <cfRule type="duplicateValues" dxfId="62" priority="615"/>
  </conditionalFormatting>
  <conditionalFormatting sqref="M78:N82">
    <cfRule type="duplicateValues" dxfId="61" priority="17"/>
  </conditionalFormatting>
  <conditionalFormatting sqref="CI12">
    <cfRule type="duplicateValues" dxfId="60" priority="194"/>
  </conditionalFormatting>
  <conditionalFormatting sqref="CI14:CI15">
    <cfRule type="duplicateValues" dxfId="59" priority="193"/>
  </conditionalFormatting>
  <conditionalFormatting sqref="CI16:CI17">
    <cfRule type="duplicateValues" dxfId="58" priority="191"/>
  </conditionalFormatting>
  <conditionalFormatting sqref="CI19">
    <cfRule type="duplicateValues" dxfId="57" priority="5825"/>
  </conditionalFormatting>
  <conditionalFormatting sqref="CI20">
    <cfRule type="duplicateValues" dxfId="56" priority="5822"/>
  </conditionalFormatting>
  <conditionalFormatting sqref="CI21:CI22">
    <cfRule type="duplicateValues" dxfId="55" priority="5826"/>
  </conditionalFormatting>
  <conditionalFormatting sqref="CI24">
    <cfRule type="duplicateValues" dxfId="54" priority="220"/>
  </conditionalFormatting>
  <conditionalFormatting sqref="CI27:CI28">
    <cfRule type="duplicateValues" dxfId="53" priority="224"/>
  </conditionalFormatting>
  <conditionalFormatting sqref="CI29:CI30">
    <cfRule type="duplicateValues" dxfId="52" priority="216"/>
  </conditionalFormatting>
  <conditionalFormatting sqref="CI33">
    <cfRule type="duplicateValues" dxfId="51" priority="152"/>
  </conditionalFormatting>
  <conditionalFormatting sqref="CI35">
    <cfRule type="duplicateValues" dxfId="50" priority="175"/>
  </conditionalFormatting>
  <conditionalFormatting sqref="CI36">
    <cfRule type="duplicateValues" dxfId="49" priority="173"/>
  </conditionalFormatting>
  <conditionalFormatting sqref="CI37:CI38">
    <cfRule type="duplicateValues" dxfId="48" priority="178"/>
  </conditionalFormatting>
  <conditionalFormatting sqref="CI40">
    <cfRule type="duplicateValues" dxfId="47" priority="180"/>
  </conditionalFormatting>
  <conditionalFormatting sqref="CI43">
    <cfRule type="duplicateValues" dxfId="46" priority="212"/>
  </conditionalFormatting>
  <conditionalFormatting sqref="CI45">
    <cfRule type="duplicateValues" dxfId="45" priority="2051"/>
  </conditionalFormatting>
  <conditionalFormatting sqref="CI47:CI48">
    <cfRule type="duplicateValues" dxfId="44" priority="5831"/>
  </conditionalFormatting>
  <conditionalFormatting sqref="CI50">
    <cfRule type="duplicateValues" dxfId="43" priority="211"/>
  </conditionalFormatting>
  <conditionalFormatting sqref="CI52">
    <cfRule type="duplicateValues" dxfId="42" priority="187"/>
  </conditionalFormatting>
  <conditionalFormatting sqref="CI55">
    <cfRule type="duplicateValues" dxfId="41" priority="210"/>
  </conditionalFormatting>
  <conditionalFormatting sqref="CI57">
    <cfRule type="duplicateValues" dxfId="40" priority="4"/>
  </conditionalFormatting>
  <conditionalFormatting sqref="CI58">
    <cfRule type="duplicateValues" dxfId="39" priority="227"/>
  </conditionalFormatting>
  <conditionalFormatting sqref="CI60">
    <cfRule type="duplicateValues" dxfId="38" priority="207"/>
  </conditionalFormatting>
  <conditionalFormatting sqref="CI62">
    <cfRule type="duplicateValues" dxfId="37" priority="196"/>
  </conditionalFormatting>
  <conditionalFormatting sqref="CI64">
    <cfRule type="duplicateValues" dxfId="36" priority="22"/>
  </conditionalFormatting>
  <conditionalFormatting sqref="CI67">
    <cfRule type="duplicateValues" dxfId="35" priority="206"/>
  </conditionalFormatting>
  <conditionalFormatting sqref="CI73:CI74">
    <cfRule type="duplicateValues" dxfId="34" priority="6014"/>
  </conditionalFormatting>
  <conditionalFormatting sqref="CI76">
    <cfRule type="duplicateValues" dxfId="33" priority="185"/>
  </conditionalFormatting>
  <conditionalFormatting sqref="CI78">
    <cfRule type="duplicateValues" dxfId="32" priority="201"/>
  </conditionalFormatting>
  <conditionalFormatting sqref="CI80">
    <cfRule type="duplicateValues" dxfId="31" priority="199"/>
  </conditionalFormatting>
  <conditionalFormatting sqref="CI84">
    <cfRule type="duplicateValues" dxfId="30" priority="232"/>
  </conditionalFormatting>
  <conditionalFormatting sqref="CI85">
    <cfRule type="duplicateValues" dxfId="29" priority="183"/>
  </conditionalFormatting>
  <conditionalFormatting sqref="CI86">
    <cfRule type="duplicateValues" dxfId="28" priority="198"/>
  </conditionalFormatting>
  <conditionalFormatting sqref="CI87">
    <cfRule type="duplicateValues" dxfId="27" priority="197"/>
  </conditionalFormatting>
  <conditionalFormatting sqref="CI88">
    <cfRule type="duplicateValues" dxfId="26" priority="622"/>
  </conditionalFormatting>
  <dataValidations count="2">
    <dataValidation type="list" allowBlank="1" showErrorMessage="1" sqref="I10" xr:uid="{00000000-0002-0000-0000-000000000000}">
      <formula1>$I$6:$I$7</formula1>
    </dataValidation>
    <dataValidation type="date" allowBlank="1" showErrorMessage="1" sqref="H4:H10 H91:H671" xr:uid="{00000000-0002-0000-0000-000001000000}">
      <formula1>43466</formula1>
      <formula2>47118</formula2>
    </dataValidation>
  </dataValidations>
  <hyperlinks>
    <hyperlink ref="CI21:CI88" r:id="rId1" display="huong.pham@medigoapp.com" xr:uid="{00000000-0004-0000-0000-000000000000}"/>
    <hyperlink ref="CI24" r:id="rId2" display="=VLOOKUP($C24;'C:\Users\Admin\Desktop\[email Medigo_Nhan vien Cty_2026.xlsx]Sheet1'!$C$5:$K$139;9;0)" xr:uid="{00000000-0004-0000-0000-000001000000}"/>
    <hyperlink ref="CI25" r:id="rId3" xr:uid="{00000000-0004-0000-0000-000002000000}"/>
    <hyperlink ref="CI19" r:id="rId4" xr:uid="{00000000-0004-0000-0000-000003000000}"/>
    <hyperlink ref="CI86" r:id="rId5" display="=VLOOKUP($C86;'C:\Users\Admin\Desktop\[email Medigo_Nhan vien Cty_2026.xlsx]Sheet1'!$C$5:$K$139;9;0)" xr:uid="{00000000-0004-0000-0000-000004000000}"/>
    <hyperlink ref="CI87" r:id="rId6" display="=VLOOKUP($C87;'C:\Users\Admin\Desktop\[email Medigo_Nhan vien Cty_2026.xlsx]Sheet1'!$C$5:$K$139;9;0)" xr:uid="{00000000-0004-0000-0000-000005000000}"/>
    <hyperlink ref="CI21" r:id="rId7" xr:uid="{00000000-0004-0000-0000-000006000000}"/>
    <hyperlink ref="CI22" r:id="rId8" xr:uid="{00000000-0004-0000-0000-000007000000}"/>
    <hyperlink ref="CI27" r:id="rId9" xr:uid="{00000000-0004-0000-0000-000008000000}"/>
    <hyperlink ref="CI28" r:id="rId10" xr:uid="{00000000-0004-0000-0000-000009000000}"/>
    <hyperlink ref="CI12" r:id="rId11" xr:uid="{00000000-0004-0000-0000-00000A000000}"/>
    <hyperlink ref="CI85" r:id="rId12" display="=VLOOKUP($C85;'C:\Users\Admin\Desktop\[email Medigo_Nhan vien Cty_2026.xlsx]Sheet1'!$C$5:$K$139;9;0)" xr:uid="{00000000-0004-0000-0000-00000B000000}"/>
    <hyperlink ref="CI40" r:id="rId13" xr:uid="{00000000-0004-0000-0000-00000C000000}"/>
    <hyperlink ref="CI36" r:id="rId14" xr:uid="{00000000-0004-0000-0000-00000D000000}"/>
    <hyperlink ref="CI74" r:id="rId15" xr:uid="{00000000-0004-0000-0000-00000E000000}"/>
    <hyperlink ref="CI11" r:id="rId16" xr:uid="{00000000-0004-0000-0000-00000F000000}"/>
    <hyperlink ref="CI16" r:id="rId17" xr:uid="{00000000-0004-0000-0000-000010000000}"/>
    <hyperlink ref="CI33" r:id="rId18" xr:uid="{00000000-0004-0000-0000-000011000000}"/>
    <hyperlink ref="CI64" r:id="rId19" xr:uid="{00000000-0004-0000-0000-000012000000}"/>
    <hyperlink ref="CI58" r:id="rId20" xr:uid="{00000000-0004-0000-0000-000013000000}"/>
  </hyperlinks>
  <pageMargins left="0.7" right="0.7" top="0.75" bottom="0.75" header="0" footer="0"/>
  <pageSetup paperSize="9" orientation="portrait"/>
  <legacy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A3191-9820-47F9-B911-32842BDB48BD}">
  <dimension ref="A1:I39"/>
  <sheetViews>
    <sheetView tabSelected="1" workbookViewId="0">
      <selection activeCell="G2" sqref="G2"/>
    </sheetView>
  </sheetViews>
  <sheetFormatPr defaultRowHeight="14.4"/>
  <cols>
    <col min="3" max="3" width="42.109375" customWidth="1"/>
    <col min="4" max="4" width="36.44140625" customWidth="1"/>
    <col min="5" max="5" width="31.5546875" customWidth="1"/>
    <col min="6" max="6" width="18.44140625" customWidth="1"/>
    <col min="7" max="7" width="26" customWidth="1"/>
    <col min="8" max="8" width="52.6640625" customWidth="1"/>
    <col min="9" max="9" width="38.109375" customWidth="1"/>
  </cols>
  <sheetData>
    <row r="1" spans="1:9" ht="66">
      <c r="A1" s="497" t="s">
        <v>948</v>
      </c>
      <c r="B1" s="497" t="s">
        <v>451</v>
      </c>
      <c r="C1" s="497" t="s">
        <v>949</v>
      </c>
      <c r="D1" s="497" t="s">
        <v>950</v>
      </c>
      <c r="E1" s="498" t="s">
        <v>476</v>
      </c>
      <c r="F1" s="498" t="s">
        <v>477</v>
      </c>
      <c r="G1" s="497" t="s">
        <v>724</v>
      </c>
      <c r="H1" s="497" t="s">
        <v>725</v>
      </c>
      <c r="I1" s="497"/>
    </row>
    <row r="2" spans="1:9" ht="39.6">
      <c r="A2" s="499">
        <v>2</v>
      </c>
      <c r="B2" s="500" t="s">
        <v>116</v>
      </c>
      <c r="C2" s="501" t="s">
        <v>128</v>
      </c>
      <c r="D2" s="502" t="s">
        <v>127</v>
      </c>
      <c r="E2" s="503" t="s">
        <v>131</v>
      </c>
      <c r="F2" s="503" t="s">
        <v>132</v>
      </c>
      <c r="G2" s="504">
        <v>15736910</v>
      </c>
      <c r="H2" s="502" t="s">
        <v>951</v>
      </c>
      <c r="I2" s="500" t="s">
        <v>116</v>
      </c>
    </row>
    <row r="3" spans="1:9" ht="52.8">
      <c r="A3" s="499">
        <v>3</v>
      </c>
      <c r="B3" s="500" t="s">
        <v>116</v>
      </c>
      <c r="C3" s="501" t="s">
        <v>122</v>
      </c>
      <c r="D3" s="502" t="s">
        <v>121</v>
      </c>
      <c r="E3" s="503" t="s">
        <v>124</v>
      </c>
      <c r="F3" s="503" t="s">
        <v>119</v>
      </c>
      <c r="G3" s="504">
        <v>6373917</v>
      </c>
      <c r="H3" s="502" t="s">
        <v>952</v>
      </c>
      <c r="I3" s="500" t="s">
        <v>116</v>
      </c>
    </row>
    <row r="4" spans="1:9" ht="26.4">
      <c r="A4" s="499">
        <v>4</v>
      </c>
      <c r="B4" s="500" t="s">
        <v>116</v>
      </c>
      <c r="C4" s="501" t="s">
        <v>139</v>
      </c>
      <c r="D4" s="502" t="s">
        <v>138</v>
      </c>
      <c r="E4" s="503" t="s">
        <v>140</v>
      </c>
      <c r="F4" s="503" t="s">
        <v>141</v>
      </c>
      <c r="G4" s="504">
        <v>3401714</v>
      </c>
      <c r="H4" s="502" t="s">
        <v>953</v>
      </c>
      <c r="I4" s="500" t="s">
        <v>116</v>
      </c>
    </row>
    <row r="5" spans="1:9" ht="39.6">
      <c r="A5" s="499">
        <v>5</v>
      </c>
      <c r="B5" s="500" t="s">
        <v>116</v>
      </c>
      <c r="C5" s="501" t="s">
        <v>143</v>
      </c>
      <c r="D5" s="502" t="s">
        <v>142</v>
      </c>
      <c r="E5" s="503" t="s">
        <v>145</v>
      </c>
      <c r="F5" s="503" t="s">
        <v>119</v>
      </c>
      <c r="G5" s="504">
        <v>5221977</v>
      </c>
      <c r="H5" s="502" t="s">
        <v>954</v>
      </c>
      <c r="I5" s="500" t="s">
        <v>116</v>
      </c>
    </row>
    <row r="6" spans="1:9" ht="39.6">
      <c r="A6" s="499">
        <v>6</v>
      </c>
      <c r="B6" s="500" t="s">
        <v>116</v>
      </c>
      <c r="C6" s="501" t="s">
        <v>148</v>
      </c>
      <c r="D6" s="502" t="s">
        <v>147</v>
      </c>
      <c r="E6" s="503" t="e">
        <v>#N/A</v>
      </c>
      <c r="F6" s="503" t="e">
        <v>#N/A</v>
      </c>
      <c r="G6" s="504">
        <v>0</v>
      </c>
      <c r="H6" s="502" t="s">
        <v>955</v>
      </c>
      <c r="I6" s="500" t="s">
        <v>116</v>
      </c>
    </row>
    <row r="7" spans="1:9">
      <c r="A7" s="505"/>
      <c r="B7" s="506"/>
      <c r="C7" s="507"/>
      <c r="D7" s="508"/>
      <c r="E7" s="509"/>
      <c r="F7" s="509"/>
      <c r="G7" s="510">
        <v>31860830</v>
      </c>
      <c r="H7" s="508"/>
      <c r="I7" s="506"/>
    </row>
    <row r="8" spans="1:9" ht="52.8">
      <c r="A8" s="499">
        <v>8</v>
      </c>
      <c r="B8" s="500" t="s">
        <v>956</v>
      </c>
      <c r="C8" s="501" t="s">
        <v>159</v>
      </c>
      <c r="D8" s="502" t="s">
        <v>158</v>
      </c>
      <c r="E8" s="503" t="s">
        <v>161</v>
      </c>
      <c r="F8" s="503" t="s">
        <v>162</v>
      </c>
      <c r="G8" s="504">
        <v>1654883</v>
      </c>
      <c r="H8" s="502" t="s">
        <v>957</v>
      </c>
      <c r="I8" s="500" t="s">
        <v>956</v>
      </c>
    </row>
    <row r="9" spans="1:9" ht="26.4">
      <c r="A9" s="499">
        <v>14</v>
      </c>
      <c r="B9" s="500" t="s">
        <v>956</v>
      </c>
      <c r="C9" s="501" t="s">
        <v>958</v>
      </c>
      <c r="D9" s="502" t="s">
        <v>959</v>
      </c>
      <c r="E9" s="503" t="e">
        <v>#N/A</v>
      </c>
      <c r="F9" s="503" t="e">
        <v>#N/A</v>
      </c>
      <c r="G9" s="504" t="e">
        <v>#N/A</v>
      </c>
      <c r="H9" s="502" t="s">
        <v>960</v>
      </c>
      <c r="I9" s="500" t="s">
        <v>956</v>
      </c>
    </row>
    <row r="10" spans="1:9" ht="39.6">
      <c r="A10" s="499">
        <v>16</v>
      </c>
      <c r="B10" s="500" t="s">
        <v>956</v>
      </c>
      <c r="C10" s="501" t="s">
        <v>172</v>
      </c>
      <c r="D10" s="502" t="s">
        <v>171</v>
      </c>
      <c r="E10" s="503" t="s">
        <v>174</v>
      </c>
      <c r="F10" s="503" t="s">
        <v>175</v>
      </c>
      <c r="G10" s="504">
        <v>11237005</v>
      </c>
      <c r="H10" s="502" t="s">
        <v>961</v>
      </c>
      <c r="I10" s="502" t="s">
        <v>956</v>
      </c>
    </row>
    <row r="11" spans="1:9">
      <c r="A11" s="505"/>
      <c r="B11" s="506"/>
      <c r="C11" s="507"/>
      <c r="D11" s="511"/>
      <c r="E11" s="511"/>
      <c r="F11" s="512"/>
      <c r="G11" s="510" t="e">
        <v>#N/A</v>
      </c>
      <c r="H11" s="513"/>
      <c r="I11" s="506"/>
    </row>
    <row r="12" spans="1:9" ht="39.6">
      <c r="A12" s="514">
        <v>21</v>
      </c>
      <c r="B12" s="502" t="s">
        <v>962</v>
      </c>
      <c r="C12" s="501" t="s">
        <v>963</v>
      </c>
      <c r="D12" s="502" t="s">
        <v>964</v>
      </c>
      <c r="E12" s="503" t="e">
        <v>#N/A</v>
      </c>
      <c r="F12" s="503" t="e">
        <v>#N/A</v>
      </c>
      <c r="G12" s="504" t="e">
        <v>#N/A</v>
      </c>
      <c r="H12" s="502" t="s">
        <v>965</v>
      </c>
      <c r="I12" s="502" t="s">
        <v>962</v>
      </c>
    </row>
    <row r="13" spans="1:9" ht="39.6">
      <c r="A13" s="514">
        <v>22</v>
      </c>
      <c r="B13" s="502" t="s">
        <v>962</v>
      </c>
      <c r="C13" s="501" t="s">
        <v>201</v>
      </c>
      <c r="D13" s="502" t="s">
        <v>200</v>
      </c>
      <c r="E13" s="503" t="s">
        <v>203</v>
      </c>
      <c r="F13" s="503" t="s">
        <v>204</v>
      </c>
      <c r="G13" s="504" t="e">
        <v>#REF!</v>
      </c>
      <c r="H13" s="502" t="s">
        <v>966</v>
      </c>
      <c r="I13" s="502" t="s">
        <v>962</v>
      </c>
    </row>
    <row r="14" spans="1:9">
      <c r="A14" s="505"/>
      <c r="B14" s="515"/>
      <c r="C14" s="507"/>
      <c r="D14" s="508"/>
      <c r="E14" s="509"/>
      <c r="F14" s="509"/>
      <c r="G14" s="510" t="e">
        <v>#N/A</v>
      </c>
      <c r="H14" s="508"/>
      <c r="I14" s="515"/>
    </row>
    <row r="15" spans="1:9" ht="26.4">
      <c r="A15" s="516">
        <v>25</v>
      </c>
      <c r="B15" s="500" t="s">
        <v>967</v>
      </c>
      <c r="C15" s="501" t="s">
        <v>298</v>
      </c>
      <c r="D15" s="502" t="s">
        <v>297</v>
      </c>
      <c r="E15" s="503" t="s">
        <v>301</v>
      </c>
      <c r="F15" s="503" t="s">
        <v>119</v>
      </c>
      <c r="G15" s="504">
        <v>411576</v>
      </c>
      <c r="H15" s="502" t="s">
        <v>968</v>
      </c>
      <c r="I15" s="500" t="s">
        <v>967</v>
      </c>
    </row>
    <row r="16" spans="1:9" ht="39.6">
      <c r="A16" s="516">
        <v>29</v>
      </c>
      <c r="B16" s="500" t="s">
        <v>967</v>
      </c>
      <c r="C16" s="501" t="s">
        <v>201</v>
      </c>
      <c r="D16" s="502" t="s">
        <v>200</v>
      </c>
      <c r="E16" s="503" t="e">
        <v>#N/A</v>
      </c>
      <c r="F16" s="503" t="e">
        <v>#N/A</v>
      </c>
      <c r="G16" s="504" t="e">
        <v>#REF!</v>
      </c>
      <c r="H16" s="502" t="s">
        <v>969</v>
      </c>
      <c r="I16" s="500" t="s">
        <v>967</v>
      </c>
    </row>
    <row r="17" spans="1:9">
      <c r="A17" s="505"/>
      <c r="B17" s="515"/>
      <c r="C17" s="507"/>
      <c r="D17" s="508"/>
      <c r="E17" s="509"/>
      <c r="F17" s="509"/>
      <c r="G17" s="510" t="e">
        <v>#REF!</v>
      </c>
      <c r="H17" s="508"/>
      <c r="I17" s="515"/>
    </row>
    <row r="18" spans="1:9" ht="26.4">
      <c r="A18" s="517">
        <v>34</v>
      </c>
      <c r="B18" s="500" t="s">
        <v>970</v>
      </c>
      <c r="C18" s="501" t="s">
        <v>971</v>
      </c>
      <c r="D18" s="502" t="s">
        <v>972</v>
      </c>
      <c r="E18" s="503" t="e">
        <v>#N/A</v>
      </c>
      <c r="F18" s="503" t="e">
        <v>#N/A</v>
      </c>
      <c r="G18" s="504" t="e">
        <v>#N/A</v>
      </c>
      <c r="H18" s="502" t="s">
        <v>973</v>
      </c>
      <c r="I18" s="500" t="s">
        <v>970</v>
      </c>
    </row>
    <row r="19" spans="1:9" ht="26.4">
      <c r="A19" s="517">
        <v>37</v>
      </c>
      <c r="B19" s="500" t="s">
        <v>970</v>
      </c>
      <c r="C19" s="501" t="s">
        <v>318</v>
      </c>
      <c r="D19" s="502" t="s">
        <v>317</v>
      </c>
      <c r="E19" s="503" t="s">
        <v>319</v>
      </c>
      <c r="F19" s="503" t="s">
        <v>119</v>
      </c>
      <c r="G19" s="504">
        <v>3373805</v>
      </c>
      <c r="H19" s="502" t="s">
        <v>974</v>
      </c>
      <c r="I19" s="500" t="s">
        <v>970</v>
      </c>
    </row>
    <row r="20" spans="1:9" ht="39.6">
      <c r="A20" s="517">
        <v>38</v>
      </c>
      <c r="B20" s="500" t="s">
        <v>970</v>
      </c>
      <c r="C20" s="501" t="s">
        <v>201</v>
      </c>
      <c r="D20" s="502" t="s">
        <v>200</v>
      </c>
      <c r="E20" s="503" t="s">
        <v>203</v>
      </c>
      <c r="F20" s="503" t="s">
        <v>204</v>
      </c>
      <c r="G20" s="504" t="e">
        <v>#REF!</v>
      </c>
      <c r="H20" s="502" t="s">
        <v>975</v>
      </c>
      <c r="I20" s="500" t="s">
        <v>970</v>
      </c>
    </row>
    <row r="21" spans="1:9" ht="26.4">
      <c r="A21" s="517">
        <v>39</v>
      </c>
      <c r="B21" s="500" t="s">
        <v>970</v>
      </c>
      <c r="C21" s="501" t="s">
        <v>958</v>
      </c>
      <c r="D21" s="502" t="s">
        <v>959</v>
      </c>
      <c r="E21" s="503" t="e">
        <v>#REF!</v>
      </c>
      <c r="F21" s="503" t="e">
        <v>#REF!</v>
      </c>
      <c r="G21" s="504" t="e">
        <v>#N/A</v>
      </c>
      <c r="H21" s="502" t="s">
        <v>976</v>
      </c>
      <c r="I21" s="500" t="s">
        <v>970</v>
      </c>
    </row>
    <row r="22" spans="1:9" ht="39.6">
      <c r="A22" s="517">
        <v>41</v>
      </c>
      <c r="B22" s="500" t="s">
        <v>970</v>
      </c>
      <c r="C22" s="501" t="s">
        <v>977</v>
      </c>
      <c r="D22" s="502" t="s">
        <v>978</v>
      </c>
      <c r="E22" s="503" t="e">
        <v>#N/A</v>
      </c>
      <c r="F22" s="503" t="e">
        <v>#N/A</v>
      </c>
      <c r="G22" s="504" t="e">
        <v>#N/A</v>
      </c>
      <c r="H22" s="502" t="s">
        <v>979</v>
      </c>
      <c r="I22" s="500" t="s">
        <v>970</v>
      </c>
    </row>
    <row r="23" spans="1:9">
      <c r="A23" s="505"/>
      <c r="B23" s="508"/>
      <c r="C23" s="507"/>
      <c r="D23" s="508"/>
      <c r="E23" s="509"/>
      <c r="F23" s="509"/>
      <c r="G23" s="510" t="e">
        <v>#N/A</v>
      </c>
      <c r="H23" s="508"/>
      <c r="I23" s="508"/>
    </row>
    <row r="24" spans="1:9" ht="26.4">
      <c r="A24" s="499">
        <v>44</v>
      </c>
      <c r="B24" s="500" t="s">
        <v>980</v>
      </c>
      <c r="C24" s="501" t="s">
        <v>318</v>
      </c>
      <c r="D24" s="502" t="s">
        <v>317</v>
      </c>
      <c r="E24" s="503" t="s">
        <v>319</v>
      </c>
      <c r="F24" s="503" t="s">
        <v>119</v>
      </c>
      <c r="G24" s="504">
        <v>3373805</v>
      </c>
      <c r="H24" s="502" t="s">
        <v>981</v>
      </c>
      <c r="I24" s="500" t="s">
        <v>980</v>
      </c>
    </row>
    <row r="25" spans="1:9" ht="26.4">
      <c r="A25" s="499">
        <v>45</v>
      </c>
      <c r="B25" s="500" t="s">
        <v>980</v>
      </c>
      <c r="C25" s="501" t="s">
        <v>982</v>
      </c>
      <c r="D25" s="502" t="s">
        <v>983</v>
      </c>
      <c r="E25" s="503" t="e">
        <v>#N/A</v>
      </c>
      <c r="F25" s="503" t="e">
        <v>#N/A</v>
      </c>
      <c r="G25" s="504" t="e">
        <v>#N/A</v>
      </c>
      <c r="H25" s="502" t="s">
        <v>984</v>
      </c>
      <c r="I25" s="500" t="s">
        <v>980</v>
      </c>
    </row>
    <row r="26" spans="1:9">
      <c r="A26" s="505"/>
      <c r="B26" s="515"/>
      <c r="C26" s="507"/>
      <c r="D26" s="513"/>
      <c r="E26" s="509"/>
      <c r="F26" s="509"/>
      <c r="G26" s="510" t="e">
        <v>#N/A</v>
      </c>
      <c r="H26" s="508"/>
      <c r="I26" s="515"/>
    </row>
    <row r="27" spans="1:9" ht="26.4">
      <c r="A27" s="499">
        <v>51</v>
      </c>
      <c r="B27" s="500" t="s">
        <v>985</v>
      </c>
      <c r="C27" s="501" t="s">
        <v>986</v>
      </c>
      <c r="D27" s="502" t="s">
        <v>987</v>
      </c>
      <c r="E27" s="503" t="e">
        <v>#N/A</v>
      </c>
      <c r="F27" s="503" t="e">
        <v>#N/A</v>
      </c>
      <c r="G27" s="504" t="e">
        <v>#N/A</v>
      </c>
      <c r="H27" s="502" t="s">
        <v>988</v>
      </c>
      <c r="I27" s="500" t="s">
        <v>985</v>
      </c>
    </row>
    <row r="28" spans="1:9" ht="26.4">
      <c r="A28" s="499">
        <v>52</v>
      </c>
      <c r="B28" s="500" t="s">
        <v>985</v>
      </c>
      <c r="C28" s="501" t="s">
        <v>318</v>
      </c>
      <c r="D28" s="502" t="s">
        <v>317</v>
      </c>
      <c r="E28" s="503" t="s">
        <v>319</v>
      </c>
      <c r="F28" s="503" t="s">
        <v>119</v>
      </c>
      <c r="G28" s="504">
        <v>3373805</v>
      </c>
      <c r="H28" s="502" t="s">
        <v>989</v>
      </c>
      <c r="I28" s="500" t="s">
        <v>985</v>
      </c>
    </row>
    <row r="29" spans="1:9">
      <c r="A29" s="505"/>
      <c r="B29" s="515"/>
      <c r="C29" s="507"/>
      <c r="D29" s="508"/>
      <c r="E29" s="509"/>
      <c r="F29" s="509"/>
      <c r="G29" s="510" t="e">
        <v>#N/A</v>
      </c>
      <c r="H29" s="508"/>
      <c r="I29" s="515"/>
    </row>
    <row r="30" spans="1:9" ht="39.6">
      <c r="A30" s="499">
        <v>58</v>
      </c>
      <c r="B30" s="500" t="s">
        <v>990</v>
      </c>
      <c r="C30" s="501" t="s">
        <v>991</v>
      </c>
      <c r="D30" s="502" t="s">
        <v>992</v>
      </c>
      <c r="E30" s="503" t="e">
        <v>#N/A</v>
      </c>
      <c r="F30" s="503" t="e">
        <v>#N/A</v>
      </c>
      <c r="G30" s="504" t="e">
        <v>#N/A</v>
      </c>
      <c r="H30" s="502" t="s">
        <v>993</v>
      </c>
      <c r="I30" s="500" t="s">
        <v>990</v>
      </c>
    </row>
    <row r="31" spans="1:9">
      <c r="A31" s="505"/>
      <c r="B31" s="515"/>
      <c r="C31" s="507"/>
      <c r="D31" s="513"/>
      <c r="E31" s="509"/>
      <c r="F31" s="509"/>
      <c r="G31" s="510" t="e">
        <v>#N/A</v>
      </c>
      <c r="H31" s="508"/>
      <c r="I31" s="515"/>
    </row>
    <row r="32" spans="1:9" ht="26.4">
      <c r="A32" s="499">
        <v>60</v>
      </c>
      <c r="B32" s="500" t="s">
        <v>994</v>
      </c>
      <c r="C32" s="501" t="s">
        <v>298</v>
      </c>
      <c r="D32" s="502" t="s">
        <v>297</v>
      </c>
      <c r="E32" s="503" t="s">
        <v>301</v>
      </c>
      <c r="F32" s="503" t="s">
        <v>119</v>
      </c>
      <c r="G32" s="504">
        <v>411576</v>
      </c>
      <c r="H32" s="502" t="s">
        <v>995</v>
      </c>
      <c r="I32" s="500" t="s">
        <v>994</v>
      </c>
    </row>
    <row r="33" spans="1:9" ht="26.4">
      <c r="A33" s="499">
        <v>63</v>
      </c>
      <c r="B33" s="500" t="s">
        <v>994</v>
      </c>
      <c r="C33" s="501" t="s">
        <v>996</v>
      </c>
      <c r="D33" s="502" t="s">
        <v>997</v>
      </c>
      <c r="E33" s="503" t="e">
        <v>#N/A</v>
      </c>
      <c r="F33" s="503" t="e">
        <v>#N/A</v>
      </c>
      <c r="G33" s="504" t="e">
        <v>#N/A</v>
      </c>
      <c r="H33" s="502" t="s">
        <v>998</v>
      </c>
      <c r="I33" s="500" t="s">
        <v>994</v>
      </c>
    </row>
    <row r="34" spans="1:9" ht="26.4">
      <c r="A34" s="499">
        <v>67</v>
      </c>
      <c r="B34" s="500" t="s">
        <v>994</v>
      </c>
      <c r="C34" s="501" t="s">
        <v>999</v>
      </c>
      <c r="D34" s="502" t="s">
        <v>1000</v>
      </c>
      <c r="E34" s="503" t="e">
        <v>#N/A</v>
      </c>
      <c r="F34" s="503" t="e">
        <v>#N/A</v>
      </c>
      <c r="G34" s="504" t="e">
        <v>#N/A</v>
      </c>
      <c r="H34" s="502" t="s">
        <v>1001</v>
      </c>
      <c r="I34" s="500" t="s">
        <v>994</v>
      </c>
    </row>
    <row r="35" spans="1:9">
      <c r="A35" s="505"/>
      <c r="B35" s="515"/>
      <c r="C35" s="507"/>
      <c r="D35" s="508"/>
      <c r="E35" s="511"/>
      <c r="F35" s="512"/>
      <c r="G35" s="510" t="e">
        <v>#N/A</v>
      </c>
      <c r="H35" s="508"/>
      <c r="I35" s="515"/>
    </row>
    <row r="36" spans="1:9" ht="39.6">
      <c r="A36" s="499">
        <v>71</v>
      </c>
      <c r="B36" s="500" t="s">
        <v>1002</v>
      </c>
      <c r="C36" s="501" t="s">
        <v>385</v>
      </c>
      <c r="D36" s="502" t="s">
        <v>384</v>
      </c>
      <c r="E36" s="503" t="s">
        <v>387</v>
      </c>
      <c r="F36" s="503" t="s">
        <v>388</v>
      </c>
      <c r="G36" s="504" t="e">
        <v>#REF!</v>
      </c>
      <c r="H36" s="502" t="s">
        <v>1003</v>
      </c>
      <c r="I36" s="500" t="s">
        <v>1002</v>
      </c>
    </row>
    <row r="37" spans="1:9">
      <c r="A37" s="505"/>
      <c r="B37" s="515"/>
      <c r="C37" s="507"/>
      <c r="D37" s="508"/>
      <c r="E37" s="511"/>
      <c r="F37" s="512"/>
      <c r="G37" s="510" t="e">
        <v>#REF!</v>
      </c>
      <c r="H37" s="508"/>
      <c r="I37" s="515"/>
    </row>
    <row r="38" spans="1:9">
      <c r="A38" s="499">
        <v>75</v>
      </c>
      <c r="B38" s="500" t="s">
        <v>1004</v>
      </c>
      <c r="C38" s="518" t="s">
        <v>385</v>
      </c>
      <c r="D38" s="518" t="s">
        <v>384</v>
      </c>
      <c r="E38" s="503" t="e">
        <v>#N/A</v>
      </c>
      <c r="F38" s="503" t="e">
        <v>#N/A</v>
      </c>
      <c r="G38" s="504" t="e">
        <v>#REF!</v>
      </c>
      <c r="H38" s="502" t="s">
        <v>1005</v>
      </c>
      <c r="I38" s="500" t="s">
        <v>1004</v>
      </c>
    </row>
    <row r="39" spans="1:9">
      <c r="A39" s="505"/>
      <c r="B39" s="519"/>
      <c r="C39" s="507"/>
      <c r="D39" s="508"/>
      <c r="E39" s="511"/>
      <c r="F39" s="512"/>
      <c r="G39" s="510" t="e">
        <v>#REF!</v>
      </c>
      <c r="H39" s="520"/>
      <c r="I39" s="519"/>
    </row>
  </sheetData>
  <conditionalFormatting sqref="C3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2401"/>
  <sheetViews>
    <sheetView workbookViewId="0"/>
  </sheetViews>
  <sheetFormatPr defaultColWidth="14.44140625" defaultRowHeight="15" customHeight="1"/>
  <cols>
    <col min="1" max="1" width="8.6640625" customWidth="1"/>
    <col min="2" max="2" width="29.33203125" customWidth="1"/>
    <col min="3" max="3" width="30.109375" customWidth="1"/>
    <col min="4" max="4" width="29.33203125" customWidth="1"/>
    <col min="5" max="6" width="8.6640625" customWidth="1"/>
    <col min="7" max="7" width="29.109375" customWidth="1"/>
    <col min="8" max="26" width="8.6640625" customWidth="1"/>
  </cols>
  <sheetData>
    <row r="1" spans="1:26" ht="20.25" customHeight="1">
      <c r="A1" s="53"/>
      <c r="B1" s="53"/>
      <c r="C1" s="53"/>
      <c r="D1" s="53"/>
      <c r="E1" s="53"/>
      <c r="F1" s="53"/>
      <c r="G1" s="79" t="s">
        <v>424</v>
      </c>
      <c r="H1" s="80">
        <v>24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20.25" customHeight="1">
      <c r="A2" s="53"/>
      <c r="B2" s="53"/>
      <c r="C2" s="53"/>
      <c r="D2" s="53"/>
      <c r="E2" s="53"/>
      <c r="F2" s="53"/>
      <c r="G2" s="79" t="s">
        <v>425</v>
      </c>
      <c r="H2" s="81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27" customHeight="1">
      <c r="A3" s="53"/>
      <c r="B3" s="475" t="s">
        <v>426</v>
      </c>
      <c r="C3" s="476"/>
      <c r="D3" s="477"/>
      <c r="E3" s="53"/>
      <c r="F3" s="53"/>
      <c r="G3" s="79" t="s">
        <v>427</v>
      </c>
      <c r="H3" s="81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20.25" customHeight="1">
      <c r="A4" s="53"/>
      <c r="B4" s="82"/>
      <c r="C4" s="82"/>
      <c r="D4" s="82"/>
      <c r="E4" s="53"/>
      <c r="F4" s="53"/>
      <c r="G4" s="79" t="s">
        <v>428</v>
      </c>
      <c r="H4" s="81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24.75" customHeight="1">
      <c r="A5" s="83"/>
      <c r="B5" s="84" t="s">
        <v>429</v>
      </c>
      <c r="C5" s="106" t="e">
        <f>VLOOKUP(H1,#REF!,3,0)</f>
        <v>#REF!</v>
      </c>
      <c r="D5" s="86" t="s">
        <v>430</v>
      </c>
      <c r="E5" s="64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32.25" customHeight="1">
      <c r="A6" s="83"/>
      <c r="B6" s="87" t="s">
        <v>431</v>
      </c>
      <c r="C6" s="88" t="e">
        <f>VLOOKUP($C$5,#REF!,4,0)</f>
        <v>#REF!</v>
      </c>
      <c r="D6" s="89"/>
      <c r="E6" s="64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20.25" customHeight="1">
      <c r="A7" s="83"/>
      <c r="B7" s="87" t="s">
        <v>16</v>
      </c>
      <c r="C7" s="88">
        <v>26</v>
      </c>
      <c r="D7" s="89"/>
      <c r="E7" s="64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20.25" customHeight="1">
      <c r="A8" s="83"/>
      <c r="B8" s="87" t="s">
        <v>17</v>
      </c>
      <c r="C8" s="90" t="e">
        <f>VLOOKUP($C$5,#REF!,11,0)</f>
        <v>#REF!</v>
      </c>
      <c r="D8" s="89"/>
      <c r="E8" s="64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20.25" customHeight="1">
      <c r="A9" s="83"/>
      <c r="B9" s="87" t="s">
        <v>432</v>
      </c>
      <c r="C9" s="90" t="e">
        <f>VLOOKUP($C$5,#REF!,12,0)</f>
        <v>#REF!</v>
      </c>
      <c r="D9" s="89"/>
      <c r="E9" s="64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20.25" customHeight="1">
      <c r="A10" s="83"/>
      <c r="B10" s="87" t="s">
        <v>433</v>
      </c>
      <c r="C10" s="91" t="e">
        <f>VLOOKUP($C$5,#REF!,13,0)</f>
        <v>#REF!</v>
      </c>
      <c r="D10" s="89"/>
      <c r="E10" s="64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20.25" customHeight="1">
      <c r="A11" s="83"/>
      <c r="B11" s="87" t="s">
        <v>434</v>
      </c>
      <c r="C11" s="91" t="e">
        <f>VLOOKUP($C$5,#REF!,15,0)</f>
        <v>#REF!</v>
      </c>
      <c r="D11" s="89"/>
      <c r="E11" s="64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20.25" customHeight="1">
      <c r="A12" s="83"/>
      <c r="B12" s="87" t="s">
        <v>435</v>
      </c>
      <c r="C12" s="91" t="e">
        <f>VLOOKUP($C$5,#REF!,16,0)</f>
        <v>#REF!</v>
      </c>
      <c r="D12" s="89"/>
      <c r="E12" s="64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20.25" customHeight="1">
      <c r="A13" s="83"/>
      <c r="B13" s="87" t="s">
        <v>436</v>
      </c>
      <c r="C13" s="91" t="e">
        <f>VLOOKUP($C$5,#REF!,17,0)</f>
        <v>#REF!</v>
      </c>
      <c r="D13" s="89"/>
      <c r="E13" s="64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20.25" customHeight="1">
      <c r="A14" s="83"/>
      <c r="B14" s="87" t="s">
        <v>437</v>
      </c>
      <c r="C14" s="91" t="e">
        <f>VLOOKUP($C$5,#REF!,18,0)</f>
        <v>#REF!</v>
      </c>
      <c r="D14" s="89"/>
      <c r="E14" s="64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20.25" customHeight="1">
      <c r="A15" s="83"/>
      <c r="B15" s="87" t="s">
        <v>438</v>
      </c>
      <c r="C15" s="91" t="e">
        <f>VLOOKUP($C$5,#REF!,20,0)</f>
        <v>#REF!</v>
      </c>
      <c r="D15" s="89"/>
      <c r="E15" s="64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20.25" customHeight="1">
      <c r="A16" s="83"/>
      <c r="B16" s="92" t="s">
        <v>32</v>
      </c>
      <c r="C16" s="93" t="e">
        <f>SUM(C11:C15)</f>
        <v>#REF!</v>
      </c>
      <c r="D16" s="89"/>
      <c r="E16" s="64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0.25" customHeight="1">
      <c r="A17" s="83"/>
      <c r="B17" s="92" t="s">
        <v>35</v>
      </c>
      <c r="C17" s="94" t="e">
        <f>VLOOKUP($C$5,#REF!,27,0)</f>
        <v>#REF!</v>
      </c>
      <c r="D17" s="89"/>
      <c r="E17" s="64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20.25" customHeight="1">
      <c r="A18" s="83"/>
      <c r="B18" s="92" t="s">
        <v>439</v>
      </c>
      <c r="C18" s="93" t="e">
        <f>SUM(C19:C23)+C17</f>
        <v>#REF!</v>
      </c>
      <c r="D18" s="89"/>
      <c r="E18" s="64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20.25" customHeight="1">
      <c r="A19" s="83"/>
      <c r="B19" s="87" t="s">
        <v>440</v>
      </c>
      <c r="C19" s="91" t="e">
        <f>VLOOKUP($C$5,#REF!,28,0)</f>
        <v>#REF!</v>
      </c>
      <c r="D19" s="89"/>
      <c r="E19" s="64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20.25" customHeight="1">
      <c r="A20" s="83"/>
      <c r="B20" s="87" t="s">
        <v>441</v>
      </c>
      <c r="C20" s="91" t="e">
        <f>VLOOKUP($C$5,#REF!,30,0)</f>
        <v>#REF!</v>
      </c>
      <c r="D20" s="89"/>
      <c r="E20" s="64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30" customHeight="1">
      <c r="A21" s="83"/>
      <c r="B21" s="87" t="s">
        <v>442</v>
      </c>
      <c r="C21" s="91" t="e">
        <f>VLOOKUP(C5,#REF!,31,0)</f>
        <v>#REF!</v>
      </c>
      <c r="D21" s="89"/>
      <c r="E21" s="64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20.25" customHeight="1">
      <c r="A22" s="83"/>
      <c r="B22" s="87" t="s">
        <v>443</v>
      </c>
      <c r="C22" s="91" t="e">
        <f>VLOOKUP($C$5,#REF!,32,0)</f>
        <v>#REF!</v>
      </c>
      <c r="D22" s="89"/>
      <c r="E22" s="64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20.25" customHeight="1">
      <c r="A23" s="83"/>
      <c r="B23" s="87" t="s">
        <v>444</v>
      </c>
      <c r="C23" s="91" t="e">
        <f>VLOOKUP($C$5,#REF!,36,0)</f>
        <v>#REF!</v>
      </c>
      <c r="D23" s="89"/>
      <c r="E23" s="64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30" customHeight="1">
      <c r="A24" s="83"/>
      <c r="B24" s="92" t="s">
        <v>445</v>
      </c>
      <c r="C24" s="95" t="e">
        <f>SUM(C25:C27)</f>
        <v>#REF!</v>
      </c>
      <c r="D24" s="89"/>
      <c r="E24" s="64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20.25" customHeight="1">
      <c r="A25" s="83"/>
      <c r="B25" s="87" t="s">
        <v>446</v>
      </c>
      <c r="C25" s="91" t="e">
        <f>VLOOKUP($C$5,#REF!,57,0)</f>
        <v>#REF!</v>
      </c>
      <c r="D25" s="89"/>
      <c r="E25" s="64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20.25" customHeight="1">
      <c r="A26" s="83"/>
      <c r="B26" s="87" t="s">
        <v>84</v>
      </c>
      <c r="C26" s="91" t="e">
        <f>VLOOKUP($C$5,#REF!,60,0)</f>
        <v>#REF!</v>
      </c>
      <c r="D26" s="89"/>
      <c r="E26" s="64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20.25" customHeight="1">
      <c r="A27" s="83"/>
      <c r="B27" s="96" t="s">
        <v>447</v>
      </c>
      <c r="C27" s="97" t="e">
        <f>VLOOKUP($C$5,#REF!,63,0)</f>
        <v>#REF!</v>
      </c>
      <c r="D27" s="98"/>
      <c r="E27" s="64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20.25" customHeight="1">
      <c r="A28" s="83"/>
      <c r="B28" s="99" t="s">
        <v>448</v>
      </c>
      <c r="C28" s="100" t="e">
        <f>C18-C24</f>
        <v>#REF!</v>
      </c>
      <c r="D28" s="101"/>
      <c r="E28" s="64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20.25" customHeight="1">
      <c r="A29" s="53"/>
      <c r="B29" s="102"/>
      <c r="C29" s="102"/>
      <c r="D29" s="102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20.2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20.2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20.2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20.2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20.2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20.2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20.2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20.2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20.2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20.2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20.2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20.2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20.2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20.2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20.2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20.2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20.2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20.2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20.2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20.2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20.2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20.2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20.2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20.2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20.2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20.2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20.2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20.2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20.2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20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20.2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20.2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20.2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20.2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20.2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20.2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20.2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20.2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20.2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20.2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20.2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20.2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20.2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20.2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20.2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20.2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20.2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20.2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20.2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20.2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20.2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20.2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20.2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20.2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20.2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20.2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20.2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20.2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20.2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20.2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20.2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20.2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20.2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20.2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20.2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20.2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20.2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20.2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20.2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20.2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20.2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20.2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20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20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20.2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20.2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20.2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20.2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20.2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20.2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20.2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20.2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20.2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20.2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20.2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20.2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20.2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20.2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20.2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20.2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20.2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20.2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20.2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20.2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20.2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20.2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20.2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20.2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20.2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20.2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103"/>
      <c r="B151" s="103"/>
      <c r="C151" s="104" t="e">
        <v>#REF!</v>
      </c>
      <c r="D151" s="10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103"/>
      <c r="B152" s="103"/>
      <c r="C152" s="104" t="e">
        <v>#REF!</v>
      </c>
      <c r="D152" s="10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103"/>
      <c r="B153" s="103"/>
      <c r="C153" s="104" t="e">
        <v>#REF!</v>
      </c>
      <c r="D153" s="10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103"/>
      <c r="B154" s="103"/>
      <c r="C154" s="104" t="e">
        <v>#REF!</v>
      </c>
      <c r="D154" s="10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103"/>
      <c r="B155" s="103"/>
      <c r="C155" s="104" t="e">
        <v>#REF!</v>
      </c>
      <c r="D155" s="10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103"/>
      <c r="B156" s="103"/>
      <c r="C156" s="104" t="e">
        <v>#REF!</v>
      </c>
      <c r="D156" s="10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103"/>
      <c r="B157" s="103"/>
      <c r="C157" s="104" t="e">
        <v>#REF!</v>
      </c>
      <c r="D157" s="10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103"/>
      <c r="B158" s="103"/>
      <c r="C158" s="104" t="e">
        <v>#REF!</v>
      </c>
      <c r="D158" s="10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103"/>
      <c r="B159" s="103"/>
      <c r="C159" s="104" t="e">
        <v>#REF!</v>
      </c>
      <c r="D159" s="10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103"/>
      <c r="B160" s="103"/>
      <c r="C160" s="104" t="e">
        <v>#REF!</v>
      </c>
      <c r="D160" s="10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103"/>
      <c r="B161" s="103"/>
      <c r="C161" s="104" t="e">
        <v>#REF!</v>
      </c>
      <c r="D161" s="10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103"/>
      <c r="B162" s="103"/>
      <c r="C162" s="104" t="e">
        <v>#REF!</v>
      </c>
      <c r="D162" s="10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103"/>
      <c r="B163" s="103"/>
      <c r="C163" s="104" t="e">
        <v>#REF!</v>
      </c>
      <c r="D163" s="10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103"/>
      <c r="B164" s="103"/>
      <c r="C164" s="104" t="e">
        <v>#REF!</v>
      </c>
      <c r="D164" s="10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103"/>
      <c r="B165" s="103"/>
      <c r="C165" s="104" t="e">
        <v>#REF!</v>
      </c>
      <c r="D165" s="10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103"/>
      <c r="B166" s="103"/>
      <c r="C166" s="104" t="e">
        <v>#REF!</v>
      </c>
      <c r="D166" s="10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103"/>
      <c r="B167" s="103"/>
      <c r="C167" s="104" t="e">
        <v>#REF!</v>
      </c>
      <c r="D167" s="10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103"/>
      <c r="B168" s="103"/>
      <c r="C168" s="104" t="e">
        <v>#REF!</v>
      </c>
      <c r="D168" s="10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103"/>
      <c r="B169" s="103"/>
      <c r="C169" s="104" t="e">
        <v>#REF!</v>
      </c>
      <c r="D169" s="10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103"/>
      <c r="B170" s="103"/>
      <c r="C170" s="104" t="e">
        <v>#REF!</v>
      </c>
      <c r="D170" s="10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103"/>
      <c r="B171" s="103"/>
      <c r="C171" s="104" t="e">
        <v>#REF!</v>
      </c>
      <c r="D171" s="10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103"/>
      <c r="B172" s="103"/>
      <c r="C172" s="104" t="e">
        <v>#REF!</v>
      </c>
      <c r="D172" s="10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103"/>
      <c r="B173" s="103"/>
      <c r="C173" s="104" t="e">
        <v>#REF!</v>
      </c>
      <c r="D173" s="10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103"/>
      <c r="B174" s="103"/>
      <c r="C174" s="104" t="e">
        <v>#REF!</v>
      </c>
      <c r="D174" s="10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103"/>
      <c r="B175" s="103"/>
      <c r="C175" s="104" t="e">
        <v>#REF!</v>
      </c>
      <c r="D175" s="10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103"/>
      <c r="B176" s="103"/>
      <c r="C176" s="104" t="e">
        <v>#REF!</v>
      </c>
      <c r="D176" s="10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103"/>
      <c r="B177" s="103"/>
      <c r="C177" s="104" t="e">
        <v>#REF!</v>
      </c>
      <c r="D177" s="10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103"/>
      <c r="B178" s="103"/>
      <c r="C178" s="104" t="e">
        <v>#REF!</v>
      </c>
      <c r="D178" s="10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103"/>
      <c r="B179" s="103"/>
      <c r="C179" s="104" t="e">
        <v>#REF!</v>
      </c>
      <c r="D179" s="10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103"/>
      <c r="B180" s="103"/>
      <c r="C180" s="104" t="e">
        <v>#REF!</v>
      </c>
      <c r="D180" s="10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103"/>
      <c r="B181" s="103"/>
      <c r="C181" s="104" t="e">
        <v>#REF!</v>
      </c>
      <c r="D181" s="10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103"/>
      <c r="B182" s="103"/>
      <c r="C182" s="104" t="e">
        <v>#REF!</v>
      </c>
      <c r="D182" s="10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103"/>
      <c r="B183" s="103"/>
      <c r="C183" s="104" t="e">
        <v>#REF!</v>
      </c>
      <c r="D183" s="10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103"/>
      <c r="B184" s="103"/>
      <c r="C184" s="104" t="e">
        <v>#REF!</v>
      </c>
      <c r="D184" s="10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103"/>
      <c r="B185" s="103"/>
      <c r="C185" s="104" t="e">
        <v>#REF!</v>
      </c>
      <c r="D185" s="10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103"/>
      <c r="B186" s="103"/>
      <c r="C186" s="104" t="e">
        <v>#REF!</v>
      </c>
      <c r="D186" s="10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103"/>
      <c r="B187" s="103"/>
      <c r="C187" s="104" t="e">
        <v>#REF!</v>
      </c>
      <c r="D187" s="10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103"/>
      <c r="B188" s="103"/>
      <c r="C188" s="104" t="e">
        <v>#REF!</v>
      </c>
      <c r="D188" s="10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103"/>
      <c r="B189" s="103"/>
      <c r="C189" s="104" t="e">
        <v>#REF!</v>
      </c>
      <c r="D189" s="10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103"/>
      <c r="B190" s="103"/>
      <c r="C190" s="104" t="e">
        <v>#REF!</v>
      </c>
      <c r="D190" s="10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103"/>
      <c r="B191" s="103"/>
      <c r="C191" s="104" t="e">
        <v>#REF!</v>
      </c>
      <c r="D191" s="10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103"/>
      <c r="B192" s="103"/>
      <c r="C192" s="104" t="e">
        <v>#REF!</v>
      </c>
      <c r="D192" s="10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103"/>
      <c r="B193" s="103"/>
      <c r="C193" s="104" t="e">
        <v>#REF!</v>
      </c>
      <c r="D193" s="10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103"/>
      <c r="B194" s="103"/>
      <c r="C194" s="104" t="e">
        <v>#REF!</v>
      </c>
      <c r="D194" s="10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103"/>
      <c r="B195" s="103"/>
      <c r="C195" s="104" t="e">
        <v>#REF!</v>
      </c>
      <c r="D195" s="10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103"/>
      <c r="B196" s="103"/>
      <c r="C196" s="104" t="e">
        <v>#REF!</v>
      </c>
      <c r="D196" s="10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103"/>
      <c r="B197" s="103"/>
      <c r="C197" s="104" t="e">
        <v>#REF!</v>
      </c>
      <c r="D197" s="10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103"/>
      <c r="B198" s="103"/>
      <c r="C198" s="104" t="e">
        <v>#REF!</v>
      </c>
      <c r="D198" s="10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103"/>
      <c r="B199" s="103"/>
      <c r="C199" s="104" t="e">
        <v>#REF!</v>
      </c>
      <c r="D199" s="10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103"/>
      <c r="B200" s="103"/>
      <c r="C200" s="104" t="e">
        <v>#REF!</v>
      </c>
      <c r="D200" s="10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103"/>
      <c r="B201" s="103"/>
      <c r="C201" s="104" t="e">
        <v>#REF!</v>
      </c>
      <c r="D201" s="10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103"/>
      <c r="B202" s="103"/>
      <c r="C202" s="104" t="e">
        <v>#REF!</v>
      </c>
      <c r="D202" s="10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103"/>
      <c r="B203" s="103"/>
      <c r="C203" s="104" t="e">
        <v>#REF!</v>
      </c>
      <c r="D203" s="10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103"/>
      <c r="B204" s="103"/>
      <c r="C204" s="104" t="e">
        <v>#REF!</v>
      </c>
      <c r="D204" s="10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103"/>
      <c r="B205" s="103"/>
      <c r="C205" s="104" t="e">
        <v>#REF!</v>
      </c>
      <c r="D205" s="10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103"/>
      <c r="B206" s="103"/>
      <c r="C206" s="104" t="e">
        <v>#REF!</v>
      </c>
      <c r="D206" s="10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103"/>
      <c r="B207" s="103"/>
      <c r="C207" s="104" t="e">
        <v>#REF!</v>
      </c>
      <c r="D207" s="10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103"/>
      <c r="B208" s="103"/>
      <c r="C208" s="104" t="e">
        <v>#REF!</v>
      </c>
      <c r="D208" s="10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103"/>
      <c r="B209" s="103"/>
      <c r="C209" s="104" t="e">
        <v>#REF!</v>
      </c>
      <c r="D209" s="10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103"/>
      <c r="B210" s="103"/>
      <c r="C210" s="104" t="e">
        <v>#REF!</v>
      </c>
      <c r="D210" s="10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103"/>
      <c r="B211" s="103"/>
      <c r="C211" s="104" t="e">
        <v>#REF!</v>
      </c>
      <c r="D211" s="10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103"/>
      <c r="B212" s="103"/>
      <c r="C212" s="104" t="e">
        <v>#REF!</v>
      </c>
      <c r="D212" s="10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103"/>
      <c r="B213" s="103"/>
      <c r="C213" s="104" t="e">
        <v>#REF!</v>
      </c>
      <c r="D213" s="10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103"/>
      <c r="B214" s="103"/>
      <c r="C214" s="104" t="e">
        <v>#REF!</v>
      </c>
      <c r="D214" s="10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103"/>
      <c r="B215" s="103"/>
      <c r="C215" s="104" t="e">
        <v>#REF!</v>
      </c>
      <c r="D215" s="10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103"/>
      <c r="B216" s="103"/>
      <c r="C216" s="104" t="e">
        <v>#REF!</v>
      </c>
      <c r="D216" s="10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103"/>
      <c r="B217" s="103"/>
      <c r="C217" s="104" t="e">
        <v>#REF!</v>
      </c>
      <c r="D217" s="10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103"/>
      <c r="B218" s="103"/>
      <c r="C218" s="104" t="e">
        <v>#REF!</v>
      </c>
      <c r="D218" s="10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103"/>
      <c r="B219" s="103"/>
      <c r="C219" s="104" t="e">
        <v>#REF!</v>
      </c>
      <c r="D219" s="10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103"/>
      <c r="B220" s="103"/>
      <c r="C220" s="104" t="e">
        <v>#REF!</v>
      </c>
      <c r="D220" s="10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103"/>
      <c r="B221" s="103"/>
      <c r="C221" s="104" t="e">
        <v>#REF!</v>
      </c>
      <c r="D221" s="10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103"/>
      <c r="B222" s="103"/>
      <c r="C222" s="104" t="e">
        <v>#REF!</v>
      </c>
      <c r="D222" s="10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103"/>
      <c r="B223" s="103"/>
      <c r="C223" s="104" t="e">
        <v>#REF!</v>
      </c>
      <c r="D223" s="10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103"/>
      <c r="B224" s="103"/>
      <c r="C224" s="104" t="e">
        <v>#REF!</v>
      </c>
      <c r="D224" s="10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103"/>
      <c r="B225" s="103"/>
      <c r="C225" s="104" t="e">
        <v>#REF!</v>
      </c>
      <c r="D225" s="10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103"/>
      <c r="B226" s="103"/>
      <c r="C226" s="104" t="e">
        <v>#REF!</v>
      </c>
      <c r="D226" s="10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103"/>
      <c r="B227" s="103"/>
      <c r="C227" s="104" t="e">
        <v>#REF!</v>
      </c>
      <c r="D227" s="10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103"/>
      <c r="B228" s="103"/>
      <c r="C228" s="104" t="e">
        <v>#REF!</v>
      </c>
      <c r="D228" s="10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103"/>
      <c r="B229" s="103"/>
      <c r="C229" s="104" t="e">
        <v>#REF!</v>
      </c>
      <c r="D229" s="10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103"/>
      <c r="B230" s="103"/>
      <c r="C230" s="104" t="e">
        <v>#REF!</v>
      </c>
      <c r="D230" s="10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103"/>
      <c r="B231" s="103"/>
      <c r="C231" s="104" t="e">
        <v>#REF!</v>
      </c>
      <c r="D231" s="10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103"/>
      <c r="B232" s="103"/>
      <c r="C232" s="104" t="e">
        <v>#REF!</v>
      </c>
      <c r="D232" s="10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103"/>
      <c r="B233" s="103"/>
      <c r="C233" s="104" t="e">
        <v>#REF!</v>
      </c>
      <c r="D233" s="10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103"/>
      <c r="B234" s="103"/>
      <c r="C234" s="104" t="e">
        <v>#REF!</v>
      </c>
      <c r="D234" s="10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103"/>
      <c r="B235" s="103"/>
      <c r="C235" s="104" t="e">
        <v>#REF!</v>
      </c>
      <c r="D235" s="10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103"/>
      <c r="B236" s="103"/>
      <c r="C236" s="104" t="e">
        <v>#REF!</v>
      </c>
      <c r="D236" s="10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103"/>
      <c r="B237" s="103"/>
      <c r="C237" s="104" t="e">
        <v>#REF!</v>
      </c>
      <c r="D237" s="10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103"/>
      <c r="B238" s="103"/>
      <c r="C238" s="104" t="e">
        <v>#REF!</v>
      </c>
      <c r="D238" s="10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103"/>
      <c r="B239" s="103"/>
      <c r="C239" s="104" t="e">
        <v>#REF!</v>
      </c>
      <c r="D239" s="10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103"/>
      <c r="B240" s="103"/>
      <c r="C240" s="104" t="e">
        <v>#REF!</v>
      </c>
      <c r="D240" s="10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103"/>
      <c r="B241" s="103"/>
      <c r="C241" s="104" t="e">
        <v>#REF!</v>
      </c>
      <c r="D241" s="10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103"/>
      <c r="B242" s="103"/>
      <c r="C242" s="104" t="e">
        <v>#REF!</v>
      </c>
      <c r="D242" s="10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103"/>
      <c r="B243" s="103"/>
      <c r="C243" s="104" t="e">
        <v>#REF!</v>
      </c>
      <c r="D243" s="10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103"/>
      <c r="B244" s="103"/>
      <c r="C244" s="104" t="e">
        <v>#REF!</v>
      </c>
      <c r="D244" s="10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103"/>
      <c r="B245" s="103"/>
      <c r="C245" s="104" t="e">
        <v>#REF!</v>
      </c>
      <c r="D245" s="10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103"/>
      <c r="B246" s="103"/>
      <c r="C246" s="104" t="e">
        <v>#REF!</v>
      </c>
      <c r="D246" s="10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103"/>
      <c r="B247" s="103"/>
      <c r="C247" s="104" t="e">
        <v>#REF!</v>
      </c>
      <c r="D247" s="10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103"/>
      <c r="B248" s="103"/>
      <c r="C248" s="104" t="e">
        <v>#REF!</v>
      </c>
      <c r="D248" s="10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103"/>
      <c r="B249" s="103"/>
      <c r="C249" s="104" t="e">
        <v>#REF!</v>
      </c>
      <c r="D249" s="10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103"/>
      <c r="B250" s="103"/>
      <c r="C250" s="104" t="e">
        <v>#REF!</v>
      </c>
      <c r="D250" s="10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103"/>
      <c r="B251" s="103"/>
      <c r="C251" s="104" t="e">
        <v>#REF!</v>
      </c>
      <c r="D251" s="10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103"/>
      <c r="B252" s="103"/>
      <c r="C252" s="104" t="e">
        <v>#REF!</v>
      </c>
      <c r="D252" s="10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103"/>
      <c r="B253" s="103"/>
      <c r="C253" s="104" t="e">
        <v>#REF!</v>
      </c>
      <c r="D253" s="10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103"/>
      <c r="B254" s="103"/>
      <c r="C254" s="104" t="e">
        <v>#REF!</v>
      </c>
      <c r="D254" s="10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103"/>
      <c r="B255" s="103"/>
      <c r="C255" s="104" t="e">
        <v>#REF!</v>
      </c>
      <c r="D255" s="10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103"/>
      <c r="B256" s="103"/>
      <c r="C256" s="104" t="e">
        <v>#REF!</v>
      </c>
      <c r="D256" s="10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103"/>
      <c r="B257" s="103"/>
      <c r="C257" s="104" t="e">
        <v>#REF!</v>
      </c>
      <c r="D257" s="10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103"/>
      <c r="B258" s="103"/>
      <c r="C258" s="104" t="e">
        <v>#REF!</v>
      </c>
      <c r="D258" s="10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103"/>
      <c r="B259" s="103"/>
      <c r="C259" s="104" t="e">
        <v>#REF!</v>
      </c>
      <c r="D259" s="10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103"/>
      <c r="B260" s="103"/>
      <c r="C260" s="104" t="e">
        <v>#REF!</v>
      </c>
      <c r="D260" s="10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103"/>
      <c r="B261" s="103"/>
      <c r="C261" s="104" t="e">
        <v>#REF!</v>
      </c>
      <c r="D261" s="10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103"/>
      <c r="B262" s="103"/>
      <c r="C262" s="104" t="e">
        <v>#REF!</v>
      </c>
      <c r="D262" s="10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103"/>
      <c r="B263" s="103"/>
      <c r="C263" s="104" t="e">
        <v>#REF!</v>
      </c>
      <c r="D263" s="10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103"/>
      <c r="B264" s="103"/>
      <c r="C264" s="104" t="e">
        <v>#REF!</v>
      </c>
      <c r="D264" s="10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103"/>
      <c r="B265" s="103"/>
      <c r="C265" s="104" t="e">
        <v>#REF!</v>
      </c>
      <c r="D265" s="10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103"/>
      <c r="B266" s="103"/>
      <c r="C266" s="104" t="e">
        <v>#REF!</v>
      </c>
      <c r="D266" s="10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103"/>
      <c r="B267" s="103"/>
      <c r="C267" s="104" t="e">
        <v>#REF!</v>
      </c>
      <c r="D267" s="10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103"/>
      <c r="B268" s="103"/>
      <c r="C268" s="104" t="e">
        <v>#REF!</v>
      </c>
      <c r="D268" s="10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103"/>
      <c r="B269" s="103"/>
      <c r="C269" s="104" t="e">
        <v>#REF!</v>
      </c>
      <c r="D269" s="10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103"/>
      <c r="B270" s="103"/>
      <c r="C270" s="104" t="e">
        <v>#REF!</v>
      </c>
      <c r="D270" s="10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103"/>
      <c r="B271" s="103"/>
      <c r="C271" s="104" t="e">
        <v>#REF!</v>
      </c>
      <c r="D271" s="10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103"/>
      <c r="B272" s="103"/>
      <c r="C272" s="104" t="e">
        <v>#REF!</v>
      </c>
      <c r="D272" s="10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103"/>
      <c r="B273" s="103"/>
      <c r="C273" s="104" t="e">
        <v>#REF!</v>
      </c>
      <c r="D273" s="10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103"/>
      <c r="B274" s="103"/>
      <c r="C274" s="104" t="e">
        <v>#REF!</v>
      </c>
      <c r="D274" s="10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103"/>
      <c r="B275" s="103"/>
      <c r="C275" s="104" t="e">
        <v>#REF!</v>
      </c>
      <c r="D275" s="10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103"/>
      <c r="B276" s="103"/>
      <c r="C276" s="104" t="e">
        <v>#REF!</v>
      </c>
      <c r="D276" s="10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103"/>
      <c r="B277" s="103"/>
      <c r="C277" s="104" t="e">
        <v>#REF!</v>
      </c>
      <c r="D277" s="10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103"/>
      <c r="B278" s="103"/>
      <c r="C278" s="104" t="e">
        <v>#REF!</v>
      </c>
      <c r="D278" s="10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103"/>
      <c r="B279" s="103"/>
      <c r="C279" s="104" t="e">
        <v>#REF!</v>
      </c>
      <c r="D279" s="10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103"/>
      <c r="B280" s="103"/>
      <c r="C280" s="104" t="e">
        <v>#REF!</v>
      </c>
      <c r="D280" s="10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103"/>
      <c r="B281" s="103"/>
      <c r="C281" s="104" t="e">
        <v>#REF!</v>
      </c>
      <c r="D281" s="10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103"/>
      <c r="B282" s="103"/>
      <c r="C282" s="104" t="e">
        <v>#REF!</v>
      </c>
      <c r="D282" s="10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103"/>
      <c r="B283" s="103"/>
      <c r="C283" s="104" t="e">
        <v>#REF!</v>
      </c>
      <c r="D283" s="10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103"/>
      <c r="B284" s="103"/>
      <c r="C284" s="104" t="e">
        <v>#REF!</v>
      </c>
      <c r="D284" s="10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103"/>
      <c r="B285" s="103"/>
      <c r="C285" s="104" t="e">
        <v>#REF!</v>
      </c>
      <c r="D285" s="10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103"/>
      <c r="B286" s="103"/>
      <c r="C286" s="104" t="e">
        <v>#REF!</v>
      </c>
      <c r="D286" s="10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103"/>
      <c r="B287" s="103"/>
      <c r="C287" s="104" t="e">
        <v>#REF!</v>
      </c>
      <c r="D287" s="10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103"/>
      <c r="B288" s="103"/>
      <c r="C288" s="104" t="e">
        <v>#REF!</v>
      </c>
      <c r="D288" s="10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103"/>
      <c r="B289" s="103"/>
      <c r="C289" s="104" t="e">
        <v>#REF!</v>
      </c>
      <c r="D289" s="10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103"/>
      <c r="B290" s="103"/>
      <c r="C290" s="104" t="e">
        <v>#REF!</v>
      </c>
      <c r="D290" s="10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103"/>
      <c r="B291" s="103"/>
      <c r="C291" s="104" t="e">
        <v>#REF!</v>
      </c>
      <c r="D291" s="10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103"/>
      <c r="B292" s="103"/>
      <c r="C292" s="104" t="e">
        <v>#REF!</v>
      </c>
      <c r="D292" s="10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103"/>
      <c r="B293" s="103"/>
      <c r="C293" s="104" t="e">
        <v>#REF!</v>
      </c>
      <c r="D293" s="10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103"/>
      <c r="B294" s="103"/>
      <c r="C294" s="104" t="e">
        <v>#REF!</v>
      </c>
      <c r="D294" s="10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103"/>
      <c r="B295" s="103"/>
      <c r="C295" s="104" t="e">
        <v>#REF!</v>
      </c>
      <c r="D295" s="10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103"/>
      <c r="B296" s="103"/>
      <c r="C296" s="104" t="e">
        <v>#REF!</v>
      </c>
      <c r="D296" s="10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103"/>
      <c r="B297" s="103"/>
      <c r="C297" s="104" t="e">
        <v>#REF!</v>
      </c>
      <c r="D297" s="10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103"/>
      <c r="B298" s="103"/>
      <c r="C298" s="104" t="e">
        <v>#REF!</v>
      </c>
      <c r="D298" s="10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103"/>
      <c r="B299" s="103"/>
      <c r="C299" s="104" t="e">
        <v>#REF!</v>
      </c>
      <c r="D299" s="10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103"/>
      <c r="B300" s="103"/>
      <c r="C300" s="104" t="e">
        <v>#REF!</v>
      </c>
      <c r="D300" s="10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103"/>
      <c r="B301" s="103"/>
      <c r="C301" s="104" t="e">
        <v>#REF!</v>
      </c>
      <c r="D301" s="10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103"/>
      <c r="B302" s="103"/>
      <c r="C302" s="104" t="e">
        <v>#REF!</v>
      </c>
      <c r="D302" s="10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103"/>
      <c r="B303" s="103"/>
      <c r="C303" s="104" t="e">
        <v>#REF!</v>
      </c>
      <c r="D303" s="10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103"/>
      <c r="B304" s="103"/>
      <c r="C304" s="104" t="e">
        <v>#REF!</v>
      </c>
      <c r="D304" s="10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103"/>
      <c r="B305" s="103"/>
      <c r="C305" s="104" t="e">
        <v>#REF!</v>
      </c>
      <c r="D305" s="10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103"/>
      <c r="B306" s="103"/>
      <c r="C306" s="104" t="e">
        <v>#REF!</v>
      </c>
      <c r="D306" s="10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103"/>
      <c r="B307" s="103"/>
      <c r="C307" s="104" t="e">
        <v>#REF!</v>
      </c>
      <c r="D307" s="10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103"/>
      <c r="B308" s="103"/>
      <c r="C308" s="104" t="e">
        <v>#REF!</v>
      </c>
      <c r="D308" s="10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103"/>
      <c r="B309" s="103"/>
      <c r="C309" s="104" t="e">
        <v>#REF!</v>
      </c>
      <c r="D309" s="10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103"/>
      <c r="B310" s="103"/>
      <c r="C310" s="104" t="e">
        <v>#REF!</v>
      </c>
      <c r="D310" s="10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103"/>
      <c r="B311" s="103"/>
      <c r="C311" s="104" t="e">
        <v>#REF!</v>
      </c>
      <c r="D311" s="10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103"/>
      <c r="B312" s="103"/>
      <c r="C312" s="104" t="e">
        <v>#REF!</v>
      </c>
      <c r="D312" s="10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103"/>
      <c r="B313" s="103"/>
      <c r="C313" s="104" t="e">
        <v>#REF!</v>
      </c>
      <c r="D313" s="10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103"/>
      <c r="B314" s="103"/>
      <c r="C314" s="104" t="e">
        <v>#REF!</v>
      </c>
      <c r="D314" s="10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103"/>
      <c r="B315" s="103"/>
      <c r="C315" s="104" t="e">
        <v>#REF!</v>
      </c>
      <c r="D315" s="10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103"/>
      <c r="B316" s="103"/>
      <c r="C316" s="104" t="e">
        <v>#REF!</v>
      </c>
      <c r="D316" s="10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103"/>
      <c r="B317" s="103"/>
      <c r="C317" s="104" t="e">
        <v>#REF!</v>
      </c>
      <c r="D317" s="10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103"/>
      <c r="B318" s="103"/>
      <c r="C318" s="104" t="e">
        <v>#REF!</v>
      </c>
      <c r="D318" s="10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103"/>
      <c r="B319" s="103"/>
      <c r="C319" s="104" t="e">
        <v>#REF!</v>
      </c>
      <c r="D319" s="10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103"/>
      <c r="B320" s="103"/>
      <c r="C320" s="104" t="e">
        <v>#REF!</v>
      </c>
      <c r="D320" s="10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103"/>
      <c r="B321" s="103"/>
      <c r="C321" s="104" t="e">
        <v>#REF!</v>
      </c>
      <c r="D321" s="10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103"/>
      <c r="B322" s="103"/>
      <c r="C322" s="104" t="e">
        <v>#REF!</v>
      </c>
      <c r="D322" s="10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103"/>
      <c r="B323" s="103"/>
      <c r="C323" s="104" t="e">
        <v>#REF!</v>
      </c>
      <c r="D323" s="10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103"/>
      <c r="B324" s="103"/>
      <c r="C324" s="104" t="e">
        <v>#REF!</v>
      </c>
      <c r="D324" s="10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103"/>
      <c r="B325" s="103"/>
      <c r="C325" s="104" t="e">
        <v>#REF!</v>
      </c>
      <c r="D325" s="10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103"/>
      <c r="B326" s="103"/>
      <c r="C326" s="104" t="e">
        <v>#REF!</v>
      </c>
      <c r="D326" s="10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103"/>
      <c r="B327" s="103"/>
      <c r="C327" s="104" t="e">
        <v>#REF!</v>
      </c>
      <c r="D327" s="10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103"/>
      <c r="B328" s="103"/>
      <c r="C328" s="104" t="e">
        <v>#REF!</v>
      </c>
      <c r="D328" s="10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103"/>
      <c r="B329" s="103"/>
      <c r="C329" s="104" t="e">
        <v>#REF!</v>
      </c>
      <c r="D329" s="10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103"/>
      <c r="B330" s="103"/>
      <c r="C330" s="104" t="e">
        <v>#REF!</v>
      </c>
      <c r="D330" s="10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103"/>
      <c r="B331" s="103"/>
      <c r="C331" s="104" t="e">
        <v>#REF!</v>
      </c>
      <c r="D331" s="10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103"/>
      <c r="B332" s="103"/>
      <c r="C332" s="104" t="e">
        <v>#REF!</v>
      </c>
      <c r="D332" s="10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103"/>
      <c r="B333" s="103"/>
      <c r="C333" s="104" t="e">
        <v>#REF!</v>
      </c>
      <c r="D333" s="10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103"/>
      <c r="B334" s="103"/>
      <c r="C334" s="104" t="e">
        <v>#REF!</v>
      </c>
      <c r="D334" s="10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103"/>
      <c r="B335" s="103"/>
      <c r="C335" s="104" t="e">
        <v>#REF!</v>
      </c>
      <c r="D335" s="10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103"/>
      <c r="B336" s="103"/>
      <c r="C336" s="104" t="e">
        <v>#REF!</v>
      </c>
      <c r="D336" s="10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103"/>
      <c r="B337" s="103"/>
      <c r="C337" s="104" t="e">
        <v>#REF!</v>
      </c>
      <c r="D337" s="10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103"/>
      <c r="B338" s="103"/>
      <c r="C338" s="104" t="e">
        <v>#REF!</v>
      </c>
      <c r="D338" s="10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103"/>
      <c r="B339" s="103"/>
      <c r="C339" s="104" t="e">
        <v>#REF!</v>
      </c>
      <c r="D339" s="10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103"/>
      <c r="B340" s="103"/>
      <c r="C340" s="104" t="e">
        <v>#REF!</v>
      </c>
      <c r="D340" s="10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103"/>
      <c r="B341" s="103"/>
      <c r="C341" s="104" t="e">
        <v>#REF!</v>
      </c>
      <c r="D341" s="10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103"/>
      <c r="B342" s="103"/>
      <c r="C342" s="104" t="e">
        <v>#REF!</v>
      </c>
      <c r="D342" s="10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103"/>
      <c r="B343" s="103"/>
      <c r="C343" s="104" t="e">
        <v>#REF!</v>
      </c>
      <c r="D343" s="10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103"/>
      <c r="B344" s="103"/>
      <c r="C344" s="104" t="e">
        <v>#REF!</v>
      </c>
      <c r="D344" s="10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103"/>
      <c r="B345" s="103"/>
      <c r="C345" s="104" t="e">
        <v>#REF!</v>
      </c>
      <c r="D345" s="10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103"/>
      <c r="B346" s="103"/>
      <c r="C346" s="104" t="e">
        <v>#REF!</v>
      </c>
      <c r="D346" s="10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103"/>
      <c r="B347" s="103"/>
      <c r="C347" s="104" t="e">
        <v>#REF!</v>
      </c>
      <c r="D347" s="10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103"/>
      <c r="B348" s="103"/>
      <c r="C348" s="104" t="e">
        <v>#REF!</v>
      </c>
      <c r="D348" s="10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103"/>
      <c r="B349" s="103"/>
      <c r="C349" s="104" t="e">
        <v>#REF!</v>
      </c>
      <c r="D349" s="10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103"/>
      <c r="B350" s="103"/>
      <c r="C350" s="104" t="e">
        <v>#REF!</v>
      </c>
      <c r="D350" s="10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103"/>
      <c r="B351" s="103"/>
      <c r="C351" s="104" t="e">
        <v>#REF!</v>
      </c>
      <c r="D351" s="10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103"/>
      <c r="B352" s="103"/>
      <c r="C352" s="104" t="e">
        <v>#REF!</v>
      </c>
      <c r="D352" s="10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103"/>
      <c r="B353" s="103"/>
      <c r="C353" s="104" t="e">
        <v>#REF!</v>
      </c>
      <c r="D353" s="10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103"/>
      <c r="B354" s="103"/>
      <c r="C354" s="104" t="e">
        <v>#REF!</v>
      </c>
      <c r="D354" s="10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103"/>
      <c r="B355" s="103"/>
      <c r="C355" s="104" t="e">
        <v>#REF!</v>
      </c>
      <c r="D355" s="10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103"/>
      <c r="B356" s="103"/>
      <c r="C356" s="104" t="e">
        <v>#REF!</v>
      </c>
      <c r="D356" s="10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103"/>
      <c r="B357" s="103"/>
      <c r="C357" s="104" t="e">
        <v>#REF!</v>
      </c>
      <c r="D357" s="10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103"/>
      <c r="B358" s="103"/>
      <c r="C358" s="104" t="e">
        <v>#REF!</v>
      </c>
      <c r="D358" s="10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103"/>
      <c r="B359" s="103"/>
      <c r="C359" s="104" t="e">
        <v>#REF!</v>
      </c>
      <c r="D359" s="10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103"/>
      <c r="B360" s="103"/>
      <c r="C360" s="104" t="e">
        <v>#REF!</v>
      </c>
      <c r="D360" s="10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103"/>
      <c r="B361" s="103"/>
      <c r="C361" s="104" t="e">
        <v>#REF!</v>
      </c>
      <c r="D361" s="10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103"/>
      <c r="B362" s="103"/>
      <c r="C362" s="104" t="e">
        <v>#REF!</v>
      </c>
      <c r="D362" s="10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103"/>
      <c r="B363" s="103"/>
      <c r="C363" s="104" t="e">
        <v>#REF!</v>
      </c>
      <c r="D363" s="10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103"/>
      <c r="B364" s="103"/>
      <c r="C364" s="104" t="e">
        <v>#REF!</v>
      </c>
      <c r="D364" s="10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103"/>
      <c r="B365" s="103"/>
      <c r="C365" s="104" t="e">
        <v>#REF!</v>
      </c>
      <c r="D365" s="10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103"/>
      <c r="B366" s="103"/>
      <c r="C366" s="104" t="e">
        <v>#REF!</v>
      </c>
      <c r="D366" s="10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103"/>
      <c r="B367" s="103"/>
      <c r="C367" s="104" t="e">
        <v>#REF!</v>
      </c>
      <c r="D367" s="10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103"/>
      <c r="B368" s="103"/>
      <c r="C368" s="104" t="e">
        <v>#REF!</v>
      </c>
      <c r="D368" s="10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103"/>
      <c r="B369" s="103"/>
      <c r="C369" s="104" t="e">
        <v>#REF!</v>
      </c>
      <c r="D369" s="10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103"/>
      <c r="B370" s="103"/>
      <c r="C370" s="104" t="e">
        <v>#REF!</v>
      </c>
      <c r="D370" s="10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103"/>
      <c r="B371" s="103"/>
      <c r="C371" s="104" t="e">
        <v>#REF!</v>
      </c>
      <c r="D371" s="10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103"/>
      <c r="B372" s="103"/>
      <c r="C372" s="104" t="e">
        <v>#REF!</v>
      </c>
      <c r="D372" s="10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103"/>
      <c r="B373" s="103"/>
      <c r="C373" s="104" t="e">
        <v>#REF!</v>
      </c>
      <c r="D373" s="10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103"/>
      <c r="B374" s="103"/>
      <c r="C374" s="104" t="e">
        <v>#REF!</v>
      </c>
      <c r="D374" s="10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103"/>
      <c r="B375" s="103"/>
      <c r="C375" s="104" t="e">
        <v>#REF!</v>
      </c>
      <c r="D375" s="10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103"/>
      <c r="B376" s="103"/>
      <c r="C376" s="104" t="e">
        <v>#REF!</v>
      </c>
      <c r="D376" s="10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103"/>
      <c r="B377" s="103"/>
      <c r="C377" s="104" t="e">
        <v>#REF!</v>
      </c>
      <c r="D377" s="10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103"/>
      <c r="B378" s="103"/>
      <c r="C378" s="104" t="e">
        <v>#REF!</v>
      </c>
      <c r="D378" s="10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103"/>
      <c r="B379" s="103"/>
      <c r="C379" s="104" t="e">
        <v>#REF!</v>
      </c>
      <c r="D379" s="10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103"/>
      <c r="B380" s="103"/>
      <c r="C380" s="104" t="e">
        <v>#REF!</v>
      </c>
      <c r="D380" s="10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103"/>
      <c r="B381" s="103"/>
      <c r="C381" s="104" t="e">
        <v>#REF!</v>
      </c>
      <c r="D381" s="10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103"/>
      <c r="B382" s="103"/>
      <c r="C382" s="104" t="e">
        <v>#REF!</v>
      </c>
      <c r="D382" s="10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103"/>
      <c r="B383" s="103"/>
      <c r="C383" s="104" t="e">
        <v>#REF!</v>
      </c>
      <c r="D383" s="10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103"/>
      <c r="B384" s="103"/>
      <c r="C384" s="104" t="e">
        <v>#REF!</v>
      </c>
      <c r="D384" s="10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103"/>
      <c r="B385" s="103"/>
      <c r="C385" s="104" t="e">
        <v>#REF!</v>
      </c>
      <c r="D385" s="10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103"/>
      <c r="B386" s="103"/>
      <c r="C386" s="104" t="e">
        <v>#REF!</v>
      </c>
      <c r="D386" s="10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103"/>
      <c r="B387" s="103"/>
      <c r="C387" s="104" t="e">
        <v>#REF!</v>
      </c>
      <c r="D387" s="10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103"/>
      <c r="B388" s="103"/>
      <c r="C388" s="104" t="e">
        <v>#REF!</v>
      </c>
      <c r="D388" s="10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103"/>
      <c r="B389" s="103"/>
      <c r="C389" s="104" t="e">
        <v>#REF!</v>
      </c>
      <c r="D389" s="10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103"/>
      <c r="B390" s="103"/>
      <c r="C390" s="104" t="e">
        <v>#REF!</v>
      </c>
      <c r="D390" s="10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103"/>
      <c r="B391" s="103"/>
      <c r="C391" s="104" t="e">
        <v>#REF!</v>
      </c>
      <c r="D391" s="10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103"/>
      <c r="B392" s="103"/>
      <c r="C392" s="104" t="e">
        <v>#REF!</v>
      </c>
      <c r="D392" s="10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103"/>
      <c r="B393" s="103"/>
      <c r="C393" s="104" t="e">
        <v>#REF!</v>
      </c>
      <c r="D393" s="10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103"/>
      <c r="B394" s="103"/>
      <c r="C394" s="104" t="e">
        <v>#REF!</v>
      </c>
      <c r="D394" s="10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103"/>
      <c r="B395" s="103"/>
      <c r="C395" s="104" t="e">
        <v>#REF!</v>
      </c>
      <c r="D395" s="10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103"/>
      <c r="B396" s="103"/>
      <c r="C396" s="104" t="e">
        <v>#REF!</v>
      </c>
      <c r="D396" s="10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103"/>
      <c r="B397" s="103"/>
      <c r="C397" s="104" t="e">
        <v>#REF!</v>
      </c>
      <c r="D397" s="10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103"/>
      <c r="B398" s="103"/>
      <c r="C398" s="104" t="e">
        <v>#REF!</v>
      </c>
      <c r="D398" s="10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103"/>
      <c r="B399" s="103"/>
      <c r="C399" s="104" t="e">
        <v>#REF!</v>
      </c>
      <c r="D399" s="10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103"/>
      <c r="B400" s="103"/>
      <c r="C400" s="104" t="e">
        <v>#REF!</v>
      </c>
      <c r="D400" s="10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103"/>
      <c r="B401" s="103"/>
      <c r="C401" s="104" t="e">
        <v>#REF!</v>
      </c>
      <c r="D401" s="10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103"/>
      <c r="B402" s="103"/>
      <c r="C402" s="104" t="e">
        <v>#REF!</v>
      </c>
      <c r="D402" s="10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103"/>
      <c r="B403" s="103"/>
      <c r="C403" s="104" t="e">
        <v>#REF!</v>
      </c>
      <c r="D403" s="10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103"/>
      <c r="B404" s="103"/>
      <c r="C404" s="104" t="e">
        <v>#REF!</v>
      </c>
      <c r="D404" s="10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103"/>
      <c r="B405" s="103"/>
      <c r="C405" s="104" t="e">
        <v>#REF!</v>
      </c>
      <c r="D405" s="10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103"/>
      <c r="B406" s="103"/>
      <c r="C406" s="104" t="e">
        <v>#REF!</v>
      </c>
      <c r="D406" s="10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103"/>
      <c r="B407" s="103"/>
      <c r="C407" s="104" t="e">
        <v>#REF!</v>
      </c>
      <c r="D407" s="10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103"/>
      <c r="B408" s="103"/>
      <c r="C408" s="104" t="e">
        <v>#REF!</v>
      </c>
      <c r="D408" s="10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103"/>
      <c r="B409" s="103"/>
      <c r="C409" s="104" t="e">
        <v>#REF!</v>
      </c>
      <c r="D409" s="10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103"/>
      <c r="B410" s="103"/>
      <c r="C410" s="104" t="e">
        <v>#REF!</v>
      </c>
      <c r="D410" s="10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103"/>
      <c r="B411" s="103"/>
      <c r="C411" s="104" t="e">
        <v>#REF!</v>
      </c>
      <c r="D411" s="10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103"/>
      <c r="B412" s="103"/>
      <c r="C412" s="104" t="e">
        <v>#REF!</v>
      </c>
      <c r="D412" s="10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103"/>
      <c r="B413" s="103"/>
      <c r="C413" s="104" t="e">
        <v>#REF!</v>
      </c>
      <c r="D413" s="10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103"/>
      <c r="B414" s="103"/>
      <c r="C414" s="104" t="e">
        <v>#REF!</v>
      </c>
      <c r="D414" s="10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103"/>
      <c r="B415" s="103"/>
      <c r="C415" s="104" t="e">
        <v>#REF!</v>
      </c>
      <c r="D415" s="10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103"/>
      <c r="B416" s="103"/>
      <c r="C416" s="104" t="e">
        <v>#REF!</v>
      </c>
      <c r="D416" s="10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103"/>
      <c r="B417" s="103"/>
      <c r="C417" s="104" t="e">
        <v>#REF!</v>
      </c>
      <c r="D417" s="10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103"/>
      <c r="B418" s="103"/>
      <c r="C418" s="104" t="e">
        <v>#REF!</v>
      </c>
      <c r="D418" s="10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103"/>
      <c r="B419" s="103"/>
      <c r="C419" s="104" t="e">
        <v>#REF!</v>
      </c>
      <c r="D419" s="10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103"/>
      <c r="B420" s="103"/>
      <c r="C420" s="104" t="e">
        <v>#REF!</v>
      </c>
      <c r="D420" s="10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103"/>
      <c r="B421" s="103"/>
      <c r="C421" s="104" t="e">
        <v>#REF!</v>
      </c>
      <c r="D421" s="10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103"/>
      <c r="B422" s="103"/>
      <c r="C422" s="104" t="e">
        <v>#REF!</v>
      </c>
      <c r="D422" s="10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103"/>
      <c r="B423" s="103"/>
      <c r="C423" s="104" t="e">
        <v>#REF!</v>
      </c>
      <c r="D423" s="10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103"/>
      <c r="B424" s="103"/>
      <c r="C424" s="104" t="e">
        <v>#REF!</v>
      </c>
      <c r="D424" s="10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103"/>
      <c r="B425" s="103"/>
      <c r="C425" s="104" t="e">
        <v>#REF!</v>
      </c>
      <c r="D425" s="10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103"/>
      <c r="B426" s="103"/>
      <c r="C426" s="104" t="e">
        <v>#REF!</v>
      </c>
      <c r="D426" s="10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103"/>
      <c r="B427" s="103"/>
      <c r="C427" s="104" t="e">
        <v>#REF!</v>
      </c>
      <c r="D427" s="10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103"/>
      <c r="B428" s="103"/>
      <c r="C428" s="104" t="e">
        <v>#REF!</v>
      </c>
      <c r="D428" s="10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103"/>
      <c r="B429" s="103"/>
      <c r="C429" s="104" t="e">
        <v>#REF!</v>
      </c>
      <c r="D429" s="10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103"/>
      <c r="B430" s="103"/>
      <c r="C430" s="104" t="e">
        <v>#REF!</v>
      </c>
      <c r="D430" s="10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103"/>
      <c r="B431" s="103"/>
      <c r="C431" s="104" t="e">
        <v>#REF!</v>
      </c>
      <c r="D431" s="10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103"/>
      <c r="B432" s="103"/>
      <c r="C432" s="104" t="e">
        <v>#REF!</v>
      </c>
      <c r="D432" s="10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103"/>
      <c r="B433" s="103"/>
      <c r="C433" s="104" t="e">
        <v>#REF!</v>
      </c>
      <c r="D433" s="10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103"/>
      <c r="B434" s="103"/>
      <c r="C434" s="104" t="e">
        <v>#REF!</v>
      </c>
      <c r="D434" s="10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103"/>
      <c r="B435" s="103"/>
      <c r="C435" s="104" t="e">
        <v>#REF!</v>
      </c>
      <c r="D435" s="10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103"/>
      <c r="B436" s="103"/>
      <c r="C436" s="104" t="e">
        <v>#REF!</v>
      </c>
      <c r="D436" s="10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103"/>
      <c r="B437" s="103"/>
      <c r="C437" s="104" t="e">
        <v>#REF!</v>
      </c>
      <c r="D437" s="10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103"/>
      <c r="B438" s="103"/>
      <c r="C438" s="104" t="e">
        <v>#REF!</v>
      </c>
      <c r="D438" s="10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103"/>
      <c r="B439" s="103"/>
      <c r="C439" s="104" t="e">
        <v>#REF!</v>
      </c>
      <c r="D439" s="10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103"/>
      <c r="B440" s="103"/>
      <c r="C440" s="104" t="e">
        <v>#REF!</v>
      </c>
      <c r="D440" s="10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103"/>
      <c r="B441" s="103"/>
      <c r="C441" s="104" t="e">
        <v>#REF!</v>
      </c>
      <c r="D441" s="10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103"/>
      <c r="B442" s="103"/>
      <c r="C442" s="104" t="e">
        <v>#REF!</v>
      </c>
      <c r="D442" s="10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103"/>
      <c r="B443" s="103"/>
      <c r="C443" s="104" t="e">
        <v>#REF!</v>
      </c>
      <c r="D443" s="10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103"/>
      <c r="B444" s="103"/>
      <c r="C444" s="104" t="e">
        <v>#REF!</v>
      </c>
      <c r="D444" s="10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103"/>
      <c r="B445" s="103"/>
      <c r="C445" s="104" t="e">
        <v>#REF!</v>
      </c>
      <c r="D445" s="10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103"/>
      <c r="B446" s="103"/>
      <c r="C446" s="104" t="e">
        <v>#REF!</v>
      </c>
      <c r="D446" s="10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103"/>
      <c r="B447" s="103"/>
      <c r="C447" s="104" t="e">
        <v>#REF!</v>
      </c>
      <c r="D447" s="10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103"/>
      <c r="B448" s="103"/>
      <c r="C448" s="104" t="e">
        <v>#REF!</v>
      </c>
      <c r="D448" s="10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103"/>
      <c r="B449" s="103"/>
      <c r="C449" s="104" t="e">
        <v>#REF!</v>
      </c>
      <c r="D449" s="10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103"/>
      <c r="B450" s="103"/>
      <c r="C450" s="104" t="e">
        <v>#REF!</v>
      </c>
      <c r="D450" s="10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103"/>
      <c r="B451" s="103"/>
      <c r="C451" s="104" t="e">
        <v>#REF!</v>
      </c>
      <c r="D451" s="10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103"/>
      <c r="B452" s="103"/>
      <c r="C452" s="104" t="e">
        <v>#REF!</v>
      </c>
      <c r="D452" s="10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103"/>
      <c r="B453" s="103"/>
      <c r="C453" s="104" t="e">
        <v>#REF!</v>
      </c>
      <c r="D453" s="10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103"/>
      <c r="B454" s="103"/>
      <c r="C454" s="104" t="e">
        <v>#REF!</v>
      </c>
      <c r="D454" s="10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103"/>
      <c r="B455" s="103"/>
      <c r="C455" s="104" t="e">
        <v>#REF!</v>
      </c>
      <c r="D455" s="10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103"/>
      <c r="B456" s="103"/>
      <c r="C456" s="104" t="e">
        <v>#REF!</v>
      </c>
      <c r="D456" s="10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103"/>
      <c r="B457" s="103"/>
      <c r="C457" s="104" t="e">
        <v>#REF!</v>
      </c>
      <c r="D457" s="10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103"/>
      <c r="B458" s="103"/>
      <c r="C458" s="104" t="e">
        <v>#REF!</v>
      </c>
      <c r="D458" s="10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103"/>
      <c r="B459" s="103"/>
      <c r="C459" s="104" t="e">
        <v>#REF!</v>
      </c>
      <c r="D459" s="10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103"/>
      <c r="B460" s="103"/>
      <c r="C460" s="104" t="e">
        <v>#REF!</v>
      </c>
      <c r="D460" s="10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103"/>
      <c r="B461" s="103"/>
      <c r="C461" s="104" t="e">
        <v>#REF!</v>
      </c>
      <c r="D461" s="10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103"/>
      <c r="B462" s="103"/>
      <c r="C462" s="104" t="e">
        <v>#REF!</v>
      </c>
      <c r="D462" s="10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103"/>
      <c r="B463" s="103"/>
      <c r="C463" s="104" t="e">
        <v>#REF!</v>
      </c>
      <c r="D463" s="10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103"/>
      <c r="B464" s="103"/>
      <c r="C464" s="104" t="e">
        <v>#REF!</v>
      </c>
      <c r="D464" s="10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103"/>
      <c r="B465" s="103"/>
      <c r="C465" s="104" t="e">
        <v>#REF!</v>
      </c>
      <c r="D465" s="10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103"/>
      <c r="B466" s="103"/>
      <c r="C466" s="104" t="e">
        <v>#REF!</v>
      </c>
      <c r="D466" s="10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103"/>
      <c r="B467" s="103"/>
      <c r="C467" s="104" t="e">
        <v>#REF!</v>
      </c>
      <c r="D467" s="10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103"/>
      <c r="B468" s="103"/>
      <c r="C468" s="104" t="e">
        <v>#REF!</v>
      </c>
      <c r="D468" s="10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103"/>
      <c r="B469" s="103"/>
      <c r="C469" s="104" t="e">
        <v>#REF!</v>
      </c>
      <c r="D469" s="10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103"/>
      <c r="B470" s="103"/>
      <c r="C470" s="104" t="e">
        <v>#REF!</v>
      </c>
      <c r="D470" s="10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103"/>
      <c r="B471" s="103"/>
      <c r="C471" s="104" t="e">
        <v>#REF!</v>
      </c>
      <c r="D471" s="10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103"/>
      <c r="B472" s="103"/>
      <c r="C472" s="104" t="e">
        <v>#REF!</v>
      </c>
      <c r="D472" s="10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103"/>
      <c r="B473" s="103"/>
      <c r="C473" s="104" t="e">
        <v>#REF!</v>
      </c>
      <c r="D473" s="10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103"/>
      <c r="B474" s="103"/>
      <c r="C474" s="104" t="e">
        <v>#REF!</v>
      </c>
      <c r="D474" s="10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103"/>
      <c r="B475" s="103"/>
      <c r="C475" s="104" t="e">
        <v>#REF!</v>
      </c>
      <c r="D475" s="10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103"/>
      <c r="B476" s="103"/>
      <c r="C476" s="104" t="e">
        <v>#REF!</v>
      </c>
      <c r="D476" s="10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103"/>
      <c r="B477" s="103"/>
      <c r="C477" s="104" t="e">
        <v>#REF!</v>
      </c>
      <c r="D477" s="10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103"/>
      <c r="B478" s="103"/>
      <c r="C478" s="104" t="e">
        <v>#REF!</v>
      </c>
      <c r="D478" s="10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103"/>
      <c r="B479" s="103"/>
      <c r="C479" s="104" t="e">
        <v>#REF!</v>
      </c>
      <c r="D479" s="10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103"/>
      <c r="B480" s="103"/>
      <c r="C480" s="104" t="e">
        <v>#REF!</v>
      </c>
      <c r="D480" s="10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103"/>
      <c r="B481" s="103"/>
      <c r="C481" s="104" t="e">
        <v>#REF!</v>
      </c>
      <c r="D481" s="10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103"/>
      <c r="B482" s="103"/>
      <c r="C482" s="104" t="e">
        <v>#REF!</v>
      </c>
      <c r="D482" s="10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103"/>
      <c r="B483" s="103"/>
      <c r="C483" s="104" t="e">
        <v>#REF!</v>
      </c>
      <c r="D483" s="10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103"/>
      <c r="B484" s="103"/>
      <c r="C484" s="104" t="e">
        <v>#REF!</v>
      </c>
      <c r="D484" s="10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103"/>
      <c r="B485" s="103"/>
      <c r="C485" s="104" t="e">
        <v>#REF!</v>
      </c>
      <c r="D485" s="10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103"/>
      <c r="B486" s="103"/>
      <c r="C486" s="104" t="e">
        <v>#REF!</v>
      </c>
      <c r="D486" s="10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103"/>
      <c r="B487" s="103"/>
      <c r="C487" s="104" t="e">
        <v>#REF!</v>
      </c>
      <c r="D487" s="10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103"/>
      <c r="B488" s="103"/>
      <c r="C488" s="104" t="e">
        <v>#REF!</v>
      </c>
      <c r="D488" s="10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103"/>
      <c r="B489" s="103"/>
      <c r="C489" s="104" t="e">
        <v>#REF!</v>
      </c>
      <c r="D489" s="10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103"/>
      <c r="B490" s="103"/>
      <c r="C490" s="104" t="e">
        <v>#REF!</v>
      </c>
      <c r="D490" s="10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103"/>
      <c r="B491" s="103"/>
      <c r="C491" s="104" t="e">
        <v>#REF!</v>
      </c>
      <c r="D491" s="10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103"/>
      <c r="B492" s="103"/>
      <c r="C492" s="104" t="e">
        <v>#REF!</v>
      </c>
      <c r="D492" s="10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103"/>
      <c r="B493" s="103"/>
      <c r="C493" s="104" t="e">
        <v>#REF!</v>
      </c>
      <c r="D493" s="10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103"/>
      <c r="B494" s="103"/>
      <c r="C494" s="104" t="e">
        <v>#REF!</v>
      </c>
      <c r="D494" s="10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103"/>
      <c r="B495" s="103"/>
      <c r="C495" s="104" t="e">
        <v>#REF!</v>
      </c>
      <c r="D495" s="10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103"/>
      <c r="B496" s="103"/>
      <c r="C496" s="104" t="e">
        <v>#REF!</v>
      </c>
      <c r="D496" s="10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103"/>
      <c r="B497" s="103"/>
      <c r="C497" s="104" t="e">
        <v>#REF!</v>
      </c>
      <c r="D497" s="10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103"/>
      <c r="B498" s="103"/>
      <c r="C498" s="104" t="e">
        <v>#REF!</v>
      </c>
      <c r="D498" s="10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103"/>
      <c r="B499" s="103"/>
      <c r="C499" s="104" t="e">
        <v>#REF!</v>
      </c>
      <c r="D499" s="10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103"/>
      <c r="B500" s="103"/>
      <c r="C500" s="104" t="e">
        <v>#REF!</v>
      </c>
      <c r="D500" s="10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103"/>
      <c r="B501" s="103"/>
      <c r="C501" s="104" t="e">
        <v>#REF!</v>
      </c>
      <c r="D501" s="10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103"/>
      <c r="B502" s="103"/>
      <c r="C502" s="104" t="e">
        <v>#REF!</v>
      </c>
      <c r="D502" s="10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103"/>
      <c r="B503" s="103"/>
      <c r="C503" s="104" t="e">
        <v>#REF!</v>
      </c>
      <c r="D503" s="10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103"/>
      <c r="B504" s="103"/>
      <c r="C504" s="104" t="e">
        <v>#REF!</v>
      </c>
      <c r="D504" s="10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103"/>
      <c r="B505" s="103"/>
      <c r="C505" s="104" t="e">
        <v>#REF!</v>
      </c>
      <c r="D505" s="10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103"/>
      <c r="B506" s="103"/>
      <c r="C506" s="104" t="e">
        <v>#REF!</v>
      </c>
      <c r="D506" s="10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103"/>
      <c r="B507" s="103"/>
      <c r="C507" s="104" t="e">
        <v>#REF!</v>
      </c>
      <c r="D507" s="10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103"/>
      <c r="B508" s="103"/>
      <c r="C508" s="104" t="e">
        <v>#REF!</v>
      </c>
      <c r="D508" s="10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103"/>
      <c r="B509" s="103"/>
      <c r="C509" s="104" t="e">
        <v>#REF!</v>
      </c>
      <c r="D509" s="10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103"/>
      <c r="B510" s="103"/>
      <c r="C510" s="104" t="e">
        <v>#REF!</v>
      </c>
      <c r="D510" s="10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103"/>
      <c r="B511" s="103"/>
      <c r="C511" s="104" t="e">
        <v>#REF!</v>
      </c>
      <c r="D511" s="10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103"/>
      <c r="B512" s="103"/>
      <c r="C512" s="104" t="e">
        <v>#REF!</v>
      </c>
      <c r="D512" s="10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103"/>
      <c r="B513" s="103"/>
      <c r="C513" s="104" t="e">
        <v>#REF!</v>
      </c>
      <c r="D513" s="10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103"/>
      <c r="B514" s="103"/>
      <c r="C514" s="104" t="e">
        <v>#REF!</v>
      </c>
      <c r="D514" s="10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103"/>
      <c r="B515" s="103"/>
      <c r="C515" s="104" t="e">
        <v>#REF!</v>
      </c>
      <c r="D515" s="10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103"/>
      <c r="B516" s="103"/>
      <c r="C516" s="104" t="e">
        <v>#REF!</v>
      </c>
      <c r="D516" s="10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103"/>
      <c r="B517" s="103"/>
      <c r="C517" s="104" t="e">
        <v>#REF!</v>
      </c>
      <c r="D517" s="10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103"/>
      <c r="B518" s="103"/>
      <c r="C518" s="104" t="e">
        <v>#REF!</v>
      </c>
      <c r="D518" s="10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103"/>
      <c r="B519" s="103"/>
      <c r="C519" s="104" t="e">
        <v>#REF!</v>
      </c>
      <c r="D519" s="10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103"/>
      <c r="B520" s="103"/>
      <c r="C520" s="104" t="e">
        <v>#REF!</v>
      </c>
      <c r="D520" s="10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103"/>
      <c r="B521" s="103"/>
      <c r="C521" s="104" t="e">
        <v>#REF!</v>
      </c>
      <c r="D521" s="10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103"/>
      <c r="B522" s="103"/>
      <c r="C522" s="104" t="e">
        <v>#REF!</v>
      </c>
      <c r="D522" s="10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103"/>
      <c r="B523" s="103"/>
      <c r="C523" s="104" t="e">
        <v>#REF!</v>
      </c>
      <c r="D523" s="10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103"/>
      <c r="B524" s="103"/>
      <c r="C524" s="104" t="e">
        <v>#REF!</v>
      </c>
      <c r="D524" s="10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103"/>
      <c r="B525" s="103"/>
      <c r="C525" s="104" t="e">
        <v>#REF!</v>
      </c>
      <c r="D525" s="10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103"/>
      <c r="B526" s="103"/>
      <c r="C526" s="104" t="e">
        <v>#REF!</v>
      </c>
      <c r="D526" s="10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103"/>
      <c r="B527" s="103"/>
      <c r="C527" s="104" t="e">
        <v>#REF!</v>
      </c>
      <c r="D527" s="10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103"/>
      <c r="B528" s="103"/>
      <c r="C528" s="104" t="e">
        <v>#REF!</v>
      </c>
      <c r="D528" s="10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103"/>
      <c r="B529" s="103"/>
      <c r="C529" s="104" t="e">
        <v>#REF!</v>
      </c>
      <c r="D529" s="10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103"/>
      <c r="B530" s="103"/>
      <c r="C530" s="104" t="e">
        <v>#REF!</v>
      </c>
      <c r="D530" s="10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103"/>
      <c r="B531" s="103"/>
      <c r="C531" s="104" t="e">
        <v>#REF!</v>
      </c>
      <c r="D531" s="10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103"/>
      <c r="B532" s="103"/>
      <c r="C532" s="104" t="e">
        <v>#REF!</v>
      </c>
      <c r="D532" s="10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103"/>
      <c r="B533" s="103"/>
      <c r="C533" s="104" t="e">
        <v>#REF!</v>
      </c>
      <c r="D533" s="10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103"/>
      <c r="B534" s="103"/>
      <c r="C534" s="104" t="e">
        <v>#REF!</v>
      </c>
      <c r="D534" s="10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103"/>
      <c r="B535" s="103"/>
      <c r="C535" s="104" t="e">
        <v>#REF!</v>
      </c>
      <c r="D535" s="10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103"/>
      <c r="B536" s="103"/>
      <c r="C536" s="104" t="e">
        <v>#REF!</v>
      </c>
      <c r="D536" s="10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103"/>
      <c r="B537" s="103"/>
      <c r="C537" s="104" t="e">
        <v>#REF!</v>
      </c>
      <c r="D537" s="10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103"/>
      <c r="B538" s="103"/>
      <c r="C538" s="104" t="e">
        <v>#REF!</v>
      </c>
      <c r="D538" s="10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103"/>
      <c r="B539" s="103"/>
      <c r="C539" s="104" t="e">
        <v>#REF!</v>
      </c>
      <c r="D539" s="10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103"/>
      <c r="B540" s="103"/>
      <c r="C540" s="104" t="e">
        <v>#REF!</v>
      </c>
      <c r="D540" s="10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103"/>
      <c r="B541" s="103"/>
      <c r="C541" s="104" t="e">
        <v>#REF!</v>
      </c>
      <c r="D541" s="10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103"/>
      <c r="B542" s="103"/>
      <c r="C542" s="104" t="e">
        <v>#REF!</v>
      </c>
      <c r="D542" s="10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103"/>
      <c r="B543" s="103"/>
      <c r="C543" s="104" t="e">
        <v>#REF!</v>
      </c>
      <c r="D543" s="10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103"/>
      <c r="B544" s="103"/>
      <c r="C544" s="104" t="e">
        <v>#REF!</v>
      </c>
      <c r="D544" s="10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103"/>
      <c r="B545" s="103"/>
      <c r="C545" s="104" t="e">
        <v>#REF!</v>
      </c>
      <c r="D545" s="10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103"/>
      <c r="B546" s="103"/>
      <c r="C546" s="104" t="e">
        <v>#REF!</v>
      </c>
      <c r="D546" s="10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103"/>
      <c r="B547" s="103"/>
      <c r="C547" s="104" t="e">
        <v>#REF!</v>
      </c>
      <c r="D547" s="10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103"/>
      <c r="B548" s="103"/>
      <c r="C548" s="104" t="e">
        <v>#REF!</v>
      </c>
      <c r="D548" s="10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103"/>
      <c r="B549" s="103"/>
      <c r="C549" s="104" t="e">
        <v>#REF!</v>
      </c>
      <c r="D549" s="10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103"/>
      <c r="B550" s="103"/>
      <c r="C550" s="104" t="e">
        <v>#REF!</v>
      </c>
      <c r="D550" s="10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103"/>
      <c r="B551" s="103"/>
      <c r="C551" s="104" t="e">
        <v>#REF!</v>
      </c>
      <c r="D551" s="10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103"/>
      <c r="B552" s="103"/>
      <c r="C552" s="104" t="e">
        <v>#REF!</v>
      </c>
      <c r="D552" s="10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103"/>
      <c r="B553" s="103"/>
      <c r="C553" s="104" t="e">
        <v>#REF!</v>
      </c>
      <c r="D553" s="10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103"/>
      <c r="B554" s="103"/>
      <c r="C554" s="104" t="e">
        <v>#REF!</v>
      </c>
      <c r="D554" s="10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103"/>
      <c r="B555" s="103"/>
      <c r="C555" s="104" t="e">
        <v>#REF!</v>
      </c>
      <c r="D555" s="10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103"/>
      <c r="B556" s="103"/>
      <c r="C556" s="104" t="e">
        <v>#REF!</v>
      </c>
      <c r="D556" s="10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103"/>
      <c r="B557" s="103"/>
      <c r="C557" s="104" t="e">
        <v>#REF!</v>
      </c>
      <c r="D557" s="10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103"/>
      <c r="B558" s="103"/>
      <c r="C558" s="104" t="e">
        <v>#REF!</v>
      </c>
      <c r="D558" s="10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103"/>
      <c r="B559" s="103"/>
      <c r="C559" s="104" t="e">
        <v>#REF!</v>
      </c>
      <c r="D559" s="10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103"/>
      <c r="B560" s="103"/>
      <c r="C560" s="104" t="e">
        <v>#REF!</v>
      </c>
      <c r="D560" s="10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103"/>
      <c r="B561" s="103"/>
      <c r="C561" s="104" t="e">
        <v>#REF!</v>
      </c>
      <c r="D561" s="10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103"/>
      <c r="B562" s="103"/>
      <c r="C562" s="104" t="e">
        <v>#REF!</v>
      </c>
      <c r="D562" s="10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103"/>
      <c r="B563" s="103"/>
      <c r="C563" s="104" t="e">
        <v>#REF!</v>
      </c>
      <c r="D563" s="10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103"/>
      <c r="B564" s="103"/>
      <c r="C564" s="104" t="e">
        <v>#REF!</v>
      </c>
      <c r="D564" s="10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103"/>
      <c r="B565" s="103"/>
      <c r="C565" s="104" t="e">
        <v>#REF!</v>
      </c>
      <c r="D565" s="10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103"/>
      <c r="B566" s="103"/>
      <c r="C566" s="104" t="e">
        <v>#REF!</v>
      </c>
      <c r="D566" s="10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103"/>
      <c r="B567" s="103"/>
      <c r="C567" s="104" t="e">
        <v>#REF!</v>
      </c>
      <c r="D567" s="10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103"/>
      <c r="B568" s="103"/>
      <c r="C568" s="104" t="e">
        <v>#REF!</v>
      </c>
      <c r="D568" s="10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103"/>
      <c r="B569" s="103"/>
      <c r="C569" s="104" t="e">
        <v>#REF!</v>
      </c>
      <c r="D569" s="10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103"/>
      <c r="B570" s="103"/>
      <c r="C570" s="104" t="e">
        <v>#REF!</v>
      </c>
      <c r="D570" s="10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103"/>
      <c r="B571" s="103"/>
      <c r="C571" s="104" t="e">
        <v>#REF!</v>
      </c>
      <c r="D571" s="10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103"/>
      <c r="B572" s="103"/>
      <c r="C572" s="104" t="e">
        <v>#REF!</v>
      </c>
      <c r="D572" s="10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103"/>
      <c r="B573" s="103"/>
      <c r="C573" s="104" t="e">
        <v>#REF!</v>
      </c>
      <c r="D573" s="10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103"/>
      <c r="B574" s="103"/>
      <c r="C574" s="104" t="e">
        <v>#REF!</v>
      </c>
      <c r="D574" s="10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103"/>
      <c r="B575" s="103"/>
      <c r="C575" s="104" t="e">
        <v>#REF!</v>
      </c>
      <c r="D575" s="10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103"/>
      <c r="B576" s="103"/>
      <c r="C576" s="104" t="e">
        <v>#REF!</v>
      </c>
      <c r="D576" s="10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103"/>
      <c r="B577" s="103"/>
      <c r="C577" s="104" t="e">
        <v>#REF!</v>
      </c>
      <c r="D577" s="10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103"/>
      <c r="B578" s="103"/>
      <c r="C578" s="104" t="e">
        <v>#REF!</v>
      </c>
      <c r="D578" s="10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103"/>
      <c r="B579" s="103"/>
      <c r="C579" s="104" t="e">
        <v>#REF!</v>
      </c>
      <c r="D579" s="10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103"/>
      <c r="B580" s="103"/>
      <c r="C580" s="104" t="e">
        <v>#REF!</v>
      </c>
      <c r="D580" s="10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103"/>
      <c r="B581" s="103"/>
      <c r="C581" s="104" t="e">
        <v>#REF!</v>
      </c>
      <c r="D581" s="10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103"/>
      <c r="B582" s="103"/>
      <c r="C582" s="104" t="e">
        <v>#REF!</v>
      </c>
      <c r="D582" s="10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103"/>
      <c r="B583" s="103"/>
      <c r="C583" s="104" t="e">
        <v>#REF!</v>
      </c>
      <c r="D583" s="10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103"/>
      <c r="B584" s="103"/>
      <c r="C584" s="104" t="e">
        <v>#REF!</v>
      </c>
      <c r="D584" s="10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103"/>
      <c r="B585" s="103"/>
      <c r="C585" s="104" t="e">
        <v>#REF!</v>
      </c>
      <c r="D585" s="10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103"/>
      <c r="B586" s="103"/>
      <c r="C586" s="104" t="e">
        <v>#REF!</v>
      </c>
      <c r="D586" s="10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103"/>
      <c r="B587" s="103"/>
      <c r="C587" s="104" t="e">
        <v>#REF!</v>
      </c>
      <c r="D587" s="10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103"/>
      <c r="B588" s="103"/>
      <c r="C588" s="104" t="e">
        <v>#REF!</v>
      </c>
      <c r="D588" s="10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103"/>
      <c r="B589" s="103"/>
      <c r="C589" s="104" t="e">
        <v>#REF!</v>
      </c>
      <c r="D589" s="10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103"/>
      <c r="B590" s="103"/>
      <c r="C590" s="104" t="e">
        <v>#REF!</v>
      </c>
      <c r="D590" s="10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103"/>
      <c r="B591" s="103"/>
      <c r="C591" s="104" t="e">
        <v>#REF!</v>
      </c>
      <c r="D591" s="10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103"/>
      <c r="B592" s="103"/>
      <c r="C592" s="104" t="e">
        <v>#REF!</v>
      </c>
      <c r="D592" s="10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103"/>
      <c r="B593" s="103"/>
      <c r="C593" s="104" t="e">
        <v>#REF!</v>
      </c>
      <c r="D593" s="10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103"/>
      <c r="B594" s="103"/>
      <c r="C594" s="104" t="e">
        <v>#REF!</v>
      </c>
      <c r="D594" s="10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103"/>
      <c r="B595" s="103"/>
      <c r="C595" s="104" t="e">
        <v>#REF!</v>
      </c>
      <c r="D595" s="10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103"/>
      <c r="B596" s="103"/>
      <c r="C596" s="104" t="e">
        <v>#REF!</v>
      </c>
      <c r="D596" s="10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103"/>
      <c r="B597" s="103"/>
      <c r="C597" s="104" t="e">
        <v>#REF!</v>
      </c>
      <c r="D597" s="10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103"/>
      <c r="B598" s="103"/>
      <c r="C598" s="104" t="e">
        <v>#REF!</v>
      </c>
      <c r="D598" s="10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103"/>
      <c r="B599" s="103"/>
      <c r="C599" s="104" t="e">
        <v>#REF!</v>
      </c>
      <c r="D599" s="10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103"/>
      <c r="B600" s="103"/>
      <c r="C600" s="104" t="e">
        <v>#REF!</v>
      </c>
      <c r="D600" s="10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103"/>
      <c r="B601" s="103"/>
      <c r="C601" s="104" t="e">
        <v>#REF!</v>
      </c>
      <c r="D601" s="10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103"/>
      <c r="B602" s="103"/>
      <c r="C602" s="104" t="e">
        <v>#REF!</v>
      </c>
      <c r="D602" s="10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103"/>
      <c r="B603" s="103"/>
      <c r="C603" s="104" t="e">
        <v>#REF!</v>
      </c>
      <c r="D603" s="10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103"/>
      <c r="B604" s="103"/>
      <c r="C604" s="104" t="e">
        <v>#REF!</v>
      </c>
      <c r="D604" s="10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103"/>
      <c r="B605" s="103"/>
      <c r="C605" s="104" t="e">
        <v>#REF!</v>
      </c>
      <c r="D605" s="10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103"/>
      <c r="B606" s="103"/>
      <c r="C606" s="104" t="e">
        <v>#REF!</v>
      </c>
      <c r="D606" s="10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103"/>
      <c r="B607" s="103"/>
      <c r="C607" s="104" t="e">
        <v>#REF!</v>
      </c>
      <c r="D607" s="10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103"/>
      <c r="B608" s="103"/>
      <c r="C608" s="104" t="e">
        <v>#REF!</v>
      </c>
      <c r="D608" s="10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103"/>
      <c r="B609" s="103"/>
      <c r="C609" s="104" t="e">
        <v>#REF!</v>
      </c>
      <c r="D609" s="10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103"/>
      <c r="B610" s="103"/>
      <c r="C610" s="104" t="e">
        <v>#REF!</v>
      </c>
      <c r="D610" s="10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103"/>
      <c r="B611" s="103"/>
      <c r="C611" s="104" t="e">
        <v>#REF!</v>
      </c>
      <c r="D611" s="10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103"/>
      <c r="B612" s="103"/>
      <c r="C612" s="104" t="e">
        <v>#REF!</v>
      </c>
      <c r="D612" s="10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103"/>
      <c r="B613" s="103"/>
      <c r="C613" s="104" t="e">
        <v>#REF!</v>
      </c>
      <c r="D613" s="10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103"/>
      <c r="B614" s="103"/>
      <c r="C614" s="104" t="e">
        <v>#REF!</v>
      </c>
      <c r="D614" s="10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103"/>
      <c r="B615" s="103"/>
      <c r="C615" s="104" t="e">
        <v>#REF!</v>
      </c>
      <c r="D615" s="10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103"/>
      <c r="B616" s="103"/>
      <c r="C616" s="104" t="e">
        <v>#REF!</v>
      </c>
      <c r="D616" s="10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103"/>
      <c r="B617" s="103"/>
      <c r="C617" s="104" t="e">
        <v>#REF!</v>
      </c>
      <c r="D617" s="10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103"/>
      <c r="B618" s="103"/>
      <c r="C618" s="104" t="e">
        <v>#REF!</v>
      </c>
      <c r="D618" s="10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103"/>
      <c r="B619" s="103"/>
      <c r="C619" s="104" t="e">
        <v>#REF!</v>
      </c>
      <c r="D619" s="10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103"/>
      <c r="B620" s="103"/>
      <c r="C620" s="104" t="e">
        <v>#REF!</v>
      </c>
      <c r="D620" s="10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103"/>
      <c r="B621" s="103"/>
      <c r="C621" s="104" t="e">
        <v>#REF!</v>
      </c>
      <c r="D621" s="10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103"/>
      <c r="B622" s="103"/>
      <c r="C622" s="104" t="e">
        <v>#REF!</v>
      </c>
      <c r="D622" s="10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103"/>
      <c r="B623" s="103"/>
      <c r="C623" s="104" t="e">
        <v>#REF!</v>
      </c>
      <c r="D623" s="10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103"/>
      <c r="B624" s="103"/>
      <c r="C624" s="104" t="e">
        <v>#REF!</v>
      </c>
      <c r="D624" s="10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103"/>
      <c r="B625" s="103"/>
      <c r="C625" s="104" t="e">
        <v>#REF!</v>
      </c>
      <c r="D625" s="10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103"/>
      <c r="B626" s="103"/>
      <c r="C626" s="104" t="e">
        <v>#REF!</v>
      </c>
      <c r="D626" s="10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103"/>
      <c r="B627" s="103"/>
      <c r="C627" s="104" t="e">
        <v>#REF!</v>
      </c>
      <c r="D627" s="10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103"/>
      <c r="B628" s="103"/>
      <c r="C628" s="104" t="e">
        <v>#REF!</v>
      </c>
      <c r="D628" s="10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103"/>
      <c r="B629" s="103"/>
      <c r="C629" s="104" t="e">
        <v>#REF!</v>
      </c>
      <c r="D629" s="10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103"/>
      <c r="B630" s="103"/>
      <c r="C630" s="104" t="e">
        <v>#REF!</v>
      </c>
      <c r="D630" s="10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103"/>
      <c r="B631" s="103"/>
      <c r="C631" s="104" t="e">
        <v>#REF!</v>
      </c>
      <c r="D631" s="10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103"/>
      <c r="B632" s="103"/>
      <c r="C632" s="104" t="e">
        <v>#REF!</v>
      </c>
      <c r="D632" s="10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103"/>
      <c r="B633" s="103"/>
      <c r="C633" s="104" t="e">
        <v>#REF!</v>
      </c>
      <c r="D633" s="10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103"/>
      <c r="B634" s="103"/>
      <c r="C634" s="104" t="e">
        <v>#REF!</v>
      </c>
      <c r="D634" s="10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103"/>
      <c r="B635" s="103"/>
      <c r="C635" s="104" t="e">
        <v>#REF!</v>
      </c>
      <c r="D635" s="10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103"/>
      <c r="B636" s="103"/>
      <c r="C636" s="104" t="e">
        <v>#REF!</v>
      </c>
      <c r="D636" s="10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103"/>
      <c r="B637" s="103"/>
      <c r="C637" s="104" t="e">
        <v>#REF!</v>
      </c>
      <c r="D637" s="10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103"/>
      <c r="B638" s="103"/>
      <c r="C638" s="104" t="e">
        <v>#REF!</v>
      </c>
      <c r="D638" s="10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103"/>
      <c r="B639" s="103"/>
      <c r="C639" s="104" t="e">
        <v>#REF!</v>
      </c>
      <c r="D639" s="10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103"/>
      <c r="B640" s="103"/>
      <c r="C640" s="104" t="e">
        <v>#REF!</v>
      </c>
      <c r="D640" s="10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103"/>
      <c r="B641" s="103"/>
      <c r="C641" s="104" t="e">
        <v>#REF!</v>
      </c>
      <c r="D641" s="10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103"/>
      <c r="B642" s="103"/>
      <c r="C642" s="104" t="e">
        <v>#REF!</v>
      </c>
      <c r="D642" s="10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103"/>
      <c r="B643" s="103"/>
      <c r="C643" s="104" t="e">
        <v>#REF!</v>
      </c>
      <c r="D643" s="10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103"/>
      <c r="B644" s="103"/>
      <c r="C644" s="104" t="e">
        <v>#REF!</v>
      </c>
      <c r="D644" s="10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103"/>
      <c r="B645" s="103"/>
      <c r="C645" s="104" t="e">
        <v>#REF!</v>
      </c>
      <c r="D645" s="10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103"/>
      <c r="B646" s="103"/>
      <c r="C646" s="104" t="e">
        <v>#REF!</v>
      </c>
      <c r="D646" s="10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103"/>
      <c r="B647" s="103"/>
      <c r="C647" s="104" t="e">
        <v>#REF!</v>
      </c>
      <c r="D647" s="10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103"/>
      <c r="B648" s="103"/>
      <c r="C648" s="104" t="e">
        <v>#REF!</v>
      </c>
      <c r="D648" s="10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103"/>
      <c r="B649" s="103"/>
      <c r="C649" s="104" t="e">
        <v>#REF!</v>
      </c>
      <c r="D649" s="10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103"/>
      <c r="B650" s="103"/>
      <c r="C650" s="104" t="e">
        <v>#REF!</v>
      </c>
      <c r="D650" s="10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103"/>
      <c r="B651" s="103"/>
      <c r="C651" s="104" t="e">
        <v>#REF!</v>
      </c>
      <c r="D651" s="10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103"/>
      <c r="B652" s="103"/>
      <c r="C652" s="104" t="e">
        <v>#REF!</v>
      </c>
      <c r="D652" s="10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103"/>
      <c r="B653" s="103"/>
      <c r="C653" s="104" t="e">
        <v>#REF!</v>
      </c>
      <c r="D653" s="10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103"/>
      <c r="B654" s="103"/>
      <c r="C654" s="104" t="e">
        <v>#REF!</v>
      </c>
      <c r="D654" s="10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103"/>
      <c r="B655" s="103"/>
      <c r="C655" s="104" t="e">
        <v>#REF!</v>
      </c>
      <c r="D655" s="10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103"/>
      <c r="B656" s="103"/>
      <c r="C656" s="104" t="e">
        <v>#REF!</v>
      </c>
      <c r="D656" s="10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103"/>
      <c r="B657" s="103"/>
      <c r="C657" s="104" t="e">
        <v>#REF!</v>
      </c>
      <c r="D657" s="10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103"/>
      <c r="B658" s="103"/>
      <c r="C658" s="104" t="e">
        <v>#REF!</v>
      </c>
      <c r="D658" s="10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103"/>
      <c r="B659" s="103"/>
      <c r="C659" s="104" t="e">
        <v>#REF!</v>
      </c>
      <c r="D659" s="10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103"/>
      <c r="B660" s="103"/>
      <c r="C660" s="104" t="e">
        <v>#REF!</v>
      </c>
      <c r="D660" s="10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103"/>
      <c r="B661" s="103"/>
      <c r="C661" s="104" t="e">
        <v>#REF!</v>
      </c>
      <c r="D661" s="10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103"/>
      <c r="B662" s="103"/>
      <c r="C662" s="104" t="e">
        <v>#REF!</v>
      </c>
      <c r="D662" s="10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103"/>
      <c r="B663" s="103"/>
      <c r="C663" s="104" t="e">
        <v>#REF!</v>
      </c>
      <c r="D663" s="10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103"/>
      <c r="B664" s="103"/>
      <c r="C664" s="104" t="e">
        <v>#REF!</v>
      </c>
      <c r="D664" s="10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103"/>
      <c r="B665" s="103"/>
      <c r="C665" s="104" t="e">
        <v>#REF!</v>
      </c>
      <c r="D665" s="10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103"/>
      <c r="B666" s="103"/>
      <c r="C666" s="104" t="e">
        <v>#REF!</v>
      </c>
      <c r="D666" s="10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103"/>
      <c r="B667" s="103"/>
      <c r="C667" s="104" t="e">
        <v>#REF!</v>
      </c>
      <c r="D667" s="10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103"/>
      <c r="B668" s="103"/>
      <c r="C668" s="104" t="e">
        <v>#REF!</v>
      </c>
      <c r="D668" s="10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103"/>
      <c r="B669" s="103"/>
      <c r="C669" s="104" t="e">
        <v>#REF!</v>
      </c>
      <c r="D669" s="10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103"/>
      <c r="B670" s="103"/>
      <c r="C670" s="104" t="e">
        <v>#REF!</v>
      </c>
      <c r="D670" s="10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103"/>
      <c r="B671" s="103"/>
      <c r="C671" s="104" t="e">
        <v>#REF!</v>
      </c>
      <c r="D671" s="10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103"/>
      <c r="B672" s="103"/>
      <c r="C672" s="104" t="e">
        <v>#REF!</v>
      </c>
      <c r="D672" s="10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103"/>
      <c r="B673" s="103"/>
      <c r="C673" s="104" t="e">
        <v>#REF!</v>
      </c>
      <c r="D673" s="10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103"/>
      <c r="B674" s="103"/>
      <c r="C674" s="104" t="e">
        <v>#REF!</v>
      </c>
      <c r="D674" s="10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103"/>
      <c r="B675" s="103"/>
      <c r="C675" s="104" t="e">
        <v>#REF!</v>
      </c>
      <c r="D675" s="10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103"/>
      <c r="B676" s="103"/>
      <c r="C676" s="104" t="e">
        <v>#REF!</v>
      </c>
      <c r="D676" s="10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103"/>
      <c r="B677" s="103"/>
      <c r="C677" s="104" t="e">
        <v>#REF!</v>
      </c>
      <c r="D677" s="10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103"/>
      <c r="B678" s="103"/>
      <c r="C678" s="104" t="e">
        <v>#REF!</v>
      </c>
      <c r="D678" s="10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103"/>
      <c r="B679" s="103"/>
      <c r="C679" s="104" t="e">
        <v>#REF!</v>
      </c>
      <c r="D679" s="10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103"/>
      <c r="B680" s="103"/>
      <c r="C680" s="104" t="e">
        <v>#REF!</v>
      </c>
      <c r="D680" s="10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103"/>
      <c r="B681" s="103"/>
      <c r="C681" s="104" t="e">
        <v>#REF!</v>
      </c>
      <c r="D681" s="10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103"/>
      <c r="B682" s="103"/>
      <c r="C682" s="104" t="e">
        <v>#REF!</v>
      </c>
      <c r="D682" s="10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103"/>
      <c r="B683" s="103"/>
      <c r="C683" s="104" t="e">
        <v>#REF!</v>
      </c>
      <c r="D683" s="10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103"/>
      <c r="B684" s="103"/>
      <c r="C684" s="104" t="e">
        <v>#REF!</v>
      </c>
      <c r="D684" s="10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103"/>
      <c r="B685" s="103"/>
      <c r="C685" s="104" t="e">
        <v>#REF!</v>
      </c>
      <c r="D685" s="10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103"/>
      <c r="B686" s="103"/>
      <c r="C686" s="104" t="e">
        <v>#REF!</v>
      </c>
      <c r="D686" s="10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103"/>
      <c r="B687" s="103"/>
      <c r="C687" s="104" t="e">
        <v>#REF!</v>
      </c>
      <c r="D687" s="10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103"/>
      <c r="B688" s="103"/>
      <c r="C688" s="104" t="e">
        <v>#REF!</v>
      </c>
      <c r="D688" s="10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103"/>
      <c r="B689" s="103"/>
      <c r="C689" s="104" t="e">
        <v>#REF!</v>
      </c>
      <c r="D689" s="10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103"/>
      <c r="B690" s="103"/>
      <c r="C690" s="104" t="e">
        <v>#REF!</v>
      </c>
      <c r="D690" s="10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103"/>
      <c r="B691" s="103"/>
      <c r="C691" s="104" t="e">
        <v>#REF!</v>
      </c>
      <c r="D691" s="10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103"/>
      <c r="B692" s="103"/>
      <c r="C692" s="104" t="e">
        <v>#REF!</v>
      </c>
      <c r="D692" s="10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103"/>
      <c r="B693" s="103"/>
      <c r="C693" s="104" t="e">
        <v>#REF!</v>
      </c>
      <c r="D693" s="10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103"/>
      <c r="B694" s="103"/>
      <c r="C694" s="104" t="e">
        <v>#REF!</v>
      </c>
      <c r="D694" s="10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103"/>
      <c r="B695" s="103"/>
      <c r="C695" s="104" t="e">
        <v>#REF!</v>
      </c>
      <c r="D695" s="10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103"/>
      <c r="B696" s="103"/>
      <c r="C696" s="104" t="e">
        <v>#REF!</v>
      </c>
      <c r="D696" s="10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103"/>
      <c r="B697" s="103"/>
      <c r="C697" s="104" t="e">
        <v>#REF!</v>
      </c>
      <c r="D697" s="10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103"/>
      <c r="B698" s="103"/>
      <c r="C698" s="104" t="e">
        <v>#REF!</v>
      </c>
      <c r="D698" s="10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103"/>
      <c r="B699" s="103"/>
      <c r="C699" s="104" t="e">
        <v>#REF!</v>
      </c>
      <c r="D699" s="10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103"/>
      <c r="B700" s="103"/>
      <c r="C700" s="104" t="e">
        <v>#REF!</v>
      </c>
      <c r="D700" s="10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103"/>
      <c r="B701" s="103"/>
      <c r="C701" s="104" t="e">
        <v>#REF!</v>
      </c>
      <c r="D701" s="10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103"/>
      <c r="B702" s="103"/>
      <c r="C702" s="104" t="e">
        <v>#REF!</v>
      </c>
      <c r="D702" s="10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103"/>
      <c r="B703" s="103"/>
      <c r="C703" s="104" t="e">
        <v>#REF!</v>
      </c>
      <c r="D703" s="10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103"/>
      <c r="B704" s="103"/>
      <c r="C704" s="104" t="e">
        <v>#REF!</v>
      </c>
      <c r="D704" s="10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103"/>
      <c r="B705" s="103"/>
      <c r="C705" s="104" t="e">
        <v>#REF!</v>
      </c>
      <c r="D705" s="10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103"/>
      <c r="B706" s="103"/>
      <c r="C706" s="104" t="e">
        <v>#REF!</v>
      </c>
      <c r="D706" s="10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103"/>
      <c r="B707" s="103"/>
      <c r="C707" s="104" t="e">
        <v>#REF!</v>
      </c>
      <c r="D707" s="10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103"/>
      <c r="B708" s="103"/>
      <c r="C708" s="104" t="e">
        <v>#REF!</v>
      </c>
      <c r="D708" s="10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103"/>
      <c r="B709" s="103"/>
      <c r="C709" s="104" t="e">
        <v>#REF!</v>
      </c>
      <c r="D709" s="10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103"/>
      <c r="B710" s="103"/>
      <c r="C710" s="104" t="e">
        <v>#REF!</v>
      </c>
      <c r="D710" s="10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103"/>
      <c r="B711" s="103"/>
      <c r="C711" s="104" t="e">
        <v>#REF!</v>
      </c>
      <c r="D711" s="10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103"/>
      <c r="B712" s="103"/>
      <c r="C712" s="104" t="e">
        <v>#REF!</v>
      </c>
      <c r="D712" s="10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103"/>
      <c r="B713" s="103"/>
      <c r="C713" s="104" t="e">
        <v>#REF!</v>
      </c>
      <c r="D713" s="10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103"/>
      <c r="B714" s="103"/>
      <c r="C714" s="104" t="e">
        <v>#REF!</v>
      </c>
      <c r="D714" s="10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103"/>
      <c r="B715" s="103"/>
      <c r="C715" s="104" t="e">
        <v>#REF!</v>
      </c>
      <c r="D715" s="10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103"/>
      <c r="B716" s="103"/>
      <c r="C716" s="104" t="e">
        <v>#REF!</v>
      </c>
      <c r="D716" s="10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103"/>
      <c r="B717" s="103"/>
      <c r="C717" s="104" t="e">
        <v>#REF!</v>
      </c>
      <c r="D717" s="10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103"/>
      <c r="B718" s="103"/>
      <c r="C718" s="104" t="e">
        <v>#REF!</v>
      </c>
      <c r="D718" s="10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103"/>
      <c r="B719" s="103"/>
      <c r="C719" s="104" t="e">
        <v>#REF!</v>
      </c>
      <c r="D719" s="10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103"/>
      <c r="B720" s="103"/>
      <c r="C720" s="104" t="e">
        <v>#REF!</v>
      </c>
      <c r="D720" s="10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103"/>
      <c r="B721" s="103"/>
      <c r="C721" s="104" t="e">
        <v>#REF!</v>
      </c>
      <c r="D721" s="10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103"/>
      <c r="B722" s="103"/>
      <c r="C722" s="104" t="e">
        <v>#REF!</v>
      </c>
      <c r="D722" s="10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103"/>
      <c r="B723" s="103"/>
      <c r="C723" s="104" t="e">
        <v>#REF!</v>
      </c>
      <c r="D723" s="10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103"/>
      <c r="B724" s="103"/>
      <c r="C724" s="104" t="e">
        <v>#REF!</v>
      </c>
      <c r="D724" s="10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103"/>
      <c r="B725" s="103"/>
      <c r="C725" s="104" t="e">
        <v>#REF!</v>
      </c>
      <c r="D725" s="10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103"/>
      <c r="B726" s="103"/>
      <c r="C726" s="104" t="e">
        <v>#REF!</v>
      </c>
      <c r="D726" s="10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103"/>
      <c r="B727" s="103"/>
      <c r="C727" s="104" t="e">
        <v>#REF!</v>
      </c>
      <c r="D727" s="10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103"/>
      <c r="B728" s="103"/>
      <c r="C728" s="104" t="e">
        <v>#REF!</v>
      </c>
      <c r="D728" s="10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103"/>
      <c r="B729" s="103"/>
      <c r="C729" s="104" t="e">
        <v>#REF!</v>
      </c>
      <c r="D729" s="10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103"/>
      <c r="B730" s="103"/>
      <c r="C730" s="104" t="e">
        <v>#REF!</v>
      </c>
      <c r="D730" s="10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103"/>
      <c r="B731" s="103"/>
      <c r="C731" s="104" t="e">
        <v>#REF!</v>
      </c>
      <c r="D731" s="10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103"/>
      <c r="B732" s="103"/>
      <c r="C732" s="104" t="e">
        <v>#REF!</v>
      </c>
      <c r="D732" s="10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103"/>
      <c r="B733" s="103"/>
      <c r="C733" s="104" t="e">
        <v>#REF!</v>
      </c>
      <c r="D733" s="10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103"/>
      <c r="B734" s="103"/>
      <c r="C734" s="104" t="e">
        <v>#REF!</v>
      </c>
      <c r="D734" s="10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103"/>
      <c r="B735" s="103"/>
      <c r="C735" s="104" t="e">
        <v>#REF!</v>
      </c>
      <c r="D735" s="10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103"/>
      <c r="B736" s="103"/>
      <c r="C736" s="104" t="e">
        <v>#REF!</v>
      </c>
      <c r="D736" s="10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103"/>
      <c r="B737" s="103"/>
      <c r="C737" s="104" t="e">
        <v>#REF!</v>
      </c>
      <c r="D737" s="10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103"/>
      <c r="B738" s="103"/>
      <c r="C738" s="104" t="e">
        <v>#REF!</v>
      </c>
      <c r="D738" s="10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103"/>
      <c r="B739" s="103"/>
      <c r="C739" s="104" t="e">
        <v>#REF!</v>
      </c>
      <c r="D739" s="10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103"/>
      <c r="B740" s="103"/>
      <c r="C740" s="104" t="e">
        <v>#REF!</v>
      </c>
      <c r="D740" s="10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103"/>
      <c r="B741" s="103"/>
      <c r="C741" s="104" t="e">
        <v>#REF!</v>
      </c>
      <c r="D741" s="10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103"/>
      <c r="B742" s="103"/>
      <c r="C742" s="104" t="e">
        <v>#REF!</v>
      </c>
      <c r="D742" s="10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103"/>
      <c r="B743" s="103"/>
      <c r="C743" s="104" t="e">
        <v>#REF!</v>
      </c>
      <c r="D743" s="10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103"/>
      <c r="B744" s="103"/>
      <c r="C744" s="104" t="e">
        <v>#REF!</v>
      </c>
      <c r="D744" s="10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103"/>
      <c r="B745" s="103"/>
      <c r="C745" s="104" t="e">
        <v>#REF!</v>
      </c>
      <c r="D745" s="10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103"/>
      <c r="B746" s="103"/>
      <c r="C746" s="104" t="e">
        <v>#REF!</v>
      </c>
      <c r="D746" s="10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103"/>
      <c r="B747" s="103"/>
      <c r="C747" s="104" t="e">
        <v>#REF!</v>
      </c>
      <c r="D747" s="10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103"/>
      <c r="B748" s="103"/>
      <c r="C748" s="104" t="e">
        <v>#REF!</v>
      </c>
      <c r="D748" s="10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103"/>
      <c r="B749" s="103"/>
      <c r="C749" s="104" t="e">
        <v>#REF!</v>
      </c>
      <c r="D749" s="10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103"/>
      <c r="B750" s="103"/>
      <c r="C750" s="104" t="e">
        <v>#REF!</v>
      </c>
      <c r="D750" s="10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103"/>
      <c r="B751" s="103"/>
      <c r="C751" s="104" t="e">
        <v>#REF!</v>
      </c>
      <c r="D751" s="10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103"/>
      <c r="B752" s="103"/>
      <c r="C752" s="104" t="e">
        <v>#REF!</v>
      </c>
      <c r="D752" s="10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103"/>
      <c r="B753" s="103"/>
      <c r="C753" s="104" t="e">
        <v>#REF!</v>
      </c>
      <c r="D753" s="10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103"/>
      <c r="B754" s="103"/>
      <c r="C754" s="104" t="e">
        <v>#REF!</v>
      </c>
      <c r="D754" s="10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103"/>
      <c r="B755" s="103"/>
      <c r="C755" s="104" t="e">
        <v>#REF!</v>
      </c>
      <c r="D755" s="10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103"/>
      <c r="B756" s="103"/>
      <c r="C756" s="104" t="e">
        <v>#REF!</v>
      </c>
      <c r="D756" s="10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103"/>
      <c r="B757" s="103"/>
      <c r="C757" s="104" t="e">
        <v>#REF!</v>
      </c>
      <c r="D757" s="10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103"/>
      <c r="B758" s="103"/>
      <c r="C758" s="104" t="e">
        <v>#REF!</v>
      </c>
      <c r="D758" s="10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103"/>
      <c r="B759" s="103"/>
      <c r="C759" s="104" t="e">
        <v>#REF!</v>
      </c>
      <c r="D759" s="10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103"/>
      <c r="B760" s="103"/>
      <c r="C760" s="104" t="e">
        <v>#REF!</v>
      </c>
      <c r="D760" s="10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103"/>
      <c r="B761" s="103"/>
      <c r="C761" s="104" t="e">
        <v>#REF!</v>
      </c>
      <c r="D761" s="10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103"/>
      <c r="B762" s="103"/>
      <c r="C762" s="104" t="e">
        <v>#REF!</v>
      </c>
      <c r="D762" s="10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103"/>
      <c r="B763" s="103"/>
      <c r="C763" s="104" t="e">
        <v>#REF!</v>
      </c>
      <c r="D763" s="10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103"/>
      <c r="B764" s="103"/>
      <c r="C764" s="104" t="e">
        <v>#REF!</v>
      </c>
      <c r="D764" s="10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103"/>
      <c r="B765" s="103"/>
      <c r="C765" s="104" t="e">
        <v>#REF!</v>
      </c>
      <c r="D765" s="10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103"/>
      <c r="B766" s="103"/>
      <c r="C766" s="104" t="e">
        <v>#REF!</v>
      </c>
      <c r="D766" s="10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103"/>
      <c r="B767" s="103"/>
      <c r="C767" s="104" t="e">
        <v>#REF!</v>
      </c>
      <c r="D767" s="10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103"/>
      <c r="B768" s="103"/>
      <c r="C768" s="104" t="e">
        <v>#REF!</v>
      </c>
      <c r="D768" s="10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103"/>
      <c r="B769" s="103"/>
      <c r="C769" s="104" t="e">
        <v>#REF!</v>
      </c>
      <c r="D769" s="10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103"/>
      <c r="B770" s="103"/>
      <c r="C770" s="104" t="e">
        <v>#REF!</v>
      </c>
      <c r="D770" s="10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103"/>
      <c r="B771" s="103"/>
      <c r="C771" s="104" t="e">
        <v>#REF!</v>
      </c>
      <c r="D771" s="10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103"/>
      <c r="B772" s="103"/>
      <c r="C772" s="104" t="e">
        <v>#REF!</v>
      </c>
      <c r="D772" s="10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103"/>
      <c r="B773" s="103"/>
      <c r="C773" s="104" t="e">
        <v>#REF!</v>
      </c>
      <c r="D773" s="10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103"/>
      <c r="B774" s="103"/>
      <c r="C774" s="104" t="e">
        <v>#REF!</v>
      </c>
      <c r="D774" s="10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103"/>
      <c r="B775" s="103"/>
      <c r="C775" s="104" t="e">
        <v>#REF!</v>
      </c>
      <c r="D775" s="10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103"/>
      <c r="B776" s="103"/>
      <c r="C776" s="104" t="e">
        <v>#REF!</v>
      </c>
      <c r="D776" s="10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103"/>
      <c r="B777" s="103"/>
      <c r="C777" s="104" t="e">
        <v>#REF!</v>
      </c>
      <c r="D777" s="10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103"/>
      <c r="B778" s="103"/>
      <c r="C778" s="104" t="e">
        <v>#REF!</v>
      </c>
      <c r="D778" s="10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103"/>
      <c r="B779" s="103"/>
      <c r="C779" s="104" t="e">
        <v>#REF!</v>
      </c>
      <c r="D779" s="10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103"/>
      <c r="B780" s="103"/>
      <c r="C780" s="104" t="e">
        <v>#REF!</v>
      </c>
      <c r="D780" s="10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103"/>
      <c r="B781" s="103"/>
      <c r="C781" s="104" t="e">
        <v>#REF!</v>
      </c>
      <c r="D781" s="10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103"/>
      <c r="B782" s="103"/>
      <c r="C782" s="104" t="e">
        <v>#REF!</v>
      </c>
      <c r="D782" s="10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103"/>
      <c r="B783" s="103"/>
      <c r="C783" s="104" t="e">
        <v>#REF!</v>
      </c>
      <c r="D783" s="10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103"/>
      <c r="B784" s="103"/>
      <c r="C784" s="104" t="e">
        <v>#REF!</v>
      </c>
      <c r="D784" s="10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103"/>
      <c r="B785" s="103"/>
      <c r="C785" s="104" t="e">
        <v>#REF!</v>
      </c>
      <c r="D785" s="10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103"/>
      <c r="B786" s="103"/>
      <c r="C786" s="104" t="e">
        <v>#REF!</v>
      </c>
      <c r="D786" s="10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103"/>
      <c r="B787" s="103"/>
      <c r="C787" s="104" t="e">
        <v>#REF!</v>
      </c>
      <c r="D787" s="10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103"/>
      <c r="B788" s="103"/>
      <c r="C788" s="104" t="e">
        <v>#REF!</v>
      </c>
      <c r="D788" s="10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103"/>
      <c r="B789" s="103"/>
      <c r="C789" s="104" t="e">
        <v>#REF!</v>
      </c>
      <c r="D789" s="10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103"/>
      <c r="B790" s="103"/>
      <c r="C790" s="104" t="e">
        <v>#REF!</v>
      </c>
      <c r="D790" s="10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103"/>
      <c r="B791" s="103"/>
      <c r="C791" s="104" t="e">
        <v>#REF!</v>
      </c>
      <c r="D791" s="10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103"/>
      <c r="B792" s="103"/>
      <c r="C792" s="104" t="e">
        <v>#REF!</v>
      </c>
      <c r="D792" s="10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103"/>
      <c r="B793" s="103"/>
      <c r="C793" s="104" t="e">
        <v>#REF!</v>
      </c>
      <c r="D793" s="10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103"/>
      <c r="B794" s="103"/>
      <c r="C794" s="104" t="e">
        <v>#REF!</v>
      </c>
      <c r="D794" s="10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103"/>
      <c r="B795" s="103"/>
      <c r="C795" s="104" t="e">
        <v>#REF!</v>
      </c>
      <c r="D795" s="10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103"/>
      <c r="B796" s="103"/>
      <c r="C796" s="104" t="e">
        <v>#REF!</v>
      </c>
      <c r="D796" s="10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103"/>
      <c r="B797" s="103"/>
      <c r="C797" s="104" t="e">
        <v>#REF!</v>
      </c>
      <c r="D797" s="10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103"/>
      <c r="B798" s="103"/>
      <c r="C798" s="104" t="e">
        <v>#REF!</v>
      </c>
      <c r="D798" s="10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103"/>
      <c r="B799" s="103"/>
      <c r="C799" s="104" t="e">
        <v>#REF!</v>
      </c>
      <c r="D799" s="10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103"/>
      <c r="B800" s="103"/>
      <c r="C800" s="104" t="e">
        <v>#REF!</v>
      </c>
      <c r="D800" s="10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103"/>
      <c r="B801" s="103"/>
      <c r="C801" s="104" t="e">
        <v>#REF!</v>
      </c>
      <c r="D801" s="10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103"/>
      <c r="B802" s="103"/>
      <c r="C802" s="104" t="e">
        <v>#REF!</v>
      </c>
      <c r="D802" s="10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103"/>
      <c r="B803" s="103"/>
      <c r="C803" s="104" t="e">
        <v>#REF!</v>
      </c>
      <c r="D803" s="10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103"/>
      <c r="B804" s="103"/>
      <c r="C804" s="104" t="e">
        <v>#REF!</v>
      </c>
      <c r="D804" s="10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103"/>
      <c r="B805" s="103"/>
      <c r="C805" s="104" t="e">
        <v>#REF!</v>
      </c>
      <c r="D805" s="10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103"/>
      <c r="B806" s="103"/>
      <c r="C806" s="104" t="e">
        <v>#REF!</v>
      </c>
      <c r="D806" s="10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103"/>
      <c r="B807" s="103"/>
      <c r="C807" s="104" t="e">
        <v>#REF!</v>
      </c>
      <c r="D807" s="10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103"/>
      <c r="B808" s="103"/>
      <c r="C808" s="104" t="e">
        <v>#REF!</v>
      </c>
      <c r="D808" s="10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103"/>
      <c r="B809" s="103"/>
      <c r="C809" s="104" t="e">
        <v>#REF!</v>
      </c>
      <c r="D809" s="10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103"/>
      <c r="B810" s="103"/>
      <c r="C810" s="104" t="e">
        <v>#REF!</v>
      </c>
      <c r="D810" s="10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103"/>
      <c r="B811" s="103"/>
      <c r="C811" s="104" t="e">
        <v>#REF!</v>
      </c>
      <c r="D811" s="10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103"/>
      <c r="B812" s="103"/>
      <c r="C812" s="104" t="e">
        <v>#REF!</v>
      </c>
      <c r="D812" s="10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103"/>
      <c r="B813" s="103"/>
      <c r="C813" s="104" t="e">
        <v>#REF!</v>
      </c>
      <c r="D813" s="10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103"/>
      <c r="B814" s="103"/>
      <c r="C814" s="104" t="e">
        <v>#REF!</v>
      </c>
      <c r="D814" s="10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103"/>
      <c r="B815" s="103"/>
      <c r="C815" s="104" t="e">
        <v>#REF!</v>
      </c>
      <c r="D815" s="10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103"/>
      <c r="B816" s="103"/>
      <c r="C816" s="104" t="e">
        <v>#REF!</v>
      </c>
      <c r="D816" s="10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103"/>
      <c r="B817" s="103"/>
      <c r="C817" s="104" t="e">
        <v>#REF!</v>
      </c>
      <c r="D817" s="10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103"/>
      <c r="B818" s="103"/>
      <c r="C818" s="104" t="e">
        <v>#REF!</v>
      </c>
      <c r="D818" s="10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103"/>
      <c r="B819" s="103"/>
      <c r="C819" s="104" t="e">
        <v>#REF!</v>
      </c>
      <c r="D819" s="10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103"/>
      <c r="B820" s="103"/>
      <c r="C820" s="104" t="e">
        <v>#REF!</v>
      </c>
      <c r="D820" s="10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103"/>
      <c r="B821" s="103"/>
      <c r="C821" s="104" t="e">
        <v>#REF!</v>
      </c>
      <c r="D821" s="10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103"/>
      <c r="B822" s="103"/>
      <c r="C822" s="104" t="e">
        <v>#REF!</v>
      </c>
      <c r="D822" s="10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103"/>
      <c r="B823" s="103"/>
      <c r="C823" s="104" t="e">
        <v>#REF!</v>
      </c>
      <c r="D823" s="10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103"/>
      <c r="B824" s="103"/>
      <c r="C824" s="104" t="e">
        <v>#REF!</v>
      </c>
      <c r="D824" s="10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103"/>
      <c r="B825" s="103"/>
      <c r="C825" s="104" t="e">
        <v>#REF!</v>
      </c>
      <c r="D825" s="10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103"/>
      <c r="B826" s="103"/>
      <c r="C826" s="104" t="e">
        <v>#REF!</v>
      </c>
      <c r="D826" s="10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103"/>
      <c r="B827" s="103"/>
      <c r="C827" s="104" t="e">
        <v>#REF!</v>
      </c>
      <c r="D827" s="10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103"/>
      <c r="B828" s="103"/>
      <c r="C828" s="104" t="e">
        <v>#REF!</v>
      </c>
      <c r="D828" s="10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103"/>
      <c r="B829" s="103"/>
      <c r="C829" s="104" t="e">
        <v>#REF!</v>
      </c>
      <c r="D829" s="10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103"/>
      <c r="B830" s="103"/>
      <c r="C830" s="104" t="e">
        <v>#REF!</v>
      </c>
      <c r="D830" s="10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103"/>
      <c r="B831" s="103"/>
      <c r="C831" s="104" t="e">
        <v>#REF!</v>
      </c>
      <c r="D831" s="10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103"/>
      <c r="B832" s="103"/>
      <c r="C832" s="104" t="e">
        <v>#REF!</v>
      </c>
      <c r="D832" s="10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103"/>
      <c r="B833" s="103"/>
      <c r="C833" s="104" t="e">
        <v>#REF!</v>
      </c>
      <c r="D833" s="10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103"/>
      <c r="B834" s="103"/>
      <c r="C834" s="104" t="e">
        <v>#REF!</v>
      </c>
      <c r="D834" s="10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103"/>
      <c r="B835" s="103"/>
      <c r="C835" s="104" t="e">
        <v>#REF!</v>
      </c>
      <c r="D835" s="10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103"/>
      <c r="B836" s="103"/>
      <c r="C836" s="104" t="e">
        <v>#REF!</v>
      </c>
      <c r="D836" s="10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103"/>
      <c r="B837" s="103"/>
      <c r="C837" s="104" t="e">
        <v>#REF!</v>
      </c>
      <c r="D837" s="10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103"/>
      <c r="B838" s="103"/>
      <c r="C838" s="104" t="e">
        <v>#REF!</v>
      </c>
      <c r="D838" s="10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103"/>
      <c r="B839" s="103"/>
      <c r="C839" s="104" t="e">
        <v>#REF!</v>
      </c>
      <c r="D839" s="10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103"/>
      <c r="B840" s="103"/>
      <c r="C840" s="104" t="e">
        <v>#REF!</v>
      </c>
      <c r="D840" s="10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103"/>
      <c r="B841" s="103"/>
      <c r="C841" s="104" t="e">
        <v>#REF!</v>
      </c>
      <c r="D841" s="10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103"/>
      <c r="B842" s="103"/>
      <c r="C842" s="104" t="e">
        <v>#REF!</v>
      </c>
      <c r="D842" s="10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103"/>
      <c r="B843" s="103"/>
      <c r="C843" s="104" t="e">
        <v>#REF!</v>
      </c>
      <c r="D843" s="10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103"/>
      <c r="B844" s="103"/>
      <c r="C844" s="104" t="e">
        <v>#REF!</v>
      </c>
      <c r="D844" s="10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103"/>
      <c r="B845" s="103"/>
      <c r="C845" s="104" t="e">
        <v>#REF!</v>
      </c>
      <c r="D845" s="10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103"/>
      <c r="B846" s="103"/>
      <c r="C846" s="104" t="e">
        <v>#REF!</v>
      </c>
      <c r="D846" s="10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103"/>
      <c r="B847" s="103"/>
      <c r="C847" s="104" t="e">
        <v>#REF!</v>
      </c>
      <c r="D847" s="10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103"/>
      <c r="B848" s="103"/>
      <c r="C848" s="104" t="e">
        <v>#REF!</v>
      </c>
      <c r="D848" s="10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103"/>
      <c r="B849" s="103"/>
      <c r="C849" s="104" t="e">
        <v>#REF!</v>
      </c>
      <c r="D849" s="10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103"/>
      <c r="B850" s="103"/>
      <c r="C850" s="104" t="e">
        <v>#REF!</v>
      </c>
      <c r="D850" s="10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103"/>
      <c r="B851" s="103"/>
      <c r="C851" s="104" t="e">
        <v>#REF!</v>
      </c>
      <c r="D851" s="10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103"/>
      <c r="B852" s="103"/>
      <c r="C852" s="104" t="e">
        <v>#REF!</v>
      </c>
      <c r="D852" s="10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103"/>
      <c r="B853" s="103"/>
      <c r="C853" s="104" t="e">
        <v>#REF!</v>
      </c>
      <c r="D853" s="10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103"/>
      <c r="B854" s="103"/>
      <c r="C854" s="104" t="e">
        <v>#REF!</v>
      </c>
      <c r="D854" s="10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103"/>
      <c r="B855" s="103"/>
      <c r="C855" s="104" t="e">
        <v>#REF!</v>
      </c>
      <c r="D855" s="10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103"/>
      <c r="B856" s="103"/>
      <c r="C856" s="104" t="e">
        <v>#REF!</v>
      </c>
      <c r="D856" s="10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103"/>
      <c r="B857" s="103"/>
      <c r="C857" s="104" t="e">
        <v>#REF!</v>
      </c>
      <c r="D857" s="10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103"/>
      <c r="B858" s="103"/>
      <c r="C858" s="104" t="e">
        <v>#REF!</v>
      </c>
      <c r="D858" s="10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103"/>
      <c r="B859" s="103"/>
      <c r="C859" s="104" t="e">
        <v>#REF!</v>
      </c>
      <c r="D859" s="10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103"/>
      <c r="B860" s="103"/>
      <c r="C860" s="104" t="e">
        <v>#REF!</v>
      </c>
      <c r="D860" s="10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103"/>
      <c r="B861" s="103"/>
      <c r="C861" s="104" t="e">
        <v>#REF!</v>
      </c>
      <c r="D861" s="10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103"/>
      <c r="B862" s="103"/>
      <c r="C862" s="104" t="e">
        <v>#REF!</v>
      </c>
      <c r="D862" s="10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103"/>
      <c r="B863" s="103"/>
      <c r="C863" s="104" t="e">
        <v>#REF!</v>
      </c>
      <c r="D863" s="10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103"/>
      <c r="B864" s="103"/>
      <c r="C864" s="104" t="e">
        <v>#REF!</v>
      </c>
      <c r="D864" s="10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103"/>
      <c r="B865" s="103"/>
      <c r="C865" s="104" t="e">
        <v>#REF!</v>
      </c>
      <c r="D865" s="10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103"/>
      <c r="B866" s="103"/>
      <c r="C866" s="104" t="e">
        <v>#REF!</v>
      </c>
      <c r="D866" s="10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103"/>
      <c r="B867" s="103"/>
      <c r="C867" s="104" t="e">
        <v>#REF!</v>
      </c>
      <c r="D867" s="10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103"/>
      <c r="B868" s="103"/>
      <c r="C868" s="104" t="e">
        <v>#REF!</v>
      </c>
      <c r="D868" s="10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103"/>
      <c r="B869" s="103"/>
      <c r="C869" s="104" t="e">
        <v>#REF!</v>
      </c>
      <c r="D869" s="10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103"/>
      <c r="B870" s="103"/>
      <c r="C870" s="104" t="e">
        <v>#REF!</v>
      </c>
      <c r="D870" s="10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103"/>
      <c r="B871" s="103"/>
      <c r="C871" s="104" t="e">
        <v>#REF!</v>
      </c>
      <c r="D871" s="10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103"/>
      <c r="B872" s="103"/>
      <c r="C872" s="104" t="e">
        <v>#REF!</v>
      </c>
      <c r="D872" s="10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103"/>
      <c r="B873" s="103"/>
      <c r="C873" s="104" t="e">
        <v>#REF!</v>
      </c>
      <c r="D873" s="10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103"/>
      <c r="B874" s="103"/>
      <c r="C874" s="104" t="e">
        <v>#REF!</v>
      </c>
      <c r="D874" s="10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103"/>
      <c r="B875" s="103"/>
      <c r="C875" s="104" t="e">
        <v>#REF!</v>
      </c>
      <c r="D875" s="10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103"/>
      <c r="B876" s="103"/>
      <c r="C876" s="104" t="e">
        <v>#REF!</v>
      </c>
      <c r="D876" s="10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103"/>
      <c r="B877" s="103"/>
      <c r="C877" s="104" t="e">
        <v>#REF!</v>
      </c>
      <c r="D877" s="10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103"/>
      <c r="B878" s="103"/>
      <c r="C878" s="104" t="e">
        <v>#REF!</v>
      </c>
      <c r="D878" s="10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103"/>
      <c r="B879" s="103"/>
      <c r="C879" s="104" t="e">
        <v>#REF!</v>
      </c>
      <c r="D879" s="10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103"/>
      <c r="B880" s="103"/>
      <c r="C880" s="104" t="e">
        <v>#REF!</v>
      </c>
      <c r="D880" s="10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103"/>
      <c r="B881" s="103"/>
      <c r="C881" s="104" t="e">
        <v>#REF!</v>
      </c>
      <c r="D881" s="10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103"/>
      <c r="B882" s="103"/>
      <c r="C882" s="104" t="e">
        <v>#REF!</v>
      </c>
      <c r="D882" s="10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103"/>
      <c r="B883" s="103"/>
      <c r="C883" s="104" t="e">
        <v>#REF!</v>
      </c>
      <c r="D883" s="10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103"/>
      <c r="B884" s="103"/>
      <c r="C884" s="104" t="e">
        <v>#REF!</v>
      </c>
      <c r="D884" s="10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103"/>
      <c r="B885" s="103"/>
      <c r="C885" s="104" t="e">
        <v>#REF!</v>
      </c>
      <c r="D885" s="10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103"/>
      <c r="B886" s="103"/>
      <c r="C886" s="104" t="e">
        <v>#REF!</v>
      </c>
      <c r="D886" s="10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103"/>
      <c r="B887" s="103"/>
      <c r="C887" s="104" t="e">
        <v>#REF!</v>
      </c>
      <c r="D887" s="10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103"/>
      <c r="B888" s="103"/>
      <c r="C888" s="104" t="e">
        <v>#REF!</v>
      </c>
      <c r="D888" s="10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103"/>
      <c r="B889" s="103"/>
      <c r="C889" s="104" t="e">
        <v>#REF!</v>
      </c>
      <c r="D889" s="10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103"/>
      <c r="B890" s="103"/>
      <c r="C890" s="104" t="e">
        <v>#REF!</v>
      </c>
      <c r="D890" s="10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103"/>
      <c r="B891" s="103"/>
      <c r="C891" s="104" t="e">
        <v>#REF!</v>
      </c>
      <c r="D891" s="10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103"/>
      <c r="B892" s="103"/>
      <c r="C892" s="104" t="e">
        <v>#REF!</v>
      </c>
      <c r="D892" s="10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103"/>
      <c r="B893" s="103"/>
      <c r="C893" s="104" t="e">
        <v>#REF!</v>
      </c>
      <c r="D893" s="10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103"/>
      <c r="B894" s="103"/>
      <c r="C894" s="104" t="e">
        <v>#REF!</v>
      </c>
      <c r="D894" s="10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103"/>
      <c r="B895" s="103"/>
      <c r="C895" s="104" t="e">
        <v>#REF!</v>
      </c>
      <c r="D895" s="10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103"/>
      <c r="B896" s="103"/>
      <c r="C896" s="104" t="e">
        <v>#REF!</v>
      </c>
      <c r="D896" s="10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103"/>
      <c r="B897" s="103"/>
      <c r="C897" s="104" t="e">
        <v>#REF!</v>
      </c>
      <c r="D897" s="10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103"/>
      <c r="B898" s="103"/>
      <c r="C898" s="104" t="e">
        <v>#REF!</v>
      </c>
      <c r="D898" s="10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103"/>
      <c r="B899" s="103"/>
      <c r="C899" s="104" t="e">
        <v>#REF!</v>
      </c>
      <c r="D899" s="10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103"/>
      <c r="B900" s="103"/>
      <c r="C900" s="104" t="e">
        <v>#REF!</v>
      </c>
      <c r="D900" s="10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103"/>
      <c r="B901" s="103"/>
      <c r="C901" s="104" t="e">
        <v>#REF!</v>
      </c>
      <c r="D901" s="10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103"/>
      <c r="B902" s="103"/>
      <c r="C902" s="104" t="e">
        <v>#REF!</v>
      </c>
      <c r="D902" s="10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103"/>
      <c r="B903" s="103"/>
      <c r="C903" s="104" t="e">
        <v>#REF!</v>
      </c>
      <c r="D903" s="10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103"/>
      <c r="B904" s="103"/>
      <c r="C904" s="104" t="e">
        <v>#REF!</v>
      </c>
      <c r="D904" s="10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103"/>
      <c r="B905" s="103"/>
      <c r="C905" s="104" t="e">
        <v>#REF!</v>
      </c>
      <c r="D905" s="10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103"/>
      <c r="B906" s="103"/>
      <c r="C906" s="104" t="e">
        <v>#REF!</v>
      </c>
      <c r="D906" s="10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103"/>
      <c r="B907" s="103"/>
      <c r="C907" s="104" t="e">
        <v>#REF!</v>
      </c>
      <c r="D907" s="10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103"/>
      <c r="B908" s="103"/>
      <c r="C908" s="104" t="e">
        <v>#REF!</v>
      </c>
      <c r="D908" s="10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103"/>
      <c r="B909" s="103"/>
      <c r="C909" s="104" t="e">
        <v>#REF!</v>
      </c>
      <c r="D909" s="10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103"/>
      <c r="B910" s="103"/>
      <c r="C910" s="104" t="e">
        <v>#REF!</v>
      </c>
      <c r="D910" s="10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103"/>
      <c r="B911" s="103"/>
      <c r="C911" s="104" t="e">
        <v>#REF!</v>
      </c>
      <c r="D911" s="10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103"/>
      <c r="B912" s="103"/>
      <c r="C912" s="104" t="e">
        <v>#REF!</v>
      </c>
      <c r="D912" s="10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103"/>
      <c r="B913" s="103"/>
      <c r="C913" s="104" t="e">
        <v>#REF!</v>
      </c>
      <c r="D913" s="10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103"/>
      <c r="B914" s="103"/>
      <c r="C914" s="104" t="e">
        <v>#REF!</v>
      </c>
      <c r="D914" s="10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103"/>
      <c r="B915" s="103"/>
      <c r="C915" s="104" t="e">
        <v>#REF!</v>
      </c>
      <c r="D915" s="10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103"/>
      <c r="B916" s="103"/>
      <c r="C916" s="104" t="e">
        <v>#REF!</v>
      </c>
      <c r="D916" s="10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103"/>
      <c r="B917" s="103"/>
      <c r="C917" s="104" t="e">
        <v>#REF!</v>
      </c>
      <c r="D917" s="10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103"/>
      <c r="B918" s="103"/>
      <c r="C918" s="104" t="e">
        <v>#REF!</v>
      </c>
      <c r="D918" s="10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103"/>
      <c r="B919" s="103"/>
      <c r="C919" s="104" t="e">
        <v>#REF!</v>
      </c>
      <c r="D919" s="10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103"/>
      <c r="B920" s="103"/>
      <c r="C920" s="104" t="e">
        <v>#REF!</v>
      </c>
      <c r="D920" s="10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103"/>
      <c r="B921" s="103"/>
      <c r="C921" s="104" t="e">
        <v>#REF!</v>
      </c>
      <c r="D921" s="10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103"/>
      <c r="B922" s="103"/>
      <c r="C922" s="104" t="e">
        <v>#REF!</v>
      </c>
      <c r="D922" s="10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103"/>
      <c r="B923" s="103"/>
      <c r="C923" s="104" t="e">
        <v>#REF!</v>
      </c>
      <c r="D923" s="10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103"/>
      <c r="B924" s="103"/>
      <c r="C924" s="104" t="e">
        <v>#REF!</v>
      </c>
      <c r="D924" s="10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103"/>
      <c r="B925" s="103"/>
      <c r="C925" s="104" t="e">
        <v>#REF!</v>
      </c>
      <c r="D925" s="10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103"/>
      <c r="B926" s="103"/>
      <c r="C926" s="104" t="e">
        <v>#REF!</v>
      </c>
      <c r="D926" s="10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103"/>
      <c r="B927" s="103"/>
      <c r="C927" s="104" t="e">
        <v>#REF!</v>
      </c>
      <c r="D927" s="10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103"/>
      <c r="B928" s="103"/>
      <c r="C928" s="104" t="e">
        <v>#REF!</v>
      </c>
      <c r="D928" s="10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103"/>
      <c r="B929" s="103"/>
      <c r="C929" s="104" t="e">
        <v>#REF!</v>
      </c>
      <c r="D929" s="10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103"/>
      <c r="B930" s="103"/>
      <c r="C930" s="104" t="e">
        <v>#REF!</v>
      </c>
      <c r="D930" s="10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103"/>
      <c r="B931" s="103"/>
      <c r="C931" s="104" t="e">
        <v>#REF!</v>
      </c>
      <c r="D931" s="10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103"/>
      <c r="B932" s="103"/>
      <c r="C932" s="104" t="e">
        <v>#REF!</v>
      </c>
      <c r="D932" s="10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103"/>
      <c r="B933" s="103"/>
      <c r="C933" s="104" t="e">
        <v>#REF!</v>
      </c>
      <c r="D933" s="10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103"/>
      <c r="B934" s="103"/>
      <c r="C934" s="104" t="e">
        <v>#REF!</v>
      </c>
      <c r="D934" s="10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103"/>
      <c r="B935" s="103"/>
      <c r="C935" s="104" t="e">
        <v>#REF!</v>
      </c>
      <c r="D935" s="10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103"/>
      <c r="B936" s="103"/>
      <c r="C936" s="104" t="e">
        <v>#REF!</v>
      </c>
      <c r="D936" s="10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103"/>
      <c r="B937" s="103"/>
      <c r="C937" s="104" t="e">
        <v>#REF!</v>
      </c>
      <c r="D937" s="10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103"/>
      <c r="B938" s="103"/>
      <c r="C938" s="104" t="e">
        <v>#REF!</v>
      </c>
      <c r="D938" s="10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103"/>
      <c r="B939" s="103"/>
      <c r="C939" s="104" t="e">
        <v>#REF!</v>
      </c>
      <c r="D939" s="10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103"/>
      <c r="B940" s="103"/>
      <c r="C940" s="104" t="e">
        <v>#REF!</v>
      </c>
      <c r="D940" s="10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103"/>
      <c r="B941" s="103"/>
      <c r="C941" s="104" t="e">
        <v>#REF!</v>
      </c>
      <c r="D941" s="10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103"/>
      <c r="B942" s="103"/>
      <c r="C942" s="104" t="e">
        <v>#REF!</v>
      </c>
      <c r="D942" s="10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103"/>
      <c r="B943" s="103"/>
      <c r="C943" s="104" t="e">
        <v>#REF!</v>
      </c>
      <c r="D943" s="10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103"/>
      <c r="B944" s="103"/>
      <c r="C944" s="104" t="e">
        <v>#REF!</v>
      </c>
      <c r="D944" s="10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103"/>
      <c r="B945" s="103"/>
      <c r="C945" s="104" t="e">
        <v>#REF!</v>
      </c>
      <c r="D945" s="10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103"/>
      <c r="B946" s="103"/>
      <c r="C946" s="104" t="e">
        <v>#REF!</v>
      </c>
      <c r="D946" s="10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103"/>
      <c r="B947" s="103"/>
      <c r="C947" s="104" t="e">
        <v>#REF!</v>
      </c>
      <c r="D947" s="10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103"/>
      <c r="B948" s="103"/>
      <c r="C948" s="104" t="e">
        <v>#REF!</v>
      </c>
      <c r="D948" s="10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103"/>
      <c r="B949" s="103"/>
      <c r="C949" s="104" t="e">
        <v>#REF!</v>
      </c>
      <c r="D949" s="10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103"/>
      <c r="B950" s="103"/>
      <c r="C950" s="104" t="e">
        <v>#REF!</v>
      </c>
      <c r="D950" s="10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103"/>
      <c r="B951" s="103"/>
      <c r="C951" s="104" t="e">
        <v>#REF!</v>
      </c>
      <c r="D951" s="10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103"/>
      <c r="B952" s="103"/>
      <c r="C952" s="104" t="e">
        <v>#REF!</v>
      </c>
      <c r="D952" s="10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103"/>
      <c r="B953" s="103"/>
      <c r="C953" s="104" t="e">
        <v>#REF!</v>
      </c>
      <c r="D953" s="10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103"/>
      <c r="B954" s="103"/>
      <c r="C954" s="104" t="e">
        <v>#REF!</v>
      </c>
      <c r="D954" s="10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103"/>
      <c r="B955" s="103"/>
      <c r="C955" s="104" t="e">
        <v>#REF!</v>
      </c>
      <c r="D955" s="10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103"/>
      <c r="B956" s="103"/>
      <c r="C956" s="104" t="e">
        <v>#REF!</v>
      </c>
      <c r="D956" s="10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103"/>
      <c r="B957" s="103"/>
      <c r="C957" s="104" t="e">
        <v>#REF!</v>
      </c>
      <c r="D957" s="10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103"/>
      <c r="B958" s="103"/>
      <c r="C958" s="104" t="e">
        <v>#REF!</v>
      </c>
      <c r="D958" s="10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103"/>
      <c r="B959" s="103"/>
      <c r="C959" s="104" t="e">
        <v>#REF!</v>
      </c>
      <c r="D959" s="10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103"/>
      <c r="B960" s="103"/>
      <c r="C960" s="104" t="e">
        <v>#REF!</v>
      </c>
      <c r="D960" s="10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103"/>
      <c r="B961" s="103"/>
      <c r="C961" s="104" t="e">
        <v>#REF!</v>
      </c>
      <c r="D961" s="10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103"/>
      <c r="B962" s="103"/>
      <c r="C962" s="104" t="e">
        <v>#REF!</v>
      </c>
      <c r="D962" s="10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5.75" customHeight="1">
      <c r="A963" s="103"/>
      <c r="B963" s="103"/>
      <c r="C963" s="104" t="e">
        <v>#REF!</v>
      </c>
      <c r="D963" s="10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5.75" customHeight="1">
      <c r="A964" s="103"/>
      <c r="B964" s="103"/>
      <c r="C964" s="104" t="e">
        <v>#REF!</v>
      </c>
      <c r="D964" s="10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5.75" customHeight="1">
      <c r="A965" s="103"/>
      <c r="B965" s="103"/>
      <c r="C965" s="104" t="e">
        <v>#REF!</v>
      </c>
      <c r="D965" s="10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5.75" customHeight="1">
      <c r="A966" s="103"/>
      <c r="B966" s="103"/>
      <c r="C966" s="104" t="e">
        <v>#REF!</v>
      </c>
      <c r="D966" s="10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5.75" customHeight="1">
      <c r="A967" s="103"/>
      <c r="B967" s="103"/>
      <c r="C967" s="104" t="e">
        <v>#REF!</v>
      </c>
      <c r="D967" s="10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5.75" customHeight="1">
      <c r="A968" s="103"/>
      <c r="B968" s="103"/>
      <c r="C968" s="104" t="e">
        <v>#REF!</v>
      </c>
      <c r="D968" s="10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5.75" customHeight="1">
      <c r="A969" s="103"/>
      <c r="B969" s="103"/>
      <c r="C969" s="104" t="e">
        <v>#REF!</v>
      </c>
      <c r="D969" s="10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5.75" customHeight="1">
      <c r="A970" s="103"/>
      <c r="B970" s="103"/>
      <c r="C970" s="104" t="e">
        <v>#REF!</v>
      </c>
      <c r="D970" s="10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5.75" customHeight="1">
      <c r="A971" s="103"/>
      <c r="B971" s="103"/>
      <c r="C971" s="104" t="e">
        <v>#REF!</v>
      </c>
      <c r="D971" s="10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5.75" customHeight="1">
      <c r="A972" s="103"/>
      <c r="B972" s="103"/>
      <c r="C972" s="104" t="e">
        <v>#REF!</v>
      </c>
      <c r="D972" s="10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5.75" customHeight="1">
      <c r="A973" s="103"/>
      <c r="B973" s="103"/>
      <c r="C973" s="104" t="e">
        <v>#REF!</v>
      </c>
      <c r="D973" s="10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5.75" customHeight="1">
      <c r="A974" s="103"/>
      <c r="B974" s="103"/>
      <c r="C974" s="104" t="e">
        <v>#REF!</v>
      </c>
      <c r="D974" s="10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5.75" customHeight="1">
      <c r="A975" s="103"/>
      <c r="B975" s="103"/>
      <c r="C975" s="104" t="e">
        <v>#REF!</v>
      </c>
      <c r="D975" s="10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5.75" customHeight="1">
      <c r="A976" s="103"/>
      <c r="B976" s="103"/>
      <c r="C976" s="104" t="e">
        <v>#REF!</v>
      </c>
      <c r="D976" s="10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5.75" customHeight="1">
      <c r="A977" s="103"/>
      <c r="B977" s="103"/>
      <c r="C977" s="104" t="e">
        <v>#REF!</v>
      </c>
      <c r="D977" s="10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5.75" customHeight="1">
      <c r="A978" s="103"/>
      <c r="B978" s="103"/>
      <c r="C978" s="104" t="e">
        <v>#REF!</v>
      </c>
      <c r="D978" s="10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5.75" customHeight="1">
      <c r="A979" s="103"/>
      <c r="B979" s="103"/>
      <c r="C979" s="104" t="e">
        <v>#REF!</v>
      </c>
      <c r="D979" s="10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5.75" customHeight="1">
      <c r="A980" s="103"/>
      <c r="B980" s="103"/>
      <c r="C980" s="104" t="e">
        <v>#REF!</v>
      </c>
      <c r="D980" s="10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5.75" customHeight="1">
      <c r="A981" s="103"/>
      <c r="B981" s="103"/>
      <c r="C981" s="104" t="e">
        <v>#REF!</v>
      </c>
      <c r="D981" s="10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5.75" customHeight="1">
      <c r="A982" s="103"/>
      <c r="B982" s="103"/>
      <c r="C982" s="104" t="e">
        <v>#REF!</v>
      </c>
      <c r="D982" s="10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5.75" customHeight="1">
      <c r="A983" s="103"/>
      <c r="B983" s="103"/>
      <c r="C983" s="104" t="e">
        <v>#REF!</v>
      </c>
      <c r="D983" s="10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5.75" customHeight="1">
      <c r="A984" s="103"/>
      <c r="B984" s="103"/>
      <c r="C984" s="104" t="e">
        <v>#REF!</v>
      </c>
      <c r="D984" s="10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5.75" customHeight="1">
      <c r="A985" s="103"/>
      <c r="B985" s="103"/>
      <c r="C985" s="104" t="e">
        <v>#REF!</v>
      </c>
      <c r="D985" s="10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5.75" customHeight="1">
      <c r="A986" s="103"/>
      <c r="B986" s="103"/>
      <c r="C986" s="104" t="e">
        <v>#REF!</v>
      </c>
      <c r="D986" s="10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5.75" customHeight="1">
      <c r="A987" s="103"/>
      <c r="B987" s="103"/>
      <c r="C987" s="104" t="e">
        <v>#REF!</v>
      </c>
      <c r="D987" s="10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5.75" customHeight="1">
      <c r="A988" s="103"/>
      <c r="B988" s="103"/>
      <c r="C988" s="104" t="e">
        <v>#REF!</v>
      </c>
      <c r="D988" s="10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5.75" customHeight="1">
      <c r="A989" s="103"/>
      <c r="B989" s="103"/>
      <c r="C989" s="104" t="e">
        <v>#REF!</v>
      </c>
      <c r="D989" s="10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5.75" customHeight="1">
      <c r="A990" s="103"/>
      <c r="B990" s="103"/>
      <c r="C990" s="104" t="e">
        <v>#REF!</v>
      </c>
      <c r="D990" s="10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5.75" customHeight="1">
      <c r="A991" s="103"/>
      <c r="B991" s="103"/>
      <c r="C991" s="104" t="e">
        <v>#REF!</v>
      </c>
      <c r="D991" s="10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5.75" customHeight="1">
      <c r="A992" s="103"/>
      <c r="B992" s="103"/>
      <c r="C992" s="104" t="e">
        <v>#REF!</v>
      </c>
      <c r="D992" s="10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5.75" customHeight="1">
      <c r="A993" s="103"/>
      <c r="B993" s="103"/>
      <c r="C993" s="104" t="e">
        <v>#REF!</v>
      </c>
      <c r="D993" s="10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5.75" customHeight="1">
      <c r="A994" s="103"/>
      <c r="B994" s="103"/>
      <c r="C994" s="104" t="e">
        <v>#REF!</v>
      </c>
      <c r="D994" s="10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5.75" customHeight="1">
      <c r="A995" s="103"/>
      <c r="B995" s="103"/>
      <c r="C995" s="104" t="e">
        <v>#REF!</v>
      </c>
      <c r="D995" s="10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5.75" customHeight="1">
      <c r="A996" s="103"/>
      <c r="B996" s="103"/>
      <c r="C996" s="104" t="e">
        <v>#REF!</v>
      </c>
      <c r="D996" s="10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5.75" customHeight="1">
      <c r="A997" s="103"/>
      <c r="B997" s="103"/>
      <c r="C997" s="104" t="e">
        <v>#REF!</v>
      </c>
      <c r="D997" s="10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5.75" customHeight="1">
      <c r="A998" s="103"/>
      <c r="B998" s="103"/>
      <c r="C998" s="104" t="e">
        <v>#REF!</v>
      </c>
      <c r="D998" s="10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5.75" customHeight="1">
      <c r="A999" s="103"/>
      <c r="B999" s="103"/>
      <c r="C999" s="104" t="e">
        <v>#REF!</v>
      </c>
      <c r="D999" s="10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5.75" customHeight="1">
      <c r="A1000" s="103"/>
      <c r="B1000" s="103"/>
      <c r="C1000" s="104" t="e">
        <v>#REF!</v>
      </c>
      <c r="D1000" s="10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  <row r="1001" spans="1:26" ht="15.75" customHeight="1">
      <c r="A1001" s="103"/>
      <c r="B1001" s="103"/>
      <c r="C1001" s="104" t="e">
        <v>#REF!</v>
      </c>
      <c r="D1001" s="10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</row>
    <row r="1002" spans="1:26" ht="15.75" customHeight="1">
      <c r="A1002" s="103"/>
      <c r="B1002" s="103"/>
      <c r="C1002" s="104" t="e">
        <v>#REF!</v>
      </c>
      <c r="D1002" s="10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</row>
    <row r="1003" spans="1:26" ht="15.75" customHeight="1">
      <c r="A1003" s="103"/>
      <c r="B1003" s="103"/>
      <c r="C1003" s="104" t="e">
        <v>#REF!</v>
      </c>
      <c r="D1003" s="10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</row>
    <row r="1004" spans="1:26" ht="15.75" customHeight="1">
      <c r="A1004" s="103"/>
      <c r="B1004" s="103"/>
      <c r="C1004" s="104" t="e">
        <v>#REF!</v>
      </c>
      <c r="D1004" s="10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</row>
    <row r="1005" spans="1:26" ht="15.75" customHeight="1">
      <c r="A1005" s="103"/>
      <c r="B1005" s="103"/>
      <c r="C1005" s="104" t="e">
        <v>#REF!</v>
      </c>
      <c r="D1005" s="10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</row>
    <row r="1006" spans="1:26" ht="15.75" customHeight="1">
      <c r="A1006" s="103"/>
      <c r="B1006" s="103"/>
      <c r="C1006" s="104" t="e">
        <v>#REF!</v>
      </c>
      <c r="D1006" s="10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</row>
    <row r="1007" spans="1:26" ht="15.75" customHeight="1">
      <c r="A1007" s="103"/>
      <c r="B1007" s="103"/>
      <c r="C1007" s="104" t="e">
        <v>#REF!</v>
      </c>
      <c r="D1007" s="10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</row>
    <row r="1008" spans="1:26" ht="15.75" customHeight="1">
      <c r="A1008" s="103"/>
      <c r="B1008" s="103"/>
      <c r="C1008" s="104" t="e">
        <v>#REF!</v>
      </c>
      <c r="D1008" s="10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</row>
    <row r="1009" spans="1:26" ht="15.75" customHeight="1">
      <c r="A1009" s="103"/>
      <c r="B1009" s="103"/>
      <c r="C1009" s="104" t="e">
        <v>#REF!</v>
      </c>
      <c r="D1009" s="10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</row>
    <row r="1010" spans="1:26" ht="15.75" customHeight="1">
      <c r="A1010" s="103"/>
      <c r="B1010" s="103"/>
      <c r="C1010" s="104" t="e">
        <v>#REF!</v>
      </c>
      <c r="D1010" s="10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</row>
    <row r="1011" spans="1:26" ht="15.75" customHeight="1">
      <c r="A1011" s="103"/>
      <c r="B1011" s="103"/>
      <c r="C1011" s="104" t="e">
        <v>#REF!</v>
      </c>
      <c r="D1011" s="10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  <c r="Z1011" s="53"/>
    </row>
    <row r="1012" spans="1:26" ht="15.75" customHeight="1">
      <c r="A1012" s="103"/>
      <c r="B1012" s="103"/>
      <c r="C1012" s="104" t="e">
        <v>#REF!</v>
      </c>
      <c r="D1012" s="10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  <c r="Z1012" s="53"/>
    </row>
    <row r="1013" spans="1:26" ht="15.75" customHeight="1">
      <c r="A1013" s="103"/>
      <c r="B1013" s="103"/>
      <c r="C1013" s="104" t="e">
        <v>#REF!</v>
      </c>
      <c r="D1013" s="10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  <c r="X1013" s="53"/>
      <c r="Y1013" s="53"/>
      <c r="Z1013" s="53"/>
    </row>
    <row r="1014" spans="1:26" ht="15.75" customHeight="1">
      <c r="A1014" s="103"/>
      <c r="B1014" s="103"/>
      <c r="C1014" s="104" t="e">
        <v>#REF!</v>
      </c>
      <c r="D1014" s="10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  <c r="Z1014" s="53"/>
    </row>
    <row r="1015" spans="1:26" ht="15.75" customHeight="1">
      <c r="A1015" s="103"/>
      <c r="B1015" s="103"/>
      <c r="C1015" s="104" t="e">
        <v>#REF!</v>
      </c>
      <c r="D1015" s="10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  <c r="X1015" s="53"/>
      <c r="Y1015" s="53"/>
      <c r="Z1015" s="53"/>
    </row>
    <row r="1016" spans="1:26" ht="15.75" customHeight="1">
      <c r="A1016" s="103"/>
      <c r="B1016" s="103"/>
      <c r="C1016" s="104" t="e">
        <v>#REF!</v>
      </c>
      <c r="D1016" s="10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  <c r="Z1016" s="53"/>
    </row>
    <row r="1017" spans="1:26" ht="15.75" customHeight="1">
      <c r="A1017" s="103"/>
      <c r="B1017" s="103"/>
      <c r="C1017" s="104" t="e">
        <v>#REF!</v>
      </c>
      <c r="D1017" s="103"/>
      <c r="E1017" s="53"/>
      <c r="F1017" s="53"/>
      <c r="G1017" s="53"/>
      <c r="H1017" s="53"/>
      <c r="I1017" s="53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  <c r="W1017" s="53"/>
      <c r="X1017" s="53"/>
      <c r="Y1017" s="53"/>
      <c r="Z1017" s="53"/>
    </row>
    <row r="1018" spans="1:26" ht="15.75" customHeight="1">
      <c r="A1018" s="103"/>
      <c r="B1018" s="103"/>
      <c r="C1018" s="104" t="e">
        <v>#REF!</v>
      </c>
      <c r="D1018" s="103"/>
      <c r="E1018" s="53"/>
      <c r="F1018" s="53"/>
      <c r="G1018" s="53"/>
      <c r="H1018" s="53"/>
      <c r="I1018" s="53"/>
      <c r="J1018" s="53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  <c r="W1018" s="53"/>
      <c r="X1018" s="53"/>
      <c r="Y1018" s="53"/>
      <c r="Z1018" s="53"/>
    </row>
    <row r="1019" spans="1:26" ht="15.75" customHeight="1">
      <c r="A1019" s="103"/>
      <c r="B1019" s="103"/>
      <c r="C1019" s="104" t="e">
        <v>#REF!</v>
      </c>
      <c r="D1019" s="103"/>
      <c r="E1019" s="53"/>
      <c r="F1019" s="53"/>
      <c r="G1019" s="53"/>
      <c r="H1019" s="53"/>
      <c r="I1019" s="53"/>
      <c r="J1019" s="53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  <c r="W1019" s="53"/>
      <c r="X1019" s="53"/>
      <c r="Y1019" s="53"/>
      <c r="Z1019" s="53"/>
    </row>
    <row r="1020" spans="1:26" ht="15.75" customHeight="1">
      <c r="A1020" s="103"/>
      <c r="B1020" s="103"/>
      <c r="C1020" s="104" t="e">
        <v>#REF!</v>
      </c>
      <c r="D1020" s="103"/>
      <c r="E1020" s="53"/>
      <c r="F1020" s="53"/>
      <c r="G1020" s="53"/>
      <c r="H1020" s="53"/>
      <c r="I1020" s="53"/>
      <c r="J1020" s="53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  <c r="X1020" s="53"/>
      <c r="Y1020" s="53"/>
      <c r="Z1020" s="53"/>
    </row>
    <row r="1021" spans="1:26" ht="15.75" customHeight="1">
      <c r="A1021" s="103"/>
      <c r="B1021" s="103"/>
      <c r="C1021" s="104" t="e">
        <v>#REF!</v>
      </c>
      <c r="D1021" s="103"/>
      <c r="E1021" s="53"/>
      <c r="F1021" s="53"/>
      <c r="G1021" s="53"/>
      <c r="H1021" s="53"/>
      <c r="I1021" s="53"/>
      <c r="J1021" s="53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  <c r="W1021" s="53"/>
      <c r="X1021" s="53"/>
      <c r="Y1021" s="53"/>
      <c r="Z1021" s="53"/>
    </row>
    <row r="1022" spans="1:26" ht="15.75" customHeight="1">
      <c r="A1022" s="103"/>
      <c r="B1022" s="103"/>
      <c r="C1022" s="104" t="e">
        <v>#REF!</v>
      </c>
      <c r="D1022" s="103"/>
      <c r="E1022" s="53"/>
      <c r="F1022" s="53"/>
      <c r="G1022" s="53"/>
      <c r="H1022" s="53"/>
      <c r="I1022" s="53"/>
      <c r="J1022" s="53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  <c r="W1022" s="53"/>
      <c r="X1022" s="53"/>
      <c r="Y1022" s="53"/>
      <c r="Z1022" s="53"/>
    </row>
    <row r="1023" spans="1:26" ht="15.75" customHeight="1">
      <c r="A1023" s="103"/>
      <c r="B1023" s="103"/>
      <c r="C1023" s="104" t="e">
        <v>#REF!</v>
      </c>
      <c r="D1023" s="103"/>
      <c r="E1023" s="53"/>
      <c r="F1023" s="53"/>
      <c r="G1023" s="53"/>
      <c r="H1023" s="53"/>
      <c r="I1023" s="53"/>
      <c r="J1023" s="53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  <c r="W1023" s="53"/>
      <c r="X1023" s="53"/>
      <c r="Y1023" s="53"/>
      <c r="Z1023" s="53"/>
    </row>
    <row r="1024" spans="1:26" ht="15.75" customHeight="1">
      <c r="A1024" s="103"/>
      <c r="B1024" s="103"/>
      <c r="C1024" s="104" t="e">
        <v>#REF!</v>
      </c>
      <c r="D1024" s="103"/>
      <c r="E1024" s="53"/>
      <c r="F1024" s="53"/>
      <c r="G1024" s="53"/>
      <c r="H1024" s="53"/>
      <c r="I1024" s="53"/>
      <c r="J1024" s="53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  <c r="W1024" s="53"/>
      <c r="X1024" s="53"/>
      <c r="Y1024" s="53"/>
      <c r="Z1024" s="53"/>
    </row>
    <row r="1025" spans="1:26" ht="15.75" customHeight="1">
      <c r="A1025" s="103"/>
      <c r="B1025" s="103"/>
      <c r="C1025" s="104" t="e">
        <v>#REF!</v>
      </c>
      <c r="D1025" s="103"/>
      <c r="E1025" s="53"/>
      <c r="F1025" s="53"/>
      <c r="G1025" s="53"/>
      <c r="H1025" s="53"/>
      <c r="I1025" s="53"/>
      <c r="J1025" s="53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  <c r="W1025" s="53"/>
      <c r="X1025" s="53"/>
      <c r="Y1025" s="53"/>
      <c r="Z1025" s="53"/>
    </row>
    <row r="1026" spans="1:26" ht="15.75" customHeight="1">
      <c r="A1026" s="103"/>
      <c r="B1026" s="103"/>
      <c r="C1026" s="104" t="e">
        <v>#REF!</v>
      </c>
      <c r="D1026" s="103"/>
      <c r="E1026" s="53"/>
      <c r="F1026" s="53"/>
      <c r="G1026" s="53"/>
      <c r="H1026" s="53"/>
      <c r="I1026" s="53"/>
      <c r="J1026" s="53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  <c r="W1026" s="53"/>
      <c r="X1026" s="53"/>
      <c r="Y1026" s="53"/>
      <c r="Z1026" s="53"/>
    </row>
    <row r="1027" spans="1:26" ht="15.75" customHeight="1">
      <c r="A1027" s="103"/>
      <c r="B1027" s="103"/>
      <c r="C1027" s="104" t="e">
        <v>#REF!</v>
      </c>
      <c r="D1027" s="103"/>
      <c r="E1027" s="53"/>
      <c r="F1027" s="53"/>
      <c r="G1027" s="53"/>
      <c r="H1027" s="53"/>
      <c r="I1027" s="53"/>
      <c r="J1027" s="53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  <c r="W1027" s="53"/>
      <c r="X1027" s="53"/>
      <c r="Y1027" s="53"/>
      <c r="Z1027" s="53"/>
    </row>
    <row r="1028" spans="1:26" ht="15.75" customHeight="1">
      <c r="A1028" s="103"/>
      <c r="B1028" s="103"/>
      <c r="C1028" s="104" t="e">
        <v>#REF!</v>
      </c>
      <c r="D1028" s="103"/>
      <c r="E1028" s="53"/>
      <c r="F1028" s="53"/>
      <c r="G1028" s="53"/>
      <c r="H1028" s="53"/>
      <c r="I1028" s="53"/>
      <c r="J1028" s="53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  <c r="W1028" s="53"/>
      <c r="X1028" s="53"/>
      <c r="Y1028" s="53"/>
      <c r="Z1028" s="53"/>
    </row>
    <row r="1029" spans="1:26" ht="15.75" customHeight="1">
      <c r="A1029" s="103"/>
      <c r="B1029" s="103"/>
      <c r="C1029" s="104" t="e">
        <v>#REF!</v>
      </c>
      <c r="D1029" s="103"/>
      <c r="E1029" s="53"/>
      <c r="F1029" s="53"/>
      <c r="G1029" s="53"/>
      <c r="H1029" s="53"/>
      <c r="I1029" s="53"/>
      <c r="J1029" s="53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  <c r="W1029" s="53"/>
      <c r="X1029" s="53"/>
      <c r="Y1029" s="53"/>
      <c r="Z1029" s="53"/>
    </row>
    <row r="1030" spans="1:26" ht="15.75" customHeight="1">
      <c r="A1030" s="103"/>
      <c r="B1030" s="103"/>
      <c r="C1030" s="104" t="e">
        <v>#REF!</v>
      </c>
      <c r="D1030" s="103"/>
      <c r="E1030" s="53"/>
      <c r="F1030" s="53"/>
      <c r="G1030" s="53"/>
      <c r="H1030" s="53"/>
      <c r="I1030" s="53"/>
      <c r="J1030" s="53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  <c r="W1030" s="53"/>
      <c r="X1030" s="53"/>
      <c r="Y1030" s="53"/>
      <c r="Z1030" s="53"/>
    </row>
    <row r="1031" spans="1:26" ht="15.75" customHeight="1">
      <c r="A1031" s="103"/>
      <c r="B1031" s="103"/>
      <c r="C1031" s="104" t="e">
        <v>#REF!</v>
      </c>
      <c r="D1031" s="103"/>
      <c r="E1031" s="53"/>
      <c r="F1031" s="53"/>
      <c r="G1031" s="53"/>
      <c r="H1031" s="53"/>
      <c r="I1031" s="53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3"/>
      <c r="X1031" s="53"/>
      <c r="Y1031" s="53"/>
      <c r="Z1031" s="53"/>
    </row>
    <row r="1032" spans="1:26" ht="15.75" customHeight="1">
      <c r="A1032" s="103"/>
      <c r="B1032" s="103"/>
      <c r="C1032" s="104" t="e">
        <v>#REF!</v>
      </c>
      <c r="D1032" s="103"/>
      <c r="E1032" s="53"/>
      <c r="F1032" s="53"/>
      <c r="G1032" s="53"/>
      <c r="H1032" s="53"/>
      <c r="I1032" s="53"/>
      <c r="J1032" s="53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3"/>
      <c r="X1032" s="53"/>
      <c r="Y1032" s="53"/>
      <c r="Z1032" s="53"/>
    </row>
    <row r="1033" spans="1:26" ht="15.75" customHeight="1">
      <c r="A1033" s="103"/>
      <c r="B1033" s="103"/>
      <c r="C1033" s="104" t="e">
        <v>#REF!</v>
      </c>
      <c r="D1033" s="103"/>
      <c r="E1033" s="53"/>
      <c r="F1033" s="53"/>
      <c r="G1033" s="53"/>
      <c r="H1033" s="53"/>
      <c r="I1033" s="53"/>
      <c r="J1033" s="53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  <c r="W1033" s="53"/>
      <c r="X1033" s="53"/>
      <c r="Y1033" s="53"/>
      <c r="Z1033" s="53"/>
    </row>
    <row r="1034" spans="1:26" ht="15.75" customHeight="1">
      <c r="A1034" s="103"/>
      <c r="B1034" s="103"/>
      <c r="C1034" s="104" t="e">
        <v>#REF!</v>
      </c>
      <c r="D1034" s="103"/>
      <c r="E1034" s="53"/>
      <c r="F1034" s="53"/>
      <c r="G1034" s="53"/>
      <c r="H1034" s="53"/>
      <c r="I1034" s="53"/>
      <c r="J1034" s="53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  <c r="W1034" s="53"/>
      <c r="X1034" s="53"/>
      <c r="Y1034" s="53"/>
      <c r="Z1034" s="53"/>
    </row>
    <row r="1035" spans="1:26" ht="15.75" customHeight="1">
      <c r="A1035" s="103"/>
      <c r="B1035" s="103"/>
      <c r="C1035" s="104" t="e">
        <v>#REF!</v>
      </c>
      <c r="D1035" s="103"/>
      <c r="E1035" s="53"/>
      <c r="F1035" s="53"/>
      <c r="G1035" s="53"/>
      <c r="H1035" s="53"/>
      <c r="I1035" s="53"/>
      <c r="J1035" s="53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  <c r="W1035" s="53"/>
      <c r="X1035" s="53"/>
      <c r="Y1035" s="53"/>
      <c r="Z1035" s="53"/>
    </row>
    <row r="1036" spans="1:26" ht="15.75" customHeight="1">
      <c r="A1036" s="103"/>
      <c r="B1036" s="103"/>
      <c r="C1036" s="104" t="e">
        <v>#REF!</v>
      </c>
      <c r="D1036" s="103"/>
      <c r="E1036" s="53"/>
      <c r="F1036" s="53"/>
      <c r="G1036" s="53"/>
      <c r="H1036" s="53"/>
      <c r="I1036" s="53"/>
      <c r="J1036" s="53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  <c r="W1036" s="53"/>
      <c r="X1036" s="53"/>
      <c r="Y1036" s="53"/>
      <c r="Z1036" s="53"/>
    </row>
    <row r="1037" spans="1:26" ht="15.75" customHeight="1">
      <c r="A1037" s="103"/>
      <c r="B1037" s="103"/>
      <c r="C1037" s="104" t="e">
        <v>#REF!</v>
      </c>
      <c r="D1037" s="103"/>
      <c r="E1037" s="53"/>
      <c r="F1037" s="53"/>
      <c r="G1037" s="53"/>
      <c r="H1037" s="53"/>
      <c r="I1037" s="53"/>
      <c r="J1037" s="53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  <c r="W1037" s="53"/>
      <c r="X1037" s="53"/>
      <c r="Y1037" s="53"/>
      <c r="Z1037" s="53"/>
    </row>
    <row r="1038" spans="1:26" ht="15.75" customHeight="1">
      <c r="A1038" s="103"/>
      <c r="B1038" s="103"/>
      <c r="C1038" s="104" t="e">
        <v>#REF!</v>
      </c>
      <c r="D1038" s="103"/>
      <c r="E1038" s="53"/>
      <c r="F1038" s="53"/>
      <c r="G1038" s="53"/>
      <c r="H1038" s="53"/>
      <c r="I1038" s="53"/>
      <c r="J1038" s="53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  <c r="W1038" s="53"/>
      <c r="X1038" s="53"/>
      <c r="Y1038" s="53"/>
      <c r="Z1038" s="53"/>
    </row>
    <row r="1039" spans="1:26" ht="15.75" customHeight="1">
      <c r="A1039" s="103"/>
      <c r="B1039" s="103"/>
      <c r="C1039" s="104" t="e">
        <v>#REF!</v>
      </c>
      <c r="D1039" s="103"/>
      <c r="E1039" s="53"/>
      <c r="F1039" s="53"/>
      <c r="G1039" s="53"/>
      <c r="H1039" s="53"/>
      <c r="I1039" s="53"/>
      <c r="J1039" s="53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  <c r="W1039" s="53"/>
      <c r="X1039" s="53"/>
      <c r="Y1039" s="53"/>
      <c r="Z1039" s="53"/>
    </row>
    <row r="1040" spans="1:26" ht="15.75" customHeight="1">
      <c r="A1040" s="103"/>
      <c r="B1040" s="103"/>
      <c r="C1040" s="104" t="e">
        <v>#REF!</v>
      </c>
      <c r="D1040" s="103"/>
      <c r="E1040" s="53"/>
      <c r="F1040" s="53"/>
      <c r="G1040" s="53"/>
      <c r="H1040" s="53"/>
      <c r="I1040" s="53"/>
      <c r="J1040" s="53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  <c r="W1040" s="53"/>
      <c r="X1040" s="53"/>
      <c r="Y1040" s="53"/>
      <c r="Z1040" s="53"/>
    </row>
    <row r="1041" spans="1:26" ht="15.75" customHeight="1">
      <c r="A1041" s="103"/>
      <c r="B1041" s="103"/>
      <c r="C1041" s="104" t="e">
        <v>#REF!</v>
      </c>
      <c r="D1041" s="103"/>
      <c r="E1041" s="53"/>
      <c r="F1041" s="53"/>
      <c r="G1041" s="53"/>
      <c r="H1041" s="53"/>
      <c r="I1041" s="53"/>
      <c r="J1041" s="53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  <c r="W1041" s="53"/>
      <c r="X1041" s="53"/>
      <c r="Y1041" s="53"/>
      <c r="Z1041" s="53"/>
    </row>
    <row r="1042" spans="1:26" ht="15.75" customHeight="1">
      <c r="A1042" s="103"/>
      <c r="B1042" s="103"/>
      <c r="C1042" s="104" t="e">
        <v>#REF!</v>
      </c>
      <c r="D1042" s="103"/>
      <c r="E1042" s="53"/>
      <c r="F1042" s="53"/>
      <c r="G1042" s="53"/>
      <c r="H1042" s="53"/>
      <c r="I1042" s="53"/>
      <c r="J1042" s="53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  <c r="W1042" s="53"/>
      <c r="X1042" s="53"/>
      <c r="Y1042" s="53"/>
      <c r="Z1042" s="53"/>
    </row>
    <row r="1043" spans="1:26" ht="15.75" customHeight="1">
      <c r="A1043" s="103"/>
      <c r="B1043" s="103"/>
      <c r="C1043" s="104" t="e">
        <v>#REF!</v>
      </c>
      <c r="D1043" s="10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</row>
    <row r="1044" spans="1:26" ht="15.75" customHeight="1">
      <c r="A1044" s="103"/>
      <c r="B1044" s="103"/>
      <c r="C1044" s="104" t="e">
        <v>#REF!</v>
      </c>
      <c r="D1044" s="103"/>
      <c r="E1044" s="53"/>
      <c r="F1044" s="53"/>
      <c r="G1044" s="53"/>
      <c r="H1044" s="53"/>
      <c r="I1044" s="53"/>
      <c r="J1044" s="53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  <c r="W1044" s="53"/>
      <c r="X1044" s="53"/>
      <c r="Y1044" s="53"/>
      <c r="Z1044" s="53"/>
    </row>
    <row r="1045" spans="1:26" ht="15.75" customHeight="1">
      <c r="A1045" s="103"/>
      <c r="B1045" s="103"/>
      <c r="C1045" s="104" t="e">
        <v>#REF!</v>
      </c>
      <c r="D1045" s="103"/>
      <c r="E1045" s="53"/>
      <c r="F1045" s="53"/>
      <c r="G1045" s="53"/>
      <c r="H1045" s="53"/>
      <c r="I1045" s="53"/>
      <c r="J1045" s="53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  <c r="W1045" s="53"/>
      <c r="X1045" s="53"/>
      <c r="Y1045" s="53"/>
      <c r="Z1045" s="53"/>
    </row>
    <row r="1046" spans="1:26" ht="15.75" customHeight="1">
      <c r="A1046" s="103"/>
      <c r="B1046" s="103"/>
      <c r="C1046" s="104" t="e">
        <v>#REF!</v>
      </c>
      <c r="D1046" s="103"/>
      <c r="E1046" s="53"/>
      <c r="F1046" s="53"/>
      <c r="G1046" s="53"/>
      <c r="H1046" s="53"/>
      <c r="I1046" s="53"/>
      <c r="J1046" s="53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  <c r="W1046" s="53"/>
      <c r="X1046" s="53"/>
      <c r="Y1046" s="53"/>
      <c r="Z1046" s="53"/>
    </row>
    <row r="1047" spans="1:26" ht="15.75" customHeight="1">
      <c r="A1047" s="103"/>
      <c r="B1047" s="103"/>
      <c r="C1047" s="104" t="e">
        <v>#REF!</v>
      </c>
      <c r="D1047" s="103"/>
      <c r="E1047" s="53"/>
      <c r="F1047" s="53"/>
      <c r="G1047" s="53"/>
      <c r="H1047" s="53"/>
      <c r="I1047" s="53"/>
      <c r="J1047" s="53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  <c r="W1047" s="53"/>
      <c r="X1047" s="53"/>
      <c r="Y1047" s="53"/>
      <c r="Z1047" s="53"/>
    </row>
    <row r="1048" spans="1:26" ht="15.75" customHeight="1">
      <c r="A1048" s="103"/>
      <c r="B1048" s="103"/>
      <c r="C1048" s="104" t="e">
        <v>#REF!</v>
      </c>
      <c r="D1048" s="10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  <c r="W1048" s="53"/>
      <c r="X1048" s="53"/>
      <c r="Y1048" s="53"/>
      <c r="Z1048" s="53"/>
    </row>
    <row r="1049" spans="1:26" ht="15.75" customHeight="1">
      <c r="A1049" s="103"/>
      <c r="B1049" s="103"/>
      <c r="C1049" s="104" t="e">
        <v>#REF!</v>
      </c>
      <c r="D1049" s="103"/>
      <c r="E1049" s="53"/>
      <c r="F1049" s="53"/>
      <c r="G1049" s="53"/>
      <c r="H1049" s="53"/>
      <c r="I1049" s="53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  <c r="W1049" s="53"/>
      <c r="X1049" s="53"/>
      <c r="Y1049" s="53"/>
      <c r="Z1049" s="53"/>
    </row>
    <row r="1050" spans="1:26" ht="15.75" customHeight="1">
      <c r="A1050" s="103"/>
      <c r="B1050" s="103"/>
      <c r="C1050" s="104" t="e">
        <v>#REF!</v>
      </c>
      <c r="D1050" s="103"/>
      <c r="E1050" s="53"/>
      <c r="F1050" s="53"/>
      <c r="G1050" s="53"/>
      <c r="H1050" s="53"/>
      <c r="I1050" s="53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3"/>
      <c r="X1050" s="53"/>
      <c r="Y1050" s="53"/>
      <c r="Z1050" s="53"/>
    </row>
    <row r="1051" spans="1:26" ht="15.75" customHeight="1">
      <c r="A1051" s="103"/>
      <c r="B1051" s="103"/>
      <c r="C1051" s="104" t="e">
        <v>#REF!</v>
      </c>
      <c r="D1051" s="103"/>
      <c r="E1051" s="53"/>
      <c r="F1051" s="53"/>
      <c r="G1051" s="53"/>
      <c r="H1051" s="53"/>
      <c r="I1051" s="53"/>
      <c r="J1051" s="53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</row>
    <row r="1052" spans="1:26" ht="15.75" customHeight="1">
      <c r="A1052" s="103"/>
      <c r="B1052" s="103"/>
      <c r="C1052" s="104" t="e">
        <v>#REF!</v>
      </c>
      <c r="D1052" s="103"/>
      <c r="E1052" s="53"/>
      <c r="F1052" s="53"/>
      <c r="G1052" s="53"/>
      <c r="H1052" s="53"/>
      <c r="I1052" s="53"/>
      <c r="J1052" s="53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  <c r="W1052" s="53"/>
      <c r="X1052" s="53"/>
      <c r="Y1052" s="53"/>
      <c r="Z1052" s="53"/>
    </row>
    <row r="1053" spans="1:26" ht="15.75" customHeight="1">
      <c r="A1053" s="103"/>
      <c r="B1053" s="103"/>
      <c r="C1053" s="104" t="e">
        <v>#REF!</v>
      </c>
      <c r="D1053" s="103"/>
      <c r="E1053" s="53"/>
      <c r="F1053" s="53"/>
      <c r="G1053" s="53"/>
      <c r="H1053" s="53"/>
      <c r="I1053" s="53"/>
      <c r="J1053" s="53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  <c r="W1053" s="53"/>
      <c r="X1053" s="53"/>
      <c r="Y1053" s="53"/>
      <c r="Z1053" s="53"/>
    </row>
    <row r="1054" spans="1:26" ht="15.75" customHeight="1">
      <c r="A1054" s="103"/>
      <c r="B1054" s="103"/>
      <c r="C1054" s="104" t="e">
        <v>#REF!</v>
      </c>
      <c r="D1054" s="103"/>
      <c r="E1054" s="53"/>
      <c r="F1054" s="53"/>
      <c r="G1054" s="53"/>
      <c r="H1054" s="53"/>
      <c r="I1054" s="53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</row>
    <row r="1055" spans="1:26" ht="15.75" customHeight="1">
      <c r="A1055" s="103"/>
      <c r="B1055" s="103"/>
      <c r="C1055" s="104" t="e">
        <v>#REF!</v>
      </c>
      <c r="D1055" s="103"/>
      <c r="E1055" s="53"/>
      <c r="F1055" s="53"/>
      <c r="G1055" s="53"/>
      <c r="H1055" s="53"/>
      <c r="I1055" s="53"/>
      <c r="J1055" s="53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  <c r="W1055" s="53"/>
      <c r="X1055" s="53"/>
      <c r="Y1055" s="53"/>
      <c r="Z1055" s="53"/>
    </row>
    <row r="1056" spans="1:26" ht="15.75" customHeight="1">
      <c r="A1056" s="103"/>
      <c r="B1056" s="103"/>
      <c r="C1056" s="104" t="e">
        <v>#REF!</v>
      </c>
      <c r="D1056" s="103"/>
      <c r="E1056" s="53"/>
      <c r="F1056" s="53"/>
      <c r="G1056" s="53"/>
      <c r="H1056" s="53"/>
      <c r="I1056" s="53"/>
      <c r="J1056" s="53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</row>
    <row r="1057" spans="1:26" ht="15.75" customHeight="1">
      <c r="A1057" s="103"/>
      <c r="B1057" s="103"/>
      <c r="C1057" s="104" t="e">
        <v>#REF!</v>
      </c>
      <c r="D1057" s="103"/>
      <c r="E1057" s="53"/>
      <c r="F1057" s="53"/>
      <c r="G1057" s="53"/>
      <c r="H1057" s="53"/>
      <c r="I1057" s="53"/>
      <c r="J1057" s="53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  <c r="W1057" s="53"/>
      <c r="X1057" s="53"/>
      <c r="Y1057" s="53"/>
      <c r="Z1057" s="53"/>
    </row>
    <row r="1058" spans="1:26" ht="15.75" customHeight="1">
      <c r="A1058" s="103"/>
      <c r="B1058" s="103"/>
      <c r="C1058" s="104" t="e">
        <v>#REF!</v>
      </c>
      <c r="D1058" s="103"/>
      <c r="E1058" s="53"/>
      <c r="F1058" s="53"/>
      <c r="G1058" s="53"/>
      <c r="H1058" s="53"/>
      <c r="I1058" s="53"/>
      <c r="J1058" s="53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</row>
    <row r="1059" spans="1:26" ht="15.75" customHeight="1">
      <c r="A1059" s="103"/>
      <c r="B1059" s="103"/>
      <c r="C1059" s="104" t="e">
        <v>#REF!</v>
      </c>
      <c r="D1059" s="103"/>
      <c r="E1059" s="53"/>
      <c r="F1059" s="53"/>
      <c r="G1059" s="53"/>
      <c r="H1059" s="53"/>
      <c r="I1059" s="53"/>
      <c r="J1059" s="53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  <c r="W1059" s="53"/>
      <c r="X1059" s="53"/>
      <c r="Y1059" s="53"/>
      <c r="Z1059" s="53"/>
    </row>
    <row r="1060" spans="1:26" ht="15.75" customHeight="1">
      <c r="A1060" s="103"/>
      <c r="B1060" s="103"/>
      <c r="C1060" s="104" t="e">
        <v>#REF!</v>
      </c>
      <c r="D1060" s="103"/>
      <c r="E1060" s="53"/>
      <c r="F1060" s="53"/>
      <c r="G1060" s="53"/>
      <c r="H1060" s="53"/>
      <c r="I1060" s="53"/>
      <c r="J1060" s="53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  <c r="W1060" s="53"/>
      <c r="X1060" s="53"/>
      <c r="Y1060" s="53"/>
      <c r="Z1060" s="53"/>
    </row>
    <row r="1061" spans="1:26" ht="15.75" customHeight="1">
      <c r="A1061" s="103"/>
      <c r="B1061" s="103"/>
      <c r="C1061" s="104" t="e">
        <v>#REF!</v>
      </c>
      <c r="D1061" s="103"/>
      <c r="E1061" s="53"/>
      <c r="F1061" s="53"/>
      <c r="G1061" s="53"/>
      <c r="H1061" s="53"/>
      <c r="I1061" s="53"/>
      <c r="J1061" s="53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  <c r="W1061" s="53"/>
      <c r="X1061" s="53"/>
      <c r="Y1061" s="53"/>
      <c r="Z1061" s="53"/>
    </row>
    <row r="1062" spans="1:26" ht="15.75" customHeight="1">
      <c r="A1062" s="103"/>
      <c r="B1062" s="103"/>
      <c r="C1062" s="104" t="e">
        <v>#REF!</v>
      </c>
      <c r="D1062" s="103"/>
      <c r="E1062" s="53"/>
      <c r="F1062" s="53"/>
      <c r="G1062" s="53"/>
      <c r="H1062" s="53"/>
      <c r="I1062" s="53"/>
      <c r="J1062" s="53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  <c r="W1062" s="53"/>
      <c r="X1062" s="53"/>
      <c r="Y1062" s="53"/>
      <c r="Z1062" s="53"/>
    </row>
    <row r="1063" spans="1:26" ht="15.75" customHeight="1">
      <c r="A1063" s="103"/>
      <c r="B1063" s="103"/>
      <c r="C1063" s="104" t="e">
        <v>#REF!</v>
      </c>
      <c r="D1063" s="103"/>
      <c r="E1063" s="53"/>
      <c r="F1063" s="53"/>
      <c r="G1063" s="53"/>
      <c r="H1063" s="53"/>
      <c r="I1063" s="53"/>
      <c r="J1063" s="53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  <c r="W1063" s="53"/>
      <c r="X1063" s="53"/>
      <c r="Y1063" s="53"/>
      <c r="Z1063" s="53"/>
    </row>
    <row r="1064" spans="1:26" ht="15.75" customHeight="1">
      <c r="A1064" s="103"/>
      <c r="B1064" s="103"/>
      <c r="C1064" s="104" t="e">
        <v>#REF!</v>
      </c>
      <c r="D1064" s="103"/>
      <c r="E1064" s="53"/>
      <c r="F1064" s="53"/>
      <c r="G1064" s="53"/>
      <c r="H1064" s="53"/>
      <c r="I1064" s="53"/>
      <c r="J1064" s="53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  <c r="W1064" s="53"/>
      <c r="X1064" s="53"/>
      <c r="Y1064" s="53"/>
      <c r="Z1064" s="53"/>
    </row>
    <row r="1065" spans="1:26" ht="15.75" customHeight="1">
      <c r="A1065" s="103"/>
      <c r="B1065" s="103"/>
      <c r="C1065" s="104" t="e">
        <v>#REF!</v>
      </c>
      <c r="D1065" s="103"/>
      <c r="E1065" s="53"/>
      <c r="F1065" s="53"/>
      <c r="G1065" s="53"/>
      <c r="H1065" s="53"/>
      <c r="I1065" s="53"/>
      <c r="J1065" s="53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  <c r="W1065" s="53"/>
      <c r="X1065" s="53"/>
      <c r="Y1065" s="53"/>
      <c r="Z1065" s="53"/>
    </row>
    <row r="1066" spans="1:26" ht="15.75" customHeight="1">
      <c r="A1066" s="103"/>
      <c r="B1066" s="103"/>
      <c r="C1066" s="104" t="e">
        <v>#REF!</v>
      </c>
      <c r="D1066" s="103"/>
      <c r="E1066" s="53"/>
      <c r="F1066" s="53"/>
      <c r="G1066" s="53"/>
      <c r="H1066" s="53"/>
      <c r="I1066" s="53"/>
      <c r="J1066" s="53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  <c r="W1066" s="53"/>
      <c r="X1066" s="53"/>
      <c r="Y1066" s="53"/>
      <c r="Z1066" s="53"/>
    </row>
    <row r="1067" spans="1:26" ht="15.75" customHeight="1">
      <c r="A1067" s="103"/>
      <c r="B1067" s="103"/>
      <c r="C1067" s="104" t="e">
        <v>#REF!</v>
      </c>
      <c r="D1067" s="103"/>
      <c r="E1067" s="53"/>
      <c r="F1067" s="53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3"/>
      <c r="X1067" s="53"/>
      <c r="Y1067" s="53"/>
      <c r="Z1067" s="53"/>
    </row>
    <row r="1068" spans="1:26" ht="15.75" customHeight="1">
      <c r="A1068" s="103"/>
      <c r="B1068" s="103"/>
      <c r="C1068" s="104" t="e">
        <v>#REF!</v>
      </c>
      <c r="D1068" s="103"/>
      <c r="E1068" s="53"/>
      <c r="F1068" s="53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3"/>
      <c r="X1068" s="53"/>
      <c r="Y1068" s="53"/>
      <c r="Z1068" s="53"/>
    </row>
    <row r="1069" spans="1:26" ht="15.75" customHeight="1">
      <c r="A1069" s="103"/>
      <c r="B1069" s="103"/>
      <c r="C1069" s="104" t="e">
        <v>#REF!</v>
      </c>
      <c r="D1069" s="103"/>
      <c r="E1069" s="53"/>
      <c r="F1069" s="53"/>
      <c r="G1069" s="53"/>
      <c r="H1069" s="53"/>
      <c r="I1069" s="53"/>
      <c r="J1069" s="53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  <c r="W1069" s="53"/>
      <c r="X1069" s="53"/>
      <c r="Y1069" s="53"/>
      <c r="Z1069" s="53"/>
    </row>
    <row r="1070" spans="1:26" ht="15.75" customHeight="1">
      <c r="A1070" s="103"/>
      <c r="B1070" s="103"/>
      <c r="C1070" s="104" t="e">
        <v>#REF!</v>
      </c>
      <c r="D1070" s="103"/>
      <c r="E1070" s="53"/>
      <c r="F1070" s="53"/>
      <c r="G1070" s="53"/>
      <c r="H1070" s="53"/>
      <c r="I1070" s="53"/>
      <c r="J1070" s="53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  <c r="W1070" s="53"/>
      <c r="X1070" s="53"/>
      <c r="Y1070" s="53"/>
      <c r="Z1070" s="53"/>
    </row>
    <row r="1071" spans="1:26" ht="15.75" customHeight="1">
      <c r="A1071" s="103"/>
      <c r="B1071" s="103"/>
      <c r="C1071" s="104" t="e">
        <v>#REF!</v>
      </c>
      <c r="D1071" s="103"/>
      <c r="E1071" s="53"/>
      <c r="F1071" s="53"/>
      <c r="G1071" s="53"/>
      <c r="H1071" s="53"/>
      <c r="I1071" s="53"/>
      <c r="J1071" s="53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  <c r="W1071" s="53"/>
      <c r="X1071" s="53"/>
      <c r="Y1071" s="53"/>
      <c r="Z1071" s="53"/>
    </row>
    <row r="1072" spans="1:26" ht="15.75" customHeight="1">
      <c r="A1072" s="103"/>
      <c r="B1072" s="103"/>
      <c r="C1072" s="104" t="e">
        <v>#REF!</v>
      </c>
      <c r="D1072" s="103"/>
      <c r="E1072" s="53"/>
      <c r="F1072" s="53"/>
      <c r="G1072" s="53"/>
      <c r="H1072" s="53"/>
      <c r="I1072" s="53"/>
      <c r="J1072" s="53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  <c r="W1072" s="53"/>
      <c r="X1072" s="53"/>
      <c r="Y1072" s="53"/>
      <c r="Z1072" s="53"/>
    </row>
    <row r="1073" spans="1:26" ht="15.75" customHeight="1">
      <c r="A1073" s="103"/>
      <c r="B1073" s="103"/>
      <c r="C1073" s="104" t="e">
        <v>#REF!</v>
      </c>
      <c r="D1073" s="103"/>
      <c r="E1073" s="53"/>
      <c r="F1073" s="53"/>
      <c r="G1073" s="53"/>
      <c r="H1073" s="53"/>
      <c r="I1073" s="53"/>
      <c r="J1073" s="53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  <c r="W1073" s="53"/>
      <c r="X1073" s="53"/>
      <c r="Y1073" s="53"/>
      <c r="Z1073" s="53"/>
    </row>
    <row r="1074" spans="1:26" ht="15.75" customHeight="1">
      <c r="A1074" s="103"/>
      <c r="B1074" s="103"/>
      <c r="C1074" s="104" t="e">
        <v>#REF!</v>
      </c>
      <c r="D1074" s="103"/>
      <c r="E1074" s="53"/>
      <c r="F1074" s="53"/>
      <c r="G1074" s="53"/>
      <c r="H1074" s="53"/>
      <c r="I1074" s="53"/>
      <c r="J1074" s="53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  <c r="W1074" s="53"/>
      <c r="X1074" s="53"/>
      <c r="Y1074" s="53"/>
      <c r="Z1074" s="53"/>
    </row>
    <row r="1075" spans="1:26" ht="15.75" customHeight="1">
      <c r="A1075" s="103"/>
      <c r="B1075" s="103"/>
      <c r="C1075" s="104" t="e">
        <v>#REF!</v>
      </c>
      <c r="D1075" s="103"/>
      <c r="E1075" s="53"/>
      <c r="F1075" s="53"/>
      <c r="G1075" s="53"/>
      <c r="H1075" s="53"/>
      <c r="I1075" s="53"/>
      <c r="J1075" s="53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  <c r="W1075" s="53"/>
      <c r="X1075" s="53"/>
      <c r="Y1075" s="53"/>
      <c r="Z1075" s="53"/>
    </row>
    <row r="1076" spans="1:26" ht="15.75" customHeight="1">
      <c r="A1076" s="103"/>
      <c r="B1076" s="103"/>
      <c r="C1076" s="104" t="e">
        <v>#REF!</v>
      </c>
      <c r="D1076" s="103"/>
      <c r="E1076" s="53"/>
      <c r="F1076" s="53"/>
      <c r="G1076" s="53"/>
      <c r="H1076" s="53"/>
      <c r="I1076" s="53"/>
      <c r="J1076" s="53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  <c r="W1076" s="53"/>
      <c r="X1076" s="53"/>
      <c r="Y1076" s="53"/>
      <c r="Z1076" s="53"/>
    </row>
    <row r="1077" spans="1:26" ht="15.75" customHeight="1">
      <c r="A1077" s="103"/>
      <c r="B1077" s="103"/>
      <c r="C1077" s="104" t="e">
        <v>#REF!</v>
      </c>
      <c r="D1077" s="103"/>
      <c r="E1077" s="53"/>
      <c r="F1077" s="53"/>
      <c r="G1077" s="53"/>
      <c r="H1077" s="53"/>
      <c r="I1077" s="53"/>
      <c r="J1077" s="53"/>
      <c r="K1077" s="53"/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  <c r="W1077" s="53"/>
      <c r="X1077" s="53"/>
      <c r="Y1077" s="53"/>
      <c r="Z1077" s="53"/>
    </row>
    <row r="1078" spans="1:26" ht="15.75" customHeight="1">
      <c r="A1078" s="103"/>
      <c r="B1078" s="103"/>
      <c r="C1078" s="104" t="e">
        <v>#REF!</v>
      </c>
      <c r="D1078" s="103"/>
      <c r="E1078" s="53"/>
      <c r="F1078" s="53"/>
      <c r="G1078" s="53"/>
      <c r="H1078" s="53"/>
      <c r="I1078" s="53"/>
      <c r="J1078" s="53"/>
      <c r="K1078" s="53"/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  <c r="W1078" s="53"/>
      <c r="X1078" s="53"/>
      <c r="Y1078" s="53"/>
      <c r="Z1078" s="53"/>
    </row>
    <row r="1079" spans="1:26" ht="15.75" customHeight="1">
      <c r="A1079" s="103"/>
      <c r="B1079" s="103"/>
      <c r="C1079" s="104" t="e">
        <v>#REF!</v>
      </c>
      <c r="D1079" s="103"/>
      <c r="E1079" s="53"/>
      <c r="F1079" s="53"/>
      <c r="G1079" s="53"/>
      <c r="H1079" s="53"/>
      <c r="I1079" s="53"/>
      <c r="J1079" s="53"/>
      <c r="K1079" s="53"/>
      <c r="L1079" s="53"/>
      <c r="M1079" s="53"/>
      <c r="N1079" s="53"/>
      <c r="O1079" s="53"/>
      <c r="P1079" s="53"/>
      <c r="Q1079" s="53"/>
      <c r="R1079" s="53"/>
      <c r="S1079" s="53"/>
      <c r="T1079" s="53"/>
      <c r="U1079" s="53"/>
      <c r="V1079" s="53"/>
      <c r="W1079" s="53"/>
      <c r="X1079" s="53"/>
      <c r="Y1079" s="53"/>
      <c r="Z1079" s="53"/>
    </row>
    <row r="1080" spans="1:26" ht="15.75" customHeight="1">
      <c r="A1080" s="103"/>
      <c r="B1080" s="103"/>
      <c r="C1080" s="104" t="e">
        <v>#REF!</v>
      </c>
      <c r="D1080" s="103"/>
      <c r="E1080" s="53"/>
      <c r="F1080" s="53"/>
      <c r="G1080" s="53"/>
      <c r="H1080" s="53"/>
      <c r="I1080" s="53"/>
      <c r="J1080" s="53"/>
      <c r="K1080" s="53"/>
      <c r="L1080" s="53"/>
      <c r="M1080" s="53"/>
      <c r="N1080" s="53"/>
      <c r="O1080" s="53"/>
      <c r="P1080" s="53"/>
      <c r="Q1080" s="53"/>
      <c r="R1080" s="53"/>
      <c r="S1080" s="53"/>
      <c r="T1080" s="53"/>
      <c r="U1080" s="53"/>
      <c r="V1080" s="53"/>
      <c r="W1080" s="53"/>
      <c r="X1080" s="53"/>
      <c r="Y1080" s="53"/>
      <c r="Z1080" s="53"/>
    </row>
    <row r="1081" spans="1:26" ht="15.75" customHeight="1">
      <c r="A1081" s="103"/>
      <c r="B1081" s="103"/>
      <c r="C1081" s="104" t="e">
        <v>#REF!</v>
      </c>
      <c r="D1081" s="103"/>
      <c r="E1081" s="53"/>
      <c r="F1081" s="53"/>
      <c r="G1081" s="53"/>
      <c r="H1081" s="53"/>
      <c r="I1081" s="53"/>
      <c r="J1081" s="53"/>
      <c r="K1081" s="53"/>
      <c r="L1081" s="53"/>
      <c r="M1081" s="53"/>
      <c r="N1081" s="53"/>
      <c r="O1081" s="53"/>
      <c r="P1081" s="53"/>
      <c r="Q1081" s="53"/>
      <c r="R1081" s="53"/>
      <c r="S1081" s="53"/>
      <c r="T1081" s="53"/>
      <c r="U1081" s="53"/>
      <c r="V1081" s="53"/>
      <c r="W1081" s="53"/>
      <c r="X1081" s="53"/>
      <c r="Y1081" s="53"/>
      <c r="Z1081" s="53"/>
    </row>
    <row r="1082" spans="1:26" ht="15.75" customHeight="1">
      <c r="A1082" s="103"/>
      <c r="B1082" s="103"/>
      <c r="C1082" s="104" t="e">
        <v>#REF!</v>
      </c>
      <c r="D1082" s="103"/>
      <c r="E1082" s="53"/>
      <c r="F1082" s="53"/>
      <c r="G1082" s="53"/>
      <c r="H1082" s="53"/>
      <c r="I1082" s="53"/>
      <c r="J1082" s="53"/>
      <c r="K1082" s="53"/>
      <c r="L1082" s="53"/>
      <c r="M1082" s="53"/>
      <c r="N1082" s="53"/>
      <c r="O1082" s="53"/>
      <c r="P1082" s="53"/>
      <c r="Q1082" s="53"/>
      <c r="R1082" s="53"/>
      <c r="S1082" s="53"/>
      <c r="T1082" s="53"/>
      <c r="U1082" s="53"/>
      <c r="V1082" s="53"/>
      <c r="W1082" s="53"/>
      <c r="X1082" s="53"/>
      <c r="Y1082" s="53"/>
      <c r="Z1082" s="53"/>
    </row>
    <row r="1083" spans="1:26" ht="15.75" customHeight="1">
      <c r="A1083" s="103"/>
      <c r="B1083" s="103"/>
      <c r="C1083" s="104" t="e">
        <v>#REF!</v>
      </c>
      <c r="D1083" s="103"/>
      <c r="E1083" s="53"/>
      <c r="F1083" s="53"/>
      <c r="G1083" s="53"/>
      <c r="H1083" s="53"/>
      <c r="I1083" s="53"/>
      <c r="J1083" s="53"/>
      <c r="K1083" s="53"/>
      <c r="L1083" s="53"/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  <c r="W1083" s="53"/>
      <c r="X1083" s="53"/>
      <c r="Y1083" s="53"/>
      <c r="Z1083" s="53"/>
    </row>
    <row r="1084" spans="1:26" ht="15.75" customHeight="1">
      <c r="A1084" s="103"/>
      <c r="B1084" s="103"/>
      <c r="C1084" s="104" t="e">
        <v>#REF!</v>
      </c>
      <c r="D1084" s="103"/>
      <c r="E1084" s="53"/>
      <c r="F1084" s="53"/>
      <c r="G1084" s="53"/>
      <c r="H1084" s="53"/>
      <c r="I1084" s="53"/>
      <c r="J1084" s="53"/>
      <c r="K1084" s="53"/>
      <c r="L1084" s="53"/>
      <c r="M1084" s="53"/>
      <c r="N1084" s="53"/>
      <c r="O1084" s="53"/>
      <c r="P1084" s="53"/>
      <c r="Q1084" s="53"/>
      <c r="R1084" s="53"/>
      <c r="S1084" s="53"/>
      <c r="T1084" s="53"/>
      <c r="U1084" s="53"/>
      <c r="V1084" s="53"/>
      <c r="W1084" s="53"/>
      <c r="X1084" s="53"/>
      <c r="Y1084" s="53"/>
      <c r="Z1084" s="53"/>
    </row>
    <row r="1085" spans="1:26" ht="15.75" customHeight="1">
      <c r="A1085" s="103"/>
      <c r="B1085" s="103"/>
      <c r="C1085" s="104" t="e">
        <v>#REF!</v>
      </c>
      <c r="D1085" s="103"/>
      <c r="E1085" s="53"/>
      <c r="F1085" s="53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3"/>
      <c r="X1085" s="53"/>
      <c r="Y1085" s="53"/>
      <c r="Z1085" s="53"/>
    </row>
    <row r="1086" spans="1:26" ht="15.75" customHeight="1">
      <c r="A1086" s="103"/>
      <c r="B1086" s="103"/>
      <c r="C1086" s="104" t="e">
        <v>#REF!</v>
      </c>
      <c r="D1086" s="103"/>
      <c r="E1086" s="53"/>
      <c r="F1086" s="53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  <c r="W1086" s="53"/>
      <c r="X1086" s="53"/>
      <c r="Y1086" s="53"/>
      <c r="Z1086" s="53"/>
    </row>
    <row r="1087" spans="1:26" ht="15.75" customHeight="1">
      <c r="A1087" s="103"/>
      <c r="B1087" s="103"/>
      <c r="C1087" s="104" t="e">
        <v>#REF!</v>
      </c>
      <c r="D1087" s="103"/>
      <c r="E1087" s="53"/>
      <c r="F1087" s="53"/>
      <c r="G1087" s="53"/>
      <c r="H1087" s="53"/>
      <c r="I1087" s="53"/>
      <c r="J1087" s="53"/>
      <c r="K1087" s="53"/>
      <c r="L1087" s="53"/>
      <c r="M1087" s="53"/>
      <c r="N1087" s="53"/>
      <c r="O1087" s="53"/>
      <c r="P1087" s="53"/>
      <c r="Q1087" s="53"/>
      <c r="R1087" s="53"/>
      <c r="S1087" s="53"/>
      <c r="T1087" s="53"/>
      <c r="U1087" s="53"/>
      <c r="V1087" s="53"/>
      <c r="W1087" s="53"/>
      <c r="X1087" s="53"/>
      <c r="Y1087" s="53"/>
      <c r="Z1087" s="53"/>
    </row>
    <row r="1088" spans="1:26" ht="15.75" customHeight="1">
      <c r="A1088" s="103"/>
      <c r="B1088" s="103"/>
      <c r="C1088" s="104" t="e">
        <v>#REF!</v>
      </c>
      <c r="D1088" s="103"/>
      <c r="E1088" s="53"/>
      <c r="F1088" s="53"/>
      <c r="G1088" s="53"/>
      <c r="H1088" s="53"/>
      <c r="I1088" s="53"/>
      <c r="J1088" s="53"/>
      <c r="K1088" s="53"/>
      <c r="L1088" s="53"/>
      <c r="M1088" s="53"/>
      <c r="N1088" s="53"/>
      <c r="O1088" s="53"/>
      <c r="P1088" s="53"/>
      <c r="Q1088" s="53"/>
      <c r="R1088" s="53"/>
      <c r="S1088" s="53"/>
      <c r="T1088" s="53"/>
      <c r="U1088" s="53"/>
      <c r="V1088" s="53"/>
      <c r="W1088" s="53"/>
      <c r="X1088" s="53"/>
      <c r="Y1088" s="53"/>
      <c r="Z1088" s="53"/>
    </row>
    <row r="1089" spans="1:26" ht="15.75" customHeight="1">
      <c r="A1089" s="103"/>
      <c r="B1089" s="103"/>
      <c r="C1089" s="104" t="e">
        <v>#REF!</v>
      </c>
      <c r="D1089" s="103"/>
      <c r="E1089" s="53"/>
      <c r="F1089" s="53"/>
      <c r="G1089" s="53"/>
      <c r="H1089" s="53"/>
      <c r="I1089" s="53"/>
      <c r="J1089" s="53"/>
      <c r="K1089" s="53"/>
      <c r="L1089" s="53"/>
      <c r="M1089" s="53"/>
      <c r="N1089" s="53"/>
      <c r="O1089" s="53"/>
      <c r="P1089" s="53"/>
      <c r="Q1089" s="53"/>
      <c r="R1089" s="53"/>
      <c r="S1089" s="53"/>
      <c r="T1089" s="53"/>
      <c r="U1089" s="53"/>
      <c r="V1089" s="53"/>
      <c r="W1089" s="53"/>
      <c r="X1089" s="53"/>
      <c r="Y1089" s="53"/>
      <c r="Z1089" s="53"/>
    </row>
    <row r="1090" spans="1:26" ht="15.75" customHeight="1">
      <c r="A1090" s="103"/>
      <c r="B1090" s="103"/>
      <c r="C1090" s="104" t="e">
        <v>#REF!</v>
      </c>
      <c r="D1090" s="103"/>
      <c r="E1090" s="53"/>
      <c r="F1090" s="53"/>
      <c r="G1090" s="53"/>
      <c r="H1090" s="53"/>
      <c r="I1090" s="53"/>
      <c r="J1090" s="53"/>
      <c r="K1090" s="53"/>
      <c r="L1090" s="53"/>
      <c r="M1090" s="53"/>
      <c r="N1090" s="53"/>
      <c r="O1090" s="53"/>
      <c r="P1090" s="53"/>
      <c r="Q1090" s="53"/>
      <c r="R1090" s="53"/>
      <c r="S1090" s="53"/>
      <c r="T1090" s="53"/>
      <c r="U1090" s="53"/>
      <c r="V1090" s="53"/>
      <c r="W1090" s="53"/>
      <c r="X1090" s="53"/>
      <c r="Y1090" s="53"/>
      <c r="Z1090" s="53"/>
    </row>
    <row r="1091" spans="1:26" ht="15.75" customHeight="1">
      <c r="A1091" s="103"/>
      <c r="B1091" s="103"/>
      <c r="C1091" s="104" t="e">
        <v>#REF!</v>
      </c>
      <c r="D1091" s="103"/>
      <c r="E1091" s="53"/>
      <c r="F1091" s="53"/>
      <c r="G1091" s="53"/>
      <c r="H1091" s="53"/>
      <c r="I1091" s="53"/>
      <c r="J1091" s="53"/>
      <c r="K1091" s="53"/>
      <c r="L1091" s="53"/>
      <c r="M1091" s="53"/>
      <c r="N1091" s="53"/>
      <c r="O1091" s="53"/>
      <c r="P1091" s="53"/>
      <c r="Q1091" s="53"/>
      <c r="R1091" s="53"/>
      <c r="S1091" s="53"/>
      <c r="T1091" s="53"/>
      <c r="U1091" s="53"/>
      <c r="V1091" s="53"/>
      <c r="W1091" s="53"/>
      <c r="X1091" s="53"/>
      <c r="Y1091" s="53"/>
      <c r="Z1091" s="53"/>
    </row>
    <row r="1092" spans="1:26" ht="15.75" customHeight="1">
      <c r="A1092" s="103"/>
      <c r="B1092" s="103"/>
      <c r="C1092" s="104" t="e">
        <v>#REF!</v>
      </c>
      <c r="D1092" s="103"/>
      <c r="E1092" s="53"/>
      <c r="F1092" s="53"/>
      <c r="G1092" s="53"/>
      <c r="H1092" s="53"/>
      <c r="I1092" s="53"/>
      <c r="J1092" s="53"/>
      <c r="K1092" s="53"/>
      <c r="L1092" s="53"/>
      <c r="M1092" s="53"/>
      <c r="N1092" s="53"/>
      <c r="O1092" s="53"/>
      <c r="P1092" s="53"/>
      <c r="Q1092" s="53"/>
      <c r="R1092" s="53"/>
      <c r="S1092" s="53"/>
      <c r="T1092" s="53"/>
      <c r="U1092" s="53"/>
      <c r="V1092" s="53"/>
      <c r="W1092" s="53"/>
      <c r="X1092" s="53"/>
      <c r="Y1092" s="53"/>
      <c r="Z1092" s="53"/>
    </row>
    <row r="1093" spans="1:26" ht="15.75" customHeight="1">
      <c r="A1093" s="103"/>
      <c r="B1093" s="103"/>
      <c r="C1093" s="104" t="e">
        <v>#REF!</v>
      </c>
      <c r="D1093" s="103"/>
      <c r="E1093" s="53"/>
      <c r="F1093" s="53"/>
      <c r="G1093" s="53"/>
      <c r="H1093" s="53"/>
      <c r="I1093" s="53"/>
      <c r="J1093" s="53"/>
      <c r="K1093" s="53"/>
      <c r="L1093" s="53"/>
      <c r="M1093" s="53"/>
      <c r="N1093" s="53"/>
      <c r="O1093" s="53"/>
      <c r="P1093" s="53"/>
      <c r="Q1093" s="53"/>
      <c r="R1093" s="53"/>
      <c r="S1093" s="53"/>
      <c r="T1093" s="53"/>
      <c r="U1093" s="53"/>
      <c r="V1093" s="53"/>
      <c r="W1093" s="53"/>
      <c r="X1093" s="53"/>
      <c r="Y1093" s="53"/>
      <c r="Z1093" s="53"/>
    </row>
    <row r="1094" spans="1:26" ht="15.75" customHeight="1">
      <c r="A1094" s="103"/>
      <c r="B1094" s="103"/>
      <c r="C1094" s="104" t="e">
        <v>#REF!</v>
      </c>
      <c r="D1094" s="103"/>
      <c r="E1094" s="53"/>
      <c r="F1094" s="53"/>
      <c r="G1094" s="53"/>
      <c r="H1094" s="53"/>
      <c r="I1094" s="53"/>
      <c r="J1094" s="53"/>
      <c r="K1094" s="53"/>
      <c r="L1094" s="53"/>
      <c r="M1094" s="53"/>
      <c r="N1094" s="53"/>
      <c r="O1094" s="53"/>
      <c r="P1094" s="53"/>
      <c r="Q1094" s="53"/>
      <c r="R1094" s="53"/>
      <c r="S1094" s="53"/>
      <c r="T1094" s="53"/>
      <c r="U1094" s="53"/>
      <c r="V1094" s="53"/>
      <c r="W1094" s="53"/>
      <c r="X1094" s="53"/>
      <c r="Y1094" s="53"/>
      <c r="Z1094" s="53"/>
    </row>
    <row r="1095" spans="1:26" ht="15.75" customHeight="1">
      <c r="A1095" s="103"/>
      <c r="B1095" s="103"/>
      <c r="C1095" s="104" t="e">
        <v>#REF!</v>
      </c>
      <c r="D1095" s="103"/>
      <c r="E1095" s="53"/>
      <c r="F1095" s="53"/>
      <c r="G1095" s="53"/>
      <c r="H1095" s="53"/>
      <c r="I1095" s="53"/>
      <c r="J1095" s="53"/>
      <c r="K1095" s="53"/>
      <c r="L1095" s="53"/>
      <c r="M1095" s="53"/>
      <c r="N1095" s="53"/>
      <c r="O1095" s="53"/>
      <c r="P1095" s="53"/>
      <c r="Q1095" s="53"/>
      <c r="R1095" s="53"/>
      <c r="S1095" s="53"/>
      <c r="T1095" s="53"/>
      <c r="U1095" s="53"/>
      <c r="V1095" s="53"/>
      <c r="W1095" s="53"/>
      <c r="X1095" s="53"/>
      <c r="Y1095" s="53"/>
      <c r="Z1095" s="53"/>
    </row>
    <row r="1096" spans="1:26" ht="15.75" customHeight="1">
      <c r="A1096" s="103"/>
      <c r="B1096" s="103"/>
      <c r="C1096" s="104" t="e">
        <v>#REF!</v>
      </c>
      <c r="D1096" s="10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</row>
    <row r="1097" spans="1:26" ht="15.75" customHeight="1">
      <c r="A1097" s="103"/>
      <c r="B1097" s="103"/>
      <c r="C1097" s="104" t="e">
        <v>#REF!</v>
      </c>
      <c r="D1097" s="103"/>
      <c r="E1097" s="53"/>
      <c r="F1097" s="53"/>
      <c r="G1097" s="53"/>
      <c r="H1097" s="53"/>
      <c r="I1097" s="53"/>
      <c r="J1097" s="53"/>
      <c r="K1097" s="53"/>
      <c r="L1097" s="53"/>
      <c r="M1097" s="53"/>
      <c r="N1097" s="53"/>
      <c r="O1097" s="53"/>
      <c r="P1097" s="53"/>
      <c r="Q1097" s="53"/>
      <c r="R1097" s="53"/>
      <c r="S1097" s="53"/>
      <c r="T1097" s="53"/>
      <c r="U1097" s="53"/>
      <c r="V1097" s="53"/>
      <c r="W1097" s="53"/>
      <c r="X1097" s="53"/>
      <c r="Y1097" s="53"/>
      <c r="Z1097" s="53"/>
    </row>
    <row r="1098" spans="1:26" ht="15.75" customHeight="1">
      <c r="A1098" s="103"/>
      <c r="B1098" s="103"/>
      <c r="C1098" s="104" t="e">
        <v>#REF!</v>
      </c>
      <c r="D1098" s="103"/>
      <c r="E1098" s="53"/>
      <c r="F1098" s="53"/>
      <c r="G1098" s="53"/>
      <c r="H1098" s="53"/>
      <c r="I1098" s="53"/>
      <c r="J1098" s="53"/>
      <c r="K1098" s="53"/>
      <c r="L1098" s="53"/>
      <c r="M1098" s="53"/>
      <c r="N1098" s="53"/>
      <c r="O1098" s="53"/>
      <c r="P1098" s="53"/>
      <c r="Q1098" s="53"/>
      <c r="R1098" s="53"/>
      <c r="S1098" s="53"/>
      <c r="T1098" s="53"/>
      <c r="U1098" s="53"/>
      <c r="V1098" s="53"/>
      <c r="W1098" s="53"/>
      <c r="X1098" s="53"/>
      <c r="Y1098" s="53"/>
      <c r="Z1098" s="53"/>
    </row>
    <row r="1099" spans="1:26" ht="15.75" customHeight="1">
      <c r="A1099" s="103"/>
      <c r="B1099" s="103"/>
      <c r="C1099" s="104" t="e">
        <v>#REF!</v>
      </c>
      <c r="D1099" s="103"/>
      <c r="E1099" s="53"/>
      <c r="F1099" s="53"/>
      <c r="G1099" s="53"/>
      <c r="H1099" s="53"/>
      <c r="I1099" s="53"/>
      <c r="J1099" s="53"/>
      <c r="K1099" s="53"/>
      <c r="L1099" s="53"/>
      <c r="M1099" s="53"/>
      <c r="N1099" s="53"/>
      <c r="O1099" s="53"/>
      <c r="P1099" s="53"/>
      <c r="Q1099" s="53"/>
      <c r="R1099" s="53"/>
      <c r="S1099" s="53"/>
      <c r="T1099" s="53"/>
      <c r="U1099" s="53"/>
      <c r="V1099" s="53"/>
      <c r="W1099" s="53"/>
      <c r="X1099" s="53"/>
      <c r="Y1099" s="53"/>
      <c r="Z1099" s="53"/>
    </row>
    <row r="1100" spans="1:26" ht="15.75" customHeight="1">
      <c r="A1100" s="103"/>
      <c r="B1100" s="103"/>
      <c r="C1100" s="104" t="e">
        <v>#REF!</v>
      </c>
      <c r="D1100" s="103"/>
      <c r="E1100" s="53"/>
      <c r="F1100" s="53"/>
      <c r="G1100" s="53"/>
      <c r="H1100" s="53"/>
      <c r="I1100" s="53"/>
      <c r="J1100" s="53"/>
      <c r="K1100" s="53"/>
      <c r="L1100" s="53"/>
      <c r="M1100" s="53"/>
      <c r="N1100" s="53"/>
      <c r="O1100" s="53"/>
      <c r="P1100" s="53"/>
      <c r="Q1100" s="53"/>
      <c r="R1100" s="53"/>
      <c r="S1100" s="53"/>
      <c r="T1100" s="53"/>
      <c r="U1100" s="53"/>
      <c r="V1100" s="53"/>
      <c r="W1100" s="53"/>
      <c r="X1100" s="53"/>
      <c r="Y1100" s="53"/>
      <c r="Z1100" s="53"/>
    </row>
    <row r="1101" spans="1:26" ht="15.75" customHeight="1">
      <c r="A1101" s="103"/>
      <c r="B1101" s="103"/>
      <c r="C1101" s="104" t="e">
        <v>#REF!</v>
      </c>
      <c r="D1101" s="10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53"/>
      <c r="T1101" s="53"/>
      <c r="U1101" s="53"/>
      <c r="V1101" s="53"/>
      <c r="W1101" s="53"/>
      <c r="X1101" s="53"/>
      <c r="Y1101" s="53"/>
      <c r="Z1101" s="53"/>
    </row>
    <row r="1102" spans="1:26" ht="15.75" customHeight="1">
      <c r="A1102" s="103"/>
      <c r="B1102" s="103"/>
      <c r="C1102" s="104" t="e">
        <v>#REF!</v>
      </c>
      <c r="D1102" s="103"/>
      <c r="E1102" s="53"/>
      <c r="F1102" s="53"/>
      <c r="G1102" s="53"/>
      <c r="H1102" s="53"/>
      <c r="I1102" s="53"/>
      <c r="J1102" s="53"/>
      <c r="K1102" s="53"/>
      <c r="L1102" s="53"/>
      <c r="M1102" s="53"/>
      <c r="N1102" s="53"/>
      <c r="O1102" s="53"/>
      <c r="P1102" s="53"/>
      <c r="Q1102" s="53"/>
      <c r="R1102" s="53"/>
      <c r="S1102" s="53"/>
      <c r="T1102" s="53"/>
      <c r="U1102" s="53"/>
      <c r="V1102" s="53"/>
      <c r="W1102" s="53"/>
      <c r="X1102" s="53"/>
      <c r="Y1102" s="53"/>
      <c r="Z1102" s="53"/>
    </row>
    <row r="1103" spans="1:26" ht="15.75" customHeight="1">
      <c r="A1103" s="103"/>
      <c r="B1103" s="103"/>
      <c r="C1103" s="104" t="e">
        <v>#REF!</v>
      </c>
      <c r="D1103" s="103"/>
      <c r="E1103" s="53"/>
      <c r="F1103" s="53"/>
      <c r="G1103" s="53"/>
      <c r="H1103" s="53"/>
      <c r="I1103" s="53"/>
      <c r="J1103" s="53"/>
      <c r="K1103" s="53"/>
      <c r="L1103" s="53"/>
      <c r="M1103" s="53"/>
      <c r="N1103" s="53"/>
      <c r="O1103" s="53"/>
      <c r="P1103" s="53"/>
      <c r="Q1103" s="53"/>
      <c r="R1103" s="53"/>
      <c r="S1103" s="53"/>
      <c r="T1103" s="53"/>
      <c r="U1103" s="53"/>
      <c r="V1103" s="53"/>
      <c r="W1103" s="53"/>
      <c r="X1103" s="53"/>
      <c r="Y1103" s="53"/>
      <c r="Z1103" s="53"/>
    </row>
    <row r="1104" spans="1:26" ht="15.75" customHeight="1">
      <c r="A1104" s="103"/>
      <c r="B1104" s="103"/>
      <c r="C1104" s="104" t="e">
        <v>#REF!</v>
      </c>
      <c r="D1104" s="103"/>
      <c r="E1104" s="53"/>
      <c r="F1104" s="53"/>
      <c r="G1104" s="53"/>
      <c r="H1104" s="53"/>
      <c r="I1104" s="53"/>
      <c r="J1104" s="53"/>
      <c r="K1104" s="53"/>
      <c r="L1104" s="53"/>
      <c r="M1104" s="53"/>
      <c r="N1104" s="53"/>
      <c r="O1104" s="53"/>
      <c r="P1104" s="53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</row>
    <row r="1105" spans="1:26" ht="15.75" customHeight="1">
      <c r="A1105" s="103"/>
      <c r="B1105" s="103"/>
      <c r="C1105" s="104" t="e">
        <v>#REF!</v>
      </c>
      <c r="D1105" s="103"/>
      <c r="E1105" s="53"/>
      <c r="F1105" s="53"/>
      <c r="G1105" s="53"/>
      <c r="H1105" s="53"/>
      <c r="I1105" s="53"/>
      <c r="J1105" s="53"/>
      <c r="K1105" s="53"/>
      <c r="L1105" s="53"/>
      <c r="M1105" s="53"/>
      <c r="N1105" s="53"/>
      <c r="O1105" s="53"/>
      <c r="P1105" s="53"/>
      <c r="Q1105" s="53"/>
      <c r="R1105" s="53"/>
      <c r="S1105" s="53"/>
      <c r="T1105" s="53"/>
      <c r="U1105" s="53"/>
      <c r="V1105" s="53"/>
      <c r="W1105" s="53"/>
      <c r="X1105" s="53"/>
      <c r="Y1105" s="53"/>
      <c r="Z1105" s="53"/>
    </row>
    <row r="1106" spans="1:26" ht="15.75" customHeight="1">
      <c r="A1106" s="103"/>
      <c r="B1106" s="103"/>
      <c r="C1106" s="104" t="e">
        <v>#REF!</v>
      </c>
      <c r="D1106" s="103"/>
      <c r="E1106" s="53"/>
      <c r="F1106" s="53"/>
      <c r="G1106" s="53"/>
      <c r="H1106" s="53"/>
      <c r="I1106" s="53"/>
      <c r="J1106" s="53"/>
      <c r="K1106" s="53"/>
      <c r="L1106" s="53"/>
      <c r="M1106" s="53"/>
      <c r="N1106" s="53"/>
      <c r="O1106" s="53"/>
      <c r="P1106" s="53"/>
      <c r="Q1106" s="53"/>
      <c r="R1106" s="53"/>
      <c r="S1106" s="53"/>
      <c r="T1106" s="53"/>
      <c r="U1106" s="53"/>
      <c r="V1106" s="53"/>
      <c r="W1106" s="53"/>
      <c r="X1106" s="53"/>
      <c r="Y1106" s="53"/>
      <c r="Z1106" s="53"/>
    </row>
    <row r="1107" spans="1:26" ht="15.75" customHeight="1">
      <c r="A1107" s="103"/>
      <c r="B1107" s="103"/>
      <c r="C1107" s="104" t="e">
        <v>#REF!</v>
      </c>
      <c r="D1107" s="103"/>
      <c r="E1107" s="53"/>
      <c r="F1107" s="53"/>
      <c r="G1107" s="53"/>
      <c r="H1107" s="53"/>
      <c r="I1107" s="53"/>
      <c r="J1107" s="53"/>
      <c r="K1107" s="53"/>
      <c r="L1107" s="53"/>
      <c r="M1107" s="53"/>
      <c r="N1107" s="53"/>
      <c r="O1107" s="53"/>
      <c r="P1107" s="53"/>
      <c r="Q1107" s="53"/>
      <c r="R1107" s="53"/>
      <c r="S1107" s="53"/>
      <c r="T1107" s="53"/>
      <c r="U1107" s="53"/>
      <c r="V1107" s="53"/>
      <c r="W1107" s="53"/>
      <c r="X1107" s="53"/>
      <c r="Y1107" s="53"/>
      <c r="Z1107" s="53"/>
    </row>
    <row r="1108" spans="1:26" ht="15.75" customHeight="1">
      <c r="A1108" s="103"/>
      <c r="B1108" s="103"/>
      <c r="C1108" s="104" t="e">
        <v>#REF!</v>
      </c>
      <c r="D1108" s="103"/>
      <c r="E1108" s="53"/>
      <c r="F1108" s="53"/>
      <c r="G1108" s="53"/>
      <c r="H1108" s="53"/>
      <c r="I1108" s="53"/>
      <c r="J1108" s="53"/>
      <c r="K1108" s="53"/>
      <c r="L1108" s="53"/>
      <c r="M1108" s="53"/>
      <c r="N1108" s="53"/>
      <c r="O1108" s="53"/>
      <c r="P1108" s="53"/>
      <c r="Q1108" s="53"/>
      <c r="R1108" s="53"/>
      <c r="S1108" s="53"/>
      <c r="T1108" s="53"/>
      <c r="U1108" s="53"/>
      <c r="V1108" s="53"/>
      <c r="W1108" s="53"/>
      <c r="X1108" s="53"/>
      <c r="Y1108" s="53"/>
      <c r="Z1108" s="53"/>
    </row>
    <row r="1109" spans="1:26" ht="15.75" customHeight="1">
      <c r="A1109" s="103"/>
      <c r="B1109" s="103"/>
      <c r="C1109" s="104" t="e">
        <v>#REF!</v>
      </c>
      <c r="D1109" s="103"/>
      <c r="E1109" s="53"/>
      <c r="F1109" s="53"/>
      <c r="G1109" s="53"/>
      <c r="H1109" s="53"/>
      <c r="I1109" s="53"/>
      <c r="J1109" s="53"/>
      <c r="K1109" s="53"/>
      <c r="L1109" s="53"/>
      <c r="M1109" s="53"/>
      <c r="N1109" s="53"/>
      <c r="O1109" s="53"/>
      <c r="P1109" s="53"/>
      <c r="Q1109" s="53"/>
      <c r="R1109" s="53"/>
      <c r="S1109" s="53"/>
      <c r="T1109" s="53"/>
      <c r="U1109" s="53"/>
      <c r="V1109" s="53"/>
      <c r="W1109" s="53"/>
      <c r="X1109" s="53"/>
      <c r="Y1109" s="53"/>
      <c r="Z1109" s="53"/>
    </row>
    <row r="1110" spans="1:26" ht="15.75" customHeight="1">
      <c r="A1110" s="103"/>
      <c r="B1110" s="103"/>
      <c r="C1110" s="104" t="e">
        <v>#REF!</v>
      </c>
      <c r="D1110" s="103"/>
      <c r="E1110" s="53"/>
      <c r="F1110" s="53"/>
      <c r="G1110" s="53"/>
      <c r="H1110" s="53"/>
      <c r="I1110" s="53"/>
      <c r="J1110" s="53"/>
      <c r="K1110" s="53"/>
      <c r="L1110" s="53"/>
      <c r="M1110" s="53"/>
      <c r="N1110" s="53"/>
      <c r="O1110" s="53"/>
      <c r="P1110" s="53"/>
      <c r="Q1110" s="53"/>
      <c r="R1110" s="53"/>
      <c r="S1110" s="53"/>
      <c r="T1110" s="53"/>
      <c r="U1110" s="53"/>
      <c r="V1110" s="53"/>
      <c r="W1110" s="53"/>
      <c r="X1110" s="53"/>
      <c r="Y1110" s="53"/>
      <c r="Z1110" s="53"/>
    </row>
    <row r="1111" spans="1:26" ht="15.75" customHeight="1">
      <c r="A1111" s="103"/>
      <c r="B1111" s="103"/>
      <c r="C1111" s="104" t="e">
        <v>#REF!</v>
      </c>
      <c r="D1111" s="103"/>
      <c r="E1111" s="53"/>
      <c r="F1111" s="53"/>
      <c r="G1111" s="53"/>
      <c r="H1111" s="53"/>
      <c r="I1111" s="53"/>
      <c r="J1111" s="53"/>
      <c r="K1111" s="53"/>
      <c r="L1111" s="53"/>
      <c r="M1111" s="53"/>
      <c r="N1111" s="53"/>
      <c r="O1111" s="53"/>
      <c r="P1111" s="53"/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</row>
    <row r="1112" spans="1:26" ht="15.75" customHeight="1">
      <c r="A1112" s="103"/>
      <c r="B1112" s="103"/>
      <c r="C1112" s="104" t="e">
        <v>#REF!</v>
      </c>
      <c r="D1112" s="103"/>
      <c r="E1112" s="53"/>
      <c r="F1112" s="53"/>
      <c r="G1112" s="53"/>
      <c r="H1112" s="53"/>
      <c r="I1112" s="53"/>
      <c r="J1112" s="53"/>
      <c r="K1112" s="53"/>
      <c r="L1112" s="53"/>
      <c r="M1112" s="53"/>
      <c r="N1112" s="53"/>
      <c r="O1112" s="53"/>
      <c r="P1112" s="53"/>
      <c r="Q1112" s="53"/>
      <c r="R1112" s="53"/>
      <c r="S1112" s="53"/>
      <c r="T1112" s="53"/>
      <c r="U1112" s="53"/>
      <c r="V1112" s="53"/>
      <c r="W1112" s="53"/>
      <c r="X1112" s="53"/>
      <c r="Y1112" s="53"/>
      <c r="Z1112" s="53"/>
    </row>
    <row r="1113" spans="1:26" ht="15.75" customHeight="1">
      <c r="A1113" s="103"/>
      <c r="B1113" s="103"/>
      <c r="C1113" s="104" t="e">
        <v>#REF!</v>
      </c>
      <c r="D1113" s="103"/>
      <c r="E1113" s="53"/>
      <c r="F1113" s="53"/>
      <c r="G1113" s="53"/>
      <c r="H1113" s="53"/>
      <c r="I1113" s="53"/>
      <c r="J1113" s="53"/>
      <c r="K1113" s="53"/>
      <c r="L1113" s="53"/>
      <c r="M1113" s="53"/>
      <c r="N1113" s="53"/>
      <c r="O1113" s="53"/>
      <c r="P1113" s="53"/>
      <c r="Q1113" s="53"/>
      <c r="R1113" s="53"/>
      <c r="S1113" s="53"/>
      <c r="T1113" s="53"/>
      <c r="U1113" s="53"/>
      <c r="V1113" s="53"/>
      <c r="W1113" s="53"/>
      <c r="X1113" s="53"/>
      <c r="Y1113" s="53"/>
      <c r="Z1113" s="53"/>
    </row>
    <row r="1114" spans="1:26" ht="15.75" customHeight="1">
      <c r="A1114" s="103"/>
      <c r="B1114" s="103"/>
      <c r="C1114" s="104" t="e">
        <v>#REF!</v>
      </c>
      <c r="D1114" s="103"/>
      <c r="E1114" s="53"/>
      <c r="F1114" s="53"/>
      <c r="G1114" s="53"/>
      <c r="H1114" s="53"/>
      <c r="I1114" s="53"/>
      <c r="J1114" s="53"/>
      <c r="K1114" s="53"/>
      <c r="L1114" s="53"/>
      <c r="M1114" s="53"/>
      <c r="N1114" s="53"/>
      <c r="O1114" s="53"/>
      <c r="P1114" s="53"/>
      <c r="Q1114" s="53"/>
      <c r="R1114" s="53"/>
      <c r="S1114" s="53"/>
      <c r="T1114" s="53"/>
      <c r="U1114" s="53"/>
      <c r="V1114" s="53"/>
      <c r="W1114" s="53"/>
      <c r="X1114" s="53"/>
      <c r="Y1114" s="53"/>
      <c r="Z1114" s="53"/>
    </row>
    <row r="1115" spans="1:26" ht="15.75" customHeight="1">
      <c r="A1115" s="103"/>
      <c r="B1115" s="103"/>
      <c r="C1115" s="104" t="e">
        <v>#REF!</v>
      </c>
      <c r="D1115" s="103"/>
      <c r="E1115" s="53"/>
      <c r="F1115" s="53"/>
      <c r="G1115" s="53"/>
      <c r="H1115" s="53"/>
      <c r="I1115" s="53"/>
      <c r="J1115" s="53"/>
      <c r="K1115" s="53"/>
      <c r="L1115" s="53"/>
      <c r="M1115" s="53"/>
      <c r="N1115" s="53"/>
      <c r="O1115" s="53"/>
      <c r="P1115" s="53"/>
      <c r="Q1115" s="53"/>
      <c r="R1115" s="53"/>
      <c r="S1115" s="53"/>
      <c r="T1115" s="53"/>
      <c r="U1115" s="53"/>
      <c r="V1115" s="53"/>
      <c r="W1115" s="53"/>
      <c r="X1115" s="53"/>
      <c r="Y1115" s="53"/>
      <c r="Z1115" s="53"/>
    </row>
    <row r="1116" spans="1:26" ht="15.75" customHeight="1">
      <c r="A1116" s="103"/>
      <c r="B1116" s="103"/>
      <c r="C1116" s="104" t="e">
        <v>#REF!</v>
      </c>
      <c r="D1116" s="103"/>
      <c r="E1116" s="53"/>
      <c r="F1116" s="53"/>
      <c r="G1116" s="53"/>
      <c r="H1116" s="53"/>
      <c r="I1116" s="53"/>
      <c r="J1116" s="53"/>
      <c r="K1116" s="53"/>
      <c r="L1116" s="53"/>
      <c r="M1116" s="53"/>
      <c r="N1116" s="53"/>
      <c r="O1116" s="53"/>
      <c r="P1116" s="53"/>
      <c r="Q1116" s="53"/>
      <c r="R1116" s="53"/>
      <c r="S1116" s="53"/>
      <c r="T1116" s="53"/>
      <c r="U1116" s="53"/>
      <c r="V1116" s="53"/>
      <c r="W1116" s="53"/>
      <c r="X1116" s="53"/>
      <c r="Y1116" s="53"/>
      <c r="Z1116" s="53"/>
    </row>
    <row r="1117" spans="1:26" ht="15.75" customHeight="1">
      <c r="A1117" s="103"/>
      <c r="B1117" s="103"/>
      <c r="C1117" s="104" t="e">
        <v>#REF!</v>
      </c>
      <c r="D1117" s="103"/>
      <c r="E1117" s="53"/>
      <c r="F1117" s="53"/>
      <c r="G1117" s="53"/>
      <c r="H1117" s="53"/>
      <c r="I1117" s="53"/>
      <c r="J1117" s="53"/>
      <c r="K1117" s="53"/>
      <c r="L1117" s="53"/>
      <c r="M1117" s="53"/>
      <c r="N1117" s="53"/>
      <c r="O1117" s="53"/>
      <c r="P1117" s="53"/>
      <c r="Q1117" s="53"/>
      <c r="R1117" s="53"/>
      <c r="S1117" s="53"/>
      <c r="T1117" s="53"/>
      <c r="U1117" s="53"/>
      <c r="V1117" s="53"/>
      <c r="W1117" s="53"/>
      <c r="X1117" s="53"/>
      <c r="Y1117" s="53"/>
      <c r="Z1117" s="53"/>
    </row>
    <row r="1118" spans="1:26" ht="15.75" customHeight="1">
      <c r="A1118" s="103"/>
      <c r="B1118" s="103"/>
      <c r="C1118" s="104" t="e">
        <v>#REF!</v>
      </c>
      <c r="D1118" s="103"/>
      <c r="E1118" s="53"/>
      <c r="F1118" s="53"/>
      <c r="G1118" s="53"/>
      <c r="H1118" s="53"/>
      <c r="I1118" s="53"/>
      <c r="J1118" s="53"/>
      <c r="K1118" s="53"/>
      <c r="L1118" s="53"/>
      <c r="M1118" s="53"/>
      <c r="N1118" s="53"/>
      <c r="O1118" s="53"/>
      <c r="P1118" s="53"/>
      <c r="Q1118" s="53"/>
      <c r="R1118" s="53"/>
      <c r="S1118" s="53"/>
      <c r="T1118" s="53"/>
      <c r="U1118" s="53"/>
      <c r="V1118" s="53"/>
      <c r="W1118" s="53"/>
      <c r="X1118" s="53"/>
      <c r="Y1118" s="53"/>
      <c r="Z1118" s="53"/>
    </row>
    <row r="1119" spans="1:26" ht="15.75" customHeight="1">
      <c r="A1119" s="103"/>
      <c r="B1119" s="103"/>
      <c r="C1119" s="104" t="e">
        <v>#REF!</v>
      </c>
      <c r="D1119" s="103"/>
      <c r="E1119" s="53"/>
      <c r="F1119" s="53"/>
      <c r="G1119" s="53"/>
      <c r="H1119" s="53"/>
      <c r="I1119" s="53"/>
      <c r="J1119" s="53"/>
      <c r="K1119" s="53"/>
      <c r="L1119" s="53"/>
      <c r="M1119" s="53"/>
      <c r="N1119" s="53"/>
      <c r="O1119" s="53"/>
      <c r="P1119" s="53"/>
      <c r="Q1119" s="53"/>
      <c r="R1119" s="53"/>
      <c r="S1119" s="53"/>
      <c r="T1119" s="53"/>
      <c r="U1119" s="53"/>
      <c r="V1119" s="53"/>
      <c r="W1119" s="53"/>
      <c r="X1119" s="53"/>
      <c r="Y1119" s="53"/>
      <c r="Z1119" s="53"/>
    </row>
    <row r="1120" spans="1:26" ht="15.75" customHeight="1">
      <c r="A1120" s="103"/>
      <c r="B1120" s="103"/>
      <c r="C1120" s="104" t="e">
        <v>#REF!</v>
      </c>
      <c r="D1120" s="103"/>
      <c r="E1120" s="53"/>
      <c r="F1120" s="53"/>
      <c r="G1120" s="53"/>
      <c r="H1120" s="53"/>
      <c r="I1120" s="53"/>
      <c r="J1120" s="53"/>
      <c r="K1120" s="53"/>
      <c r="L1120" s="53"/>
      <c r="M1120" s="53"/>
      <c r="N1120" s="53"/>
      <c r="O1120" s="53"/>
      <c r="P1120" s="53"/>
      <c r="Q1120" s="53"/>
      <c r="R1120" s="53"/>
      <c r="S1120" s="53"/>
      <c r="T1120" s="53"/>
      <c r="U1120" s="53"/>
      <c r="V1120" s="53"/>
      <c r="W1120" s="53"/>
      <c r="X1120" s="53"/>
      <c r="Y1120" s="53"/>
      <c r="Z1120" s="53"/>
    </row>
    <row r="1121" spans="1:26" ht="15.75" customHeight="1">
      <c r="A1121" s="103"/>
      <c r="B1121" s="103"/>
      <c r="C1121" s="104" t="e">
        <v>#REF!</v>
      </c>
      <c r="D1121" s="103"/>
      <c r="E1121" s="53"/>
      <c r="F1121" s="53"/>
      <c r="G1121" s="53"/>
      <c r="H1121" s="53"/>
      <c r="I1121" s="53"/>
      <c r="J1121" s="53"/>
      <c r="K1121" s="53"/>
      <c r="L1121" s="53"/>
      <c r="M1121" s="53"/>
      <c r="N1121" s="53"/>
      <c r="O1121" s="53"/>
      <c r="P1121" s="53"/>
      <c r="Q1121" s="53"/>
      <c r="R1121" s="53"/>
      <c r="S1121" s="53"/>
      <c r="T1121" s="53"/>
      <c r="U1121" s="53"/>
      <c r="V1121" s="53"/>
      <c r="W1121" s="53"/>
      <c r="X1121" s="53"/>
      <c r="Y1121" s="53"/>
      <c r="Z1121" s="53"/>
    </row>
    <row r="1122" spans="1:26" ht="15.75" customHeight="1">
      <c r="A1122" s="103"/>
      <c r="B1122" s="103"/>
      <c r="C1122" s="104" t="e">
        <v>#REF!</v>
      </c>
      <c r="D1122" s="103"/>
      <c r="E1122" s="53"/>
      <c r="F1122" s="53"/>
      <c r="G1122" s="53"/>
      <c r="H1122" s="53"/>
      <c r="I1122" s="53"/>
      <c r="J1122" s="53"/>
      <c r="K1122" s="53"/>
      <c r="L1122" s="53"/>
      <c r="M1122" s="53"/>
      <c r="N1122" s="53"/>
      <c r="O1122" s="53"/>
      <c r="P1122" s="53"/>
      <c r="Q1122" s="53"/>
      <c r="R1122" s="53"/>
      <c r="S1122" s="53"/>
      <c r="T1122" s="53"/>
      <c r="U1122" s="53"/>
      <c r="V1122" s="53"/>
      <c r="W1122" s="53"/>
      <c r="X1122" s="53"/>
      <c r="Y1122" s="53"/>
      <c r="Z1122" s="53"/>
    </row>
    <row r="1123" spans="1:26" ht="15.75" customHeight="1">
      <c r="A1123" s="103"/>
      <c r="B1123" s="103"/>
      <c r="C1123" s="104" t="e">
        <v>#REF!</v>
      </c>
      <c r="D1123" s="103"/>
      <c r="E1123" s="53"/>
      <c r="F1123" s="53"/>
      <c r="G1123" s="53"/>
      <c r="H1123" s="53"/>
      <c r="I1123" s="53"/>
      <c r="J1123" s="53"/>
      <c r="K1123" s="53"/>
      <c r="L1123" s="53"/>
      <c r="M1123" s="53"/>
      <c r="N1123" s="53"/>
      <c r="O1123" s="53"/>
      <c r="P1123" s="53"/>
      <c r="Q1123" s="53"/>
      <c r="R1123" s="53"/>
      <c r="S1123" s="53"/>
      <c r="T1123" s="53"/>
      <c r="U1123" s="53"/>
      <c r="V1123" s="53"/>
      <c r="W1123" s="53"/>
      <c r="X1123" s="53"/>
      <c r="Y1123" s="53"/>
      <c r="Z1123" s="53"/>
    </row>
    <row r="1124" spans="1:26" ht="15.75" customHeight="1">
      <c r="A1124" s="103"/>
      <c r="B1124" s="103"/>
      <c r="C1124" s="104" t="e">
        <v>#REF!</v>
      </c>
      <c r="D1124" s="103"/>
      <c r="E1124" s="53"/>
      <c r="F1124" s="53"/>
      <c r="G1124" s="53"/>
      <c r="H1124" s="53"/>
      <c r="I1124" s="53"/>
      <c r="J1124" s="53"/>
      <c r="K1124" s="53"/>
      <c r="L1124" s="53"/>
      <c r="M1124" s="53"/>
      <c r="N1124" s="53"/>
      <c r="O1124" s="53"/>
      <c r="P1124" s="53"/>
      <c r="Q1124" s="53"/>
      <c r="R1124" s="53"/>
      <c r="S1124" s="53"/>
      <c r="T1124" s="53"/>
      <c r="U1124" s="53"/>
      <c r="V1124" s="53"/>
      <c r="W1124" s="53"/>
      <c r="X1124" s="53"/>
      <c r="Y1124" s="53"/>
      <c r="Z1124" s="53"/>
    </row>
    <row r="1125" spans="1:26" ht="15.75" customHeight="1">
      <c r="A1125" s="103"/>
      <c r="B1125" s="103"/>
      <c r="C1125" s="104" t="e">
        <v>#REF!</v>
      </c>
      <c r="D1125" s="103"/>
      <c r="E1125" s="53"/>
      <c r="F1125" s="53"/>
      <c r="G1125" s="53"/>
      <c r="H1125" s="53"/>
      <c r="I1125" s="53"/>
      <c r="J1125" s="53"/>
      <c r="K1125" s="53"/>
      <c r="L1125" s="53"/>
      <c r="M1125" s="53"/>
      <c r="N1125" s="53"/>
      <c r="O1125" s="53"/>
      <c r="P1125" s="53"/>
      <c r="Q1125" s="53"/>
      <c r="R1125" s="53"/>
      <c r="S1125" s="53"/>
      <c r="T1125" s="53"/>
      <c r="U1125" s="53"/>
      <c r="V1125" s="53"/>
      <c r="W1125" s="53"/>
      <c r="X1125" s="53"/>
      <c r="Y1125" s="53"/>
      <c r="Z1125" s="53"/>
    </row>
    <row r="1126" spans="1:26" ht="15.75" customHeight="1">
      <c r="A1126" s="103"/>
      <c r="B1126" s="103"/>
      <c r="C1126" s="104" t="e">
        <v>#REF!</v>
      </c>
      <c r="D1126" s="103"/>
      <c r="E1126" s="53"/>
      <c r="F1126" s="53"/>
      <c r="G1126" s="53"/>
      <c r="H1126" s="53"/>
      <c r="I1126" s="53"/>
      <c r="J1126" s="53"/>
      <c r="K1126" s="53"/>
      <c r="L1126" s="53"/>
      <c r="M1126" s="53"/>
      <c r="N1126" s="53"/>
      <c r="O1126" s="53"/>
      <c r="P1126" s="53"/>
      <c r="Q1126" s="53"/>
      <c r="R1126" s="53"/>
      <c r="S1126" s="53"/>
      <c r="T1126" s="53"/>
      <c r="U1126" s="53"/>
      <c r="V1126" s="53"/>
      <c r="W1126" s="53"/>
      <c r="X1126" s="53"/>
      <c r="Y1126" s="53"/>
      <c r="Z1126" s="53"/>
    </row>
    <row r="1127" spans="1:26" ht="15.75" customHeight="1">
      <c r="A1127" s="103"/>
      <c r="B1127" s="103"/>
      <c r="C1127" s="104" t="e">
        <v>#REF!</v>
      </c>
      <c r="D1127" s="103"/>
      <c r="E1127" s="53"/>
      <c r="F1127" s="53"/>
      <c r="G1127" s="53"/>
      <c r="H1127" s="53"/>
      <c r="I1127" s="53"/>
      <c r="J1127" s="53"/>
      <c r="K1127" s="53"/>
      <c r="L1127" s="53"/>
      <c r="M1127" s="53"/>
      <c r="N1127" s="53"/>
      <c r="O1127" s="53"/>
      <c r="P1127" s="53"/>
      <c r="Q1127" s="53"/>
      <c r="R1127" s="53"/>
      <c r="S1127" s="53"/>
      <c r="T1127" s="53"/>
      <c r="U1127" s="53"/>
      <c r="V1127" s="53"/>
      <c r="W1127" s="53"/>
      <c r="X1127" s="53"/>
      <c r="Y1127" s="53"/>
      <c r="Z1127" s="53"/>
    </row>
    <row r="1128" spans="1:26" ht="15.75" customHeight="1">
      <c r="A1128" s="103"/>
      <c r="B1128" s="103"/>
      <c r="C1128" s="104" t="e">
        <v>#REF!</v>
      </c>
      <c r="D1128" s="103"/>
      <c r="E1128" s="53"/>
      <c r="F1128" s="53"/>
      <c r="G1128" s="53"/>
      <c r="H1128" s="53"/>
      <c r="I1128" s="53"/>
      <c r="J1128" s="53"/>
      <c r="K1128" s="53"/>
      <c r="L1128" s="53"/>
      <c r="M1128" s="53"/>
      <c r="N1128" s="53"/>
      <c r="O1128" s="53"/>
      <c r="P1128" s="53"/>
      <c r="Q1128" s="53"/>
      <c r="R1128" s="53"/>
      <c r="S1128" s="53"/>
      <c r="T1128" s="53"/>
      <c r="U1128" s="53"/>
      <c r="V1128" s="53"/>
      <c r="W1128" s="53"/>
      <c r="X1128" s="53"/>
      <c r="Y1128" s="53"/>
      <c r="Z1128" s="53"/>
    </row>
    <row r="1129" spans="1:26" ht="15.75" customHeight="1">
      <c r="A1129" s="103"/>
      <c r="B1129" s="103"/>
      <c r="C1129" s="104" t="e">
        <v>#REF!</v>
      </c>
      <c r="D1129" s="103"/>
      <c r="E1129" s="53"/>
      <c r="F1129" s="53"/>
      <c r="G1129" s="53"/>
      <c r="H1129" s="53"/>
      <c r="I1129" s="53"/>
      <c r="J1129" s="53"/>
      <c r="K1129" s="53"/>
      <c r="L1129" s="53"/>
      <c r="M1129" s="53"/>
      <c r="N1129" s="53"/>
      <c r="O1129" s="53"/>
      <c r="P1129" s="53"/>
      <c r="Q1129" s="53"/>
      <c r="R1129" s="53"/>
      <c r="S1129" s="53"/>
      <c r="T1129" s="53"/>
      <c r="U1129" s="53"/>
      <c r="V1129" s="53"/>
      <c r="W1129" s="53"/>
      <c r="X1129" s="53"/>
      <c r="Y1129" s="53"/>
      <c r="Z1129" s="53"/>
    </row>
    <row r="1130" spans="1:26" ht="15.75" customHeight="1">
      <c r="A1130" s="103"/>
      <c r="B1130" s="103"/>
      <c r="C1130" s="104" t="e">
        <v>#REF!</v>
      </c>
      <c r="D1130" s="103"/>
      <c r="E1130" s="53"/>
      <c r="F1130" s="53"/>
      <c r="G1130" s="53"/>
      <c r="H1130" s="53"/>
      <c r="I1130" s="53"/>
      <c r="J1130" s="53"/>
      <c r="K1130" s="53"/>
      <c r="L1130" s="53"/>
      <c r="M1130" s="53"/>
      <c r="N1130" s="53"/>
      <c r="O1130" s="53"/>
      <c r="P1130" s="53"/>
      <c r="Q1130" s="53"/>
      <c r="R1130" s="53"/>
      <c r="S1130" s="53"/>
      <c r="T1130" s="53"/>
      <c r="U1130" s="53"/>
      <c r="V1130" s="53"/>
      <c r="W1130" s="53"/>
      <c r="X1130" s="53"/>
      <c r="Y1130" s="53"/>
      <c r="Z1130" s="53"/>
    </row>
    <row r="1131" spans="1:26" ht="15.75" customHeight="1">
      <c r="A1131" s="103"/>
      <c r="B1131" s="103"/>
      <c r="C1131" s="104" t="e">
        <v>#REF!</v>
      </c>
      <c r="D1131" s="103"/>
      <c r="E1131" s="53"/>
      <c r="F1131" s="53"/>
      <c r="G1131" s="53"/>
      <c r="H1131" s="53"/>
      <c r="I1131" s="53"/>
      <c r="J1131" s="53"/>
      <c r="K1131" s="53"/>
      <c r="L1131" s="53"/>
      <c r="M1131" s="53"/>
      <c r="N1131" s="53"/>
      <c r="O1131" s="53"/>
      <c r="P1131" s="53"/>
      <c r="Q1131" s="53"/>
      <c r="R1131" s="53"/>
      <c r="S1131" s="53"/>
      <c r="T1131" s="53"/>
      <c r="U1131" s="53"/>
      <c r="V1131" s="53"/>
      <c r="W1131" s="53"/>
      <c r="X1131" s="53"/>
      <c r="Y1131" s="53"/>
      <c r="Z1131" s="53"/>
    </row>
    <row r="1132" spans="1:26" ht="15.75" customHeight="1">
      <c r="A1132" s="103"/>
      <c r="B1132" s="103"/>
      <c r="C1132" s="104" t="e">
        <v>#REF!</v>
      </c>
      <c r="D1132" s="103"/>
      <c r="E1132" s="53"/>
      <c r="F1132" s="53"/>
      <c r="G1132" s="53"/>
      <c r="H1132" s="53"/>
      <c r="I1132" s="53"/>
      <c r="J1132" s="53"/>
      <c r="K1132" s="53"/>
      <c r="L1132" s="53"/>
      <c r="M1132" s="53"/>
      <c r="N1132" s="53"/>
      <c r="O1132" s="53"/>
      <c r="P1132" s="53"/>
      <c r="Q1132" s="53"/>
      <c r="R1132" s="53"/>
      <c r="S1132" s="53"/>
      <c r="T1132" s="53"/>
      <c r="U1132" s="53"/>
      <c r="V1132" s="53"/>
      <c r="W1132" s="53"/>
      <c r="X1132" s="53"/>
      <c r="Y1132" s="53"/>
      <c r="Z1132" s="53"/>
    </row>
    <row r="1133" spans="1:26" ht="15.75" customHeight="1">
      <c r="A1133" s="103"/>
      <c r="B1133" s="103"/>
      <c r="C1133" s="104" t="e">
        <v>#REF!</v>
      </c>
      <c r="D1133" s="103"/>
      <c r="E1133" s="53"/>
      <c r="F1133" s="53"/>
      <c r="G1133" s="53"/>
      <c r="H1133" s="53"/>
      <c r="I1133" s="53"/>
      <c r="J1133" s="53"/>
      <c r="K1133" s="53"/>
      <c r="L1133" s="53"/>
      <c r="M1133" s="53"/>
      <c r="N1133" s="53"/>
      <c r="O1133" s="53"/>
      <c r="P1133" s="53"/>
      <c r="Q1133" s="53"/>
      <c r="R1133" s="53"/>
      <c r="S1133" s="53"/>
      <c r="T1133" s="53"/>
      <c r="U1133" s="53"/>
      <c r="V1133" s="53"/>
      <c r="W1133" s="53"/>
      <c r="X1133" s="53"/>
      <c r="Y1133" s="53"/>
      <c r="Z1133" s="53"/>
    </row>
    <row r="1134" spans="1:26" ht="15.75" customHeight="1">
      <c r="A1134" s="103"/>
      <c r="B1134" s="103"/>
      <c r="C1134" s="104" t="e">
        <v>#REF!</v>
      </c>
      <c r="D1134" s="103"/>
      <c r="E1134" s="53"/>
      <c r="F1134" s="53"/>
      <c r="G1134" s="53"/>
      <c r="H1134" s="53"/>
      <c r="I1134" s="53"/>
      <c r="J1134" s="53"/>
      <c r="K1134" s="53"/>
      <c r="L1134" s="53"/>
      <c r="M1134" s="53"/>
      <c r="N1134" s="53"/>
      <c r="O1134" s="53"/>
      <c r="P1134" s="53"/>
      <c r="Q1134" s="53"/>
      <c r="R1134" s="53"/>
      <c r="S1134" s="53"/>
      <c r="T1134" s="53"/>
      <c r="U1134" s="53"/>
      <c r="V1134" s="53"/>
      <c r="W1134" s="53"/>
      <c r="X1134" s="53"/>
      <c r="Y1134" s="53"/>
      <c r="Z1134" s="53"/>
    </row>
    <row r="1135" spans="1:26" ht="15.75" customHeight="1">
      <c r="A1135" s="103"/>
      <c r="B1135" s="103"/>
      <c r="C1135" s="104" t="e">
        <v>#REF!</v>
      </c>
      <c r="D1135" s="103"/>
      <c r="E1135" s="53"/>
      <c r="F1135" s="53"/>
      <c r="G1135" s="53"/>
      <c r="H1135" s="53"/>
      <c r="I1135" s="53"/>
      <c r="J1135" s="53"/>
      <c r="K1135" s="53"/>
      <c r="L1135" s="53"/>
      <c r="M1135" s="53"/>
      <c r="N1135" s="53"/>
      <c r="O1135" s="53"/>
      <c r="P1135" s="53"/>
      <c r="Q1135" s="53"/>
      <c r="R1135" s="53"/>
      <c r="S1135" s="53"/>
      <c r="T1135" s="53"/>
      <c r="U1135" s="53"/>
      <c r="V1135" s="53"/>
      <c r="W1135" s="53"/>
      <c r="X1135" s="53"/>
      <c r="Y1135" s="53"/>
      <c r="Z1135" s="53"/>
    </row>
    <row r="1136" spans="1:26" ht="15.75" customHeight="1">
      <c r="A1136" s="103"/>
      <c r="B1136" s="103"/>
      <c r="C1136" s="104" t="e">
        <v>#REF!</v>
      </c>
      <c r="D1136" s="103"/>
      <c r="E1136" s="53"/>
      <c r="F1136" s="53"/>
      <c r="G1136" s="53"/>
      <c r="H1136" s="53"/>
      <c r="I1136" s="53"/>
      <c r="J1136" s="53"/>
      <c r="K1136" s="53"/>
      <c r="L1136" s="53"/>
      <c r="M1136" s="53"/>
      <c r="N1136" s="53"/>
      <c r="O1136" s="53"/>
      <c r="P1136" s="53"/>
      <c r="Q1136" s="53"/>
      <c r="R1136" s="53"/>
      <c r="S1136" s="53"/>
      <c r="T1136" s="53"/>
      <c r="U1136" s="53"/>
      <c r="V1136" s="53"/>
      <c r="W1136" s="53"/>
      <c r="X1136" s="53"/>
      <c r="Y1136" s="53"/>
      <c r="Z1136" s="53"/>
    </row>
    <row r="1137" spans="1:26" ht="15.75" customHeight="1">
      <c r="A1137" s="103"/>
      <c r="B1137" s="103"/>
      <c r="C1137" s="104" t="e">
        <v>#REF!</v>
      </c>
      <c r="D1137" s="103"/>
      <c r="E1137" s="53"/>
      <c r="F1137" s="53"/>
      <c r="G1137" s="53"/>
      <c r="H1137" s="53"/>
      <c r="I1137" s="53"/>
      <c r="J1137" s="53"/>
      <c r="K1137" s="53"/>
      <c r="L1137" s="53"/>
      <c r="M1137" s="53"/>
      <c r="N1137" s="53"/>
      <c r="O1137" s="53"/>
      <c r="P1137" s="53"/>
      <c r="Q1137" s="53"/>
      <c r="R1137" s="53"/>
      <c r="S1137" s="53"/>
      <c r="T1137" s="53"/>
      <c r="U1137" s="53"/>
      <c r="V1137" s="53"/>
      <c r="W1137" s="53"/>
      <c r="X1137" s="53"/>
      <c r="Y1137" s="53"/>
      <c r="Z1137" s="53"/>
    </row>
    <row r="1138" spans="1:26" ht="15.75" customHeight="1">
      <c r="A1138" s="103"/>
      <c r="B1138" s="103"/>
      <c r="C1138" s="104" t="e">
        <v>#REF!</v>
      </c>
      <c r="D1138" s="103"/>
      <c r="E1138" s="53"/>
      <c r="F1138" s="53"/>
      <c r="G1138" s="53"/>
      <c r="H1138" s="53"/>
      <c r="I1138" s="53"/>
      <c r="J1138" s="53"/>
      <c r="K1138" s="53"/>
      <c r="L1138" s="53"/>
      <c r="M1138" s="53"/>
      <c r="N1138" s="53"/>
      <c r="O1138" s="53"/>
      <c r="P1138" s="53"/>
      <c r="Q1138" s="53"/>
      <c r="R1138" s="53"/>
      <c r="S1138" s="53"/>
      <c r="T1138" s="53"/>
      <c r="U1138" s="53"/>
      <c r="V1138" s="53"/>
      <c r="W1138" s="53"/>
      <c r="X1138" s="53"/>
      <c r="Y1138" s="53"/>
      <c r="Z1138" s="53"/>
    </row>
    <row r="1139" spans="1:26" ht="15.75" customHeight="1">
      <c r="A1139" s="103"/>
      <c r="B1139" s="103"/>
      <c r="C1139" s="104" t="e">
        <v>#REF!</v>
      </c>
      <c r="D1139" s="103"/>
      <c r="E1139" s="53"/>
      <c r="F1139" s="53"/>
      <c r="G1139" s="53"/>
      <c r="H1139" s="53"/>
      <c r="I1139" s="53"/>
      <c r="J1139" s="53"/>
      <c r="K1139" s="53"/>
      <c r="L1139" s="53"/>
      <c r="M1139" s="53"/>
      <c r="N1139" s="53"/>
      <c r="O1139" s="53"/>
      <c r="P1139" s="53"/>
      <c r="Q1139" s="53"/>
      <c r="R1139" s="53"/>
      <c r="S1139" s="53"/>
      <c r="T1139" s="53"/>
      <c r="U1139" s="53"/>
      <c r="V1139" s="53"/>
      <c r="W1139" s="53"/>
      <c r="X1139" s="53"/>
      <c r="Y1139" s="53"/>
      <c r="Z1139" s="53"/>
    </row>
    <row r="1140" spans="1:26" ht="15.75" customHeight="1">
      <c r="A1140" s="103"/>
      <c r="B1140" s="103"/>
      <c r="C1140" s="104" t="e">
        <v>#REF!</v>
      </c>
      <c r="D1140" s="103"/>
      <c r="E1140" s="53"/>
      <c r="F1140" s="53"/>
      <c r="G1140" s="53"/>
      <c r="H1140" s="53"/>
      <c r="I1140" s="53"/>
      <c r="J1140" s="53"/>
      <c r="K1140" s="53"/>
      <c r="L1140" s="53"/>
      <c r="M1140" s="53"/>
      <c r="N1140" s="53"/>
      <c r="O1140" s="53"/>
      <c r="P1140" s="53"/>
      <c r="Q1140" s="53"/>
      <c r="R1140" s="53"/>
      <c r="S1140" s="53"/>
      <c r="T1140" s="53"/>
      <c r="U1140" s="53"/>
      <c r="V1140" s="53"/>
      <c r="W1140" s="53"/>
      <c r="X1140" s="53"/>
      <c r="Y1140" s="53"/>
      <c r="Z1140" s="53"/>
    </row>
    <row r="1141" spans="1:26" ht="15.75" customHeight="1">
      <c r="A1141" s="103"/>
      <c r="B1141" s="103"/>
      <c r="C1141" s="104" t="e">
        <v>#REF!</v>
      </c>
      <c r="D1141" s="103"/>
      <c r="E1141" s="53"/>
      <c r="F1141" s="53"/>
      <c r="G1141" s="53"/>
      <c r="H1141" s="53"/>
      <c r="I1141" s="53"/>
      <c r="J1141" s="53"/>
      <c r="K1141" s="53"/>
      <c r="L1141" s="53"/>
      <c r="M1141" s="53"/>
      <c r="N1141" s="53"/>
      <c r="O1141" s="53"/>
      <c r="P1141" s="53"/>
      <c r="Q1141" s="53"/>
      <c r="R1141" s="53"/>
      <c r="S1141" s="53"/>
      <c r="T1141" s="53"/>
      <c r="U1141" s="53"/>
      <c r="V1141" s="53"/>
      <c r="W1141" s="53"/>
      <c r="X1141" s="53"/>
      <c r="Y1141" s="53"/>
      <c r="Z1141" s="53"/>
    </row>
    <row r="1142" spans="1:26" ht="15.75" customHeight="1">
      <c r="A1142" s="103"/>
      <c r="B1142" s="103"/>
      <c r="C1142" s="104" t="e">
        <v>#REF!</v>
      </c>
      <c r="D1142" s="103"/>
      <c r="E1142" s="53"/>
      <c r="F1142" s="53"/>
      <c r="G1142" s="53"/>
      <c r="H1142" s="53"/>
      <c r="I1142" s="53"/>
      <c r="J1142" s="53"/>
      <c r="K1142" s="53"/>
      <c r="L1142" s="53"/>
      <c r="M1142" s="53"/>
      <c r="N1142" s="53"/>
      <c r="O1142" s="53"/>
      <c r="P1142" s="53"/>
      <c r="Q1142" s="53"/>
      <c r="R1142" s="53"/>
      <c r="S1142" s="53"/>
      <c r="T1142" s="53"/>
      <c r="U1142" s="53"/>
      <c r="V1142" s="53"/>
      <c r="W1142" s="53"/>
      <c r="X1142" s="53"/>
      <c r="Y1142" s="53"/>
      <c r="Z1142" s="53"/>
    </row>
    <row r="1143" spans="1:26" ht="15.75" customHeight="1">
      <c r="A1143" s="103"/>
      <c r="B1143" s="103"/>
      <c r="C1143" s="104" t="e">
        <v>#REF!</v>
      </c>
      <c r="D1143" s="103"/>
      <c r="E1143" s="53"/>
      <c r="F1143" s="53"/>
      <c r="G1143" s="53"/>
      <c r="H1143" s="53"/>
      <c r="I1143" s="53"/>
      <c r="J1143" s="53"/>
      <c r="K1143" s="53"/>
      <c r="L1143" s="53"/>
      <c r="M1143" s="53"/>
      <c r="N1143" s="53"/>
      <c r="O1143" s="53"/>
      <c r="P1143" s="53"/>
      <c r="Q1143" s="53"/>
      <c r="R1143" s="53"/>
      <c r="S1143" s="53"/>
      <c r="T1143" s="53"/>
      <c r="U1143" s="53"/>
      <c r="V1143" s="53"/>
      <c r="W1143" s="53"/>
      <c r="X1143" s="53"/>
      <c r="Y1143" s="53"/>
      <c r="Z1143" s="53"/>
    </row>
    <row r="1144" spans="1:26" ht="15.75" customHeight="1">
      <c r="A1144" s="103"/>
      <c r="B1144" s="103"/>
      <c r="C1144" s="104" t="e">
        <v>#REF!</v>
      </c>
      <c r="D1144" s="103"/>
      <c r="E1144" s="53"/>
      <c r="F1144" s="53"/>
      <c r="G1144" s="53"/>
      <c r="H1144" s="53"/>
      <c r="I1144" s="53"/>
      <c r="J1144" s="53"/>
      <c r="K1144" s="53"/>
      <c r="L1144" s="53"/>
      <c r="M1144" s="53"/>
      <c r="N1144" s="53"/>
      <c r="O1144" s="53"/>
      <c r="P1144" s="53"/>
      <c r="Q1144" s="53"/>
      <c r="R1144" s="53"/>
      <c r="S1144" s="53"/>
      <c r="T1144" s="53"/>
      <c r="U1144" s="53"/>
      <c r="V1144" s="53"/>
      <c r="W1144" s="53"/>
      <c r="X1144" s="53"/>
      <c r="Y1144" s="53"/>
      <c r="Z1144" s="53"/>
    </row>
    <row r="1145" spans="1:26" ht="15.75" customHeight="1">
      <c r="A1145" s="103"/>
      <c r="B1145" s="103"/>
      <c r="C1145" s="104" t="e">
        <v>#REF!</v>
      </c>
      <c r="D1145" s="103"/>
      <c r="E1145" s="53"/>
      <c r="F1145" s="53"/>
      <c r="G1145" s="53"/>
      <c r="H1145" s="53"/>
      <c r="I1145" s="53"/>
      <c r="J1145" s="53"/>
      <c r="K1145" s="53"/>
      <c r="L1145" s="53"/>
      <c r="M1145" s="53"/>
      <c r="N1145" s="53"/>
      <c r="O1145" s="53"/>
      <c r="P1145" s="53"/>
      <c r="Q1145" s="53"/>
      <c r="R1145" s="53"/>
      <c r="S1145" s="53"/>
      <c r="T1145" s="53"/>
      <c r="U1145" s="53"/>
      <c r="V1145" s="53"/>
      <c r="W1145" s="53"/>
      <c r="X1145" s="53"/>
      <c r="Y1145" s="53"/>
      <c r="Z1145" s="53"/>
    </row>
    <row r="1146" spans="1:26" ht="15.75" customHeight="1">
      <c r="A1146" s="103"/>
      <c r="B1146" s="103"/>
      <c r="C1146" s="104" t="e">
        <v>#REF!</v>
      </c>
      <c r="D1146" s="103"/>
      <c r="E1146" s="53"/>
      <c r="F1146" s="53"/>
      <c r="G1146" s="53"/>
      <c r="H1146" s="53"/>
      <c r="I1146" s="53"/>
      <c r="J1146" s="53"/>
      <c r="K1146" s="53"/>
      <c r="L1146" s="53"/>
      <c r="M1146" s="53"/>
      <c r="N1146" s="53"/>
      <c r="O1146" s="53"/>
      <c r="P1146" s="53"/>
      <c r="Q1146" s="53"/>
      <c r="R1146" s="53"/>
      <c r="S1146" s="53"/>
      <c r="T1146" s="53"/>
      <c r="U1146" s="53"/>
      <c r="V1146" s="53"/>
      <c r="W1146" s="53"/>
      <c r="X1146" s="53"/>
      <c r="Y1146" s="53"/>
      <c r="Z1146" s="53"/>
    </row>
    <row r="1147" spans="1:26" ht="15.75" customHeight="1">
      <c r="A1147" s="103"/>
      <c r="B1147" s="103"/>
      <c r="C1147" s="104" t="e">
        <v>#REF!</v>
      </c>
      <c r="D1147" s="103"/>
      <c r="E1147" s="53"/>
      <c r="F1147" s="53"/>
      <c r="G1147" s="53"/>
      <c r="H1147" s="53"/>
      <c r="I1147" s="53"/>
      <c r="J1147" s="53"/>
      <c r="K1147" s="53"/>
      <c r="L1147" s="53"/>
      <c r="M1147" s="53"/>
      <c r="N1147" s="53"/>
      <c r="O1147" s="53"/>
      <c r="P1147" s="53"/>
      <c r="Q1147" s="53"/>
      <c r="R1147" s="53"/>
      <c r="S1147" s="53"/>
      <c r="T1147" s="53"/>
      <c r="U1147" s="53"/>
      <c r="V1147" s="53"/>
      <c r="W1147" s="53"/>
      <c r="X1147" s="53"/>
      <c r="Y1147" s="53"/>
      <c r="Z1147" s="53"/>
    </row>
    <row r="1148" spans="1:26" ht="15.75" customHeight="1">
      <c r="A1148" s="103"/>
      <c r="B1148" s="103"/>
      <c r="C1148" s="104" t="e">
        <v>#REF!</v>
      </c>
      <c r="D1148" s="103"/>
      <c r="E1148" s="53"/>
      <c r="F1148" s="53"/>
      <c r="G1148" s="53"/>
      <c r="H1148" s="53"/>
      <c r="I1148" s="53"/>
      <c r="J1148" s="53"/>
      <c r="K1148" s="53"/>
      <c r="L1148" s="53"/>
      <c r="M1148" s="53"/>
      <c r="N1148" s="53"/>
      <c r="O1148" s="53"/>
      <c r="P1148" s="53"/>
      <c r="Q1148" s="53"/>
      <c r="R1148" s="53"/>
      <c r="S1148" s="53"/>
      <c r="T1148" s="53"/>
      <c r="U1148" s="53"/>
      <c r="V1148" s="53"/>
      <c r="W1148" s="53"/>
      <c r="X1148" s="53"/>
      <c r="Y1148" s="53"/>
      <c r="Z1148" s="53"/>
    </row>
    <row r="1149" spans="1:26" ht="15.75" customHeight="1">
      <c r="A1149" s="103"/>
      <c r="B1149" s="103"/>
      <c r="C1149" s="104" t="e">
        <v>#REF!</v>
      </c>
      <c r="D1149" s="10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</row>
    <row r="1150" spans="1:26" ht="15.75" customHeight="1">
      <c r="A1150" s="103"/>
      <c r="B1150" s="103"/>
      <c r="C1150" s="104" t="e">
        <v>#REF!</v>
      </c>
      <c r="D1150" s="103"/>
      <c r="E1150" s="53"/>
      <c r="F1150" s="53"/>
      <c r="G1150" s="53"/>
      <c r="H1150" s="53"/>
      <c r="I1150" s="53"/>
      <c r="J1150" s="53"/>
      <c r="K1150" s="53"/>
      <c r="L1150" s="53"/>
      <c r="M1150" s="53"/>
      <c r="N1150" s="53"/>
      <c r="O1150" s="53"/>
      <c r="P1150" s="53"/>
      <c r="Q1150" s="53"/>
      <c r="R1150" s="53"/>
      <c r="S1150" s="53"/>
      <c r="T1150" s="53"/>
      <c r="U1150" s="53"/>
      <c r="V1150" s="53"/>
      <c r="W1150" s="53"/>
      <c r="X1150" s="53"/>
      <c r="Y1150" s="53"/>
      <c r="Z1150" s="53"/>
    </row>
    <row r="1151" spans="1:26" ht="15.75" customHeight="1">
      <c r="A1151" s="103"/>
      <c r="B1151" s="103"/>
      <c r="C1151" s="104" t="e">
        <v>#REF!</v>
      </c>
      <c r="D1151" s="103"/>
      <c r="E1151" s="53"/>
      <c r="F1151" s="53"/>
      <c r="G1151" s="53"/>
      <c r="H1151" s="53"/>
      <c r="I1151" s="53"/>
      <c r="J1151" s="53"/>
      <c r="K1151" s="53"/>
      <c r="L1151" s="53"/>
      <c r="M1151" s="53"/>
      <c r="N1151" s="53"/>
      <c r="O1151" s="53"/>
      <c r="P1151" s="53"/>
      <c r="Q1151" s="53"/>
      <c r="R1151" s="53"/>
      <c r="S1151" s="53"/>
      <c r="T1151" s="53"/>
      <c r="U1151" s="53"/>
      <c r="V1151" s="53"/>
      <c r="W1151" s="53"/>
      <c r="X1151" s="53"/>
      <c r="Y1151" s="53"/>
      <c r="Z1151" s="53"/>
    </row>
    <row r="1152" spans="1:26" ht="15.75" customHeight="1">
      <c r="A1152" s="103"/>
      <c r="B1152" s="103"/>
      <c r="C1152" s="104" t="e">
        <v>#REF!</v>
      </c>
      <c r="D1152" s="103"/>
      <c r="E1152" s="53"/>
      <c r="F1152" s="53"/>
      <c r="G1152" s="53"/>
      <c r="H1152" s="53"/>
      <c r="I1152" s="53"/>
      <c r="J1152" s="53"/>
      <c r="K1152" s="53"/>
      <c r="L1152" s="53"/>
      <c r="M1152" s="53"/>
      <c r="N1152" s="53"/>
      <c r="O1152" s="53"/>
      <c r="P1152" s="53"/>
      <c r="Q1152" s="53"/>
      <c r="R1152" s="53"/>
      <c r="S1152" s="53"/>
      <c r="T1152" s="53"/>
      <c r="U1152" s="53"/>
      <c r="V1152" s="53"/>
      <c r="W1152" s="53"/>
      <c r="X1152" s="53"/>
      <c r="Y1152" s="53"/>
      <c r="Z1152" s="53"/>
    </row>
    <row r="1153" spans="1:26" ht="15.75" customHeight="1">
      <c r="A1153" s="103"/>
      <c r="B1153" s="103"/>
      <c r="C1153" s="104" t="e">
        <v>#REF!</v>
      </c>
      <c r="D1153" s="103"/>
      <c r="E1153" s="53"/>
      <c r="F1153" s="53"/>
      <c r="G1153" s="53"/>
      <c r="H1153" s="53"/>
      <c r="I1153" s="53"/>
      <c r="J1153" s="53"/>
      <c r="K1153" s="53"/>
      <c r="L1153" s="53"/>
      <c r="M1153" s="53"/>
      <c r="N1153" s="53"/>
      <c r="O1153" s="53"/>
      <c r="P1153" s="53"/>
      <c r="Q1153" s="53"/>
      <c r="R1153" s="53"/>
      <c r="S1153" s="53"/>
      <c r="T1153" s="53"/>
      <c r="U1153" s="53"/>
      <c r="V1153" s="53"/>
      <c r="W1153" s="53"/>
      <c r="X1153" s="53"/>
      <c r="Y1153" s="53"/>
      <c r="Z1153" s="53"/>
    </row>
    <row r="1154" spans="1:26" ht="15.75" customHeight="1">
      <c r="A1154" s="103"/>
      <c r="B1154" s="103"/>
      <c r="C1154" s="104" t="e">
        <v>#REF!</v>
      </c>
      <c r="D1154" s="10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53"/>
      <c r="T1154" s="53"/>
      <c r="U1154" s="53"/>
      <c r="V1154" s="53"/>
      <c r="W1154" s="53"/>
      <c r="X1154" s="53"/>
      <c r="Y1154" s="53"/>
      <c r="Z1154" s="53"/>
    </row>
    <row r="1155" spans="1:26" ht="15.75" customHeight="1">
      <c r="A1155" s="103"/>
      <c r="B1155" s="103"/>
      <c r="C1155" s="104" t="e">
        <v>#REF!</v>
      </c>
      <c r="D1155" s="103"/>
      <c r="E1155" s="53"/>
      <c r="F1155" s="53"/>
      <c r="G1155" s="53"/>
      <c r="H1155" s="53"/>
      <c r="I1155" s="53"/>
      <c r="J1155" s="53"/>
      <c r="K1155" s="53"/>
      <c r="L1155" s="53"/>
      <c r="M1155" s="53"/>
      <c r="N1155" s="53"/>
      <c r="O1155" s="53"/>
      <c r="P1155" s="53"/>
      <c r="Q1155" s="53"/>
      <c r="R1155" s="53"/>
      <c r="S1155" s="53"/>
      <c r="T1155" s="53"/>
      <c r="U1155" s="53"/>
      <c r="V1155" s="53"/>
      <c r="W1155" s="53"/>
      <c r="X1155" s="53"/>
      <c r="Y1155" s="53"/>
      <c r="Z1155" s="53"/>
    </row>
    <row r="1156" spans="1:26" ht="15.75" customHeight="1">
      <c r="A1156" s="103"/>
      <c r="B1156" s="103"/>
      <c r="C1156" s="104" t="e">
        <v>#REF!</v>
      </c>
      <c r="D1156" s="103"/>
      <c r="E1156" s="53"/>
      <c r="F1156" s="53"/>
      <c r="G1156" s="53"/>
      <c r="H1156" s="53"/>
      <c r="I1156" s="53"/>
      <c r="J1156" s="53"/>
      <c r="K1156" s="53"/>
      <c r="L1156" s="53"/>
      <c r="M1156" s="53"/>
      <c r="N1156" s="53"/>
      <c r="O1156" s="53"/>
      <c r="P1156" s="53"/>
      <c r="Q1156" s="53"/>
      <c r="R1156" s="53"/>
      <c r="S1156" s="53"/>
      <c r="T1156" s="53"/>
      <c r="U1156" s="53"/>
      <c r="V1156" s="53"/>
      <c r="W1156" s="53"/>
      <c r="X1156" s="53"/>
      <c r="Y1156" s="53"/>
      <c r="Z1156" s="53"/>
    </row>
    <row r="1157" spans="1:26" ht="15.75" customHeight="1">
      <c r="A1157" s="103"/>
      <c r="B1157" s="103"/>
      <c r="C1157" s="104" t="e">
        <v>#REF!</v>
      </c>
      <c r="D1157" s="103"/>
      <c r="E1157" s="53"/>
      <c r="F1157" s="53"/>
      <c r="G1157" s="53"/>
      <c r="H1157" s="53"/>
      <c r="I1157" s="53"/>
      <c r="J1157" s="53"/>
      <c r="K1157" s="53"/>
      <c r="L1157" s="53"/>
      <c r="M1157" s="53"/>
      <c r="N1157" s="53"/>
      <c r="O1157" s="53"/>
      <c r="P1157" s="53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</row>
    <row r="1158" spans="1:26" ht="15.75" customHeight="1">
      <c r="A1158" s="103"/>
      <c r="B1158" s="103"/>
      <c r="C1158" s="104" t="e">
        <v>#REF!</v>
      </c>
      <c r="D1158" s="103"/>
      <c r="E1158" s="53"/>
      <c r="F1158" s="53"/>
      <c r="G1158" s="53"/>
      <c r="H1158" s="53"/>
      <c r="I1158" s="53"/>
      <c r="J1158" s="53"/>
      <c r="K1158" s="53"/>
      <c r="L1158" s="53"/>
      <c r="M1158" s="53"/>
      <c r="N1158" s="53"/>
      <c r="O1158" s="53"/>
      <c r="P1158" s="53"/>
      <c r="Q1158" s="53"/>
      <c r="R1158" s="53"/>
      <c r="S1158" s="53"/>
      <c r="T1158" s="53"/>
      <c r="U1158" s="53"/>
      <c r="V1158" s="53"/>
      <c r="W1158" s="53"/>
      <c r="X1158" s="53"/>
      <c r="Y1158" s="53"/>
      <c r="Z1158" s="53"/>
    </row>
    <row r="1159" spans="1:26" ht="15.75" customHeight="1">
      <c r="A1159" s="103"/>
      <c r="B1159" s="103"/>
      <c r="C1159" s="104" t="e">
        <v>#REF!</v>
      </c>
      <c r="D1159" s="103"/>
      <c r="E1159" s="53"/>
      <c r="F1159" s="53"/>
      <c r="G1159" s="53"/>
      <c r="H1159" s="53"/>
      <c r="I1159" s="53"/>
      <c r="J1159" s="53"/>
      <c r="K1159" s="53"/>
      <c r="L1159" s="53"/>
      <c r="M1159" s="53"/>
      <c r="N1159" s="53"/>
      <c r="O1159" s="53"/>
      <c r="P1159" s="53"/>
      <c r="Q1159" s="53"/>
      <c r="R1159" s="53"/>
      <c r="S1159" s="53"/>
      <c r="T1159" s="53"/>
      <c r="U1159" s="53"/>
      <c r="V1159" s="53"/>
      <c r="W1159" s="53"/>
      <c r="X1159" s="53"/>
      <c r="Y1159" s="53"/>
      <c r="Z1159" s="53"/>
    </row>
    <row r="1160" spans="1:26" ht="15.75" customHeight="1">
      <c r="A1160" s="103"/>
      <c r="B1160" s="103"/>
      <c r="C1160" s="104" t="e">
        <v>#REF!</v>
      </c>
      <c r="D1160" s="103"/>
      <c r="E1160" s="53"/>
      <c r="F1160" s="53"/>
      <c r="G1160" s="53"/>
      <c r="H1160" s="53"/>
      <c r="I1160" s="53"/>
      <c r="J1160" s="53"/>
      <c r="K1160" s="53"/>
      <c r="L1160" s="53"/>
      <c r="M1160" s="53"/>
      <c r="N1160" s="53"/>
      <c r="O1160" s="53"/>
      <c r="P1160" s="53"/>
      <c r="Q1160" s="53"/>
      <c r="R1160" s="53"/>
      <c r="S1160" s="53"/>
      <c r="T1160" s="53"/>
      <c r="U1160" s="53"/>
      <c r="V1160" s="53"/>
      <c r="W1160" s="53"/>
      <c r="X1160" s="53"/>
      <c r="Y1160" s="53"/>
      <c r="Z1160" s="53"/>
    </row>
    <row r="1161" spans="1:26" ht="15.75" customHeight="1">
      <c r="A1161" s="103"/>
      <c r="B1161" s="103"/>
      <c r="C1161" s="104" t="e">
        <v>#REF!</v>
      </c>
      <c r="D1161" s="103"/>
      <c r="E1161" s="53"/>
      <c r="F1161" s="53"/>
      <c r="G1161" s="53"/>
      <c r="H1161" s="53"/>
      <c r="I1161" s="53"/>
      <c r="J1161" s="53"/>
      <c r="K1161" s="53"/>
      <c r="L1161" s="53"/>
      <c r="M1161" s="53"/>
      <c r="N1161" s="53"/>
      <c r="O1161" s="53"/>
      <c r="P1161" s="53"/>
      <c r="Q1161" s="53"/>
      <c r="R1161" s="53"/>
      <c r="S1161" s="53"/>
      <c r="T1161" s="53"/>
      <c r="U1161" s="53"/>
      <c r="V1161" s="53"/>
      <c r="W1161" s="53"/>
      <c r="X1161" s="53"/>
      <c r="Y1161" s="53"/>
      <c r="Z1161" s="53"/>
    </row>
    <row r="1162" spans="1:26" ht="15.75" customHeight="1">
      <c r="A1162" s="103"/>
      <c r="B1162" s="103"/>
      <c r="C1162" s="104" t="e">
        <v>#REF!</v>
      </c>
      <c r="D1162" s="103"/>
      <c r="E1162" s="53"/>
      <c r="F1162" s="53"/>
      <c r="G1162" s="53"/>
      <c r="H1162" s="53"/>
      <c r="I1162" s="53"/>
      <c r="J1162" s="53"/>
      <c r="K1162" s="53"/>
      <c r="L1162" s="53"/>
      <c r="M1162" s="53"/>
      <c r="N1162" s="53"/>
      <c r="O1162" s="53"/>
      <c r="P1162" s="53"/>
      <c r="Q1162" s="53"/>
      <c r="R1162" s="53"/>
      <c r="S1162" s="53"/>
      <c r="T1162" s="53"/>
      <c r="U1162" s="53"/>
      <c r="V1162" s="53"/>
      <c r="W1162" s="53"/>
      <c r="X1162" s="53"/>
      <c r="Y1162" s="53"/>
      <c r="Z1162" s="53"/>
    </row>
    <row r="1163" spans="1:26" ht="15.75" customHeight="1">
      <c r="A1163" s="103"/>
      <c r="B1163" s="103"/>
      <c r="C1163" s="104" t="e">
        <v>#REF!</v>
      </c>
      <c r="D1163" s="103"/>
      <c r="E1163" s="53"/>
      <c r="F1163" s="53"/>
      <c r="G1163" s="53"/>
      <c r="H1163" s="53"/>
      <c r="I1163" s="53"/>
      <c r="J1163" s="53"/>
      <c r="K1163" s="53"/>
      <c r="L1163" s="53"/>
      <c r="M1163" s="53"/>
      <c r="N1163" s="53"/>
      <c r="O1163" s="53"/>
      <c r="P1163" s="53"/>
      <c r="Q1163" s="53"/>
      <c r="R1163" s="53"/>
      <c r="S1163" s="53"/>
      <c r="T1163" s="53"/>
      <c r="U1163" s="53"/>
      <c r="V1163" s="53"/>
      <c r="W1163" s="53"/>
      <c r="X1163" s="53"/>
      <c r="Y1163" s="53"/>
      <c r="Z1163" s="53"/>
    </row>
    <row r="1164" spans="1:26" ht="15.75" customHeight="1">
      <c r="A1164" s="103"/>
      <c r="B1164" s="103"/>
      <c r="C1164" s="104" t="e">
        <v>#REF!</v>
      </c>
      <c r="D1164" s="103"/>
      <c r="E1164" s="53"/>
      <c r="F1164" s="53"/>
      <c r="G1164" s="53"/>
      <c r="H1164" s="53"/>
      <c r="I1164" s="53"/>
      <c r="J1164" s="53"/>
      <c r="K1164" s="53"/>
      <c r="L1164" s="53"/>
      <c r="M1164" s="53"/>
      <c r="N1164" s="53"/>
      <c r="O1164" s="53"/>
      <c r="P1164" s="53"/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</row>
    <row r="1165" spans="1:26" ht="15.75" customHeight="1">
      <c r="A1165" s="103"/>
      <c r="B1165" s="103"/>
      <c r="C1165" s="104" t="e">
        <v>#REF!</v>
      </c>
      <c r="D1165" s="103"/>
      <c r="E1165" s="53"/>
      <c r="F1165" s="53"/>
      <c r="G1165" s="53"/>
      <c r="H1165" s="53"/>
      <c r="I1165" s="53"/>
      <c r="J1165" s="53"/>
      <c r="K1165" s="53"/>
      <c r="L1165" s="53"/>
      <c r="M1165" s="53"/>
      <c r="N1165" s="53"/>
      <c r="O1165" s="53"/>
      <c r="P1165" s="53"/>
      <c r="Q1165" s="53"/>
      <c r="R1165" s="53"/>
      <c r="S1165" s="53"/>
      <c r="T1165" s="53"/>
      <c r="U1165" s="53"/>
      <c r="V1165" s="53"/>
      <c r="W1165" s="53"/>
      <c r="X1165" s="53"/>
      <c r="Y1165" s="53"/>
      <c r="Z1165" s="53"/>
    </row>
    <row r="1166" spans="1:26" ht="15.75" customHeight="1">
      <c r="A1166" s="103"/>
      <c r="B1166" s="103"/>
      <c r="C1166" s="104" t="e">
        <v>#REF!</v>
      </c>
      <c r="D1166" s="103"/>
      <c r="E1166" s="53"/>
      <c r="F1166" s="53"/>
      <c r="G1166" s="53"/>
      <c r="H1166" s="53"/>
      <c r="I1166" s="53"/>
      <c r="J1166" s="53"/>
      <c r="K1166" s="53"/>
      <c r="L1166" s="53"/>
      <c r="M1166" s="53"/>
      <c r="N1166" s="53"/>
      <c r="O1166" s="53"/>
      <c r="P1166" s="53"/>
      <c r="Q1166" s="53"/>
      <c r="R1166" s="53"/>
      <c r="S1166" s="53"/>
      <c r="T1166" s="53"/>
      <c r="U1166" s="53"/>
      <c r="V1166" s="53"/>
      <c r="W1166" s="53"/>
      <c r="X1166" s="53"/>
      <c r="Y1166" s="53"/>
      <c r="Z1166" s="53"/>
    </row>
    <row r="1167" spans="1:26" ht="15.75" customHeight="1">
      <c r="A1167" s="103"/>
      <c r="B1167" s="103"/>
      <c r="C1167" s="104" t="e">
        <v>#REF!</v>
      </c>
      <c r="D1167" s="103"/>
      <c r="E1167" s="53"/>
      <c r="F1167" s="53"/>
      <c r="G1167" s="53"/>
      <c r="H1167" s="53"/>
      <c r="I1167" s="53"/>
      <c r="J1167" s="53"/>
      <c r="K1167" s="53"/>
      <c r="L1167" s="53"/>
      <c r="M1167" s="53"/>
      <c r="N1167" s="53"/>
      <c r="O1167" s="53"/>
      <c r="P1167" s="53"/>
      <c r="Q1167" s="53"/>
      <c r="R1167" s="53"/>
      <c r="S1167" s="53"/>
      <c r="T1167" s="53"/>
      <c r="U1167" s="53"/>
      <c r="V1167" s="53"/>
      <c r="W1167" s="53"/>
      <c r="X1167" s="53"/>
      <c r="Y1167" s="53"/>
      <c r="Z1167" s="53"/>
    </row>
    <row r="1168" spans="1:26" ht="15.75" customHeight="1">
      <c r="A1168" s="103"/>
      <c r="B1168" s="103"/>
      <c r="C1168" s="104" t="e">
        <v>#REF!</v>
      </c>
      <c r="D1168" s="103"/>
      <c r="E1168" s="53"/>
      <c r="F1168" s="53"/>
      <c r="G1168" s="53"/>
      <c r="H1168" s="53"/>
      <c r="I1168" s="53"/>
      <c r="J1168" s="53"/>
      <c r="K1168" s="53"/>
      <c r="L1168" s="53"/>
      <c r="M1168" s="53"/>
      <c r="N1168" s="53"/>
      <c r="O1168" s="53"/>
      <c r="P1168" s="53"/>
      <c r="Q1168" s="53"/>
      <c r="R1168" s="53"/>
      <c r="S1168" s="53"/>
      <c r="T1168" s="53"/>
      <c r="U1168" s="53"/>
      <c r="V1168" s="53"/>
      <c r="W1168" s="53"/>
      <c r="X1168" s="53"/>
      <c r="Y1168" s="53"/>
      <c r="Z1168" s="53"/>
    </row>
    <row r="1169" spans="1:26" ht="15.75" customHeight="1">
      <c r="A1169" s="103"/>
      <c r="B1169" s="103"/>
      <c r="C1169" s="104" t="e">
        <v>#REF!</v>
      </c>
      <c r="D1169" s="103"/>
      <c r="E1169" s="53"/>
      <c r="F1169" s="53"/>
      <c r="G1169" s="53"/>
      <c r="H1169" s="53"/>
      <c r="I1169" s="53"/>
      <c r="J1169" s="53"/>
      <c r="K1169" s="53"/>
      <c r="L1169" s="53"/>
      <c r="M1169" s="53"/>
      <c r="N1169" s="53"/>
      <c r="O1169" s="53"/>
      <c r="P1169" s="53"/>
      <c r="Q1169" s="53"/>
      <c r="R1169" s="53"/>
      <c r="S1169" s="53"/>
      <c r="T1169" s="53"/>
      <c r="U1169" s="53"/>
      <c r="V1169" s="53"/>
      <c r="W1169" s="53"/>
      <c r="X1169" s="53"/>
      <c r="Y1169" s="53"/>
      <c r="Z1169" s="53"/>
    </row>
    <row r="1170" spans="1:26" ht="15.75" customHeight="1">
      <c r="A1170" s="103"/>
      <c r="B1170" s="103"/>
      <c r="C1170" s="104" t="e">
        <v>#REF!</v>
      </c>
      <c r="D1170" s="103"/>
      <c r="E1170" s="53"/>
      <c r="F1170" s="53"/>
      <c r="G1170" s="53"/>
      <c r="H1170" s="53"/>
      <c r="I1170" s="53"/>
      <c r="J1170" s="53"/>
      <c r="K1170" s="53"/>
      <c r="L1170" s="53"/>
      <c r="M1170" s="53"/>
      <c r="N1170" s="53"/>
      <c r="O1170" s="53"/>
      <c r="P1170" s="53"/>
      <c r="Q1170" s="53"/>
      <c r="R1170" s="53"/>
      <c r="S1170" s="53"/>
      <c r="T1170" s="53"/>
      <c r="U1170" s="53"/>
      <c r="V1170" s="53"/>
      <c r="W1170" s="53"/>
      <c r="X1170" s="53"/>
      <c r="Y1170" s="53"/>
      <c r="Z1170" s="53"/>
    </row>
    <row r="1171" spans="1:26" ht="15.75" customHeight="1">
      <c r="A1171" s="103"/>
      <c r="B1171" s="103"/>
      <c r="C1171" s="104" t="e">
        <v>#REF!</v>
      </c>
      <c r="D1171" s="103"/>
      <c r="E1171" s="53"/>
      <c r="F1171" s="53"/>
      <c r="G1171" s="53"/>
      <c r="H1171" s="53"/>
      <c r="I1171" s="53"/>
      <c r="J1171" s="53"/>
      <c r="K1171" s="53"/>
      <c r="L1171" s="53"/>
      <c r="M1171" s="53"/>
      <c r="N1171" s="53"/>
      <c r="O1171" s="53"/>
      <c r="P1171" s="53"/>
      <c r="Q1171" s="53"/>
      <c r="R1171" s="53"/>
      <c r="S1171" s="53"/>
      <c r="T1171" s="53"/>
      <c r="U1171" s="53"/>
      <c r="V1171" s="53"/>
      <c r="W1171" s="53"/>
      <c r="X1171" s="53"/>
      <c r="Y1171" s="53"/>
      <c r="Z1171" s="53"/>
    </row>
    <row r="1172" spans="1:26" ht="15.75" customHeight="1">
      <c r="A1172" s="103"/>
      <c r="B1172" s="103"/>
      <c r="C1172" s="104" t="e">
        <v>#REF!</v>
      </c>
      <c r="D1172" s="103"/>
      <c r="E1172" s="53"/>
      <c r="F1172" s="53"/>
      <c r="G1172" s="53"/>
      <c r="H1172" s="53"/>
      <c r="I1172" s="53"/>
      <c r="J1172" s="53"/>
      <c r="K1172" s="53"/>
      <c r="L1172" s="53"/>
      <c r="M1172" s="53"/>
      <c r="N1172" s="53"/>
      <c r="O1172" s="53"/>
      <c r="P1172" s="53"/>
      <c r="Q1172" s="53"/>
      <c r="R1172" s="53"/>
      <c r="S1172" s="53"/>
      <c r="T1172" s="53"/>
      <c r="U1172" s="53"/>
      <c r="V1172" s="53"/>
      <c r="W1172" s="53"/>
      <c r="X1172" s="53"/>
      <c r="Y1172" s="53"/>
      <c r="Z1172" s="53"/>
    </row>
    <row r="1173" spans="1:26" ht="15.75" customHeight="1">
      <c r="A1173" s="103"/>
      <c r="B1173" s="103"/>
      <c r="C1173" s="104" t="e">
        <v>#REF!</v>
      </c>
      <c r="D1173" s="103"/>
      <c r="E1173" s="53"/>
      <c r="F1173" s="53"/>
      <c r="G1173" s="53"/>
      <c r="H1173" s="53"/>
      <c r="I1173" s="53"/>
      <c r="J1173" s="53"/>
      <c r="K1173" s="53"/>
      <c r="L1173" s="53"/>
      <c r="M1173" s="53"/>
      <c r="N1173" s="53"/>
      <c r="O1173" s="53"/>
      <c r="P1173" s="53"/>
      <c r="Q1173" s="53"/>
      <c r="R1173" s="53"/>
      <c r="S1173" s="53"/>
      <c r="T1173" s="53"/>
      <c r="U1173" s="53"/>
      <c r="V1173" s="53"/>
      <c r="W1173" s="53"/>
      <c r="X1173" s="53"/>
      <c r="Y1173" s="53"/>
      <c r="Z1173" s="53"/>
    </row>
    <row r="1174" spans="1:26" ht="15.75" customHeight="1">
      <c r="A1174" s="103"/>
      <c r="B1174" s="103"/>
      <c r="C1174" s="104" t="e">
        <v>#REF!</v>
      </c>
      <c r="D1174" s="103"/>
      <c r="E1174" s="53"/>
      <c r="F1174" s="53"/>
      <c r="G1174" s="53"/>
      <c r="H1174" s="53"/>
      <c r="I1174" s="53"/>
      <c r="J1174" s="53"/>
      <c r="K1174" s="53"/>
      <c r="L1174" s="53"/>
      <c r="M1174" s="53"/>
      <c r="N1174" s="53"/>
      <c r="O1174" s="53"/>
      <c r="P1174" s="53"/>
      <c r="Q1174" s="53"/>
      <c r="R1174" s="53"/>
      <c r="S1174" s="53"/>
      <c r="T1174" s="53"/>
      <c r="U1174" s="53"/>
      <c r="V1174" s="53"/>
      <c r="W1174" s="53"/>
      <c r="X1174" s="53"/>
      <c r="Y1174" s="53"/>
      <c r="Z1174" s="53"/>
    </row>
    <row r="1175" spans="1:26" ht="15.75" customHeight="1">
      <c r="A1175" s="103"/>
      <c r="B1175" s="103"/>
      <c r="C1175" s="104" t="e">
        <v>#REF!</v>
      </c>
      <c r="D1175" s="103"/>
      <c r="E1175" s="53"/>
      <c r="F1175" s="53"/>
      <c r="G1175" s="53"/>
      <c r="H1175" s="53"/>
      <c r="I1175" s="53"/>
      <c r="J1175" s="53"/>
      <c r="K1175" s="53"/>
      <c r="L1175" s="53"/>
      <c r="M1175" s="53"/>
      <c r="N1175" s="53"/>
      <c r="O1175" s="53"/>
      <c r="P1175" s="53"/>
      <c r="Q1175" s="53"/>
      <c r="R1175" s="53"/>
      <c r="S1175" s="53"/>
      <c r="T1175" s="53"/>
      <c r="U1175" s="53"/>
      <c r="V1175" s="53"/>
      <c r="W1175" s="53"/>
      <c r="X1175" s="53"/>
      <c r="Y1175" s="53"/>
      <c r="Z1175" s="53"/>
    </row>
    <row r="1176" spans="1:26" ht="15.75" customHeight="1">
      <c r="A1176" s="103"/>
      <c r="B1176" s="103"/>
      <c r="C1176" s="104" t="e">
        <v>#REF!</v>
      </c>
      <c r="D1176" s="103"/>
      <c r="E1176" s="53"/>
      <c r="F1176" s="53"/>
      <c r="G1176" s="53"/>
      <c r="H1176" s="53"/>
      <c r="I1176" s="53"/>
      <c r="J1176" s="53"/>
      <c r="K1176" s="53"/>
      <c r="L1176" s="53"/>
      <c r="M1176" s="53"/>
      <c r="N1176" s="53"/>
      <c r="O1176" s="53"/>
      <c r="P1176" s="53"/>
      <c r="Q1176" s="53"/>
      <c r="R1176" s="53"/>
      <c r="S1176" s="53"/>
      <c r="T1176" s="53"/>
      <c r="U1176" s="53"/>
      <c r="V1176" s="53"/>
      <c r="W1176" s="53"/>
      <c r="X1176" s="53"/>
      <c r="Y1176" s="53"/>
      <c r="Z1176" s="53"/>
    </row>
    <row r="1177" spans="1:26" ht="15.75" customHeight="1">
      <c r="A1177" s="103"/>
      <c r="B1177" s="103"/>
      <c r="C1177" s="104" t="e">
        <v>#REF!</v>
      </c>
      <c r="D1177" s="103"/>
      <c r="E1177" s="53"/>
      <c r="F1177" s="53"/>
      <c r="G1177" s="53"/>
      <c r="H1177" s="53"/>
      <c r="I1177" s="53"/>
      <c r="J1177" s="53"/>
      <c r="K1177" s="53"/>
      <c r="L1177" s="53"/>
      <c r="M1177" s="53"/>
      <c r="N1177" s="53"/>
      <c r="O1177" s="53"/>
      <c r="P1177" s="53"/>
      <c r="Q1177" s="53"/>
      <c r="R1177" s="53"/>
      <c r="S1177" s="53"/>
      <c r="T1177" s="53"/>
      <c r="U1177" s="53"/>
      <c r="V1177" s="53"/>
      <c r="W1177" s="53"/>
      <c r="X1177" s="53"/>
      <c r="Y1177" s="53"/>
      <c r="Z1177" s="53"/>
    </row>
    <row r="1178" spans="1:26" ht="15.75" customHeight="1">
      <c r="A1178" s="103"/>
      <c r="B1178" s="103"/>
      <c r="C1178" s="104" t="e">
        <v>#REF!</v>
      </c>
      <c r="D1178" s="103"/>
      <c r="E1178" s="53"/>
      <c r="F1178" s="53"/>
      <c r="G1178" s="53"/>
      <c r="H1178" s="53"/>
      <c r="I1178" s="53"/>
      <c r="J1178" s="53"/>
      <c r="K1178" s="53"/>
      <c r="L1178" s="53"/>
      <c r="M1178" s="53"/>
      <c r="N1178" s="53"/>
      <c r="O1178" s="53"/>
      <c r="P1178" s="53"/>
      <c r="Q1178" s="53"/>
      <c r="R1178" s="53"/>
      <c r="S1178" s="53"/>
      <c r="T1178" s="53"/>
      <c r="U1178" s="53"/>
      <c r="V1178" s="53"/>
      <c r="W1178" s="53"/>
      <c r="X1178" s="53"/>
      <c r="Y1178" s="53"/>
      <c r="Z1178" s="53"/>
    </row>
    <row r="1179" spans="1:26" ht="15.75" customHeight="1">
      <c r="A1179" s="103"/>
      <c r="B1179" s="103"/>
      <c r="C1179" s="104" t="e">
        <v>#REF!</v>
      </c>
      <c r="D1179" s="103"/>
      <c r="E1179" s="53"/>
      <c r="F1179" s="53"/>
      <c r="G1179" s="53"/>
      <c r="H1179" s="53"/>
      <c r="I1179" s="53"/>
      <c r="J1179" s="53"/>
      <c r="K1179" s="53"/>
      <c r="L1179" s="53"/>
      <c r="M1179" s="53"/>
      <c r="N1179" s="53"/>
      <c r="O1179" s="53"/>
      <c r="P1179" s="53"/>
      <c r="Q1179" s="53"/>
      <c r="R1179" s="53"/>
      <c r="S1179" s="53"/>
      <c r="T1179" s="53"/>
      <c r="U1179" s="53"/>
      <c r="V1179" s="53"/>
      <c r="W1179" s="53"/>
      <c r="X1179" s="53"/>
      <c r="Y1179" s="53"/>
      <c r="Z1179" s="53"/>
    </row>
    <row r="1180" spans="1:26" ht="15.75" customHeight="1">
      <c r="A1180" s="103"/>
      <c r="B1180" s="103"/>
      <c r="C1180" s="104" t="e">
        <v>#REF!</v>
      </c>
      <c r="D1180" s="103"/>
      <c r="E1180" s="53"/>
      <c r="F1180" s="53"/>
      <c r="G1180" s="53"/>
      <c r="H1180" s="53"/>
      <c r="I1180" s="53"/>
      <c r="J1180" s="53"/>
      <c r="K1180" s="53"/>
      <c r="L1180" s="53"/>
      <c r="M1180" s="53"/>
      <c r="N1180" s="53"/>
      <c r="O1180" s="53"/>
      <c r="P1180" s="53"/>
      <c r="Q1180" s="53"/>
      <c r="R1180" s="53"/>
      <c r="S1180" s="53"/>
      <c r="T1180" s="53"/>
      <c r="U1180" s="53"/>
      <c r="V1180" s="53"/>
      <c r="W1180" s="53"/>
      <c r="X1180" s="53"/>
      <c r="Y1180" s="53"/>
      <c r="Z1180" s="53"/>
    </row>
    <row r="1181" spans="1:26" ht="15.75" customHeight="1">
      <c r="A1181" s="103"/>
      <c r="B1181" s="103"/>
      <c r="C1181" s="104" t="e">
        <v>#REF!</v>
      </c>
      <c r="D1181" s="103"/>
      <c r="E1181" s="53"/>
      <c r="F1181" s="53"/>
      <c r="G1181" s="53"/>
      <c r="H1181" s="53"/>
      <c r="I1181" s="53"/>
      <c r="J1181" s="53"/>
      <c r="K1181" s="53"/>
      <c r="L1181" s="53"/>
      <c r="M1181" s="53"/>
      <c r="N1181" s="53"/>
      <c r="O1181" s="53"/>
      <c r="P1181" s="53"/>
      <c r="Q1181" s="53"/>
      <c r="R1181" s="53"/>
      <c r="S1181" s="53"/>
      <c r="T1181" s="53"/>
      <c r="U1181" s="53"/>
      <c r="V1181" s="53"/>
      <c r="W1181" s="53"/>
      <c r="X1181" s="53"/>
      <c r="Y1181" s="53"/>
      <c r="Z1181" s="53"/>
    </row>
    <row r="1182" spans="1:26" ht="15.75" customHeight="1">
      <c r="A1182" s="103"/>
      <c r="B1182" s="103"/>
      <c r="C1182" s="104" t="e">
        <v>#REF!</v>
      </c>
      <c r="D1182" s="103"/>
      <c r="E1182" s="53"/>
      <c r="F1182" s="53"/>
      <c r="G1182" s="53"/>
      <c r="H1182" s="53"/>
      <c r="I1182" s="53"/>
      <c r="J1182" s="53"/>
      <c r="K1182" s="53"/>
      <c r="L1182" s="53"/>
      <c r="M1182" s="53"/>
      <c r="N1182" s="53"/>
      <c r="O1182" s="53"/>
      <c r="P1182" s="53"/>
      <c r="Q1182" s="53"/>
      <c r="R1182" s="53"/>
      <c r="S1182" s="53"/>
      <c r="T1182" s="53"/>
      <c r="U1182" s="53"/>
      <c r="V1182" s="53"/>
      <c r="W1182" s="53"/>
      <c r="X1182" s="53"/>
      <c r="Y1182" s="53"/>
      <c r="Z1182" s="53"/>
    </row>
    <row r="1183" spans="1:26" ht="15.75" customHeight="1">
      <c r="A1183" s="103"/>
      <c r="B1183" s="103"/>
      <c r="C1183" s="104" t="e">
        <v>#REF!</v>
      </c>
      <c r="D1183" s="103"/>
      <c r="E1183" s="53"/>
      <c r="F1183" s="53"/>
      <c r="G1183" s="53"/>
      <c r="H1183" s="53"/>
      <c r="I1183" s="53"/>
      <c r="J1183" s="53"/>
      <c r="K1183" s="53"/>
      <c r="L1183" s="53"/>
      <c r="M1183" s="53"/>
      <c r="N1183" s="53"/>
      <c r="O1183" s="53"/>
      <c r="P1183" s="53"/>
      <c r="Q1183" s="53"/>
      <c r="R1183" s="53"/>
      <c r="S1183" s="53"/>
      <c r="T1183" s="53"/>
      <c r="U1183" s="53"/>
      <c r="V1183" s="53"/>
      <c r="W1183" s="53"/>
      <c r="X1183" s="53"/>
      <c r="Y1183" s="53"/>
      <c r="Z1183" s="53"/>
    </row>
    <row r="1184" spans="1:26" ht="15.75" customHeight="1">
      <c r="A1184" s="103"/>
      <c r="B1184" s="103"/>
      <c r="C1184" s="104" t="e">
        <v>#REF!</v>
      </c>
      <c r="D1184" s="103"/>
      <c r="E1184" s="53"/>
      <c r="F1184" s="53"/>
      <c r="G1184" s="53"/>
      <c r="H1184" s="53"/>
      <c r="I1184" s="53"/>
      <c r="J1184" s="53"/>
      <c r="K1184" s="53"/>
      <c r="L1184" s="53"/>
      <c r="M1184" s="53"/>
      <c r="N1184" s="53"/>
      <c r="O1184" s="53"/>
      <c r="P1184" s="53"/>
      <c r="Q1184" s="53"/>
      <c r="R1184" s="53"/>
      <c r="S1184" s="53"/>
      <c r="T1184" s="53"/>
      <c r="U1184" s="53"/>
      <c r="V1184" s="53"/>
      <c r="W1184" s="53"/>
      <c r="X1184" s="53"/>
      <c r="Y1184" s="53"/>
      <c r="Z1184" s="53"/>
    </row>
    <row r="1185" spans="1:26" ht="15.75" customHeight="1">
      <c r="A1185" s="103"/>
      <c r="B1185" s="103"/>
      <c r="C1185" s="104" t="e">
        <v>#REF!</v>
      </c>
      <c r="D1185" s="103"/>
      <c r="E1185" s="53"/>
      <c r="F1185" s="53"/>
      <c r="G1185" s="53"/>
      <c r="H1185" s="53"/>
      <c r="I1185" s="53"/>
      <c r="J1185" s="53"/>
      <c r="K1185" s="53"/>
      <c r="L1185" s="53"/>
      <c r="M1185" s="53"/>
      <c r="N1185" s="53"/>
      <c r="O1185" s="53"/>
      <c r="P1185" s="53"/>
      <c r="Q1185" s="53"/>
      <c r="R1185" s="53"/>
      <c r="S1185" s="53"/>
      <c r="T1185" s="53"/>
      <c r="U1185" s="53"/>
      <c r="V1185" s="53"/>
      <c r="W1185" s="53"/>
      <c r="X1185" s="53"/>
      <c r="Y1185" s="53"/>
      <c r="Z1185" s="53"/>
    </row>
    <row r="1186" spans="1:26" ht="15.75" customHeight="1">
      <c r="A1186" s="103"/>
      <c r="B1186" s="103"/>
      <c r="C1186" s="104" t="e">
        <v>#REF!</v>
      </c>
      <c r="D1186" s="103"/>
      <c r="E1186" s="53"/>
      <c r="F1186" s="53"/>
      <c r="G1186" s="53"/>
      <c r="H1186" s="53"/>
      <c r="I1186" s="53"/>
      <c r="J1186" s="53"/>
      <c r="K1186" s="53"/>
      <c r="L1186" s="53"/>
      <c r="M1186" s="53"/>
      <c r="N1186" s="53"/>
      <c r="O1186" s="53"/>
      <c r="P1186" s="53"/>
      <c r="Q1186" s="53"/>
      <c r="R1186" s="53"/>
      <c r="S1186" s="53"/>
      <c r="T1186" s="53"/>
      <c r="U1186" s="53"/>
      <c r="V1186" s="53"/>
      <c r="W1186" s="53"/>
      <c r="X1186" s="53"/>
      <c r="Y1186" s="53"/>
      <c r="Z1186" s="53"/>
    </row>
    <row r="1187" spans="1:26" ht="15.75" customHeight="1">
      <c r="A1187" s="103"/>
      <c r="B1187" s="103"/>
      <c r="C1187" s="104" t="e">
        <v>#REF!</v>
      </c>
      <c r="D1187" s="103"/>
      <c r="E1187" s="53"/>
      <c r="F1187" s="53"/>
      <c r="G1187" s="53"/>
      <c r="H1187" s="53"/>
      <c r="I1187" s="53"/>
      <c r="J1187" s="53"/>
      <c r="K1187" s="53"/>
      <c r="L1187" s="53"/>
      <c r="M1187" s="53"/>
      <c r="N1187" s="53"/>
      <c r="O1187" s="53"/>
      <c r="P1187" s="53"/>
      <c r="Q1187" s="53"/>
      <c r="R1187" s="53"/>
      <c r="S1187" s="53"/>
      <c r="T1187" s="53"/>
      <c r="U1187" s="53"/>
      <c r="V1187" s="53"/>
      <c r="W1187" s="53"/>
      <c r="X1187" s="53"/>
      <c r="Y1187" s="53"/>
      <c r="Z1187" s="53"/>
    </row>
    <row r="1188" spans="1:26" ht="15.75" customHeight="1">
      <c r="A1188" s="103"/>
      <c r="B1188" s="103"/>
      <c r="C1188" s="104" t="e">
        <v>#REF!</v>
      </c>
      <c r="D1188" s="103"/>
      <c r="E1188" s="53"/>
      <c r="F1188" s="53"/>
      <c r="G1188" s="53"/>
      <c r="H1188" s="53"/>
      <c r="I1188" s="53"/>
      <c r="J1188" s="53"/>
      <c r="K1188" s="53"/>
      <c r="L1188" s="53"/>
      <c r="M1188" s="53"/>
      <c r="N1188" s="53"/>
      <c r="O1188" s="53"/>
      <c r="P1188" s="53"/>
      <c r="Q1188" s="53"/>
      <c r="R1188" s="53"/>
      <c r="S1188" s="53"/>
      <c r="T1188" s="53"/>
      <c r="U1188" s="53"/>
      <c r="V1188" s="53"/>
      <c r="W1188" s="53"/>
      <c r="X1188" s="53"/>
      <c r="Y1188" s="53"/>
      <c r="Z1188" s="53"/>
    </row>
    <row r="1189" spans="1:26" ht="15.75" customHeight="1">
      <c r="A1189" s="103"/>
      <c r="B1189" s="103"/>
      <c r="C1189" s="104" t="e">
        <v>#REF!</v>
      </c>
      <c r="D1189" s="103"/>
      <c r="E1189" s="53"/>
      <c r="F1189" s="53"/>
      <c r="G1189" s="53"/>
      <c r="H1189" s="53"/>
      <c r="I1189" s="53"/>
      <c r="J1189" s="53"/>
      <c r="K1189" s="53"/>
      <c r="L1189" s="53"/>
      <c r="M1189" s="53"/>
      <c r="N1189" s="53"/>
      <c r="O1189" s="53"/>
      <c r="P1189" s="53"/>
      <c r="Q1189" s="53"/>
      <c r="R1189" s="53"/>
      <c r="S1189" s="53"/>
      <c r="T1189" s="53"/>
      <c r="U1189" s="53"/>
      <c r="V1189" s="53"/>
      <c r="W1189" s="53"/>
      <c r="X1189" s="53"/>
      <c r="Y1189" s="53"/>
      <c r="Z1189" s="53"/>
    </row>
    <row r="1190" spans="1:26" ht="15.75" customHeight="1">
      <c r="A1190" s="103"/>
      <c r="B1190" s="103"/>
      <c r="C1190" s="104" t="e">
        <v>#REF!</v>
      </c>
      <c r="D1190" s="103"/>
      <c r="E1190" s="53"/>
      <c r="F1190" s="53"/>
      <c r="G1190" s="53"/>
      <c r="H1190" s="53"/>
      <c r="I1190" s="53"/>
      <c r="J1190" s="53"/>
      <c r="K1190" s="53"/>
      <c r="L1190" s="53"/>
      <c r="M1190" s="53"/>
      <c r="N1190" s="53"/>
      <c r="O1190" s="53"/>
      <c r="P1190" s="53"/>
      <c r="Q1190" s="53"/>
      <c r="R1190" s="53"/>
      <c r="S1190" s="53"/>
      <c r="T1190" s="53"/>
      <c r="U1190" s="53"/>
      <c r="V1190" s="53"/>
      <c r="W1190" s="53"/>
      <c r="X1190" s="53"/>
      <c r="Y1190" s="53"/>
      <c r="Z1190" s="53"/>
    </row>
    <row r="1191" spans="1:26" ht="15.75" customHeight="1">
      <c r="A1191" s="103"/>
      <c r="B1191" s="103"/>
      <c r="C1191" s="104" t="e">
        <v>#REF!</v>
      </c>
      <c r="D1191" s="103"/>
      <c r="E1191" s="53"/>
      <c r="F1191" s="53"/>
      <c r="G1191" s="53"/>
      <c r="H1191" s="53"/>
      <c r="I1191" s="53"/>
      <c r="J1191" s="53"/>
      <c r="K1191" s="53"/>
      <c r="L1191" s="53"/>
      <c r="M1191" s="53"/>
      <c r="N1191" s="53"/>
      <c r="O1191" s="53"/>
      <c r="P1191" s="53"/>
      <c r="Q1191" s="53"/>
      <c r="R1191" s="53"/>
      <c r="S1191" s="53"/>
      <c r="T1191" s="53"/>
      <c r="U1191" s="53"/>
      <c r="V1191" s="53"/>
      <c r="W1191" s="53"/>
      <c r="X1191" s="53"/>
      <c r="Y1191" s="53"/>
      <c r="Z1191" s="53"/>
    </row>
    <row r="1192" spans="1:26" ht="15.75" customHeight="1">
      <c r="A1192" s="103"/>
      <c r="B1192" s="103"/>
      <c r="C1192" s="104" t="e">
        <v>#REF!</v>
      </c>
      <c r="D1192" s="103"/>
      <c r="E1192" s="53"/>
      <c r="F1192" s="53"/>
      <c r="G1192" s="53"/>
      <c r="H1192" s="53"/>
      <c r="I1192" s="53"/>
      <c r="J1192" s="53"/>
      <c r="K1192" s="53"/>
      <c r="L1192" s="53"/>
      <c r="M1192" s="53"/>
      <c r="N1192" s="53"/>
      <c r="O1192" s="53"/>
      <c r="P1192" s="53"/>
      <c r="Q1192" s="53"/>
      <c r="R1192" s="53"/>
      <c r="S1192" s="53"/>
      <c r="T1192" s="53"/>
      <c r="U1192" s="53"/>
      <c r="V1192" s="53"/>
      <c r="W1192" s="53"/>
      <c r="X1192" s="53"/>
      <c r="Y1192" s="53"/>
      <c r="Z1192" s="53"/>
    </row>
    <row r="1193" spans="1:26" ht="15.75" customHeight="1">
      <c r="A1193" s="103"/>
      <c r="B1193" s="103"/>
      <c r="C1193" s="104" t="e">
        <v>#REF!</v>
      </c>
      <c r="D1193" s="103"/>
      <c r="E1193" s="53"/>
      <c r="F1193" s="53"/>
      <c r="G1193" s="53"/>
      <c r="H1193" s="53"/>
      <c r="I1193" s="53"/>
      <c r="J1193" s="53"/>
      <c r="K1193" s="53"/>
      <c r="L1193" s="53"/>
      <c r="M1193" s="53"/>
      <c r="N1193" s="53"/>
      <c r="O1193" s="53"/>
      <c r="P1193" s="53"/>
      <c r="Q1193" s="53"/>
      <c r="R1193" s="53"/>
      <c r="S1193" s="53"/>
      <c r="T1193" s="53"/>
      <c r="U1193" s="53"/>
      <c r="V1193" s="53"/>
      <c r="W1193" s="53"/>
      <c r="X1193" s="53"/>
      <c r="Y1193" s="53"/>
      <c r="Z1193" s="53"/>
    </row>
    <row r="1194" spans="1:26" ht="15.75" customHeight="1">
      <c r="A1194" s="103"/>
      <c r="B1194" s="103"/>
      <c r="C1194" s="104" t="e">
        <v>#REF!</v>
      </c>
      <c r="D1194" s="103"/>
      <c r="E1194" s="53"/>
      <c r="F1194" s="53"/>
      <c r="G1194" s="53"/>
      <c r="H1194" s="53"/>
      <c r="I1194" s="53"/>
      <c r="J1194" s="53"/>
      <c r="K1194" s="53"/>
      <c r="L1194" s="53"/>
      <c r="M1194" s="53"/>
      <c r="N1194" s="53"/>
      <c r="O1194" s="53"/>
      <c r="P1194" s="53"/>
      <c r="Q1194" s="53"/>
      <c r="R1194" s="53"/>
      <c r="S1194" s="53"/>
      <c r="T1194" s="53"/>
      <c r="U1194" s="53"/>
      <c r="V1194" s="53"/>
      <c r="W1194" s="53"/>
      <c r="X1194" s="53"/>
      <c r="Y1194" s="53"/>
      <c r="Z1194" s="53"/>
    </row>
    <row r="1195" spans="1:26" ht="15.75" customHeight="1">
      <c r="A1195" s="103"/>
      <c r="B1195" s="103"/>
      <c r="C1195" s="104" t="e">
        <v>#REF!</v>
      </c>
      <c r="D1195" s="103"/>
      <c r="E1195" s="53"/>
      <c r="F1195" s="53"/>
      <c r="G1195" s="53"/>
      <c r="H1195" s="53"/>
      <c r="I1195" s="53"/>
      <c r="J1195" s="53"/>
      <c r="K1195" s="53"/>
      <c r="L1195" s="53"/>
      <c r="M1195" s="53"/>
      <c r="N1195" s="53"/>
      <c r="O1195" s="53"/>
      <c r="P1195" s="53"/>
      <c r="Q1195" s="53"/>
      <c r="R1195" s="53"/>
      <c r="S1195" s="53"/>
      <c r="T1195" s="53"/>
      <c r="U1195" s="53"/>
      <c r="V1195" s="53"/>
      <c r="W1195" s="53"/>
      <c r="X1195" s="53"/>
      <c r="Y1195" s="53"/>
      <c r="Z1195" s="53"/>
    </row>
    <row r="1196" spans="1:26" ht="15.75" customHeight="1">
      <c r="A1196" s="103"/>
      <c r="B1196" s="103"/>
      <c r="C1196" s="104" t="e">
        <v>#REF!</v>
      </c>
      <c r="D1196" s="103"/>
      <c r="E1196" s="53"/>
      <c r="F1196" s="53"/>
      <c r="G1196" s="53"/>
      <c r="H1196" s="53"/>
      <c r="I1196" s="53"/>
      <c r="J1196" s="53"/>
      <c r="K1196" s="53"/>
      <c r="L1196" s="53"/>
      <c r="M1196" s="53"/>
      <c r="N1196" s="53"/>
      <c r="O1196" s="53"/>
      <c r="P1196" s="53"/>
      <c r="Q1196" s="53"/>
      <c r="R1196" s="53"/>
      <c r="S1196" s="53"/>
      <c r="T1196" s="53"/>
      <c r="U1196" s="53"/>
      <c r="V1196" s="53"/>
      <c r="W1196" s="53"/>
      <c r="X1196" s="53"/>
      <c r="Y1196" s="53"/>
      <c r="Z1196" s="53"/>
    </row>
    <row r="1197" spans="1:26" ht="15.75" customHeight="1">
      <c r="A1197" s="103"/>
      <c r="B1197" s="103"/>
      <c r="C1197" s="104" t="e">
        <v>#REF!</v>
      </c>
      <c r="D1197" s="103"/>
      <c r="E1197" s="53"/>
      <c r="F1197" s="53"/>
      <c r="G1197" s="53"/>
      <c r="H1197" s="53"/>
      <c r="I1197" s="53"/>
      <c r="J1197" s="53"/>
      <c r="K1197" s="53"/>
      <c r="L1197" s="53"/>
      <c r="M1197" s="53"/>
      <c r="N1197" s="53"/>
      <c r="O1197" s="53"/>
      <c r="P1197" s="53"/>
      <c r="Q1197" s="53"/>
      <c r="R1197" s="53"/>
      <c r="S1197" s="53"/>
      <c r="T1197" s="53"/>
      <c r="U1197" s="53"/>
      <c r="V1197" s="53"/>
      <c r="W1197" s="53"/>
      <c r="X1197" s="53"/>
      <c r="Y1197" s="53"/>
      <c r="Z1197" s="53"/>
    </row>
    <row r="1198" spans="1:26" ht="15.75" customHeight="1">
      <c r="A1198" s="103"/>
      <c r="B1198" s="103"/>
      <c r="C1198" s="104" t="e">
        <v>#REF!</v>
      </c>
      <c r="D1198" s="103"/>
      <c r="E1198" s="53"/>
      <c r="F1198" s="53"/>
      <c r="G1198" s="53"/>
      <c r="H1198" s="53"/>
      <c r="I1198" s="53"/>
      <c r="J1198" s="53"/>
      <c r="K1198" s="53"/>
      <c r="L1198" s="53"/>
      <c r="M1198" s="53"/>
      <c r="N1198" s="53"/>
      <c r="O1198" s="53"/>
      <c r="P1198" s="53"/>
      <c r="Q1198" s="53"/>
      <c r="R1198" s="53"/>
      <c r="S1198" s="53"/>
      <c r="T1198" s="53"/>
      <c r="U1198" s="53"/>
      <c r="V1198" s="53"/>
      <c r="W1198" s="53"/>
      <c r="X1198" s="53"/>
      <c r="Y1198" s="53"/>
      <c r="Z1198" s="53"/>
    </row>
    <row r="1199" spans="1:26" ht="15.75" customHeight="1">
      <c r="A1199" s="103"/>
      <c r="B1199" s="103"/>
      <c r="C1199" s="104" t="e">
        <v>#REF!</v>
      </c>
      <c r="D1199" s="103"/>
      <c r="E1199" s="53"/>
      <c r="F1199" s="53"/>
      <c r="G1199" s="53"/>
      <c r="H1199" s="53"/>
      <c r="I1199" s="53"/>
      <c r="J1199" s="53"/>
      <c r="K1199" s="53"/>
      <c r="L1199" s="53"/>
      <c r="M1199" s="53"/>
      <c r="N1199" s="53"/>
      <c r="O1199" s="53"/>
      <c r="P1199" s="53"/>
      <c r="Q1199" s="53"/>
      <c r="R1199" s="53"/>
      <c r="S1199" s="53"/>
      <c r="T1199" s="53"/>
      <c r="U1199" s="53"/>
      <c r="V1199" s="53"/>
      <c r="W1199" s="53"/>
      <c r="X1199" s="53"/>
      <c r="Y1199" s="53"/>
      <c r="Z1199" s="53"/>
    </row>
    <row r="1200" spans="1:26" ht="15.75" customHeight="1">
      <c r="A1200" s="103"/>
      <c r="B1200" s="103"/>
      <c r="C1200" s="104" t="e">
        <v>#REF!</v>
      </c>
      <c r="D1200" s="103"/>
      <c r="E1200" s="53"/>
      <c r="F1200" s="53"/>
      <c r="G1200" s="53"/>
      <c r="H1200" s="53"/>
      <c r="I1200" s="53"/>
      <c r="J1200" s="53"/>
      <c r="K1200" s="53"/>
      <c r="L1200" s="53"/>
      <c r="M1200" s="53"/>
      <c r="N1200" s="53"/>
      <c r="O1200" s="53"/>
      <c r="P1200" s="53"/>
      <c r="Q1200" s="53"/>
      <c r="R1200" s="53"/>
      <c r="S1200" s="53"/>
      <c r="T1200" s="53"/>
      <c r="U1200" s="53"/>
      <c r="V1200" s="53"/>
      <c r="W1200" s="53"/>
      <c r="X1200" s="53"/>
      <c r="Y1200" s="53"/>
      <c r="Z1200" s="53"/>
    </row>
    <row r="1201" spans="1:26" ht="15.75" customHeight="1">
      <c r="A1201" s="103"/>
      <c r="B1201" s="103"/>
      <c r="C1201" s="104" t="e">
        <v>#REF!</v>
      </c>
      <c r="D1201" s="103"/>
      <c r="E1201" s="53"/>
      <c r="F1201" s="53"/>
      <c r="G1201" s="53"/>
      <c r="H1201" s="53"/>
      <c r="I1201" s="53"/>
      <c r="J1201" s="53"/>
      <c r="K1201" s="53"/>
      <c r="L1201" s="53"/>
      <c r="M1201" s="53"/>
      <c r="N1201" s="53"/>
      <c r="O1201" s="53"/>
      <c r="P1201" s="53"/>
      <c r="Q1201" s="53"/>
      <c r="R1201" s="53"/>
      <c r="S1201" s="53"/>
      <c r="T1201" s="53"/>
      <c r="U1201" s="53"/>
      <c r="V1201" s="53"/>
      <c r="W1201" s="53"/>
      <c r="X1201" s="53"/>
      <c r="Y1201" s="53"/>
      <c r="Z1201" s="53"/>
    </row>
    <row r="1202" spans="1:26" ht="15.75" customHeight="1">
      <c r="A1202" s="103"/>
      <c r="B1202" s="103"/>
      <c r="C1202" s="104" t="e">
        <v>#REF!</v>
      </c>
      <c r="D1202" s="10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</row>
    <row r="1203" spans="1:26" ht="15.75" customHeight="1">
      <c r="A1203" s="103"/>
      <c r="B1203" s="103"/>
      <c r="C1203" s="104" t="e">
        <v>#REF!</v>
      </c>
      <c r="D1203" s="103"/>
      <c r="E1203" s="53"/>
      <c r="F1203" s="53"/>
      <c r="G1203" s="53"/>
      <c r="H1203" s="53"/>
      <c r="I1203" s="53"/>
      <c r="J1203" s="53"/>
      <c r="K1203" s="53"/>
      <c r="L1203" s="53"/>
      <c r="M1203" s="53"/>
      <c r="N1203" s="53"/>
      <c r="O1203" s="53"/>
      <c r="P1203" s="53"/>
      <c r="Q1203" s="53"/>
      <c r="R1203" s="53"/>
      <c r="S1203" s="53"/>
      <c r="T1203" s="53"/>
      <c r="U1203" s="53"/>
      <c r="V1203" s="53"/>
      <c r="W1203" s="53"/>
      <c r="X1203" s="53"/>
      <c r="Y1203" s="53"/>
      <c r="Z1203" s="53"/>
    </row>
    <row r="1204" spans="1:26" ht="15.75" customHeight="1">
      <c r="A1204" s="103"/>
      <c r="B1204" s="103"/>
      <c r="C1204" s="104" t="e">
        <v>#REF!</v>
      </c>
      <c r="D1204" s="103"/>
      <c r="E1204" s="53"/>
      <c r="F1204" s="53"/>
      <c r="G1204" s="53"/>
      <c r="H1204" s="53"/>
      <c r="I1204" s="53"/>
      <c r="J1204" s="53"/>
      <c r="K1204" s="53"/>
      <c r="L1204" s="53"/>
      <c r="M1204" s="53"/>
      <c r="N1204" s="53"/>
      <c r="O1204" s="53"/>
      <c r="P1204" s="53"/>
      <c r="Q1204" s="53"/>
      <c r="R1204" s="53"/>
      <c r="S1204" s="53"/>
      <c r="T1204" s="53"/>
      <c r="U1204" s="53"/>
      <c r="V1204" s="53"/>
      <c r="W1204" s="53"/>
      <c r="X1204" s="53"/>
      <c r="Y1204" s="53"/>
      <c r="Z1204" s="53"/>
    </row>
    <row r="1205" spans="1:26" ht="15.75" customHeight="1">
      <c r="A1205" s="103"/>
      <c r="B1205" s="103"/>
      <c r="C1205" s="104" t="e">
        <v>#REF!</v>
      </c>
      <c r="D1205" s="103"/>
      <c r="E1205" s="53"/>
      <c r="F1205" s="53"/>
      <c r="G1205" s="53"/>
      <c r="H1205" s="53"/>
      <c r="I1205" s="53"/>
      <c r="J1205" s="53"/>
      <c r="K1205" s="53"/>
      <c r="L1205" s="53"/>
      <c r="M1205" s="53"/>
      <c r="N1205" s="53"/>
      <c r="O1205" s="53"/>
      <c r="P1205" s="53"/>
      <c r="Q1205" s="53"/>
      <c r="R1205" s="53"/>
      <c r="S1205" s="53"/>
      <c r="T1205" s="53"/>
      <c r="U1205" s="53"/>
      <c r="V1205" s="53"/>
      <c r="W1205" s="53"/>
      <c r="X1205" s="53"/>
      <c r="Y1205" s="53"/>
      <c r="Z1205" s="53"/>
    </row>
    <row r="1206" spans="1:26" ht="15.75" customHeight="1">
      <c r="A1206" s="103"/>
      <c r="B1206" s="103"/>
      <c r="C1206" s="104" t="e">
        <v>#REF!</v>
      </c>
      <c r="D1206" s="103"/>
      <c r="E1206" s="53"/>
      <c r="F1206" s="53"/>
      <c r="G1206" s="53"/>
      <c r="H1206" s="53"/>
      <c r="I1206" s="53"/>
      <c r="J1206" s="53"/>
      <c r="K1206" s="53"/>
      <c r="L1206" s="53"/>
      <c r="M1206" s="53"/>
      <c r="N1206" s="53"/>
      <c r="O1206" s="53"/>
      <c r="P1206" s="53"/>
      <c r="Q1206" s="53"/>
      <c r="R1206" s="53"/>
      <c r="S1206" s="53"/>
      <c r="T1206" s="53"/>
      <c r="U1206" s="53"/>
      <c r="V1206" s="53"/>
      <c r="W1206" s="53"/>
      <c r="X1206" s="53"/>
      <c r="Y1206" s="53"/>
      <c r="Z1206" s="53"/>
    </row>
    <row r="1207" spans="1:26" ht="15.75" customHeight="1">
      <c r="A1207" s="103"/>
      <c r="B1207" s="103"/>
      <c r="C1207" s="104" t="e">
        <v>#REF!</v>
      </c>
      <c r="D1207" s="10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53"/>
      <c r="T1207" s="53"/>
      <c r="U1207" s="53"/>
      <c r="V1207" s="53"/>
      <c r="W1207" s="53"/>
      <c r="X1207" s="53"/>
      <c r="Y1207" s="53"/>
      <c r="Z1207" s="53"/>
    </row>
    <row r="1208" spans="1:26" ht="15.75" customHeight="1">
      <c r="A1208" s="103"/>
      <c r="B1208" s="103"/>
      <c r="C1208" s="104" t="e">
        <v>#REF!</v>
      </c>
      <c r="D1208" s="103"/>
      <c r="E1208" s="53"/>
      <c r="F1208" s="53"/>
      <c r="G1208" s="53"/>
      <c r="H1208" s="53"/>
      <c r="I1208" s="53"/>
      <c r="J1208" s="53"/>
      <c r="K1208" s="53"/>
      <c r="L1208" s="53"/>
      <c r="M1208" s="53"/>
      <c r="N1208" s="53"/>
      <c r="O1208" s="53"/>
      <c r="P1208" s="53"/>
      <c r="Q1208" s="53"/>
      <c r="R1208" s="53"/>
      <c r="S1208" s="53"/>
      <c r="T1208" s="53"/>
      <c r="U1208" s="53"/>
      <c r="V1208" s="53"/>
      <c r="W1208" s="53"/>
      <c r="X1208" s="53"/>
      <c r="Y1208" s="53"/>
      <c r="Z1208" s="53"/>
    </row>
    <row r="1209" spans="1:26" ht="15.75" customHeight="1">
      <c r="A1209" s="103"/>
      <c r="B1209" s="103"/>
      <c r="C1209" s="104" t="e">
        <v>#REF!</v>
      </c>
      <c r="D1209" s="103"/>
      <c r="E1209" s="53"/>
      <c r="F1209" s="53"/>
      <c r="G1209" s="53"/>
      <c r="H1209" s="53"/>
      <c r="I1209" s="53"/>
      <c r="J1209" s="53"/>
      <c r="K1209" s="53"/>
      <c r="L1209" s="53"/>
      <c r="M1209" s="53"/>
      <c r="N1209" s="53"/>
      <c r="O1209" s="53"/>
      <c r="P1209" s="53"/>
      <c r="Q1209" s="53"/>
      <c r="R1209" s="53"/>
      <c r="S1209" s="53"/>
      <c r="T1209" s="53"/>
      <c r="U1209" s="53"/>
      <c r="V1209" s="53"/>
      <c r="W1209" s="53"/>
      <c r="X1209" s="53"/>
      <c r="Y1209" s="53"/>
      <c r="Z1209" s="53"/>
    </row>
    <row r="1210" spans="1:26" ht="15.75" customHeight="1">
      <c r="A1210" s="103"/>
      <c r="B1210" s="103"/>
      <c r="C1210" s="104" t="e">
        <v>#REF!</v>
      </c>
      <c r="D1210" s="103"/>
      <c r="E1210" s="53"/>
      <c r="F1210" s="53"/>
      <c r="G1210" s="53"/>
      <c r="H1210" s="53"/>
      <c r="I1210" s="53"/>
      <c r="J1210" s="53"/>
      <c r="K1210" s="53"/>
      <c r="L1210" s="53"/>
      <c r="M1210" s="53"/>
      <c r="N1210" s="53"/>
      <c r="O1210" s="53"/>
      <c r="P1210" s="53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</row>
    <row r="1211" spans="1:26" ht="15.75" customHeight="1">
      <c r="A1211" s="103"/>
      <c r="B1211" s="103"/>
      <c r="C1211" s="104" t="e">
        <v>#REF!</v>
      </c>
      <c r="D1211" s="103"/>
      <c r="E1211" s="53"/>
      <c r="F1211" s="53"/>
      <c r="G1211" s="53"/>
      <c r="H1211" s="53"/>
      <c r="I1211" s="53"/>
      <c r="J1211" s="53"/>
      <c r="K1211" s="53"/>
      <c r="L1211" s="53"/>
      <c r="M1211" s="53"/>
      <c r="N1211" s="53"/>
      <c r="O1211" s="53"/>
      <c r="P1211" s="53"/>
      <c r="Q1211" s="53"/>
      <c r="R1211" s="53"/>
      <c r="S1211" s="53"/>
      <c r="T1211" s="53"/>
      <c r="U1211" s="53"/>
      <c r="V1211" s="53"/>
      <c r="W1211" s="53"/>
      <c r="X1211" s="53"/>
      <c r="Y1211" s="53"/>
      <c r="Z1211" s="53"/>
    </row>
    <row r="1212" spans="1:26" ht="15.75" customHeight="1">
      <c r="A1212" s="103"/>
      <c r="B1212" s="103"/>
      <c r="C1212" s="104" t="e">
        <v>#REF!</v>
      </c>
      <c r="D1212" s="103"/>
      <c r="E1212" s="53"/>
      <c r="F1212" s="53"/>
      <c r="G1212" s="53"/>
      <c r="H1212" s="53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  <c r="W1212" s="53"/>
      <c r="X1212" s="53"/>
      <c r="Y1212" s="53"/>
      <c r="Z1212" s="53"/>
    </row>
    <row r="1213" spans="1:26" ht="15.75" customHeight="1">
      <c r="A1213" s="103"/>
      <c r="B1213" s="103"/>
      <c r="C1213" s="104" t="e">
        <v>#REF!</v>
      </c>
      <c r="D1213" s="103"/>
      <c r="E1213" s="53"/>
      <c r="F1213" s="53"/>
      <c r="G1213" s="53"/>
      <c r="H1213" s="53"/>
      <c r="I1213" s="53"/>
      <c r="J1213" s="53"/>
      <c r="K1213" s="53"/>
      <c r="L1213" s="53"/>
      <c r="M1213" s="53"/>
      <c r="N1213" s="53"/>
      <c r="O1213" s="53"/>
      <c r="P1213" s="53"/>
      <c r="Q1213" s="53"/>
      <c r="R1213" s="53"/>
      <c r="S1213" s="53"/>
      <c r="T1213" s="53"/>
      <c r="U1213" s="53"/>
      <c r="V1213" s="53"/>
      <c r="W1213" s="53"/>
      <c r="X1213" s="53"/>
      <c r="Y1213" s="53"/>
      <c r="Z1213" s="53"/>
    </row>
    <row r="1214" spans="1:26" ht="15.75" customHeight="1">
      <c r="A1214" s="103"/>
      <c r="B1214" s="103"/>
      <c r="C1214" s="104" t="e">
        <v>#REF!</v>
      </c>
      <c r="D1214" s="103"/>
      <c r="E1214" s="53"/>
      <c r="F1214" s="53"/>
      <c r="G1214" s="53"/>
      <c r="H1214" s="53"/>
      <c r="I1214" s="53"/>
      <c r="J1214" s="53"/>
      <c r="K1214" s="53"/>
      <c r="L1214" s="53"/>
      <c r="M1214" s="53"/>
      <c r="N1214" s="53"/>
      <c r="O1214" s="53"/>
      <c r="P1214" s="53"/>
      <c r="Q1214" s="53"/>
      <c r="R1214" s="53"/>
      <c r="S1214" s="53"/>
      <c r="T1214" s="53"/>
      <c r="U1214" s="53"/>
      <c r="V1214" s="53"/>
      <c r="W1214" s="53"/>
      <c r="X1214" s="53"/>
      <c r="Y1214" s="53"/>
      <c r="Z1214" s="53"/>
    </row>
    <row r="1215" spans="1:26" ht="15.75" customHeight="1">
      <c r="A1215" s="103"/>
      <c r="B1215" s="103"/>
      <c r="C1215" s="104" t="e">
        <v>#REF!</v>
      </c>
      <c r="D1215" s="103"/>
      <c r="E1215" s="53"/>
      <c r="F1215" s="53"/>
      <c r="G1215" s="53"/>
      <c r="H1215" s="53"/>
      <c r="I1215" s="53"/>
      <c r="J1215" s="53"/>
      <c r="K1215" s="53"/>
      <c r="L1215" s="53"/>
      <c r="M1215" s="53"/>
      <c r="N1215" s="53"/>
      <c r="O1215" s="53"/>
      <c r="P1215" s="53"/>
      <c r="Q1215" s="53"/>
      <c r="R1215" s="53"/>
      <c r="S1215" s="53"/>
      <c r="T1215" s="53"/>
      <c r="U1215" s="53"/>
      <c r="V1215" s="53"/>
      <c r="W1215" s="53"/>
      <c r="X1215" s="53"/>
      <c r="Y1215" s="53"/>
      <c r="Z1215" s="53"/>
    </row>
    <row r="1216" spans="1:26" ht="15.75" customHeight="1">
      <c r="A1216" s="103"/>
      <c r="B1216" s="103"/>
      <c r="C1216" s="104" t="e">
        <v>#REF!</v>
      </c>
      <c r="D1216" s="103"/>
      <c r="E1216" s="53"/>
      <c r="F1216" s="53"/>
      <c r="G1216" s="53"/>
      <c r="H1216" s="53"/>
      <c r="I1216" s="53"/>
      <c r="J1216" s="53"/>
      <c r="K1216" s="53"/>
      <c r="L1216" s="53"/>
      <c r="M1216" s="53"/>
      <c r="N1216" s="53"/>
      <c r="O1216" s="53"/>
      <c r="P1216" s="53"/>
      <c r="Q1216" s="53"/>
      <c r="R1216" s="53"/>
      <c r="S1216" s="53"/>
      <c r="T1216" s="53"/>
      <c r="U1216" s="53"/>
      <c r="V1216" s="53"/>
      <c r="W1216" s="53"/>
      <c r="X1216" s="53"/>
      <c r="Y1216" s="53"/>
      <c r="Z1216" s="53"/>
    </row>
    <row r="1217" spans="1:26" ht="15.75" customHeight="1">
      <c r="A1217" s="103"/>
      <c r="B1217" s="103"/>
      <c r="C1217" s="104" t="e">
        <v>#REF!</v>
      </c>
      <c r="D1217" s="103"/>
      <c r="E1217" s="53"/>
      <c r="F1217" s="53"/>
      <c r="G1217" s="53"/>
      <c r="H1217" s="53"/>
      <c r="I1217" s="53"/>
      <c r="J1217" s="53"/>
      <c r="K1217" s="53"/>
      <c r="L1217" s="53"/>
      <c r="M1217" s="53"/>
      <c r="N1217" s="53"/>
      <c r="O1217" s="53"/>
      <c r="P1217" s="53"/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</row>
    <row r="1218" spans="1:26" ht="15.75" customHeight="1">
      <c r="A1218" s="103"/>
      <c r="B1218" s="103"/>
      <c r="C1218" s="104" t="e">
        <v>#REF!</v>
      </c>
      <c r="D1218" s="103"/>
      <c r="E1218" s="53"/>
      <c r="F1218" s="53"/>
      <c r="G1218" s="53"/>
      <c r="H1218" s="53"/>
      <c r="I1218" s="53"/>
      <c r="J1218" s="53"/>
      <c r="K1218" s="53"/>
      <c r="L1218" s="53"/>
      <c r="M1218" s="53"/>
      <c r="N1218" s="53"/>
      <c r="O1218" s="53"/>
      <c r="P1218" s="53"/>
      <c r="Q1218" s="53"/>
      <c r="R1218" s="53"/>
      <c r="S1218" s="53"/>
      <c r="T1218" s="53"/>
      <c r="U1218" s="53"/>
      <c r="V1218" s="53"/>
      <c r="W1218" s="53"/>
      <c r="X1218" s="53"/>
      <c r="Y1218" s="53"/>
      <c r="Z1218" s="53"/>
    </row>
    <row r="1219" spans="1:26" ht="15.75" customHeight="1">
      <c r="A1219" s="103"/>
      <c r="B1219" s="103"/>
      <c r="C1219" s="104" t="e">
        <v>#REF!</v>
      </c>
      <c r="D1219" s="103"/>
      <c r="E1219" s="53"/>
      <c r="F1219" s="53"/>
      <c r="G1219" s="53"/>
      <c r="H1219" s="53"/>
      <c r="I1219" s="53"/>
      <c r="J1219" s="53"/>
      <c r="K1219" s="53"/>
      <c r="L1219" s="53"/>
      <c r="M1219" s="53"/>
      <c r="N1219" s="53"/>
      <c r="O1219" s="53"/>
      <c r="P1219" s="53"/>
      <c r="Q1219" s="53"/>
      <c r="R1219" s="53"/>
      <c r="S1219" s="53"/>
      <c r="T1219" s="53"/>
      <c r="U1219" s="53"/>
      <c r="V1219" s="53"/>
      <c r="W1219" s="53"/>
      <c r="X1219" s="53"/>
      <c r="Y1219" s="53"/>
      <c r="Z1219" s="53"/>
    </row>
    <row r="1220" spans="1:26" ht="15.75" customHeight="1">
      <c r="A1220" s="103"/>
      <c r="B1220" s="103"/>
      <c r="C1220" s="104" t="e">
        <v>#REF!</v>
      </c>
      <c r="D1220" s="103"/>
      <c r="E1220" s="53"/>
      <c r="F1220" s="53"/>
      <c r="G1220" s="53"/>
      <c r="H1220" s="53"/>
      <c r="I1220" s="53"/>
      <c r="J1220" s="53"/>
      <c r="K1220" s="53"/>
      <c r="L1220" s="53"/>
      <c r="M1220" s="53"/>
      <c r="N1220" s="53"/>
      <c r="O1220" s="53"/>
      <c r="P1220" s="53"/>
      <c r="Q1220" s="53"/>
      <c r="R1220" s="53"/>
      <c r="S1220" s="53"/>
      <c r="T1220" s="53"/>
      <c r="U1220" s="53"/>
      <c r="V1220" s="53"/>
      <c r="W1220" s="53"/>
      <c r="X1220" s="53"/>
      <c r="Y1220" s="53"/>
      <c r="Z1220" s="53"/>
    </row>
    <row r="1221" spans="1:26" ht="15.75" customHeight="1">
      <c r="A1221" s="103"/>
      <c r="B1221" s="103"/>
      <c r="C1221" s="104" t="e">
        <v>#REF!</v>
      </c>
      <c r="D1221" s="103"/>
      <c r="E1221" s="53"/>
      <c r="F1221" s="53"/>
      <c r="G1221" s="53"/>
      <c r="H1221" s="53"/>
      <c r="I1221" s="53"/>
      <c r="J1221" s="53"/>
      <c r="K1221" s="53"/>
      <c r="L1221" s="53"/>
      <c r="M1221" s="53"/>
      <c r="N1221" s="53"/>
      <c r="O1221" s="53"/>
      <c r="P1221" s="53"/>
      <c r="Q1221" s="53"/>
      <c r="R1221" s="53"/>
      <c r="S1221" s="53"/>
      <c r="T1221" s="53"/>
      <c r="U1221" s="53"/>
      <c r="V1221" s="53"/>
      <c r="W1221" s="53"/>
      <c r="X1221" s="53"/>
      <c r="Y1221" s="53"/>
      <c r="Z1221" s="53"/>
    </row>
    <row r="1222" spans="1:26" ht="15.75" customHeight="1">
      <c r="A1222" s="103"/>
      <c r="B1222" s="103"/>
      <c r="C1222" s="104" t="e">
        <v>#REF!</v>
      </c>
      <c r="D1222" s="103"/>
      <c r="E1222" s="53"/>
      <c r="F1222" s="53"/>
      <c r="G1222" s="53"/>
      <c r="H1222" s="53"/>
      <c r="I1222" s="53"/>
      <c r="J1222" s="53"/>
      <c r="K1222" s="53"/>
      <c r="L1222" s="53"/>
      <c r="M1222" s="53"/>
      <c r="N1222" s="53"/>
      <c r="O1222" s="53"/>
      <c r="P1222" s="53"/>
      <c r="Q1222" s="53"/>
      <c r="R1222" s="53"/>
      <c r="S1222" s="53"/>
      <c r="T1222" s="53"/>
      <c r="U1222" s="53"/>
      <c r="V1222" s="53"/>
      <c r="W1222" s="53"/>
      <c r="X1222" s="53"/>
      <c r="Y1222" s="53"/>
      <c r="Z1222" s="53"/>
    </row>
    <row r="1223" spans="1:26" ht="15.75" customHeight="1">
      <c r="A1223" s="103"/>
      <c r="B1223" s="103"/>
      <c r="C1223" s="104" t="e">
        <v>#REF!</v>
      </c>
      <c r="D1223" s="103"/>
      <c r="E1223" s="53"/>
      <c r="F1223" s="53"/>
      <c r="G1223" s="53"/>
      <c r="H1223" s="53"/>
      <c r="I1223" s="53"/>
      <c r="J1223" s="53"/>
      <c r="K1223" s="53"/>
      <c r="L1223" s="53"/>
      <c r="M1223" s="53"/>
      <c r="N1223" s="53"/>
      <c r="O1223" s="53"/>
      <c r="P1223" s="53"/>
      <c r="Q1223" s="53"/>
      <c r="R1223" s="53"/>
      <c r="S1223" s="53"/>
      <c r="T1223" s="53"/>
      <c r="U1223" s="53"/>
      <c r="V1223" s="53"/>
      <c r="W1223" s="53"/>
      <c r="X1223" s="53"/>
      <c r="Y1223" s="53"/>
      <c r="Z1223" s="53"/>
    </row>
    <row r="1224" spans="1:26" ht="15.75" customHeight="1">
      <c r="A1224" s="103"/>
      <c r="B1224" s="103"/>
      <c r="C1224" s="104" t="e">
        <v>#REF!</v>
      </c>
      <c r="D1224" s="103"/>
      <c r="E1224" s="53"/>
      <c r="F1224" s="53"/>
      <c r="G1224" s="53"/>
      <c r="H1224" s="53"/>
      <c r="I1224" s="53"/>
      <c r="J1224" s="53"/>
      <c r="K1224" s="53"/>
      <c r="L1224" s="53"/>
      <c r="M1224" s="53"/>
      <c r="N1224" s="53"/>
      <c r="O1224" s="53"/>
      <c r="P1224" s="53"/>
      <c r="Q1224" s="53"/>
      <c r="R1224" s="53"/>
      <c r="S1224" s="53"/>
      <c r="T1224" s="53"/>
      <c r="U1224" s="53"/>
      <c r="V1224" s="53"/>
      <c r="W1224" s="53"/>
      <c r="X1224" s="53"/>
      <c r="Y1224" s="53"/>
      <c r="Z1224" s="53"/>
    </row>
    <row r="1225" spans="1:26" ht="15.75" customHeight="1">
      <c r="A1225" s="103"/>
      <c r="B1225" s="103"/>
      <c r="C1225" s="104" t="e">
        <v>#REF!</v>
      </c>
      <c r="D1225" s="103"/>
      <c r="E1225" s="53"/>
      <c r="F1225" s="53"/>
      <c r="G1225" s="53"/>
      <c r="H1225" s="53"/>
      <c r="I1225" s="53"/>
      <c r="J1225" s="53"/>
      <c r="K1225" s="53"/>
      <c r="L1225" s="53"/>
      <c r="M1225" s="53"/>
      <c r="N1225" s="53"/>
      <c r="O1225" s="53"/>
      <c r="P1225" s="53"/>
      <c r="Q1225" s="53"/>
      <c r="R1225" s="53"/>
      <c r="S1225" s="53"/>
      <c r="T1225" s="53"/>
      <c r="U1225" s="53"/>
      <c r="V1225" s="53"/>
      <c r="W1225" s="53"/>
      <c r="X1225" s="53"/>
      <c r="Y1225" s="53"/>
      <c r="Z1225" s="53"/>
    </row>
    <row r="1226" spans="1:26" ht="15.75" customHeight="1">
      <c r="A1226" s="103"/>
      <c r="B1226" s="103"/>
      <c r="C1226" s="104" t="e">
        <v>#REF!</v>
      </c>
      <c r="D1226" s="103"/>
      <c r="E1226" s="53"/>
      <c r="F1226" s="53"/>
      <c r="G1226" s="53"/>
      <c r="H1226" s="53"/>
      <c r="I1226" s="53"/>
      <c r="J1226" s="53"/>
      <c r="K1226" s="53"/>
      <c r="L1226" s="53"/>
      <c r="M1226" s="53"/>
      <c r="N1226" s="53"/>
      <c r="O1226" s="53"/>
      <c r="P1226" s="53"/>
      <c r="Q1226" s="53"/>
      <c r="R1226" s="53"/>
      <c r="S1226" s="53"/>
      <c r="T1226" s="53"/>
      <c r="U1226" s="53"/>
      <c r="V1226" s="53"/>
      <c r="W1226" s="53"/>
      <c r="X1226" s="53"/>
      <c r="Y1226" s="53"/>
      <c r="Z1226" s="53"/>
    </row>
    <row r="1227" spans="1:26" ht="15.75" customHeight="1">
      <c r="A1227" s="103"/>
      <c r="B1227" s="103"/>
      <c r="C1227" s="104" t="e">
        <v>#REF!</v>
      </c>
      <c r="D1227" s="103"/>
      <c r="E1227" s="53"/>
      <c r="F1227" s="53"/>
      <c r="G1227" s="53"/>
      <c r="H1227" s="53"/>
      <c r="I1227" s="53"/>
      <c r="J1227" s="53"/>
      <c r="K1227" s="53"/>
      <c r="L1227" s="53"/>
      <c r="M1227" s="53"/>
      <c r="N1227" s="53"/>
      <c r="O1227" s="53"/>
      <c r="P1227" s="53"/>
      <c r="Q1227" s="53"/>
      <c r="R1227" s="53"/>
      <c r="S1227" s="53"/>
      <c r="T1227" s="53"/>
      <c r="U1227" s="53"/>
      <c r="V1227" s="53"/>
      <c r="W1227" s="53"/>
      <c r="X1227" s="53"/>
      <c r="Y1227" s="53"/>
      <c r="Z1227" s="53"/>
    </row>
    <row r="1228" spans="1:26" ht="15.75" customHeight="1">
      <c r="A1228" s="103"/>
      <c r="B1228" s="103"/>
      <c r="C1228" s="104" t="e">
        <v>#REF!</v>
      </c>
      <c r="D1228" s="103"/>
      <c r="E1228" s="53"/>
      <c r="F1228" s="53"/>
      <c r="G1228" s="53"/>
      <c r="H1228" s="53"/>
      <c r="I1228" s="53"/>
      <c r="J1228" s="53"/>
      <c r="K1228" s="53"/>
      <c r="L1228" s="53"/>
      <c r="M1228" s="53"/>
      <c r="N1228" s="53"/>
      <c r="O1228" s="53"/>
      <c r="P1228" s="53"/>
      <c r="Q1228" s="53"/>
      <c r="R1228" s="53"/>
      <c r="S1228" s="53"/>
      <c r="T1228" s="53"/>
      <c r="U1228" s="53"/>
      <c r="V1228" s="53"/>
      <c r="W1228" s="53"/>
      <c r="X1228" s="53"/>
      <c r="Y1228" s="53"/>
      <c r="Z1228" s="53"/>
    </row>
    <row r="1229" spans="1:26" ht="15.75" customHeight="1">
      <c r="A1229" s="103"/>
      <c r="B1229" s="103"/>
      <c r="C1229" s="104" t="e">
        <v>#REF!</v>
      </c>
      <c r="D1229" s="103"/>
      <c r="E1229" s="53"/>
      <c r="F1229" s="53"/>
      <c r="G1229" s="53"/>
      <c r="H1229" s="53"/>
      <c r="I1229" s="53"/>
      <c r="J1229" s="53"/>
      <c r="K1229" s="53"/>
      <c r="L1229" s="53"/>
      <c r="M1229" s="53"/>
      <c r="N1229" s="53"/>
      <c r="O1229" s="53"/>
      <c r="P1229" s="53"/>
      <c r="Q1229" s="53"/>
      <c r="R1229" s="53"/>
      <c r="S1229" s="53"/>
      <c r="T1229" s="53"/>
      <c r="U1229" s="53"/>
      <c r="V1229" s="53"/>
      <c r="W1229" s="53"/>
      <c r="X1229" s="53"/>
      <c r="Y1229" s="53"/>
      <c r="Z1229" s="53"/>
    </row>
    <row r="1230" spans="1:26" ht="15.75" customHeight="1">
      <c r="A1230" s="103"/>
      <c r="B1230" s="103"/>
      <c r="C1230" s="104" t="e">
        <v>#REF!</v>
      </c>
      <c r="D1230" s="103"/>
      <c r="E1230" s="53"/>
      <c r="F1230" s="53"/>
      <c r="G1230" s="53"/>
      <c r="H1230" s="53"/>
      <c r="I1230" s="53"/>
      <c r="J1230" s="53"/>
      <c r="K1230" s="53"/>
      <c r="L1230" s="53"/>
      <c r="M1230" s="53"/>
      <c r="N1230" s="53"/>
      <c r="O1230" s="53"/>
      <c r="P1230" s="53"/>
      <c r="Q1230" s="53"/>
      <c r="R1230" s="53"/>
      <c r="S1230" s="53"/>
      <c r="T1230" s="53"/>
      <c r="U1230" s="53"/>
      <c r="V1230" s="53"/>
      <c r="W1230" s="53"/>
      <c r="X1230" s="53"/>
      <c r="Y1230" s="53"/>
      <c r="Z1230" s="53"/>
    </row>
    <row r="1231" spans="1:26" ht="15.75" customHeight="1">
      <c r="A1231" s="103"/>
      <c r="B1231" s="103"/>
      <c r="C1231" s="104" t="e">
        <v>#REF!</v>
      </c>
      <c r="D1231" s="103"/>
      <c r="E1231" s="53"/>
      <c r="F1231" s="53"/>
      <c r="G1231" s="53"/>
      <c r="H1231" s="53"/>
      <c r="I1231" s="53"/>
      <c r="J1231" s="53"/>
      <c r="K1231" s="53"/>
      <c r="L1231" s="53"/>
      <c r="M1231" s="53"/>
      <c r="N1231" s="53"/>
      <c r="O1231" s="53"/>
      <c r="P1231" s="53"/>
      <c r="Q1231" s="53"/>
      <c r="R1231" s="53"/>
      <c r="S1231" s="53"/>
      <c r="T1231" s="53"/>
      <c r="U1231" s="53"/>
      <c r="V1231" s="53"/>
      <c r="W1231" s="53"/>
      <c r="X1231" s="53"/>
      <c r="Y1231" s="53"/>
      <c r="Z1231" s="53"/>
    </row>
    <row r="1232" spans="1:26" ht="15.75" customHeight="1">
      <c r="A1232" s="103"/>
      <c r="B1232" s="103"/>
      <c r="C1232" s="104" t="e">
        <v>#REF!</v>
      </c>
      <c r="D1232" s="103"/>
      <c r="E1232" s="53"/>
      <c r="F1232" s="53"/>
      <c r="G1232" s="53"/>
      <c r="H1232" s="53"/>
      <c r="I1232" s="53"/>
      <c r="J1232" s="53"/>
      <c r="K1232" s="53"/>
      <c r="L1232" s="53"/>
      <c r="M1232" s="53"/>
      <c r="N1232" s="53"/>
      <c r="O1232" s="53"/>
      <c r="P1232" s="53"/>
      <c r="Q1232" s="53"/>
      <c r="R1232" s="53"/>
      <c r="S1232" s="53"/>
      <c r="T1232" s="53"/>
      <c r="U1232" s="53"/>
      <c r="V1232" s="53"/>
      <c r="W1232" s="53"/>
      <c r="X1232" s="53"/>
      <c r="Y1232" s="53"/>
      <c r="Z1232" s="53"/>
    </row>
    <row r="1233" spans="1:26" ht="15.75" customHeight="1">
      <c r="A1233" s="103"/>
      <c r="B1233" s="103"/>
      <c r="C1233" s="104" t="e">
        <v>#REF!</v>
      </c>
      <c r="D1233" s="103"/>
      <c r="E1233" s="53"/>
      <c r="F1233" s="53"/>
      <c r="G1233" s="53"/>
      <c r="H1233" s="53"/>
      <c r="I1233" s="53"/>
      <c r="J1233" s="53"/>
      <c r="K1233" s="53"/>
      <c r="L1233" s="53"/>
      <c r="M1233" s="53"/>
      <c r="N1233" s="53"/>
      <c r="O1233" s="53"/>
      <c r="P1233" s="53"/>
      <c r="Q1233" s="53"/>
      <c r="R1233" s="53"/>
      <c r="S1233" s="53"/>
      <c r="T1233" s="53"/>
      <c r="U1233" s="53"/>
      <c r="V1233" s="53"/>
      <c r="W1233" s="53"/>
      <c r="X1233" s="53"/>
      <c r="Y1233" s="53"/>
      <c r="Z1233" s="53"/>
    </row>
    <row r="1234" spans="1:26" ht="15.75" customHeight="1">
      <c r="A1234" s="103"/>
      <c r="B1234" s="103"/>
      <c r="C1234" s="104" t="e">
        <v>#REF!</v>
      </c>
      <c r="D1234" s="103"/>
      <c r="E1234" s="53"/>
      <c r="F1234" s="53"/>
      <c r="G1234" s="53"/>
      <c r="H1234" s="53"/>
      <c r="I1234" s="53"/>
      <c r="J1234" s="53"/>
      <c r="K1234" s="53"/>
      <c r="L1234" s="53"/>
      <c r="M1234" s="53"/>
      <c r="N1234" s="53"/>
      <c r="O1234" s="53"/>
      <c r="P1234" s="53"/>
      <c r="Q1234" s="53"/>
      <c r="R1234" s="53"/>
      <c r="S1234" s="53"/>
      <c r="T1234" s="53"/>
      <c r="U1234" s="53"/>
      <c r="V1234" s="53"/>
      <c r="W1234" s="53"/>
      <c r="X1234" s="53"/>
      <c r="Y1234" s="53"/>
      <c r="Z1234" s="53"/>
    </row>
    <row r="1235" spans="1:26" ht="15.75" customHeight="1">
      <c r="A1235" s="103"/>
      <c r="B1235" s="103"/>
      <c r="C1235" s="104" t="e">
        <v>#REF!</v>
      </c>
      <c r="D1235" s="103"/>
      <c r="E1235" s="53"/>
      <c r="F1235" s="53"/>
      <c r="G1235" s="53"/>
      <c r="H1235" s="53"/>
      <c r="I1235" s="53"/>
      <c r="J1235" s="53"/>
      <c r="K1235" s="53"/>
      <c r="L1235" s="53"/>
      <c r="M1235" s="53"/>
      <c r="N1235" s="53"/>
      <c r="O1235" s="53"/>
      <c r="P1235" s="53"/>
      <c r="Q1235" s="53"/>
      <c r="R1235" s="53"/>
      <c r="S1235" s="53"/>
      <c r="T1235" s="53"/>
      <c r="U1235" s="53"/>
      <c r="V1235" s="53"/>
      <c r="W1235" s="53"/>
      <c r="X1235" s="53"/>
      <c r="Y1235" s="53"/>
      <c r="Z1235" s="53"/>
    </row>
    <row r="1236" spans="1:26" ht="15.75" customHeight="1">
      <c r="A1236" s="103"/>
      <c r="B1236" s="103"/>
      <c r="C1236" s="104" t="e">
        <v>#REF!</v>
      </c>
      <c r="D1236" s="103"/>
      <c r="E1236" s="53"/>
      <c r="F1236" s="53"/>
      <c r="G1236" s="53"/>
      <c r="H1236" s="53"/>
      <c r="I1236" s="53"/>
      <c r="J1236" s="53"/>
      <c r="K1236" s="53"/>
      <c r="L1236" s="53"/>
      <c r="M1236" s="53"/>
      <c r="N1236" s="53"/>
      <c r="O1236" s="53"/>
      <c r="P1236" s="53"/>
      <c r="Q1236" s="53"/>
      <c r="R1236" s="53"/>
      <c r="S1236" s="53"/>
      <c r="T1236" s="53"/>
      <c r="U1236" s="53"/>
      <c r="V1236" s="53"/>
      <c r="W1236" s="53"/>
      <c r="X1236" s="53"/>
      <c r="Y1236" s="53"/>
      <c r="Z1236" s="53"/>
    </row>
    <row r="1237" spans="1:26" ht="15.75" customHeight="1">
      <c r="A1237" s="103"/>
      <c r="B1237" s="103"/>
      <c r="C1237" s="104" t="e">
        <v>#REF!</v>
      </c>
      <c r="D1237" s="103"/>
      <c r="E1237" s="53"/>
      <c r="F1237" s="53"/>
      <c r="G1237" s="53"/>
      <c r="H1237" s="53"/>
      <c r="I1237" s="53"/>
      <c r="J1237" s="53"/>
      <c r="K1237" s="53"/>
      <c r="L1237" s="53"/>
      <c r="M1237" s="53"/>
      <c r="N1237" s="53"/>
      <c r="O1237" s="53"/>
      <c r="P1237" s="53"/>
      <c r="Q1237" s="53"/>
      <c r="R1237" s="53"/>
      <c r="S1237" s="53"/>
      <c r="T1237" s="53"/>
      <c r="U1237" s="53"/>
      <c r="V1237" s="53"/>
      <c r="W1237" s="53"/>
      <c r="X1237" s="53"/>
      <c r="Y1237" s="53"/>
      <c r="Z1237" s="53"/>
    </row>
    <row r="1238" spans="1:26" ht="15.75" customHeight="1">
      <c r="A1238" s="103"/>
      <c r="B1238" s="103"/>
      <c r="C1238" s="104" t="e">
        <v>#REF!</v>
      </c>
      <c r="D1238" s="103"/>
      <c r="E1238" s="53"/>
      <c r="F1238" s="53"/>
      <c r="G1238" s="53"/>
      <c r="H1238" s="53"/>
      <c r="I1238" s="53"/>
      <c r="J1238" s="53"/>
      <c r="K1238" s="53"/>
      <c r="L1238" s="53"/>
      <c r="M1238" s="53"/>
      <c r="N1238" s="53"/>
      <c r="O1238" s="53"/>
      <c r="P1238" s="53"/>
      <c r="Q1238" s="53"/>
      <c r="R1238" s="53"/>
      <c r="S1238" s="53"/>
      <c r="T1238" s="53"/>
      <c r="U1238" s="53"/>
      <c r="V1238" s="53"/>
      <c r="W1238" s="53"/>
      <c r="X1238" s="53"/>
      <c r="Y1238" s="53"/>
      <c r="Z1238" s="53"/>
    </row>
    <row r="1239" spans="1:26" ht="15.75" customHeight="1">
      <c r="A1239" s="103"/>
      <c r="B1239" s="103"/>
      <c r="C1239" s="104" t="e">
        <v>#REF!</v>
      </c>
      <c r="D1239" s="103"/>
      <c r="E1239" s="53"/>
      <c r="F1239" s="53"/>
      <c r="G1239" s="53"/>
      <c r="H1239" s="53"/>
      <c r="I1239" s="53"/>
      <c r="J1239" s="53"/>
      <c r="K1239" s="53"/>
      <c r="L1239" s="53"/>
      <c r="M1239" s="53"/>
      <c r="N1239" s="53"/>
      <c r="O1239" s="53"/>
      <c r="P1239" s="53"/>
      <c r="Q1239" s="53"/>
      <c r="R1239" s="53"/>
      <c r="S1239" s="53"/>
      <c r="T1239" s="53"/>
      <c r="U1239" s="53"/>
      <c r="V1239" s="53"/>
      <c r="W1239" s="53"/>
      <c r="X1239" s="53"/>
      <c r="Y1239" s="53"/>
      <c r="Z1239" s="53"/>
    </row>
    <row r="1240" spans="1:26" ht="15.75" customHeight="1">
      <c r="A1240" s="103"/>
      <c r="B1240" s="103"/>
      <c r="C1240" s="104" t="e">
        <v>#REF!</v>
      </c>
      <c r="D1240" s="103"/>
      <c r="E1240" s="53"/>
      <c r="F1240" s="53"/>
      <c r="G1240" s="53"/>
      <c r="H1240" s="53"/>
      <c r="I1240" s="53"/>
      <c r="J1240" s="53"/>
      <c r="K1240" s="53"/>
      <c r="L1240" s="53"/>
      <c r="M1240" s="53"/>
      <c r="N1240" s="53"/>
      <c r="O1240" s="53"/>
      <c r="P1240" s="53"/>
      <c r="Q1240" s="53"/>
      <c r="R1240" s="53"/>
      <c r="S1240" s="53"/>
      <c r="T1240" s="53"/>
      <c r="U1240" s="53"/>
      <c r="V1240" s="53"/>
      <c r="W1240" s="53"/>
      <c r="X1240" s="53"/>
      <c r="Y1240" s="53"/>
      <c r="Z1240" s="53"/>
    </row>
    <row r="1241" spans="1:26" ht="15.75" customHeight="1">
      <c r="A1241" s="103"/>
      <c r="B1241" s="103"/>
      <c r="C1241" s="104" t="e">
        <v>#REF!</v>
      </c>
      <c r="D1241" s="103"/>
      <c r="E1241" s="53"/>
      <c r="F1241" s="53"/>
      <c r="G1241" s="53"/>
      <c r="H1241" s="53"/>
      <c r="I1241" s="53"/>
      <c r="J1241" s="53"/>
      <c r="K1241" s="53"/>
      <c r="L1241" s="53"/>
      <c r="M1241" s="53"/>
      <c r="N1241" s="53"/>
      <c r="O1241" s="53"/>
      <c r="P1241" s="53"/>
      <c r="Q1241" s="53"/>
      <c r="R1241" s="53"/>
      <c r="S1241" s="53"/>
      <c r="T1241" s="53"/>
      <c r="U1241" s="53"/>
      <c r="V1241" s="53"/>
      <c r="W1241" s="53"/>
      <c r="X1241" s="53"/>
      <c r="Y1241" s="53"/>
      <c r="Z1241" s="53"/>
    </row>
    <row r="1242" spans="1:26" ht="15.75" customHeight="1">
      <c r="A1242" s="103"/>
      <c r="B1242" s="103"/>
      <c r="C1242" s="104" t="e">
        <v>#REF!</v>
      </c>
      <c r="D1242" s="103"/>
      <c r="E1242" s="53"/>
      <c r="F1242" s="53"/>
      <c r="G1242" s="53"/>
      <c r="H1242" s="53"/>
      <c r="I1242" s="53"/>
      <c r="J1242" s="53"/>
      <c r="K1242" s="53"/>
      <c r="L1242" s="53"/>
      <c r="M1242" s="53"/>
      <c r="N1242" s="53"/>
      <c r="O1242" s="53"/>
      <c r="P1242" s="53"/>
      <c r="Q1242" s="53"/>
      <c r="R1242" s="53"/>
      <c r="S1242" s="53"/>
      <c r="T1242" s="53"/>
      <c r="U1242" s="53"/>
      <c r="V1242" s="53"/>
      <c r="W1242" s="53"/>
      <c r="X1242" s="53"/>
      <c r="Y1242" s="53"/>
      <c r="Z1242" s="53"/>
    </row>
    <row r="1243" spans="1:26" ht="15.75" customHeight="1">
      <c r="A1243" s="103"/>
      <c r="B1243" s="103"/>
      <c r="C1243" s="104" t="e">
        <v>#REF!</v>
      </c>
      <c r="D1243" s="103"/>
      <c r="E1243" s="53"/>
      <c r="F1243" s="53"/>
      <c r="G1243" s="53"/>
      <c r="H1243" s="53"/>
      <c r="I1243" s="53"/>
      <c r="J1243" s="53"/>
      <c r="K1243" s="53"/>
      <c r="L1243" s="53"/>
      <c r="M1243" s="53"/>
      <c r="N1243" s="53"/>
      <c r="O1243" s="53"/>
      <c r="P1243" s="53"/>
      <c r="Q1243" s="53"/>
      <c r="R1243" s="53"/>
      <c r="S1243" s="53"/>
      <c r="T1243" s="53"/>
      <c r="U1243" s="53"/>
      <c r="V1243" s="53"/>
      <c r="W1243" s="53"/>
      <c r="X1243" s="53"/>
      <c r="Y1243" s="53"/>
      <c r="Z1243" s="53"/>
    </row>
    <row r="1244" spans="1:26" ht="15.75" customHeight="1">
      <c r="A1244" s="103"/>
      <c r="B1244" s="103"/>
      <c r="C1244" s="104" t="e">
        <v>#REF!</v>
      </c>
      <c r="D1244" s="103"/>
      <c r="E1244" s="53"/>
      <c r="F1244" s="53"/>
      <c r="G1244" s="53"/>
      <c r="H1244" s="53"/>
      <c r="I1244" s="53"/>
      <c r="J1244" s="53"/>
      <c r="K1244" s="53"/>
      <c r="L1244" s="53"/>
      <c r="M1244" s="53"/>
      <c r="N1244" s="53"/>
      <c r="O1244" s="53"/>
      <c r="P1244" s="53"/>
      <c r="Q1244" s="53"/>
      <c r="R1244" s="53"/>
      <c r="S1244" s="53"/>
      <c r="T1244" s="53"/>
      <c r="U1244" s="53"/>
      <c r="V1244" s="53"/>
      <c r="W1244" s="53"/>
      <c r="X1244" s="53"/>
      <c r="Y1244" s="53"/>
      <c r="Z1244" s="53"/>
    </row>
    <row r="1245" spans="1:26" ht="15.75" customHeight="1">
      <c r="A1245" s="103"/>
      <c r="B1245" s="103"/>
      <c r="C1245" s="104" t="e">
        <v>#REF!</v>
      </c>
      <c r="D1245" s="103"/>
      <c r="E1245" s="53"/>
      <c r="F1245" s="53"/>
      <c r="G1245" s="53"/>
      <c r="H1245" s="53"/>
      <c r="I1245" s="53"/>
      <c r="J1245" s="53"/>
      <c r="K1245" s="53"/>
      <c r="L1245" s="53"/>
      <c r="M1245" s="53"/>
      <c r="N1245" s="53"/>
      <c r="O1245" s="53"/>
      <c r="P1245" s="53"/>
      <c r="Q1245" s="53"/>
      <c r="R1245" s="53"/>
      <c r="S1245" s="53"/>
      <c r="T1245" s="53"/>
      <c r="U1245" s="53"/>
      <c r="V1245" s="53"/>
      <c r="W1245" s="53"/>
      <c r="X1245" s="53"/>
      <c r="Y1245" s="53"/>
      <c r="Z1245" s="53"/>
    </row>
    <row r="1246" spans="1:26" ht="15.75" customHeight="1">
      <c r="A1246" s="103"/>
      <c r="B1246" s="103"/>
      <c r="C1246" s="104" t="e">
        <v>#REF!</v>
      </c>
      <c r="D1246" s="103"/>
      <c r="E1246" s="53"/>
      <c r="F1246" s="53"/>
      <c r="G1246" s="53"/>
      <c r="H1246" s="53"/>
      <c r="I1246" s="53"/>
      <c r="J1246" s="53"/>
      <c r="K1246" s="53"/>
      <c r="L1246" s="53"/>
      <c r="M1246" s="53"/>
      <c r="N1246" s="53"/>
      <c r="O1246" s="53"/>
      <c r="P1246" s="53"/>
      <c r="Q1246" s="53"/>
      <c r="R1246" s="53"/>
      <c r="S1246" s="53"/>
      <c r="T1246" s="53"/>
      <c r="U1246" s="53"/>
      <c r="V1246" s="53"/>
      <c r="W1246" s="53"/>
      <c r="X1246" s="53"/>
      <c r="Y1246" s="53"/>
      <c r="Z1246" s="53"/>
    </row>
    <row r="1247" spans="1:26" ht="15.75" customHeight="1">
      <c r="A1247" s="103"/>
      <c r="B1247" s="103"/>
      <c r="C1247" s="104" t="e">
        <v>#REF!</v>
      </c>
      <c r="D1247" s="103"/>
      <c r="E1247" s="53"/>
      <c r="F1247" s="53"/>
      <c r="G1247" s="53"/>
      <c r="H1247" s="53"/>
      <c r="I1247" s="53"/>
      <c r="J1247" s="53"/>
      <c r="K1247" s="53"/>
      <c r="L1247" s="53"/>
      <c r="M1247" s="53"/>
      <c r="N1247" s="53"/>
      <c r="O1247" s="53"/>
      <c r="P1247" s="53"/>
      <c r="Q1247" s="53"/>
      <c r="R1247" s="53"/>
      <c r="S1247" s="53"/>
      <c r="T1247" s="53"/>
      <c r="U1247" s="53"/>
      <c r="V1247" s="53"/>
      <c r="W1247" s="53"/>
      <c r="X1247" s="53"/>
      <c r="Y1247" s="53"/>
      <c r="Z1247" s="53"/>
    </row>
    <row r="1248" spans="1:26" ht="15.75" customHeight="1">
      <c r="A1248" s="103"/>
      <c r="B1248" s="103"/>
      <c r="C1248" s="104" t="e">
        <v>#REF!</v>
      </c>
      <c r="D1248" s="103"/>
      <c r="E1248" s="53"/>
      <c r="F1248" s="53"/>
      <c r="G1248" s="53"/>
      <c r="H1248" s="53"/>
      <c r="I1248" s="53"/>
      <c r="J1248" s="53"/>
      <c r="K1248" s="53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  <c r="W1248" s="53"/>
      <c r="X1248" s="53"/>
      <c r="Y1248" s="53"/>
      <c r="Z1248" s="53"/>
    </row>
    <row r="1249" spans="1:26" ht="15.75" customHeight="1">
      <c r="A1249" s="103"/>
      <c r="B1249" s="103"/>
      <c r="C1249" s="104" t="e">
        <v>#REF!</v>
      </c>
      <c r="D1249" s="103"/>
      <c r="E1249" s="53"/>
      <c r="F1249" s="53"/>
      <c r="G1249" s="53"/>
      <c r="H1249" s="53"/>
      <c r="I1249" s="53"/>
      <c r="J1249" s="53"/>
      <c r="K1249" s="53"/>
      <c r="L1249" s="53"/>
      <c r="M1249" s="53"/>
      <c r="N1249" s="53"/>
      <c r="O1249" s="53"/>
      <c r="P1249" s="53"/>
      <c r="Q1249" s="53"/>
      <c r="R1249" s="53"/>
      <c r="S1249" s="53"/>
      <c r="T1249" s="53"/>
      <c r="U1249" s="53"/>
      <c r="V1249" s="53"/>
      <c r="W1249" s="53"/>
      <c r="X1249" s="53"/>
      <c r="Y1249" s="53"/>
      <c r="Z1249" s="53"/>
    </row>
    <row r="1250" spans="1:26" ht="15.75" customHeight="1">
      <c r="A1250" s="103"/>
      <c r="B1250" s="103"/>
      <c r="C1250" s="104" t="e">
        <v>#REF!</v>
      </c>
      <c r="D1250" s="103"/>
      <c r="E1250" s="53"/>
      <c r="F1250" s="53"/>
      <c r="G1250" s="53"/>
      <c r="H1250" s="53"/>
      <c r="I1250" s="53"/>
      <c r="J1250" s="53"/>
      <c r="K1250" s="53"/>
      <c r="L1250" s="53"/>
      <c r="M1250" s="53"/>
      <c r="N1250" s="53"/>
      <c r="O1250" s="53"/>
      <c r="P1250" s="53"/>
      <c r="Q1250" s="53"/>
      <c r="R1250" s="53"/>
      <c r="S1250" s="53"/>
      <c r="T1250" s="53"/>
      <c r="U1250" s="53"/>
      <c r="V1250" s="53"/>
      <c r="W1250" s="53"/>
      <c r="X1250" s="53"/>
      <c r="Y1250" s="53"/>
      <c r="Z1250" s="53"/>
    </row>
    <row r="1251" spans="1:26" ht="15.75" customHeight="1">
      <c r="A1251" s="103"/>
      <c r="B1251" s="103"/>
      <c r="C1251" s="104" t="e">
        <v>#REF!</v>
      </c>
      <c r="D1251" s="103"/>
      <c r="E1251" s="53"/>
      <c r="F1251" s="53"/>
      <c r="G1251" s="53"/>
      <c r="H1251" s="53"/>
      <c r="I1251" s="53"/>
      <c r="J1251" s="53"/>
      <c r="K1251" s="53"/>
      <c r="L1251" s="53"/>
      <c r="M1251" s="53"/>
      <c r="N1251" s="53"/>
      <c r="O1251" s="53"/>
      <c r="P1251" s="53"/>
      <c r="Q1251" s="53"/>
      <c r="R1251" s="53"/>
      <c r="S1251" s="53"/>
      <c r="T1251" s="53"/>
      <c r="U1251" s="53"/>
      <c r="V1251" s="53"/>
      <c r="W1251" s="53"/>
      <c r="X1251" s="53"/>
      <c r="Y1251" s="53"/>
      <c r="Z1251" s="53"/>
    </row>
    <row r="1252" spans="1:26" ht="15.75" customHeight="1">
      <c r="A1252" s="103"/>
      <c r="B1252" s="103"/>
      <c r="C1252" s="104" t="e">
        <v>#REF!</v>
      </c>
      <c r="D1252" s="103"/>
      <c r="E1252" s="53"/>
      <c r="F1252" s="53"/>
      <c r="G1252" s="53"/>
      <c r="H1252" s="53"/>
      <c r="I1252" s="53"/>
      <c r="J1252" s="53"/>
      <c r="K1252" s="53"/>
      <c r="L1252" s="53"/>
      <c r="M1252" s="53"/>
      <c r="N1252" s="53"/>
      <c r="O1252" s="53"/>
      <c r="P1252" s="53"/>
      <c r="Q1252" s="53"/>
      <c r="R1252" s="53"/>
      <c r="S1252" s="53"/>
      <c r="T1252" s="53"/>
      <c r="U1252" s="53"/>
      <c r="V1252" s="53"/>
      <c r="W1252" s="53"/>
      <c r="X1252" s="53"/>
      <c r="Y1252" s="53"/>
      <c r="Z1252" s="53"/>
    </row>
    <row r="1253" spans="1:26" ht="15.75" customHeight="1">
      <c r="A1253" s="103"/>
      <c r="B1253" s="103"/>
      <c r="C1253" s="104" t="e">
        <v>#REF!</v>
      </c>
      <c r="D1253" s="103"/>
      <c r="E1253" s="53"/>
      <c r="F1253" s="53"/>
      <c r="G1253" s="53"/>
      <c r="H1253" s="53"/>
      <c r="I1253" s="53"/>
      <c r="J1253" s="53"/>
      <c r="K1253" s="53"/>
      <c r="L1253" s="53"/>
      <c r="M1253" s="53"/>
      <c r="N1253" s="53"/>
      <c r="O1253" s="53"/>
      <c r="P1253" s="53"/>
      <c r="Q1253" s="53"/>
      <c r="R1253" s="53"/>
      <c r="S1253" s="53"/>
      <c r="T1253" s="53"/>
      <c r="U1253" s="53"/>
      <c r="V1253" s="53"/>
      <c r="W1253" s="53"/>
      <c r="X1253" s="53"/>
      <c r="Y1253" s="53"/>
      <c r="Z1253" s="53"/>
    </row>
    <row r="1254" spans="1:26" ht="15.75" customHeight="1">
      <c r="A1254" s="103"/>
      <c r="B1254" s="103"/>
      <c r="C1254" s="104" t="e">
        <v>#REF!</v>
      </c>
      <c r="D1254" s="103"/>
      <c r="E1254" s="53"/>
      <c r="F1254" s="53"/>
      <c r="G1254" s="53"/>
      <c r="H1254" s="53"/>
      <c r="I1254" s="53"/>
      <c r="J1254" s="53"/>
      <c r="K1254" s="53"/>
      <c r="L1254" s="53"/>
      <c r="M1254" s="53"/>
      <c r="N1254" s="53"/>
      <c r="O1254" s="53"/>
      <c r="P1254" s="53"/>
      <c r="Q1254" s="53"/>
      <c r="R1254" s="53"/>
      <c r="S1254" s="53"/>
      <c r="T1254" s="53"/>
      <c r="U1254" s="53"/>
      <c r="V1254" s="53"/>
      <c r="W1254" s="53"/>
      <c r="X1254" s="53"/>
      <c r="Y1254" s="53"/>
      <c r="Z1254" s="53"/>
    </row>
    <row r="1255" spans="1:26" ht="15.75" customHeight="1">
      <c r="A1255" s="103"/>
      <c r="B1255" s="103"/>
      <c r="C1255" s="104" t="e">
        <v>#REF!</v>
      </c>
      <c r="D1255" s="10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</row>
    <row r="1256" spans="1:26" ht="15.75" customHeight="1">
      <c r="A1256" s="103"/>
      <c r="B1256" s="103"/>
      <c r="C1256" s="104" t="e">
        <v>#REF!</v>
      </c>
      <c r="D1256" s="103"/>
      <c r="E1256" s="53"/>
      <c r="F1256" s="53"/>
      <c r="G1256" s="53"/>
      <c r="H1256" s="53"/>
      <c r="I1256" s="53"/>
      <c r="J1256" s="53"/>
      <c r="K1256" s="53"/>
      <c r="L1256" s="53"/>
      <c r="M1256" s="53"/>
      <c r="N1256" s="53"/>
      <c r="O1256" s="53"/>
      <c r="P1256" s="53"/>
      <c r="Q1256" s="53"/>
      <c r="R1256" s="53"/>
      <c r="S1256" s="53"/>
      <c r="T1256" s="53"/>
      <c r="U1256" s="53"/>
      <c r="V1256" s="53"/>
      <c r="W1256" s="53"/>
      <c r="X1256" s="53"/>
      <c r="Y1256" s="53"/>
      <c r="Z1256" s="53"/>
    </row>
    <row r="1257" spans="1:26" ht="15.75" customHeight="1">
      <c r="A1257" s="103"/>
      <c r="B1257" s="103"/>
      <c r="C1257" s="104" t="e">
        <v>#REF!</v>
      </c>
      <c r="D1257" s="103"/>
      <c r="E1257" s="53"/>
      <c r="F1257" s="53"/>
      <c r="G1257" s="53"/>
      <c r="H1257" s="53"/>
      <c r="I1257" s="53"/>
      <c r="J1257" s="53"/>
      <c r="K1257" s="53"/>
      <c r="L1257" s="53"/>
      <c r="M1257" s="53"/>
      <c r="N1257" s="53"/>
      <c r="O1257" s="53"/>
      <c r="P1257" s="53"/>
      <c r="Q1257" s="53"/>
      <c r="R1257" s="53"/>
      <c r="S1257" s="53"/>
      <c r="T1257" s="53"/>
      <c r="U1257" s="53"/>
      <c r="V1257" s="53"/>
      <c r="W1257" s="53"/>
      <c r="X1257" s="53"/>
      <c r="Y1257" s="53"/>
      <c r="Z1257" s="53"/>
    </row>
    <row r="1258" spans="1:26" ht="15.75" customHeight="1">
      <c r="A1258" s="103"/>
      <c r="B1258" s="103"/>
      <c r="C1258" s="104" t="e">
        <v>#REF!</v>
      </c>
      <c r="D1258" s="103"/>
      <c r="E1258" s="53"/>
      <c r="F1258" s="53"/>
      <c r="G1258" s="53"/>
      <c r="H1258" s="53"/>
      <c r="I1258" s="53"/>
      <c r="J1258" s="53"/>
      <c r="K1258" s="53"/>
      <c r="L1258" s="53"/>
      <c r="M1258" s="53"/>
      <c r="N1258" s="53"/>
      <c r="O1258" s="53"/>
      <c r="P1258" s="53"/>
      <c r="Q1258" s="53"/>
      <c r="R1258" s="53"/>
      <c r="S1258" s="53"/>
      <c r="T1258" s="53"/>
      <c r="U1258" s="53"/>
      <c r="V1258" s="53"/>
      <c r="W1258" s="53"/>
      <c r="X1258" s="53"/>
      <c r="Y1258" s="53"/>
      <c r="Z1258" s="53"/>
    </row>
    <row r="1259" spans="1:26" ht="15.75" customHeight="1">
      <c r="A1259" s="103"/>
      <c r="B1259" s="103"/>
      <c r="C1259" s="104" t="e">
        <v>#REF!</v>
      </c>
      <c r="D1259" s="103"/>
      <c r="E1259" s="53"/>
      <c r="F1259" s="53"/>
      <c r="G1259" s="53"/>
      <c r="H1259" s="53"/>
      <c r="I1259" s="53"/>
      <c r="J1259" s="53"/>
      <c r="K1259" s="53"/>
      <c r="L1259" s="53"/>
      <c r="M1259" s="53"/>
      <c r="N1259" s="53"/>
      <c r="O1259" s="53"/>
      <c r="P1259" s="53"/>
      <c r="Q1259" s="53"/>
      <c r="R1259" s="53"/>
      <c r="S1259" s="53"/>
      <c r="T1259" s="53"/>
      <c r="U1259" s="53"/>
      <c r="V1259" s="53"/>
      <c r="W1259" s="53"/>
      <c r="X1259" s="53"/>
      <c r="Y1259" s="53"/>
      <c r="Z1259" s="53"/>
    </row>
    <row r="1260" spans="1:26" ht="15.75" customHeight="1">
      <c r="A1260" s="103"/>
      <c r="B1260" s="103"/>
      <c r="C1260" s="104" t="e">
        <v>#REF!</v>
      </c>
      <c r="D1260" s="10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53"/>
      <c r="T1260" s="53"/>
      <c r="U1260" s="53"/>
      <c r="V1260" s="53"/>
      <c r="W1260" s="53"/>
      <c r="X1260" s="53"/>
      <c r="Y1260" s="53"/>
      <c r="Z1260" s="53"/>
    </row>
    <row r="1261" spans="1:26" ht="15.75" customHeight="1">
      <c r="A1261" s="103"/>
      <c r="B1261" s="103"/>
      <c r="C1261" s="104" t="e">
        <v>#REF!</v>
      </c>
      <c r="D1261" s="103"/>
      <c r="E1261" s="53"/>
      <c r="F1261" s="53"/>
      <c r="G1261" s="53"/>
      <c r="H1261" s="53"/>
      <c r="I1261" s="53"/>
      <c r="J1261" s="53"/>
      <c r="K1261" s="53"/>
      <c r="L1261" s="53"/>
      <c r="M1261" s="53"/>
      <c r="N1261" s="53"/>
      <c r="O1261" s="53"/>
      <c r="P1261" s="53"/>
      <c r="Q1261" s="53"/>
      <c r="R1261" s="53"/>
      <c r="S1261" s="53"/>
      <c r="T1261" s="53"/>
      <c r="U1261" s="53"/>
      <c r="V1261" s="53"/>
      <c r="W1261" s="53"/>
      <c r="X1261" s="53"/>
      <c r="Y1261" s="53"/>
      <c r="Z1261" s="53"/>
    </row>
    <row r="1262" spans="1:26" ht="15.75" customHeight="1">
      <c r="A1262" s="103"/>
      <c r="B1262" s="103"/>
      <c r="C1262" s="104" t="e">
        <v>#REF!</v>
      </c>
      <c r="D1262" s="103"/>
      <c r="E1262" s="53"/>
      <c r="F1262" s="53"/>
      <c r="G1262" s="53"/>
      <c r="H1262" s="53"/>
      <c r="I1262" s="53"/>
      <c r="J1262" s="53"/>
      <c r="K1262" s="53"/>
      <c r="L1262" s="53"/>
      <c r="M1262" s="53"/>
      <c r="N1262" s="53"/>
      <c r="O1262" s="53"/>
      <c r="P1262" s="53"/>
      <c r="Q1262" s="53"/>
      <c r="R1262" s="53"/>
      <c r="S1262" s="53"/>
      <c r="T1262" s="53"/>
      <c r="U1262" s="53"/>
      <c r="V1262" s="53"/>
      <c r="W1262" s="53"/>
      <c r="X1262" s="53"/>
      <c r="Y1262" s="53"/>
      <c r="Z1262" s="53"/>
    </row>
    <row r="1263" spans="1:26" ht="15.75" customHeight="1">
      <c r="A1263" s="103"/>
      <c r="B1263" s="103"/>
      <c r="C1263" s="104" t="e">
        <v>#REF!</v>
      </c>
      <c r="D1263" s="103"/>
      <c r="E1263" s="53"/>
      <c r="F1263" s="53"/>
      <c r="G1263" s="53"/>
      <c r="H1263" s="53"/>
      <c r="I1263" s="53"/>
      <c r="J1263" s="53"/>
      <c r="K1263" s="53"/>
      <c r="L1263" s="53"/>
      <c r="M1263" s="53"/>
      <c r="N1263" s="53"/>
      <c r="O1263" s="53"/>
      <c r="P1263" s="53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</row>
    <row r="1264" spans="1:26" ht="15.75" customHeight="1">
      <c r="A1264" s="103"/>
      <c r="B1264" s="103"/>
      <c r="C1264" s="104" t="e">
        <v>#REF!</v>
      </c>
      <c r="D1264" s="103"/>
      <c r="E1264" s="53"/>
      <c r="F1264" s="53"/>
      <c r="G1264" s="53"/>
      <c r="H1264" s="53"/>
      <c r="I1264" s="53"/>
      <c r="J1264" s="53"/>
      <c r="K1264" s="53"/>
      <c r="L1264" s="53"/>
      <c r="M1264" s="53"/>
      <c r="N1264" s="53"/>
      <c r="O1264" s="53"/>
      <c r="P1264" s="53"/>
      <c r="Q1264" s="53"/>
      <c r="R1264" s="53"/>
      <c r="S1264" s="53"/>
      <c r="T1264" s="53"/>
      <c r="U1264" s="53"/>
      <c r="V1264" s="53"/>
      <c r="W1264" s="53"/>
      <c r="X1264" s="53"/>
      <c r="Y1264" s="53"/>
      <c r="Z1264" s="53"/>
    </row>
    <row r="1265" spans="1:26" ht="15.75" customHeight="1">
      <c r="A1265" s="103"/>
      <c r="B1265" s="103"/>
      <c r="C1265" s="104" t="e">
        <v>#REF!</v>
      </c>
      <c r="D1265" s="103"/>
      <c r="E1265" s="53"/>
      <c r="F1265" s="53"/>
      <c r="G1265" s="53"/>
      <c r="H1265" s="53"/>
      <c r="I1265" s="53"/>
      <c r="J1265" s="53"/>
      <c r="K1265" s="53"/>
      <c r="L1265" s="53"/>
      <c r="M1265" s="53"/>
      <c r="N1265" s="53"/>
      <c r="O1265" s="53"/>
      <c r="P1265" s="53"/>
      <c r="Q1265" s="53"/>
      <c r="R1265" s="53"/>
      <c r="S1265" s="53"/>
      <c r="T1265" s="53"/>
      <c r="U1265" s="53"/>
      <c r="V1265" s="53"/>
      <c r="W1265" s="53"/>
      <c r="X1265" s="53"/>
      <c r="Y1265" s="53"/>
      <c r="Z1265" s="53"/>
    </row>
    <row r="1266" spans="1:26" ht="15.75" customHeight="1">
      <c r="A1266" s="103"/>
      <c r="B1266" s="103"/>
      <c r="C1266" s="104" t="e">
        <v>#REF!</v>
      </c>
      <c r="D1266" s="103"/>
      <c r="E1266" s="53"/>
      <c r="F1266" s="53"/>
      <c r="G1266" s="53"/>
      <c r="H1266" s="53"/>
      <c r="I1266" s="53"/>
      <c r="J1266" s="53"/>
      <c r="K1266" s="53"/>
      <c r="L1266" s="53"/>
      <c r="M1266" s="53"/>
      <c r="N1266" s="53"/>
      <c r="O1266" s="53"/>
      <c r="P1266" s="53"/>
      <c r="Q1266" s="53"/>
      <c r="R1266" s="53"/>
      <c r="S1266" s="53"/>
      <c r="T1266" s="53"/>
      <c r="U1266" s="53"/>
      <c r="V1266" s="53"/>
      <c r="W1266" s="53"/>
      <c r="X1266" s="53"/>
      <c r="Y1266" s="53"/>
      <c r="Z1266" s="53"/>
    </row>
    <row r="1267" spans="1:26" ht="15.75" customHeight="1">
      <c r="A1267" s="103"/>
      <c r="B1267" s="103"/>
      <c r="C1267" s="104" t="e">
        <v>#REF!</v>
      </c>
      <c r="D1267" s="103"/>
      <c r="E1267" s="53"/>
      <c r="F1267" s="53"/>
      <c r="G1267" s="53"/>
      <c r="H1267" s="53"/>
      <c r="I1267" s="53"/>
      <c r="J1267" s="53"/>
      <c r="K1267" s="53"/>
      <c r="L1267" s="53"/>
      <c r="M1267" s="53"/>
      <c r="N1267" s="53"/>
      <c r="O1267" s="53"/>
      <c r="P1267" s="53"/>
      <c r="Q1267" s="53"/>
      <c r="R1267" s="53"/>
      <c r="S1267" s="53"/>
      <c r="T1267" s="53"/>
      <c r="U1267" s="53"/>
      <c r="V1267" s="53"/>
      <c r="W1267" s="53"/>
      <c r="X1267" s="53"/>
      <c r="Y1267" s="53"/>
      <c r="Z1267" s="53"/>
    </row>
    <row r="1268" spans="1:26" ht="15.75" customHeight="1">
      <c r="A1268" s="103"/>
      <c r="B1268" s="103"/>
      <c r="C1268" s="104" t="e">
        <v>#REF!</v>
      </c>
      <c r="D1268" s="103"/>
      <c r="E1268" s="53"/>
      <c r="F1268" s="53"/>
      <c r="G1268" s="53"/>
      <c r="H1268" s="53"/>
      <c r="I1268" s="53"/>
      <c r="J1268" s="53"/>
      <c r="K1268" s="53"/>
      <c r="L1268" s="53"/>
      <c r="M1268" s="53"/>
      <c r="N1268" s="53"/>
      <c r="O1268" s="53"/>
      <c r="P1268" s="53"/>
      <c r="Q1268" s="53"/>
      <c r="R1268" s="53"/>
      <c r="S1268" s="53"/>
      <c r="T1268" s="53"/>
      <c r="U1268" s="53"/>
      <c r="V1268" s="53"/>
      <c r="W1268" s="53"/>
      <c r="X1268" s="53"/>
      <c r="Y1268" s="53"/>
      <c r="Z1268" s="53"/>
    </row>
    <row r="1269" spans="1:26" ht="15.75" customHeight="1">
      <c r="A1269" s="103"/>
      <c r="B1269" s="103"/>
      <c r="C1269" s="104" t="e">
        <v>#REF!</v>
      </c>
      <c r="D1269" s="103"/>
      <c r="E1269" s="53"/>
      <c r="F1269" s="53"/>
      <c r="G1269" s="53"/>
      <c r="H1269" s="53"/>
      <c r="I1269" s="53"/>
      <c r="J1269" s="53"/>
      <c r="K1269" s="53"/>
      <c r="L1269" s="53"/>
      <c r="M1269" s="53"/>
      <c r="N1269" s="53"/>
      <c r="O1269" s="53"/>
      <c r="P1269" s="53"/>
      <c r="Q1269" s="53"/>
      <c r="R1269" s="53"/>
      <c r="S1269" s="53"/>
      <c r="T1269" s="53"/>
      <c r="U1269" s="53"/>
      <c r="V1269" s="53"/>
      <c r="W1269" s="53"/>
      <c r="X1269" s="53"/>
      <c r="Y1269" s="53"/>
      <c r="Z1269" s="53"/>
    </row>
    <row r="1270" spans="1:26" ht="15.75" customHeight="1">
      <c r="A1270" s="103"/>
      <c r="B1270" s="103"/>
      <c r="C1270" s="104" t="e">
        <v>#REF!</v>
      </c>
      <c r="D1270" s="103"/>
      <c r="E1270" s="53"/>
      <c r="F1270" s="53"/>
      <c r="G1270" s="53"/>
      <c r="H1270" s="53"/>
      <c r="I1270" s="53"/>
      <c r="J1270" s="53"/>
      <c r="K1270" s="53"/>
      <c r="L1270" s="53"/>
      <c r="M1270" s="53"/>
      <c r="N1270" s="53"/>
      <c r="O1270" s="53"/>
      <c r="P1270" s="53"/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</row>
    <row r="1271" spans="1:26" ht="15.75" customHeight="1">
      <c r="A1271" s="103"/>
      <c r="B1271" s="103"/>
      <c r="C1271" s="104" t="e">
        <v>#REF!</v>
      </c>
      <c r="D1271" s="103"/>
      <c r="E1271" s="53"/>
      <c r="F1271" s="53"/>
      <c r="G1271" s="53"/>
      <c r="H1271" s="53"/>
      <c r="I1271" s="53"/>
      <c r="J1271" s="53"/>
      <c r="K1271" s="53"/>
      <c r="L1271" s="53"/>
      <c r="M1271" s="53"/>
      <c r="N1271" s="53"/>
      <c r="O1271" s="53"/>
      <c r="P1271" s="53"/>
      <c r="Q1271" s="53"/>
      <c r="R1271" s="53"/>
      <c r="S1271" s="53"/>
      <c r="T1271" s="53"/>
      <c r="U1271" s="53"/>
      <c r="V1271" s="53"/>
      <c r="W1271" s="53"/>
      <c r="X1271" s="53"/>
      <c r="Y1271" s="53"/>
      <c r="Z1271" s="53"/>
    </row>
    <row r="1272" spans="1:26" ht="15.75" customHeight="1">
      <c r="A1272" s="103"/>
      <c r="B1272" s="103"/>
      <c r="C1272" s="104" t="e">
        <v>#REF!</v>
      </c>
      <c r="D1272" s="103"/>
      <c r="E1272" s="53"/>
      <c r="F1272" s="53"/>
      <c r="G1272" s="53"/>
      <c r="H1272" s="53"/>
      <c r="I1272" s="53"/>
      <c r="J1272" s="53"/>
      <c r="K1272" s="53"/>
      <c r="L1272" s="53"/>
      <c r="M1272" s="53"/>
      <c r="N1272" s="53"/>
      <c r="O1272" s="53"/>
      <c r="P1272" s="53"/>
      <c r="Q1272" s="53"/>
      <c r="R1272" s="53"/>
      <c r="S1272" s="53"/>
      <c r="T1272" s="53"/>
      <c r="U1272" s="53"/>
      <c r="V1272" s="53"/>
      <c r="W1272" s="53"/>
      <c r="X1272" s="53"/>
      <c r="Y1272" s="53"/>
      <c r="Z1272" s="53"/>
    </row>
    <row r="1273" spans="1:26" ht="15.75" customHeight="1">
      <c r="A1273" s="103"/>
      <c r="B1273" s="103"/>
      <c r="C1273" s="104" t="e">
        <v>#REF!</v>
      </c>
      <c r="D1273" s="103"/>
      <c r="E1273" s="53"/>
      <c r="F1273" s="53"/>
      <c r="G1273" s="53"/>
      <c r="H1273" s="53"/>
      <c r="I1273" s="53"/>
      <c r="J1273" s="53"/>
      <c r="K1273" s="53"/>
      <c r="L1273" s="53"/>
      <c r="M1273" s="53"/>
      <c r="N1273" s="53"/>
      <c r="O1273" s="53"/>
      <c r="P1273" s="53"/>
      <c r="Q1273" s="53"/>
      <c r="R1273" s="53"/>
      <c r="S1273" s="53"/>
      <c r="T1273" s="53"/>
      <c r="U1273" s="53"/>
      <c r="V1273" s="53"/>
      <c r="W1273" s="53"/>
      <c r="X1273" s="53"/>
      <c r="Y1273" s="53"/>
      <c r="Z1273" s="53"/>
    </row>
    <row r="1274" spans="1:26" ht="15.75" customHeight="1">
      <c r="A1274" s="103"/>
      <c r="B1274" s="103"/>
      <c r="C1274" s="104" t="e">
        <v>#REF!</v>
      </c>
      <c r="D1274" s="103"/>
      <c r="E1274" s="53"/>
      <c r="F1274" s="53"/>
      <c r="G1274" s="53"/>
      <c r="H1274" s="53"/>
      <c r="I1274" s="53"/>
      <c r="J1274" s="53"/>
      <c r="K1274" s="53"/>
      <c r="L1274" s="53"/>
      <c r="M1274" s="53"/>
      <c r="N1274" s="53"/>
      <c r="O1274" s="53"/>
      <c r="P1274" s="53"/>
      <c r="Q1274" s="53"/>
      <c r="R1274" s="53"/>
      <c r="S1274" s="53"/>
      <c r="T1274" s="53"/>
      <c r="U1274" s="53"/>
      <c r="V1274" s="53"/>
      <c r="W1274" s="53"/>
      <c r="X1274" s="53"/>
      <c r="Y1274" s="53"/>
      <c r="Z1274" s="53"/>
    </row>
    <row r="1275" spans="1:26" ht="15.75" customHeight="1">
      <c r="A1275" s="103"/>
      <c r="B1275" s="103"/>
      <c r="C1275" s="104" t="e">
        <v>#REF!</v>
      </c>
      <c r="D1275" s="103"/>
      <c r="E1275" s="53"/>
      <c r="F1275" s="53"/>
      <c r="G1275" s="53"/>
      <c r="H1275" s="53"/>
      <c r="I1275" s="53"/>
      <c r="J1275" s="53"/>
      <c r="K1275" s="53"/>
      <c r="L1275" s="53"/>
      <c r="M1275" s="53"/>
      <c r="N1275" s="53"/>
      <c r="O1275" s="53"/>
      <c r="P1275" s="53"/>
      <c r="Q1275" s="53"/>
      <c r="R1275" s="53"/>
      <c r="S1275" s="53"/>
      <c r="T1275" s="53"/>
      <c r="U1275" s="53"/>
      <c r="V1275" s="53"/>
      <c r="W1275" s="53"/>
      <c r="X1275" s="53"/>
      <c r="Y1275" s="53"/>
      <c r="Z1275" s="53"/>
    </row>
    <row r="1276" spans="1:26" ht="15.75" customHeight="1">
      <c r="A1276" s="103"/>
      <c r="B1276" s="103"/>
      <c r="C1276" s="104" t="e">
        <v>#REF!</v>
      </c>
      <c r="D1276" s="103"/>
      <c r="E1276" s="53"/>
      <c r="F1276" s="53"/>
      <c r="G1276" s="53"/>
      <c r="H1276" s="53"/>
      <c r="I1276" s="53"/>
      <c r="J1276" s="53"/>
      <c r="K1276" s="53"/>
      <c r="L1276" s="53"/>
      <c r="M1276" s="53"/>
      <c r="N1276" s="53"/>
      <c r="O1276" s="53"/>
      <c r="P1276" s="53"/>
      <c r="Q1276" s="53"/>
      <c r="R1276" s="53"/>
      <c r="S1276" s="53"/>
      <c r="T1276" s="53"/>
      <c r="U1276" s="53"/>
      <c r="V1276" s="53"/>
      <c r="W1276" s="53"/>
      <c r="X1276" s="53"/>
      <c r="Y1276" s="53"/>
      <c r="Z1276" s="53"/>
    </row>
    <row r="1277" spans="1:26" ht="15.75" customHeight="1">
      <c r="A1277" s="103"/>
      <c r="B1277" s="103"/>
      <c r="C1277" s="104" t="e">
        <v>#REF!</v>
      </c>
      <c r="D1277" s="103"/>
      <c r="E1277" s="53"/>
      <c r="F1277" s="53"/>
      <c r="G1277" s="53"/>
      <c r="H1277" s="53"/>
      <c r="I1277" s="53"/>
      <c r="J1277" s="53"/>
      <c r="K1277" s="53"/>
      <c r="L1277" s="53"/>
      <c r="M1277" s="53"/>
      <c r="N1277" s="53"/>
      <c r="O1277" s="53"/>
      <c r="P1277" s="53"/>
      <c r="Q1277" s="53"/>
      <c r="R1277" s="53"/>
      <c r="S1277" s="53"/>
      <c r="T1277" s="53"/>
      <c r="U1277" s="53"/>
      <c r="V1277" s="53"/>
      <c r="W1277" s="53"/>
      <c r="X1277" s="53"/>
      <c r="Y1277" s="53"/>
      <c r="Z1277" s="53"/>
    </row>
    <row r="1278" spans="1:26" ht="15.75" customHeight="1">
      <c r="A1278" s="103"/>
      <c r="B1278" s="103"/>
      <c r="C1278" s="104" t="e">
        <v>#REF!</v>
      </c>
      <c r="D1278" s="103"/>
      <c r="E1278" s="53"/>
      <c r="F1278" s="53"/>
      <c r="G1278" s="53"/>
      <c r="H1278" s="53"/>
      <c r="I1278" s="53"/>
      <c r="J1278" s="53"/>
      <c r="K1278" s="53"/>
      <c r="L1278" s="53"/>
      <c r="M1278" s="53"/>
      <c r="N1278" s="53"/>
      <c r="O1278" s="53"/>
      <c r="P1278" s="53"/>
      <c r="Q1278" s="53"/>
      <c r="R1278" s="53"/>
      <c r="S1278" s="53"/>
      <c r="T1278" s="53"/>
      <c r="U1278" s="53"/>
      <c r="V1278" s="53"/>
      <c r="W1278" s="53"/>
      <c r="X1278" s="53"/>
      <c r="Y1278" s="53"/>
      <c r="Z1278" s="53"/>
    </row>
    <row r="1279" spans="1:26" ht="15.75" customHeight="1">
      <c r="A1279" s="103"/>
      <c r="B1279" s="103"/>
      <c r="C1279" s="104" t="e">
        <v>#REF!</v>
      </c>
      <c r="D1279" s="103"/>
      <c r="E1279" s="53"/>
      <c r="F1279" s="53"/>
      <c r="G1279" s="53"/>
      <c r="H1279" s="53"/>
      <c r="I1279" s="53"/>
      <c r="J1279" s="53"/>
      <c r="K1279" s="53"/>
      <c r="L1279" s="53"/>
      <c r="M1279" s="53"/>
      <c r="N1279" s="53"/>
      <c r="O1279" s="53"/>
      <c r="P1279" s="53"/>
      <c r="Q1279" s="53"/>
      <c r="R1279" s="53"/>
      <c r="S1279" s="53"/>
      <c r="T1279" s="53"/>
      <c r="U1279" s="53"/>
      <c r="V1279" s="53"/>
      <c r="W1279" s="53"/>
      <c r="X1279" s="53"/>
      <c r="Y1279" s="53"/>
      <c r="Z1279" s="53"/>
    </row>
    <row r="1280" spans="1:26" ht="15.75" customHeight="1">
      <c r="A1280" s="103"/>
      <c r="B1280" s="103"/>
      <c r="C1280" s="104" t="e">
        <v>#REF!</v>
      </c>
      <c r="D1280" s="103"/>
      <c r="E1280" s="53"/>
      <c r="F1280" s="53"/>
      <c r="G1280" s="53"/>
      <c r="H1280" s="53"/>
      <c r="I1280" s="53"/>
      <c r="J1280" s="53"/>
      <c r="K1280" s="53"/>
      <c r="L1280" s="53"/>
      <c r="M1280" s="53"/>
      <c r="N1280" s="53"/>
      <c r="O1280" s="53"/>
      <c r="P1280" s="53"/>
      <c r="Q1280" s="53"/>
      <c r="R1280" s="53"/>
      <c r="S1280" s="53"/>
      <c r="T1280" s="53"/>
      <c r="U1280" s="53"/>
      <c r="V1280" s="53"/>
      <c r="W1280" s="53"/>
      <c r="X1280" s="53"/>
      <c r="Y1280" s="53"/>
      <c r="Z1280" s="53"/>
    </row>
    <row r="1281" spans="1:26" ht="15.75" customHeight="1">
      <c r="A1281" s="103"/>
      <c r="B1281" s="103"/>
      <c r="C1281" s="104" t="e">
        <v>#REF!</v>
      </c>
      <c r="D1281" s="103"/>
      <c r="E1281" s="53"/>
      <c r="F1281" s="53"/>
      <c r="G1281" s="53"/>
      <c r="H1281" s="53"/>
      <c r="I1281" s="53"/>
      <c r="J1281" s="53"/>
      <c r="K1281" s="53"/>
      <c r="L1281" s="53"/>
      <c r="M1281" s="53"/>
      <c r="N1281" s="53"/>
      <c r="O1281" s="53"/>
      <c r="P1281" s="53"/>
      <c r="Q1281" s="53"/>
      <c r="R1281" s="53"/>
      <c r="S1281" s="53"/>
      <c r="T1281" s="53"/>
      <c r="U1281" s="53"/>
      <c r="V1281" s="53"/>
      <c r="W1281" s="53"/>
      <c r="X1281" s="53"/>
      <c r="Y1281" s="53"/>
      <c r="Z1281" s="53"/>
    </row>
    <row r="1282" spans="1:26" ht="15.75" customHeight="1">
      <c r="A1282" s="103"/>
      <c r="B1282" s="103"/>
      <c r="C1282" s="104" t="e">
        <v>#REF!</v>
      </c>
      <c r="D1282" s="103"/>
      <c r="E1282" s="53"/>
      <c r="F1282" s="53"/>
      <c r="G1282" s="53"/>
      <c r="H1282" s="53"/>
      <c r="I1282" s="53"/>
      <c r="J1282" s="53"/>
      <c r="K1282" s="53"/>
      <c r="L1282" s="53"/>
      <c r="M1282" s="53"/>
      <c r="N1282" s="53"/>
      <c r="O1282" s="53"/>
      <c r="P1282" s="53"/>
      <c r="Q1282" s="53"/>
      <c r="R1282" s="53"/>
      <c r="S1282" s="53"/>
      <c r="T1282" s="53"/>
      <c r="U1282" s="53"/>
      <c r="V1282" s="53"/>
      <c r="W1282" s="53"/>
      <c r="X1282" s="53"/>
      <c r="Y1282" s="53"/>
      <c r="Z1282" s="53"/>
    </row>
    <row r="1283" spans="1:26" ht="15.75" customHeight="1">
      <c r="A1283" s="103"/>
      <c r="B1283" s="103"/>
      <c r="C1283" s="104" t="e">
        <v>#REF!</v>
      </c>
      <c r="D1283" s="103"/>
      <c r="E1283" s="53"/>
      <c r="F1283" s="53"/>
      <c r="G1283" s="53"/>
      <c r="H1283" s="53"/>
      <c r="I1283" s="53"/>
      <c r="J1283" s="53"/>
      <c r="K1283" s="53"/>
      <c r="L1283" s="53"/>
      <c r="M1283" s="53"/>
      <c r="N1283" s="53"/>
      <c r="O1283" s="53"/>
      <c r="P1283" s="53"/>
      <c r="Q1283" s="53"/>
      <c r="R1283" s="53"/>
      <c r="S1283" s="53"/>
      <c r="T1283" s="53"/>
      <c r="U1283" s="53"/>
      <c r="V1283" s="53"/>
      <c r="W1283" s="53"/>
      <c r="X1283" s="53"/>
      <c r="Y1283" s="53"/>
      <c r="Z1283" s="53"/>
    </row>
    <row r="1284" spans="1:26" ht="15.75" customHeight="1">
      <c r="A1284" s="103"/>
      <c r="B1284" s="103"/>
      <c r="C1284" s="104" t="e">
        <v>#REF!</v>
      </c>
      <c r="D1284" s="103"/>
      <c r="E1284" s="53"/>
      <c r="F1284" s="53"/>
      <c r="G1284" s="53"/>
      <c r="H1284" s="53"/>
      <c r="I1284" s="53"/>
      <c r="J1284" s="53"/>
      <c r="K1284" s="53"/>
      <c r="L1284" s="53"/>
      <c r="M1284" s="53"/>
      <c r="N1284" s="53"/>
      <c r="O1284" s="53"/>
      <c r="P1284" s="53"/>
      <c r="Q1284" s="53"/>
      <c r="R1284" s="53"/>
      <c r="S1284" s="53"/>
      <c r="T1284" s="53"/>
      <c r="U1284" s="53"/>
      <c r="V1284" s="53"/>
      <c r="W1284" s="53"/>
      <c r="X1284" s="53"/>
      <c r="Y1284" s="53"/>
      <c r="Z1284" s="53"/>
    </row>
    <row r="1285" spans="1:26" ht="15.75" customHeight="1">
      <c r="A1285" s="103"/>
      <c r="B1285" s="103"/>
      <c r="C1285" s="104" t="e">
        <v>#REF!</v>
      </c>
      <c r="D1285" s="103"/>
      <c r="E1285" s="53"/>
      <c r="F1285" s="53"/>
      <c r="G1285" s="53"/>
      <c r="H1285" s="53"/>
      <c r="I1285" s="53"/>
      <c r="J1285" s="53"/>
      <c r="K1285" s="53"/>
      <c r="L1285" s="53"/>
      <c r="M1285" s="53"/>
      <c r="N1285" s="53"/>
      <c r="O1285" s="53"/>
      <c r="P1285" s="53"/>
      <c r="Q1285" s="53"/>
      <c r="R1285" s="53"/>
      <c r="S1285" s="53"/>
      <c r="T1285" s="53"/>
      <c r="U1285" s="53"/>
      <c r="V1285" s="53"/>
      <c r="W1285" s="53"/>
      <c r="X1285" s="53"/>
      <c r="Y1285" s="53"/>
      <c r="Z1285" s="53"/>
    </row>
    <row r="1286" spans="1:26" ht="15.75" customHeight="1">
      <c r="A1286" s="103"/>
      <c r="B1286" s="103"/>
      <c r="C1286" s="104" t="e">
        <v>#REF!</v>
      </c>
      <c r="D1286" s="103"/>
      <c r="E1286" s="53"/>
      <c r="F1286" s="53"/>
      <c r="G1286" s="53"/>
      <c r="H1286" s="53"/>
      <c r="I1286" s="53"/>
      <c r="J1286" s="53"/>
      <c r="K1286" s="53"/>
      <c r="L1286" s="53"/>
      <c r="M1286" s="53"/>
      <c r="N1286" s="53"/>
      <c r="O1286" s="53"/>
      <c r="P1286" s="53"/>
      <c r="Q1286" s="53"/>
      <c r="R1286" s="53"/>
      <c r="S1286" s="53"/>
      <c r="T1286" s="53"/>
      <c r="U1286" s="53"/>
      <c r="V1286" s="53"/>
      <c r="W1286" s="53"/>
      <c r="X1286" s="53"/>
      <c r="Y1286" s="53"/>
      <c r="Z1286" s="53"/>
    </row>
    <row r="1287" spans="1:26" ht="15.75" customHeight="1">
      <c r="A1287" s="103"/>
      <c r="B1287" s="103"/>
      <c r="C1287" s="104" t="e">
        <v>#REF!</v>
      </c>
      <c r="D1287" s="103"/>
      <c r="E1287" s="53"/>
      <c r="F1287" s="53"/>
      <c r="G1287" s="53"/>
      <c r="H1287" s="53"/>
      <c r="I1287" s="53"/>
      <c r="J1287" s="53"/>
      <c r="K1287" s="53"/>
      <c r="L1287" s="53"/>
      <c r="M1287" s="53"/>
      <c r="N1287" s="53"/>
      <c r="O1287" s="53"/>
      <c r="P1287" s="53"/>
      <c r="Q1287" s="53"/>
      <c r="R1287" s="53"/>
      <c r="S1287" s="53"/>
      <c r="T1287" s="53"/>
      <c r="U1287" s="53"/>
      <c r="V1287" s="53"/>
      <c r="W1287" s="53"/>
      <c r="X1287" s="53"/>
      <c r="Y1287" s="53"/>
      <c r="Z1287" s="53"/>
    </row>
    <row r="1288" spans="1:26" ht="15.75" customHeight="1">
      <c r="A1288" s="103"/>
      <c r="B1288" s="103"/>
      <c r="C1288" s="104" t="e">
        <v>#REF!</v>
      </c>
      <c r="D1288" s="103"/>
      <c r="E1288" s="53"/>
      <c r="F1288" s="53"/>
      <c r="G1288" s="53"/>
      <c r="H1288" s="53"/>
      <c r="I1288" s="53"/>
      <c r="J1288" s="53"/>
      <c r="K1288" s="53"/>
      <c r="L1288" s="53"/>
      <c r="M1288" s="53"/>
      <c r="N1288" s="53"/>
      <c r="O1288" s="53"/>
      <c r="P1288" s="53"/>
      <c r="Q1288" s="53"/>
      <c r="R1288" s="53"/>
      <c r="S1288" s="53"/>
      <c r="T1288" s="53"/>
      <c r="U1288" s="53"/>
      <c r="V1288" s="53"/>
      <c r="W1288" s="53"/>
      <c r="X1288" s="53"/>
      <c r="Y1288" s="53"/>
      <c r="Z1288" s="53"/>
    </row>
    <row r="1289" spans="1:26" ht="15.75" customHeight="1">
      <c r="A1289" s="103"/>
      <c r="B1289" s="103"/>
      <c r="C1289" s="104" t="e">
        <v>#REF!</v>
      </c>
      <c r="D1289" s="103"/>
      <c r="E1289" s="53"/>
      <c r="F1289" s="53"/>
      <c r="G1289" s="53"/>
      <c r="H1289" s="53"/>
      <c r="I1289" s="53"/>
      <c r="J1289" s="53"/>
      <c r="K1289" s="53"/>
      <c r="L1289" s="53"/>
      <c r="M1289" s="53"/>
      <c r="N1289" s="53"/>
      <c r="O1289" s="53"/>
      <c r="P1289" s="53"/>
      <c r="Q1289" s="53"/>
      <c r="R1289" s="53"/>
      <c r="S1289" s="53"/>
      <c r="T1289" s="53"/>
      <c r="U1289" s="53"/>
      <c r="V1289" s="53"/>
      <c r="W1289" s="53"/>
      <c r="X1289" s="53"/>
      <c r="Y1289" s="53"/>
      <c r="Z1289" s="53"/>
    </row>
    <row r="1290" spans="1:26" ht="15.75" customHeight="1">
      <c r="A1290" s="103"/>
      <c r="B1290" s="103"/>
      <c r="C1290" s="104" t="e">
        <v>#REF!</v>
      </c>
      <c r="D1290" s="103"/>
      <c r="E1290" s="53"/>
      <c r="F1290" s="53"/>
      <c r="G1290" s="53"/>
      <c r="H1290" s="53"/>
      <c r="I1290" s="53"/>
      <c r="J1290" s="53"/>
      <c r="K1290" s="53"/>
      <c r="L1290" s="53"/>
      <c r="M1290" s="53"/>
      <c r="N1290" s="53"/>
      <c r="O1290" s="53"/>
      <c r="P1290" s="53"/>
      <c r="Q1290" s="53"/>
      <c r="R1290" s="53"/>
      <c r="S1290" s="53"/>
      <c r="T1290" s="53"/>
      <c r="U1290" s="53"/>
      <c r="V1290" s="53"/>
      <c r="W1290" s="53"/>
      <c r="X1290" s="53"/>
      <c r="Y1290" s="53"/>
      <c r="Z1290" s="53"/>
    </row>
    <row r="1291" spans="1:26" ht="15.75" customHeight="1">
      <c r="A1291" s="103"/>
      <c r="B1291" s="103"/>
      <c r="C1291" s="104" t="e">
        <v>#REF!</v>
      </c>
      <c r="D1291" s="103"/>
      <c r="E1291" s="53"/>
      <c r="F1291" s="53"/>
      <c r="G1291" s="53"/>
      <c r="H1291" s="53"/>
      <c r="I1291" s="53"/>
      <c r="J1291" s="53"/>
      <c r="K1291" s="53"/>
      <c r="L1291" s="53"/>
      <c r="M1291" s="53"/>
      <c r="N1291" s="53"/>
      <c r="O1291" s="53"/>
      <c r="P1291" s="53"/>
      <c r="Q1291" s="53"/>
      <c r="R1291" s="53"/>
      <c r="S1291" s="53"/>
      <c r="T1291" s="53"/>
      <c r="U1291" s="53"/>
      <c r="V1291" s="53"/>
      <c r="W1291" s="53"/>
      <c r="X1291" s="53"/>
      <c r="Y1291" s="53"/>
      <c r="Z1291" s="53"/>
    </row>
    <row r="1292" spans="1:26" ht="15.75" customHeight="1">
      <c r="A1292" s="103"/>
      <c r="B1292" s="103"/>
      <c r="C1292" s="104" t="e">
        <v>#REF!</v>
      </c>
      <c r="D1292" s="103"/>
      <c r="E1292" s="53"/>
      <c r="F1292" s="53"/>
      <c r="G1292" s="53"/>
      <c r="H1292" s="53"/>
      <c r="I1292" s="53"/>
      <c r="J1292" s="53"/>
      <c r="K1292" s="53"/>
      <c r="L1292" s="53"/>
      <c r="M1292" s="53"/>
      <c r="N1292" s="53"/>
      <c r="O1292" s="53"/>
      <c r="P1292" s="53"/>
      <c r="Q1292" s="53"/>
      <c r="R1292" s="53"/>
      <c r="S1292" s="53"/>
      <c r="T1292" s="53"/>
      <c r="U1292" s="53"/>
      <c r="V1292" s="53"/>
      <c r="W1292" s="53"/>
      <c r="X1292" s="53"/>
      <c r="Y1292" s="53"/>
      <c r="Z1292" s="53"/>
    </row>
    <row r="1293" spans="1:26" ht="15.75" customHeight="1">
      <c r="A1293" s="103"/>
      <c r="B1293" s="103"/>
      <c r="C1293" s="104" t="e">
        <v>#REF!</v>
      </c>
      <c r="D1293" s="103"/>
      <c r="E1293" s="53"/>
      <c r="F1293" s="53"/>
      <c r="G1293" s="53"/>
      <c r="H1293" s="53"/>
      <c r="I1293" s="53"/>
      <c r="J1293" s="53"/>
      <c r="K1293" s="53"/>
      <c r="L1293" s="53"/>
      <c r="M1293" s="53"/>
      <c r="N1293" s="53"/>
      <c r="O1293" s="53"/>
      <c r="P1293" s="53"/>
      <c r="Q1293" s="53"/>
      <c r="R1293" s="53"/>
      <c r="S1293" s="53"/>
      <c r="T1293" s="53"/>
      <c r="U1293" s="53"/>
      <c r="V1293" s="53"/>
      <c r="W1293" s="53"/>
      <c r="X1293" s="53"/>
      <c r="Y1293" s="53"/>
      <c r="Z1293" s="53"/>
    </row>
    <row r="1294" spans="1:26" ht="15.75" customHeight="1">
      <c r="A1294" s="103"/>
      <c r="B1294" s="103"/>
      <c r="C1294" s="104" t="e">
        <v>#REF!</v>
      </c>
      <c r="D1294" s="103"/>
      <c r="E1294" s="53"/>
      <c r="F1294" s="53"/>
      <c r="G1294" s="53"/>
      <c r="H1294" s="53"/>
      <c r="I1294" s="53"/>
      <c r="J1294" s="53"/>
      <c r="K1294" s="53"/>
      <c r="L1294" s="53"/>
      <c r="M1294" s="53"/>
      <c r="N1294" s="53"/>
      <c r="O1294" s="53"/>
      <c r="P1294" s="53"/>
      <c r="Q1294" s="53"/>
      <c r="R1294" s="53"/>
      <c r="S1294" s="53"/>
      <c r="T1294" s="53"/>
      <c r="U1294" s="53"/>
      <c r="V1294" s="53"/>
      <c r="W1294" s="53"/>
      <c r="X1294" s="53"/>
      <c r="Y1294" s="53"/>
      <c r="Z1294" s="53"/>
    </row>
    <row r="1295" spans="1:26" ht="15.75" customHeight="1">
      <c r="A1295" s="103"/>
      <c r="B1295" s="103"/>
      <c r="C1295" s="104" t="e">
        <v>#REF!</v>
      </c>
      <c r="D1295" s="103"/>
      <c r="E1295" s="53"/>
      <c r="F1295" s="53"/>
      <c r="G1295" s="53"/>
      <c r="H1295" s="53"/>
      <c r="I1295" s="53"/>
      <c r="J1295" s="53"/>
      <c r="K1295" s="53"/>
      <c r="L1295" s="53"/>
      <c r="M1295" s="53"/>
      <c r="N1295" s="53"/>
      <c r="O1295" s="53"/>
      <c r="P1295" s="53"/>
      <c r="Q1295" s="53"/>
      <c r="R1295" s="53"/>
      <c r="S1295" s="53"/>
      <c r="T1295" s="53"/>
      <c r="U1295" s="53"/>
      <c r="V1295" s="53"/>
      <c r="W1295" s="53"/>
      <c r="X1295" s="53"/>
      <c r="Y1295" s="53"/>
      <c r="Z1295" s="53"/>
    </row>
    <row r="1296" spans="1:26" ht="15.75" customHeight="1">
      <c r="A1296" s="103"/>
      <c r="B1296" s="103"/>
      <c r="C1296" s="104" t="e">
        <v>#REF!</v>
      </c>
      <c r="D1296" s="103"/>
      <c r="E1296" s="53"/>
      <c r="F1296" s="53"/>
      <c r="G1296" s="53"/>
      <c r="H1296" s="53"/>
      <c r="I1296" s="53"/>
      <c r="J1296" s="53"/>
      <c r="K1296" s="53"/>
      <c r="L1296" s="53"/>
      <c r="M1296" s="53"/>
      <c r="N1296" s="53"/>
      <c r="O1296" s="53"/>
      <c r="P1296" s="53"/>
      <c r="Q1296" s="53"/>
      <c r="R1296" s="53"/>
      <c r="S1296" s="53"/>
      <c r="T1296" s="53"/>
      <c r="U1296" s="53"/>
      <c r="V1296" s="53"/>
      <c r="W1296" s="53"/>
      <c r="X1296" s="53"/>
      <c r="Y1296" s="53"/>
      <c r="Z1296" s="53"/>
    </row>
    <row r="1297" spans="1:26" ht="15.75" customHeight="1">
      <c r="A1297" s="103"/>
      <c r="B1297" s="103"/>
      <c r="C1297" s="104" t="e">
        <v>#REF!</v>
      </c>
      <c r="D1297" s="103"/>
      <c r="E1297" s="53"/>
      <c r="F1297" s="53"/>
      <c r="G1297" s="53"/>
      <c r="H1297" s="53"/>
      <c r="I1297" s="53"/>
      <c r="J1297" s="53"/>
      <c r="K1297" s="53"/>
      <c r="L1297" s="53"/>
      <c r="M1297" s="53"/>
      <c r="N1297" s="53"/>
      <c r="O1297" s="53"/>
      <c r="P1297" s="53"/>
      <c r="Q1297" s="53"/>
      <c r="R1297" s="53"/>
      <c r="S1297" s="53"/>
      <c r="T1297" s="53"/>
      <c r="U1297" s="53"/>
      <c r="V1297" s="53"/>
      <c r="W1297" s="53"/>
      <c r="X1297" s="53"/>
      <c r="Y1297" s="53"/>
      <c r="Z1297" s="53"/>
    </row>
    <row r="1298" spans="1:26" ht="15.75" customHeight="1">
      <c r="A1298" s="103"/>
      <c r="B1298" s="103"/>
      <c r="C1298" s="104" t="e">
        <v>#REF!</v>
      </c>
      <c r="D1298" s="103"/>
      <c r="E1298" s="53"/>
      <c r="F1298" s="53"/>
      <c r="G1298" s="53"/>
      <c r="H1298" s="53"/>
      <c r="I1298" s="53"/>
      <c r="J1298" s="53"/>
      <c r="K1298" s="53"/>
      <c r="L1298" s="53"/>
      <c r="M1298" s="53"/>
      <c r="N1298" s="53"/>
      <c r="O1298" s="53"/>
      <c r="P1298" s="53"/>
      <c r="Q1298" s="53"/>
      <c r="R1298" s="53"/>
      <c r="S1298" s="53"/>
      <c r="T1298" s="53"/>
      <c r="U1298" s="53"/>
      <c r="V1298" s="53"/>
      <c r="W1298" s="53"/>
      <c r="X1298" s="53"/>
      <c r="Y1298" s="53"/>
      <c r="Z1298" s="53"/>
    </row>
    <row r="1299" spans="1:26" ht="15.75" customHeight="1">
      <c r="A1299" s="103"/>
      <c r="B1299" s="103"/>
      <c r="C1299" s="104" t="e">
        <v>#REF!</v>
      </c>
      <c r="D1299" s="103"/>
      <c r="E1299" s="53"/>
      <c r="F1299" s="53"/>
      <c r="G1299" s="53"/>
      <c r="H1299" s="53"/>
      <c r="I1299" s="53"/>
      <c r="J1299" s="53"/>
      <c r="K1299" s="53"/>
      <c r="L1299" s="53"/>
      <c r="M1299" s="53"/>
      <c r="N1299" s="53"/>
      <c r="O1299" s="53"/>
      <c r="P1299" s="53"/>
      <c r="Q1299" s="53"/>
      <c r="R1299" s="53"/>
      <c r="S1299" s="53"/>
      <c r="T1299" s="53"/>
      <c r="U1299" s="53"/>
      <c r="V1299" s="53"/>
      <c r="W1299" s="53"/>
      <c r="X1299" s="53"/>
      <c r="Y1299" s="53"/>
      <c r="Z1299" s="53"/>
    </row>
    <row r="1300" spans="1:26" ht="15.75" customHeight="1">
      <c r="A1300" s="103"/>
      <c r="B1300" s="103"/>
      <c r="C1300" s="104" t="e">
        <v>#REF!</v>
      </c>
      <c r="D1300" s="103"/>
      <c r="E1300" s="53"/>
      <c r="F1300" s="53"/>
      <c r="G1300" s="53"/>
      <c r="H1300" s="53"/>
      <c r="I1300" s="53"/>
      <c r="J1300" s="53"/>
      <c r="K1300" s="53"/>
      <c r="L1300" s="53"/>
      <c r="M1300" s="53"/>
      <c r="N1300" s="53"/>
      <c r="O1300" s="53"/>
      <c r="P1300" s="53"/>
      <c r="Q1300" s="53"/>
      <c r="R1300" s="53"/>
      <c r="S1300" s="53"/>
      <c r="T1300" s="53"/>
      <c r="U1300" s="53"/>
      <c r="V1300" s="53"/>
      <c r="W1300" s="53"/>
      <c r="X1300" s="53"/>
      <c r="Y1300" s="53"/>
      <c r="Z1300" s="53"/>
    </row>
    <row r="1301" spans="1:26" ht="15.75" customHeight="1">
      <c r="A1301" s="103"/>
      <c r="B1301" s="103"/>
      <c r="C1301" s="104" t="e">
        <v>#REF!</v>
      </c>
      <c r="D1301" s="103"/>
      <c r="E1301" s="53"/>
      <c r="F1301" s="53"/>
      <c r="G1301" s="53"/>
      <c r="H1301" s="53"/>
      <c r="I1301" s="53"/>
      <c r="J1301" s="53"/>
      <c r="K1301" s="53"/>
      <c r="L1301" s="53"/>
      <c r="M1301" s="53"/>
      <c r="N1301" s="53"/>
      <c r="O1301" s="53"/>
      <c r="P1301" s="53"/>
      <c r="Q1301" s="53"/>
      <c r="R1301" s="53"/>
      <c r="S1301" s="53"/>
      <c r="T1301" s="53"/>
      <c r="U1301" s="53"/>
      <c r="V1301" s="53"/>
      <c r="W1301" s="53"/>
      <c r="X1301" s="53"/>
      <c r="Y1301" s="53"/>
      <c r="Z1301" s="53"/>
    </row>
    <row r="1302" spans="1:26" ht="15.75" customHeight="1">
      <c r="A1302" s="103"/>
      <c r="B1302" s="103"/>
      <c r="C1302" s="104" t="e">
        <v>#REF!</v>
      </c>
      <c r="D1302" s="103"/>
      <c r="E1302" s="53"/>
      <c r="F1302" s="53"/>
      <c r="G1302" s="53"/>
      <c r="H1302" s="53"/>
      <c r="I1302" s="53"/>
      <c r="J1302" s="53"/>
      <c r="K1302" s="53"/>
      <c r="L1302" s="53"/>
      <c r="M1302" s="53"/>
      <c r="N1302" s="53"/>
      <c r="O1302" s="53"/>
      <c r="P1302" s="53"/>
      <c r="Q1302" s="53"/>
      <c r="R1302" s="53"/>
      <c r="S1302" s="53"/>
      <c r="T1302" s="53"/>
      <c r="U1302" s="53"/>
      <c r="V1302" s="53"/>
      <c r="W1302" s="53"/>
      <c r="X1302" s="53"/>
      <c r="Y1302" s="53"/>
      <c r="Z1302" s="53"/>
    </row>
    <row r="1303" spans="1:26" ht="15.75" customHeight="1">
      <c r="A1303" s="103"/>
      <c r="B1303" s="103"/>
      <c r="C1303" s="104" t="e">
        <v>#REF!</v>
      </c>
      <c r="D1303" s="103"/>
      <c r="E1303" s="53"/>
      <c r="F1303" s="53"/>
      <c r="G1303" s="53"/>
      <c r="H1303" s="53"/>
      <c r="I1303" s="53"/>
      <c r="J1303" s="53"/>
      <c r="K1303" s="53"/>
      <c r="L1303" s="53"/>
      <c r="M1303" s="53"/>
      <c r="N1303" s="53"/>
      <c r="O1303" s="53"/>
      <c r="P1303" s="53"/>
      <c r="Q1303" s="53"/>
      <c r="R1303" s="53"/>
      <c r="S1303" s="53"/>
      <c r="T1303" s="53"/>
      <c r="U1303" s="53"/>
      <c r="V1303" s="53"/>
      <c r="W1303" s="53"/>
      <c r="X1303" s="53"/>
      <c r="Y1303" s="53"/>
      <c r="Z1303" s="53"/>
    </row>
    <row r="1304" spans="1:26" ht="15.75" customHeight="1">
      <c r="A1304" s="103"/>
      <c r="B1304" s="103"/>
      <c r="C1304" s="104" t="e">
        <v>#REF!</v>
      </c>
      <c r="D1304" s="103"/>
      <c r="E1304" s="53"/>
      <c r="F1304" s="53"/>
      <c r="G1304" s="53"/>
      <c r="H1304" s="53"/>
      <c r="I1304" s="53"/>
      <c r="J1304" s="53"/>
      <c r="K1304" s="53"/>
      <c r="L1304" s="53"/>
      <c r="M1304" s="53"/>
      <c r="N1304" s="53"/>
      <c r="O1304" s="53"/>
      <c r="P1304" s="53"/>
      <c r="Q1304" s="53"/>
      <c r="R1304" s="53"/>
      <c r="S1304" s="53"/>
      <c r="T1304" s="53"/>
      <c r="U1304" s="53"/>
      <c r="V1304" s="53"/>
      <c r="W1304" s="53"/>
      <c r="X1304" s="53"/>
      <c r="Y1304" s="53"/>
      <c r="Z1304" s="53"/>
    </row>
    <row r="1305" spans="1:26" ht="15.75" customHeight="1">
      <c r="A1305" s="103"/>
      <c r="B1305" s="103"/>
      <c r="C1305" s="104" t="e">
        <v>#REF!</v>
      </c>
      <c r="D1305" s="103"/>
      <c r="E1305" s="53"/>
      <c r="F1305" s="53"/>
      <c r="G1305" s="53"/>
      <c r="H1305" s="53"/>
      <c r="I1305" s="53"/>
      <c r="J1305" s="53"/>
      <c r="K1305" s="53"/>
      <c r="L1305" s="53"/>
      <c r="M1305" s="53"/>
      <c r="N1305" s="53"/>
      <c r="O1305" s="53"/>
      <c r="P1305" s="53"/>
      <c r="Q1305" s="53"/>
      <c r="R1305" s="53"/>
      <c r="S1305" s="53"/>
      <c r="T1305" s="53"/>
      <c r="U1305" s="53"/>
      <c r="V1305" s="53"/>
      <c r="W1305" s="53"/>
      <c r="X1305" s="53"/>
      <c r="Y1305" s="53"/>
      <c r="Z1305" s="53"/>
    </row>
    <row r="1306" spans="1:26" ht="15.75" customHeight="1">
      <c r="A1306" s="103"/>
      <c r="B1306" s="103"/>
      <c r="C1306" s="104" t="e">
        <v>#REF!</v>
      </c>
      <c r="D1306" s="103"/>
      <c r="E1306" s="53"/>
      <c r="F1306" s="53"/>
      <c r="G1306" s="53"/>
      <c r="H1306" s="53"/>
      <c r="I1306" s="53"/>
      <c r="J1306" s="53"/>
      <c r="K1306" s="53"/>
      <c r="L1306" s="53"/>
      <c r="M1306" s="53"/>
      <c r="N1306" s="53"/>
      <c r="O1306" s="53"/>
      <c r="P1306" s="53"/>
      <c r="Q1306" s="53"/>
      <c r="R1306" s="53"/>
      <c r="S1306" s="53"/>
      <c r="T1306" s="53"/>
      <c r="U1306" s="53"/>
      <c r="V1306" s="53"/>
      <c r="W1306" s="53"/>
      <c r="X1306" s="53"/>
      <c r="Y1306" s="53"/>
      <c r="Z1306" s="53"/>
    </row>
    <row r="1307" spans="1:26" ht="15.75" customHeight="1">
      <c r="A1307" s="103"/>
      <c r="B1307" s="103"/>
      <c r="C1307" s="104" t="e">
        <v>#REF!</v>
      </c>
      <c r="D1307" s="103"/>
      <c r="E1307" s="53"/>
      <c r="F1307" s="53"/>
      <c r="G1307" s="53"/>
      <c r="H1307" s="53"/>
      <c r="I1307" s="53"/>
      <c r="J1307" s="53"/>
      <c r="K1307" s="53"/>
      <c r="L1307" s="53"/>
      <c r="M1307" s="53"/>
      <c r="N1307" s="53"/>
      <c r="O1307" s="53"/>
      <c r="P1307" s="53"/>
      <c r="Q1307" s="53"/>
      <c r="R1307" s="53"/>
      <c r="S1307" s="53"/>
      <c r="T1307" s="53"/>
      <c r="U1307" s="53"/>
      <c r="V1307" s="53"/>
      <c r="W1307" s="53"/>
      <c r="X1307" s="53"/>
      <c r="Y1307" s="53"/>
      <c r="Z1307" s="53"/>
    </row>
    <row r="1308" spans="1:26" ht="15.75" customHeight="1">
      <c r="A1308" s="103"/>
      <c r="B1308" s="103"/>
      <c r="C1308" s="104" t="e">
        <v>#REF!</v>
      </c>
      <c r="D1308" s="10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</row>
    <row r="1309" spans="1:26" ht="15.75" customHeight="1">
      <c r="A1309" s="103"/>
      <c r="B1309" s="103"/>
      <c r="C1309" s="104" t="e">
        <v>#REF!</v>
      </c>
      <c r="D1309" s="103"/>
      <c r="E1309" s="53"/>
      <c r="F1309" s="53"/>
      <c r="G1309" s="53"/>
      <c r="H1309" s="53"/>
      <c r="I1309" s="53"/>
      <c r="J1309" s="53"/>
      <c r="K1309" s="53"/>
      <c r="L1309" s="53"/>
      <c r="M1309" s="53"/>
      <c r="N1309" s="53"/>
      <c r="O1309" s="53"/>
      <c r="P1309" s="53"/>
      <c r="Q1309" s="53"/>
      <c r="R1309" s="53"/>
      <c r="S1309" s="53"/>
      <c r="T1309" s="53"/>
      <c r="U1309" s="53"/>
      <c r="V1309" s="53"/>
      <c r="W1309" s="53"/>
      <c r="X1309" s="53"/>
      <c r="Y1309" s="53"/>
      <c r="Z1309" s="53"/>
    </row>
    <row r="1310" spans="1:26" ht="15.75" customHeight="1">
      <c r="A1310" s="103"/>
      <c r="B1310" s="103"/>
      <c r="C1310" s="104" t="e">
        <v>#REF!</v>
      </c>
      <c r="D1310" s="103"/>
      <c r="E1310" s="53"/>
      <c r="F1310" s="53"/>
      <c r="G1310" s="53"/>
      <c r="H1310" s="53"/>
      <c r="I1310" s="53"/>
      <c r="J1310" s="53"/>
      <c r="K1310" s="53"/>
      <c r="L1310" s="53"/>
      <c r="M1310" s="53"/>
      <c r="N1310" s="53"/>
      <c r="O1310" s="53"/>
      <c r="P1310" s="53"/>
      <c r="Q1310" s="53"/>
      <c r="R1310" s="53"/>
      <c r="S1310" s="53"/>
      <c r="T1310" s="53"/>
      <c r="U1310" s="53"/>
      <c r="V1310" s="53"/>
      <c r="W1310" s="53"/>
      <c r="X1310" s="53"/>
      <c r="Y1310" s="53"/>
      <c r="Z1310" s="53"/>
    </row>
    <row r="1311" spans="1:26" ht="15.75" customHeight="1">
      <c r="A1311" s="103"/>
      <c r="B1311" s="103"/>
      <c r="C1311" s="104" t="e">
        <v>#REF!</v>
      </c>
      <c r="D1311" s="103"/>
      <c r="E1311" s="53"/>
      <c r="F1311" s="53"/>
      <c r="G1311" s="53"/>
      <c r="H1311" s="53"/>
      <c r="I1311" s="53"/>
      <c r="J1311" s="53"/>
      <c r="K1311" s="53"/>
      <c r="L1311" s="53"/>
      <c r="M1311" s="53"/>
      <c r="N1311" s="53"/>
      <c r="O1311" s="53"/>
      <c r="P1311" s="53"/>
      <c r="Q1311" s="53"/>
      <c r="R1311" s="53"/>
      <c r="S1311" s="53"/>
      <c r="T1311" s="53"/>
      <c r="U1311" s="53"/>
      <c r="V1311" s="53"/>
      <c r="W1311" s="53"/>
      <c r="X1311" s="53"/>
      <c r="Y1311" s="53"/>
      <c r="Z1311" s="53"/>
    </row>
    <row r="1312" spans="1:26" ht="15.75" customHeight="1">
      <c r="A1312" s="103"/>
      <c r="B1312" s="103"/>
      <c r="C1312" s="104" t="e">
        <v>#REF!</v>
      </c>
      <c r="D1312" s="103"/>
      <c r="E1312" s="53"/>
      <c r="F1312" s="53"/>
      <c r="G1312" s="53"/>
      <c r="H1312" s="53"/>
      <c r="I1312" s="53"/>
      <c r="J1312" s="53"/>
      <c r="K1312" s="53"/>
      <c r="L1312" s="53"/>
      <c r="M1312" s="53"/>
      <c r="N1312" s="53"/>
      <c r="O1312" s="53"/>
      <c r="P1312" s="53"/>
      <c r="Q1312" s="53"/>
      <c r="R1312" s="53"/>
      <c r="S1312" s="53"/>
      <c r="T1312" s="53"/>
      <c r="U1312" s="53"/>
      <c r="V1312" s="53"/>
      <c r="W1312" s="53"/>
      <c r="X1312" s="53"/>
      <c r="Y1312" s="53"/>
      <c r="Z1312" s="53"/>
    </row>
    <row r="1313" spans="1:26" ht="15.75" customHeight="1">
      <c r="A1313" s="103"/>
      <c r="B1313" s="103"/>
      <c r="C1313" s="104" t="e">
        <v>#REF!</v>
      </c>
      <c r="D1313" s="10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53"/>
      <c r="T1313" s="53"/>
      <c r="U1313" s="53"/>
      <c r="V1313" s="53"/>
      <c r="W1313" s="53"/>
      <c r="X1313" s="53"/>
      <c r="Y1313" s="53"/>
      <c r="Z1313" s="53"/>
    </row>
    <row r="1314" spans="1:26" ht="15.75" customHeight="1">
      <c r="A1314" s="103"/>
      <c r="B1314" s="103"/>
      <c r="C1314" s="104" t="e">
        <v>#REF!</v>
      </c>
      <c r="D1314" s="103"/>
      <c r="E1314" s="53"/>
      <c r="F1314" s="53"/>
      <c r="G1314" s="53"/>
      <c r="H1314" s="53"/>
      <c r="I1314" s="53"/>
      <c r="J1314" s="53"/>
      <c r="K1314" s="53"/>
      <c r="L1314" s="53"/>
      <c r="M1314" s="53"/>
      <c r="N1314" s="53"/>
      <c r="O1314" s="53"/>
      <c r="P1314" s="53"/>
      <c r="Q1314" s="53"/>
      <c r="R1314" s="53"/>
      <c r="S1314" s="53"/>
      <c r="T1314" s="53"/>
      <c r="U1314" s="53"/>
      <c r="V1314" s="53"/>
      <c r="W1314" s="53"/>
      <c r="X1314" s="53"/>
      <c r="Y1314" s="53"/>
      <c r="Z1314" s="53"/>
    </row>
    <row r="1315" spans="1:26" ht="15.75" customHeight="1">
      <c r="A1315" s="103"/>
      <c r="B1315" s="103"/>
      <c r="C1315" s="104" t="e">
        <v>#REF!</v>
      </c>
      <c r="D1315" s="103"/>
      <c r="E1315" s="53"/>
      <c r="F1315" s="53"/>
      <c r="G1315" s="53"/>
      <c r="H1315" s="53"/>
      <c r="I1315" s="53"/>
      <c r="J1315" s="53"/>
      <c r="K1315" s="53"/>
      <c r="L1315" s="53"/>
      <c r="M1315" s="53"/>
      <c r="N1315" s="53"/>
      <c r="O1315" s="53"/>
      <c r="P1315" s="53"/>
      <c r="Q1315" s="53"/>
      <c r="R1315" s="53"/>
      <c r="S1315" s="53"/>
      <c r="T1315" s="53"/>
      <c r="U1315" s="53"/>
      <c r="V1315" s="53"/>
      <c r="W1315" s="53"/>
      <c r="X1315" s="53"/>
      <c r="Y1315" s="53"/>
      <c r="Z1315" s="53"/>
    </row>
    <row r="1316" spans="1:26" ht="15.75" customHeight="1">
      <c r="A1316" s="103"/>
      <c r="B1316" s="103"/>
      <c r="C1316" s="104" t="e">
        <v>#REF!</v>
      </c>
      <c r="D1316" s="103"/>
      <c r="E1316" s="53"/>
      <c r="F1316" s="53"/>
      <c r="G1316" s="53"/>
      <c r="H1316" s="53"/>
      <c r="I1316" s="53"/>
      <c r="J1316" s="53"/>
      <c r="K1316" s="53"/>
      <c r="L1316" s="53"/>
      <c r="M1316" s="53"/>
      <c r="N1316" s="53"/>
      <c r="O1316" s="53"/>
      <c r="P1316" s="53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</row>
    <row r="1317" spans="1:26" ht="15.75" customHeight="1">
      <c r="A1317" s="103"/>
      <c r="B1317" s="103"/>
      <c r="C1317" s="104" t="e">
        <v>#REF!</v>
      </c>
      <c r="D1317" s="103"/>
      <c r="E1317" s="53"/>
      <c r="F1317" s="53"/>
      <c r="G1317" s="53"/>
      <c r="H1317" s="53"/>
      <c r="I1317" s="53"/>
      <c r="J1317" s="53"/>
      <c r="K1317" s="53"/>
      <c r="L1317" s="53"/>
      <c r="M1317" s="53"/>
      <c r="N1317" s="53"/>
      <c r="O1317" s="53"/>
      <c r="P1317" s="53"/>
      <c r="Q1317" s="53"/>
      <c r="R1317" s="53"/>
      <c r="S1317" s="53"/>
      <c r="T1317" s="53"/>
      <c r="U1317" s="53"/>
      <c r="V1317" s="53"/>
      <c r="W1317" s="53"/>
      <c r="X1317" s="53"/>
      <c r="Y1317" s="53"/>
      <c r="Z1317" s="53"/>
    </row>
    <row r="1318" spans="1:26" ht="15.75" customHeight="1">
      <c r="A1318" s="103"/>
      <c r="B1318" s="103"/>
      <c r="C1318" s="104" t="e">
        <v>#REF!</v>
      </c>
      <c r="D1318" s="103"/>
      <c r="E1318" s="53"/>
      <c r="F1318" s="53"/>
      <c r="G1318" s="53"/>
      <c r="H1318" s="53"/>
      <c r="I1318" s="53"/>
      <c r="J1318" s="53"/>
      <c r="K1318" s="53"/>
      <c r="L1318" s="53"/>
      <c r="M1318" s="53"/>
      <c r="N1318" s="53"/>
      <c r="O1318" s="53"/>
      <c r="P1318" s="53"/>
      <c r="Q1318" s="53"/>
      <c r="R1318" s="53"/>
      <c r="S1318" s="53"/>
      <c r="T1318" s="53"/>
      <c r="U1318" s="53"/>
      <c r="V1318" s="53"/>
      <c r="W1318" s="53"/>
      <c r="X1318" s="53"/>
      <c r="Y1318" s="53"/>
      <c r="Z1318" s="53"/>
    </row>
    <row r="1319" spans="1:26" ht="15.75" customHeight="1">
      <c r="A1319" s="103"/>
      <c r="B1319" s="103"/>
      <c r="C1319" s="104" t="e">
        <v>#REF!</v>
      </c>
      <c r="D1319" s="103"/>
      <c r="E1319" s="53"/>
      <c r="F1319" s="53"/>
      <c r="G1319" s="53"/>
      <c r="H1319" s="53"/>
      <c r="I1319" s="53"/>
      <c r="J1319" s="53"/>
      <c r="K1319" s="53"/>
      <c r="L1319" s="53"/>
      <c r="M1319" s="53"/>
      <c r="N1319" s="53"/>
      <c r="O1319" s="53"/>
      <c r="P1319" s="53"/>
      <c r="Q1319" s="53"/>
      <c r="R1319" s="53"/>
      <c r="S1319" s="53"/>
      <c r="T1319" s="53"/>
      <c r="U1319" s="53"/>
      <c r="V1319" s="53"/>
      <c r="W1319" s="53"/>
      <c r="X1319" s="53"/>
      <c r="Y1319" s="53"/>
      <c r="Z1319" s="53"/>
    </row>
    <row r="1320" spans="1:26" ht="15.75" customHeight="1">
      <c r="A1320" s="103"/>
      <c r="B1320" s="103"/>
      <c r="C1320" s="104" t="e">
        <v>#REF!</v>
      </c>
      <c r="D1320" s="103"/>
      <c r="E1320" s="53"/>
      <c r="F1320" s="53"/>
      <c r="G1320" s="53"/>
      <c r="H1320" s="53"/>
      <c r="I1320" s="53"/>
      <c r="J1320" s="53"/>
      <c r="K1320" s="53"/>
      <c r="L1320" s="53"/>
      <c r="M1320" s="53"/>
      <c r="N1320" s="53"/>
      <c r="O1320" s="53"/>
      <c r="P1320" s="53"/>
      <c r="Q1320" s="53"/>
      <c r="R1320" s="53"/>
      <c r="S1320" s="53"/>
      <c r="T1320" s="53"/>
      <c r="U1320" s="53"/>
      <c r="V1320" s="53"/>
      <c r="W1320" s="53"/>
      <c r="X1320" s="53"/>
      <c r="Y1320" s="53"/>
      <c r="Z1320" s="53"/>
    </row>
    <row r="1321" spans="1:26" ht="15.75" customHeight="1">
      <c r="A1321" s="103"/>
      <c r="B1321" s="103"/>
      <c r="C1321" s="104" t="e">
        <v>#REF!</v>
      </c>
      <c r="D1321" s="103"/>
      <c r="E1321" s="53"/>
      <c r="F1321" s="53"/>
      <c r="G1321" s="53"/>
      <c r="H1321" s="53"/>
      <c r="I1321" s="53"/>
      <c r="J1321" s="53"/>
      <c r="K1321" s="53"/>
      <c r="L1321" s="53"/>
      <c r="M1321" s="53"/>
      <c r="N1321" s="53"/>
      <c r="O1321" s="53"/>
      <c r="P1321" s="53"/>
      <c r="Q1321" s="53"/>
      <c r="R1321" s="53"/>
      <c r="S1321" s="53"/>
      <c r="T1321" s="53"/>
      <c r="U1321" s="53"/>
      <c r="V1321" s="53"/>
      <c r="W1321" s="53"/>
      <c r="X1321" s="53"/>
      <c r="Y1321" s="53"/>
      <c r="Z1321" s="53"/>
    </row>
    <row r="1322" spans="1:26" ht="15.75" customHeight="1">
      <c r="A1322" s="103"/>
      <c r="B1322" s="103"/>
      <c r="C1322" s="104" t="e">
        <v>#REF!</v>
      </c>
      <c r="D1322" s="103"/>
      <c r="E1322" s="53"/>
      <c r="F1322" s="53"/>
      <c r="G1322" s="53"/>
      <c r="H1322" s="53"/>
      <c r="I1322" s="53"/>
      <c r="J1322" s="53"/>
      <c r="K1322" s="53"/>
      <c r="L1322" s="53"/>
      <c r="M1322" s="53"/>
      <c r="N1322" s="53"/>
      <c r="O1322" s="53"/>
      <c r="P1322" s="53"/>
      <c r="Q1322" s="53"/>
      <c r="R1322" s="53"/>
      <c r="S1322" s="53"/>
      <c r="T1322" s="53"/>
      <c r="U1322" s="53"/>
      <c r="V1322" s="53"/>
      <c r="W1322" s="53"/>
      <c r="X1322" s="53"/>
      <c r="Y1322" s="53"/>
      <c r="Z1322" s="53"/>
    </row>
    <row r="1323" spans="1:26" ht="15.75" customHeight="1">
      <c r="A1323" s="103"/>
      <c r="B1323" s="103"/>
      <c r="C1323" s="104" t="e">
        <v>#REF!</v>
      </c>
      <c r="D1323" s="103"/>
      <c r="E1323" s="53"/>
      <c r="F1323" s="53"/>
      <c r="G1323" s="53"/>
      <c r="H1323" s="53"/>
      <c r="I1323" s="53"/>
      <c r="J1323" s="53"/>
      <c r="K1323" s="53"/>
      <c r="L1323" s="53"/>
      <c r="M1323" s="53"/>
      <c r="N1323" s="53"/>
      <c r="O1323" s="53"/>
      <c r="P1323" s="53"/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</row>
    <row r="1324" spans="1:26" ht="15.75" customHeight="1">
      <c r="A1324" s="103"/>
      <c r="B1324" s="103"/>
      <c r="C1324" s="104" t="e">
        <v>#REF!</v>
      </c>
      <c r="D1324" s="103"/>
      <c r="E1324" s="53"/>
      <c r="F1324" s="53"/>
      <c r="G1324" s="53"/>
      <c r="H1324" s="53"/>
      <c r="I1324" s="53"/>
      <c r="J1324" s="53"/>
      <c r="K1324" s="53"/>
      <c r="L1324" s="53"/>
      <c r="M1324" s="53"/>
      <c r="N1324" s="53"/>
      <c r="O1324" s="53"/>
      <c r="P1324" s="53"/>
      <c r="Q1324" s="53"/>
      <c r="R1324" s="53"/>
      <c r="S1324" s="53"/>
      <c r="T1324" s="53"/>
      <c r="U1324" s="53"/>
      <c r="V1324" s="53"/>
      <c r="W1324" s="53"/>
      <c r="X1324" s="53"/>
      <c r="Y1324" s="53"/>
      <c r="Z1324" s="53"/>
    </row>
    <row r="1325" spans="1:26" ht="15.75" customHeight="1">
      <c r="A1325" s="103"/>
      <c r="B1325" s="103"/>
      <c r="C1325" s="104" t="e">
        <v>#REF!</v>
      </c>
      <c r="D1325" s="103"/>
      <c r="E1325" s="53"/>
      <c r="F1325" s="53"/>
      <c r="G1325" s="53"/>
      <c r="H1325" s="53"/>
      <c r="I1325" s="53"/>
      <c r="J1325" s="53"/>
      <c r="K1325" s="53"/>
      <c r="L1325" s="53"/>
      <c r="M1325" s="53"/>
      <c r="N1325" s="53"/>
      <c r="O1325" s="53"/>
      <c r="P1325" s="53"/>
      <c r="Q1325" s="53"/>
      <c r="R1325" s="53"/>
      <c r="S1325" s="53"/>
      <c r="T1325" s="53"/>
      <c r="U1325" s="53"/>
      <c r="V1325" s="53"/>
      <c r="W1325" s="53"/>
      <c r="X1325" s="53"/>
      <c r="Y1325" s="53"/>
      <c r="Z1325" s="53"/>
    </row>
    <row r="1326" spans="1:26" ht="15.75" customHeight="1">
      <c r="A1326" s="103"/>
      <c r="B1326" s="103"/>
      <c r="C1326" s="104" t="e">
        <v>#REF!</v>
      </c>
      <c r="D1326" s="103"/>
      <c r="E1326" s="53"/>
      <c r="F1326" s="53"/>
      <c r="G1326" s="53"/>
      <c r="H1326" s="53"/>
      <c r="I1326" s="53"/>
      <c r="J1326" s="53"/>
      <c r="K1326" s="53"/>
      <c r="L1326" s="53"/>
      <c r="M1326" s="53"/>
      <c r="N1326" s="53"/>
      <c r="O1326" s="53"/>
      <c r="P1326" s="53"/>
      <c r="Q1326" s="53"/>
      <c r="R1326" s="53"/>
      <c r="S1326" s="53"/>
      <c r="T1326" s="53"/>
      <c r="U1326" s="53"/>
      <c r="V1326" s="53"/>
      <c r="W1326" s="53"/>
      <c r="X1326" s="53"/>
      <c r="Y1326" s="53"/>
      <c r="Z1326" s="53"/>
    </row>
    <row r="1327" spans="1:26" ht="15.75" customHeight="1">
      <c r="A1327" s="103"/>
      <c r="B1327" s="103"/>
      <c r="C1327" s="104" t="e">
        <v>#REF!</v>
      </c>
      <c r="D1327" s="103"/>
      <c r="E1327" s="53"/>
      <c r="F1327" s="53"/>
      <c r="G1327" s="53"/>
      <c r="H1327" s="53"/>
      <c r="I1327" s="53"/>
      <c r="J1327" s="53"/>
      <c r="K1327" s="53"/>
      <c r="L1327" s="53"/>
      <c r="M1327" s="53"/>
      <c r="N1327" s="53"/>
      <c r="O1327" s="53"/>
      <c r="P1327" s="53"/>
      <c r="Q1327" s="53"/>
      <c r="R1327" s="53"/>
      <c r="S1327" s="53"/>
      <c r="T1327" s="53"/>
      <c r="U1327" s="53"/>
      <c r="V1327" s="53"/>
      <c r="W1327" s="53"/>
      <c r="X1327" s="53"/>
      <c r="Y1327" s="53"/>
      <c r="Z1327" s="53"/>
    </row>
    <row r="1328" spans="1:26" ht="15.75" customHeight="1">
      <c r="A1328" s="103"/>
      <c r="B1328" s="103"/>
      <c r="C1328" s="104" t="e">
        <v>#REF!</v>
      </c>
      <c r="D1328" s="103"/>
      <c r="E1328" s="53"/>
      <c r="F1328" s="53"/>
      <c r="G1328" s="53"/>
      <c r="H1328" s="53"/>
      <c r="I1328" s="53"/>
      <c r="J1328" s="53"/>
      <c r="K1328" s="53"/>
      <c r="L1328" s="53"/>
      <c r="M1328" s="53"/>
      <c r="N1328" s="53"/>
      <c r="O1328" s="53"/>
      <c r="P1328" s="53"/>
      <c r="Q1328" s="53"/>
      <c r="R1328" s="53"/>
      <c r="S1328" s="53"/>
      <c r="T1328" s="53"/>
      <c r="U1328" s="53"/>
      <c r="V1328" s="53"/>
      <c r="W1328" s="53"/>
      <c r="X1328" s="53"/>
      <c r="Y1328" s="53"/>
      <c r="Z1328" s="53"/>
    </row>
    <row r="1329" spans="1:26" ht="15.75" customHeight="1">
      <c r="A1329" s="103"/>
      <c r="B1329" s="103"/>
      <c r="C1329" s="104" t="e">
        <v>#REF!</v>
      </c>
      <c r="D1329" s="103"/>
      <c r="E1329" s="53"/>
      <c r="F1329" s="53"/>
      <c r="G1329" s="53"/>
      <c r="H1329" s="53"/>
      <c r="I1329" s="53"/>
      <c r="J1329" s="53"/>
      <c r="K1329" s="53"/>
      <c r="L1329" s="53"/>
      <c r="M1329" s="53"/>
      <c r="N1329" s="53"/>
      <c r="O1329" s="53"/>
      <c r="P1329" s="53"/>
      <c r="Q1329" s="53"/>
      <c r="R1329" s="53"/>
      <c r="S1329" s="53"/>
      <c r="T1329" s="53"/>
      <c r="U1329" s="53"/>
      <c r="V1329" s="53"/>
      <c r="W1329" s="53"/>
      <c r="X1329" s="53"/>
      <c r="Y1329" s="53"/>
      <c r="Z1329" s="53"/>
    </row>
    <row r="1330" spans="1:26" ht="15.75" customHeight="1">
      <c r="A1330" s="103"/>
      <c r="B1330" s="103"/>
      <c r="C1330" s="104" t="e">
        <v>#REF!</v>
      </c>
      <c r="D1330" s="103"/>
      <c r="E1330" s="53"/>
      <c r="F1330" s="53"/>
      <c r="G1330" s="53"/>
      <c r="H1330" s="53"/>
      <c r="I1330" s="53"/>
      <c r="J1330" s="53"/>
      <c r="K1330" s="53"/>
      <c r="L1330" s="53"/>
      <c r="M1330" s="53"/>
      <c r="N1330" s="53"/>
      <c r="O1330" s="53"/>
      <c r="P1330" s="53"/>
      <c r="Q1330" s="53"/>
      <c r="R1330" s="53"/>
      <c r="S1330" s="53"/>
      <c r="T1330" s="53"/>
      <c r="U1330" s="53"/>
      <c r="V1330" s="53"/>
      <c r="W1330" s="53"/>
      <c r="X1330" s="53"/>
      <c r="Y1330" s="53"/>
      <c r="Z1330" s="53"/>
    </row>
    <row r="1331" spans="1:26" ht="15.75" customHeight="1">
      <c r="A1331" s="103"/>
      <c r="B1331" s="103"/>
      <c r="C1331" s="104" t="e">
        <v>#REF!</v>
      </c>
      <c r="D1331" s="103"/>
      <c r="E1331" s="53"/>
      <c r="F1331" s="53"/>
      <c r="G1331" s="53"/>
      <c r="H1331" s="53"/>
      <c r="I1331" s="53"/>
      <c r="J1331" s="53"/>
      <c r="K1331" s="53"/>
      <c r="L1331" s="53"/>
      <c r="M1331" s="53"/>
      <c r="N1331" s="53"/>
      <c r="O1331" s="53"/>
      <c r="P1331" s="53"/>
      <c r="Q1331" s="53"/>
      <c r="R1331" s="53"/>
      <c r="S1331" s="53"/>
      <c r="T1331" s="53"/>
      <c r="U1331" s="53"/>
      <c r="V1331" s="53"/>
      <c r="W1331" s="53"/>
      <c r="X1331" s="53"/>
      <c r="Y1331" s="53"/>
      <c r="Z1331" s="53"/>
    </row>
    <row r="1332" spans="1:26" ht="15.75" customHeight="1">
      <c r="A1332" s="103"/>
      <c r="B1332" s="103"/>
      <c r="C1332" s="104" t="e">
        <v>#REF!</v>
      </c>
      <c r="D1332" s="103"/>
      <c r="E1332" s="53"/>
      <c r="F1332" s="53"/>
      <c r="G1332" s="53"/>
      <c r="H1332" s="53"/>
      <c r="I1332" s="53"/>
      <c r="J1332" s="53"/>
      <c r="K1332" s="53"/>
      <c r="L1332" s="53"/>
      <c r="M1332" s="53"/>
      <c r="N1332" s="53"/>
      <c r="O1332" s="53"/>
      <c r="P1332" s="53"/>
      <c r="Q1332" s="53"/>
      <c r="R1332" s="53"/>
      <c r="S1332" s="53"/>
      <c r="T1332" s="53"/>
      <c r="U1332" s="53"/>
      <c r="V1332" s="53"/>
      <c r="W1332" s="53"/>
      <c r="X1332" s="53"/>
      <c r="Y1332" s="53"/>
      <c r="Z1332" s="53"/>
    </row>
    <row r="1333" spans="1:26" ht="15.75" customHeight="1">
      <c r="A1333" s="103"/>
      <c r="B1333" s="103"/>
      <c r="C1333" s="104" t="e">
        <v>#REF!</v>
      </c>
      <c r="D1333" s="103"/>
      <c r="E1333" s="53"/>
      <c r="F1333" s="53"/>
      <c r="G1333" s="53"/>
      <c r="H1333" s="53"/>
      <c r="I1333" s="53"/>
      <c r="J1333" s="53"/>
      <c r="K1333" s="53"/>
      <c r="L1333" s="53"/>
      <c r="M1333" s="53"/>
      <c r="N1333" s="53"/>
      <c r="O1333" s="53"/>
      <c r="P1333" s="53"/>
      <c r="Q1333" s="53"/>
      <c r="R1333" s="53"/>
      <c r="S1333" s="53"/>
      <c r="T1333" s="53"/>
      <c r="U1333" s="53"/>
      <c r="V1333" s="53"/>
      <c r="W1333" s="53"/>
      <c r="X1333" s="53"/>
      <c r="Y1333" s="53"/>
      <c r="Z1333" s="53"/>
    </row>
    <row r="1334" spans="1:26" ht="15.75" customHeight="1">
      <c r="A1334" s="103"/>
      <c r="B1334" s="103"/>
      <c r="C1334" s="104" t="e">
        <v>#REF!</v>
      </c>
      <c r="D1334" s="103"/>
      <c r="E1334" s="53"/>
      <c r="F1334" s="53"/>
      <c r="G1334" s="53"/>
      <c r="H1334" s="53"/>
      <c r="I1334" s="53"/>
      <c r="J1334" s="53"/>
      <c r="K1334" s="53"/>
      <c r="L1334" s="53"/>
      <c r="M1334" s="53"/>
      <c r="N1334" s="53"/>
      <c r="O1334" s="53"/>
      <c r="P1334" s="53"/>
      <c r="Q1334" s="53"/>
      <c r="R1334" s="53"/>
      <c r="S1334" s="53"/>
      <c r="T1334" s="53"/>
      <c r="U1334" s="53"/>
      <c r="V1334" s="53"/>
      <c r="W1334" s="53"/>
      <c r="X1334" s="53"/>
      <c r="Y1334" s="53"/>
      <c r="Z1334" s="53"/>
    </row>
    <row r="1335" spans="1:26" ht="15.75" customHeight="1">
      <c r="A1335" s="103"/>
      <c r="B1335" s="103"/>
      <c r="C1335" s="104" t="e">
        <v>#REF!</v>
      </c>
      <c r="D1335" s="103"/>
      <c r="E1335" s="53"/>
      <c r="F1335" s="53"/>
      <c r="G1335" s="53"/>
      <c r="H1335" s="53"/>
      <c r="I1335" s="53"/>
      <c r="J1335" s="53"/>
      <c r="K1335" s="53"/>
      <c r="L1335" s="53"/>
      <c r="M1335" s="53"/>
      <c r="N1335" s="53"/>
      <c r="O1335" s="53"/>
      <c r="P1335" s="53"/>
      <c r="Q1335" s="53"/>
      <c r="R1335" s="53"/>
      <c r="S1335" s="53"/>
      <c r="T1335" s="53"/>
      <c r="U1335" s="53"/>
      <c r="V1335" s="53"/>
      <c r="W1335" s="53"/>
      <c r="X1335" s="53"/>
      <c r="Y1335" s="53"/>
      <c r="Z1335" s="53"/>
    </row>
    <row r="1336" spans="1:26" ht="15.75" customHeight="1">
      <c r="A1336" s="103"/>
      <c r="B1336" s="103"/>
      <c r="C1336" s="104" t="e">
        <v>#REF!</v>
      </c>
      <c r="D1336" s="103"/>
      <c r="E1336" s="53"/>
      <c r="F1336" s="53"/>
      <c r="G1336" s="53"/>
      <c r="H1336" s="53"/>
      <c r="I1336" s="53"/>
      <c r="J1336" s="53"/>
      <c r="K1336" s="53"/>
      <c r="L1336" s="53"/>
      <c r="M1336" s="53"/>
      <c r="N1336" s="53"/>
      <c r="O1336" s="53"/>
      <c r="P1336" s="53"/>
      <c r="Q1336" s="53"/>
      <c r="R1336" s="53"/>
      <c r="S1336" s="53"/>
      <c r="T1336" s="53"/>
      <c r="U1336" s="53"/>
      <c r="V1336" s="53"/>
      <c r="W1336" s="53"/>
      <c r="X1336" s="53"/>
      <c r="Y1336" s="53"/>
      <c r="Z1336" s="53"/>
    </row>
    <row r="1337" spans="1:26" ht="15.75" customHeight="1">
      <c r="A1337" s="103"/>
      <c r="B1337" s="103"/>
      <c r="C1337" s="104" t="e">
        <v>#REF!</v>
      </c>
      <c r="D1337" s="103"/>
      <c r="E1337" s="53"/>
      <c r="F1337" s="53"/>
      <c r="G1337" s="53"/>
      <c r="H1337" s="53"/>
      <c r="I1337" s="53"/>
      <c r="J1337" s="53"/>
      <c r="K1337" s="53"/>
      <c r="L1337" s="53"/>
      <c r="M1337" s="53"/>
      <c r="N1337" s="53"/>
      <c r="O1337" s="53"/>
      <c r="P1337" s="53"/>
      <c r="Q1337" s="53"/>
      <c r="R1337" s="53"/>
      <c r="S1337" s="53"/>
      <c r="T1337" s="53"/>
      <c r="U1337" s="53"/>
      <c r="V1337" s="53"/>
      <c r="W1337" s="53"/>
      <c r="X1337" s="53"/>
      <c r="Y1337" s="53"/>
      <c r="Z1337" s="53"/>
    </row>
    <row r="1338" spans="1:26" ht="15.75" customHeight="1">
      <c r="A1338" s="103"/>
      <c r="B1338" s="103"/>
      <c r="C1338" s="104" t="e">
        <v>#REF!</v>
      </c>
      <c r="D1338" s="103"/>
      <c r="E1338" s="53"/>
      <c r="F1338" s="53"/>
      <c r="G1338" s="53"/>
      <c r="H1338" s="53"/>
      <c r="I1338" s="53"/>
      <c r="J1338" s="53"/>
      <c r="K1338" s="53"/>
      <c r="L1338" s="53"/>
      <c r="M1338" s="53"/>
      <c r="N1338" s="53"/>
      <c r="O1338" s="53"/>
      <c r="P1338" s="53"/>
      <c r="Q1338" s="53"/>
      <c r="R1338" s="53"/>
      <c r="S1338" s="53"/>
      <c r="T1338" s="53"/>
      <c r="U1338" s="53"/>
      <c r="V1338" s="53"/>
      <c r="W1338" s="53"/>
      <c r="X1338" s="53"/>
      <c r="Y1338" s="53"/>
      <c r="Z1338" s="53"/>
    </row>
    <row r="1339" spans="1:26" ht="15.75" customHeight="1">
      <c r="A1339" s="103"/>
      <c r="B1339" s="103"/>
      <c r="C1339" s="104" t="e">
        <v>#REF!</v>
      </c>
      <c r="D1339" s="103"/>
      <c r="E1339" s="53"/>
      <c r="F1339" s="53"/>
      <c r="G1339" s="53"/>
      <c r="H1339" s="53"/>
      <c r="I1339" s="53"/>
      <c r="J1339" s="53"/>
      <c r="K1339" s="53"/>
      <c r="L1339" s="53"/>
      <c r="M1339" s="53"/>
      <c r="N1339" s="53"/>
      <c r="O1339" s="53"/>
      <c r="P1339" s="53"/>
      <c r="Q1339" s="53"/>
      <c r="R1339" s="53"/>
      <c r="S1339" s="53"/>
      <c r="T1339" s="53"/>
      <c r="U1339" s="53"/>
      <c r="V1339" s="53"/>
      <c r="W1339" s="53"/>
      <c r="X1339" s="53"/>
      <c r="Y1339" s="53"/>
      <c r="Z1339" s="53"/>
    </row>
    <row r="1340" spans="1:26" ht="15.75" customHeight="1">
      <c r="A1340" s="103"/>
      <c r="B1340" s="103"/>
      <c r="C1340" s="104" t="e">
        <v>#REF!</v>
      </c>
      <c r="D1340" s="103"/>
      <c r="E1340" s="53"/>
      <c r="F1340" s="53"/>
      <c r="G1340" s="53"/>
      <c r="H1340" s="53"/>
      <c r="I1340" s="53"/>
      <c r="J1340" s="53"/>
      <c r="K1340" s="53"/>
      <c r="L1340" s="53"/>
      <c r="M1340" s="53"/>
      <c r="N1340" s="53"/>
      <c r="O1340" s="53"/>
      <c r="P1340" s="53"/>
      <c r="Q1340" s="53"/>
      <c r="R1340" s="53"/>
      <c r="S1340" s="53"/>
      <c r="T1340" s="53"/>
      <c r="U1340" s="53"/>
      <c r="V1340" s="53"/>
      <c r="W1340" s="53"/>
      <c r="X1340" s="53"/>
      <c r="Y1340" s="53"/>
      <c r="Z1340" s="53"/>
    </row>
    <row r="1341" spans="1:26" ht="15.75" customHeight="1">
      <c r="A1341" s="103"/>
      <c r="B1341" s="103"/>
      <c r="C1341" s="104" t="e">
        <v>#REF!</v>
      </c>
      <c r="D1341" s="103"/>
      <c r="E1341" s="53"/>
      <c r="F1341" s="53"/>
      <c r="G1341" s="53"/>
      <c r="H1341" s="53"/>
      <c r="I1341" s="53"/>
      <c r="J1341" s="53"/>
      <c r="K1341" s="53"/>
      <c r="L1341" s="53"/>
      <c r="M1341" s="53"/>
      <c r="N1341" s="53"/>
      <c r="O1341" s="53"/>
      <c r="P1341" s="53"/>
      <c r="Q1341" s="53"/>
      <c r="R1341" s="53"/>
      <c r="S1341" s="53"/>
      <c r="T1341" s="53"/>
      <c r="U1341" s="53"/>
      <c r="V1341" s="53"/>
      <c r="W1341" s="53"/>
      <c r="X1341" s="53"/>
      <c r="Y1341" s="53"/>
      <c r="Z1341" s="53"/>
    </row>
    <row r="1342" spans="1:26" ht="15.75" customHeight="1">
      <c r="A1342" s="103"/>
      <c r="B1342" s="103"/>
      <c r="C1342" s="104" t="e">
        <v>#REF!</v>
      </c>
      <c r="D1342" s="103"/>
      <c r="E1342" s="53"/>
      <c r="F1342" s="53"/>
      <c r="G1342" s="53"/>
      <c r="H1342" s="53"/>
      <c r="I1342" s="53"/>
      <c r="J1342" s="53"/>
      <c r="K1342" s="53"/>
      <c r="L1342" s="53"/>
      <c r="M1342" s="53"/>
      <c r="N1342" s="53"/>
      <c r="O1342" s="53"/>
      <c r="P1342" s="53"/>
      <c r="Q1342" s="53"/>
      <c r="R1342" s="53"/>
      <c r="S1342" s="53"/>
      <c r="T1342" s="53"/>
      <c r="U1342" s="53"/>
      <c r="V1342" s="53"/>
      <c r="W1342" s="53"/>
      <c r="X1342" s="53"/>
      <c r="Y1342" s="53"/>
      <c r="Z1342" s="53"/>
    </row>
    <row r="1343" spans="1:26" ht="15.75" customHeight="1">
      <c r="A1343" s="103"/>
      <c r="B1343" s="103"/>
      <c r="C1343" s="104" t="e">
        <v>#REF!</v>
      </c>
      <c r="D1343" s="103"/>
      <c r="E1343" s="53"/>
      <c r="F1343" s="53"/>
      <c r="G1343" s="53"/>
      <c r="H1343" s="53"/>
      <c r="I1343" s="53"/>
      <c r="J1343" s="53"/>
      <c r="K1343" s="53"/>
      <c r="L1343" s="53"/>
      <c r="M1343" s="53"/>
      <c r="N1343" s="53"/>
      <c r="O1343" s="53"/>
      <c r="P1343" s="53"/>
      <c r="Q1343" s="53"/>
      <c r="R1343" s="53"/>
      <c r="S1343" s="53"/>
      <c r="T1343" s="53"/>
      <c r="U1343" s="53"/>
      <c r="V1343" s="53"/>
      <c r="W1343" s="53"/>
      <c r="X1343" s="53"/>
      <c r="Y1343" s="53"/>
      <c r="Z1343" s="53"/>
    </row>
    <row r="1344" spans="1:26" ht="15.75" customHeight="1">
      <c r="A1344" s="103"/>
      <c r="B1344" s="103"/>
      <c r="C1344" s="104" t="e">
        <v>#REF!</v>
      </c>
      <c r="D1344" s="103"/>
      <c r="E1344" s="53"/>
      <c r="F1344" s="53"/>
      <c r="G1344" s="53"/>
      <c r="H1344" s="53"/>
      <c r="I1344" s="53"/>
      <c r="J1344" s="53"/>
      <c r="K1344" s="53"/>
      <c r="L1344" s="53"/>
      <c r="M1344" s="53"/>
      <c r="N1344" s="53"/>
      <c r="O1344" s="53"/>
      <c r="P1344" s="53"/>
      <c r="Q1344" s="53"/>
      <c r="R1344" s="53"/>
      <c r="S1344" s="53"/>
      <c r="T1344" s="53"/>
      <c r="U1344" s="53"/>
      <c r="V1344" s="53"/>
      <c r="W1344" s="53"/>
      <c r="X1344" s="53"/>
      <c r="Y1344" s="53"/>
      <c r="Z1344" s="53"/>
    </row>
    <row r="1345" spans="1:26" ht="15.75" customHeight="1">
      <c r="A1345" s="103"/>
      <c r="B1345" s="103"/>
      <c r="C1345" s="104" t="e">
        <v>#REF!</v>
      </c>
      <c r="D1345" s="103"/>
      <c r="E1345" s="53"/>
      <c r="F1345" s="53"/>
      <c r="G1345" s="53"/>
      <c r="H1345" s="53"/>
      <c r="I1345" s="53"/>
      <c r="J1345" s="53"/>
      <c r="K1345" s="53"/>
      <c r="L1345" s="53"/>
      <c r="M1345" s="53"/>
      <c r="N1345" s="53"/>
      <c r="O1345" s="53"/>
      <c r="P1345" s="53"/>
      <c r="Q1345" s="53"/>
      <c r="R1345" s="53"/>
      <c r="S1345" s="53"/>
      <c r="T1345" s="53"/>
      <c r="U1345" s="53"/>
      <c r="V1345" s="53"/>
      <c r="W1345" s="53"/>
      <c r="X1345" s="53"/>
      <c r="Y1345" s="53"/>
      <c r="Z1345" s="53"/>
    </row>
    <row r="1346" spans="1:26" ht="15.75" customHeight="1">
      <c r="A1346" s="103"/>
      <c r="B1346" s="103"/>
      <c r="C1346" s="104" t="e">
        <v>#REF!</v>
      </c>
      <c r="D1346" s="103"/>
      <c r="E1346" s="53"/>
      <c r="F1346" s="53"/>
      <c r="G1346" s="53"/>
      <c r="H1346" s="53"/>
      <c r="I1346" s="53"/>
      <c r="J1346" s="53"/>
      <c r="K1346" s="53"/>
      <c r="L1346" s="53"/>
      <c r="M1346" s="53"/>
      <c r="N1346" s="53"/>
      <c r="O1346" s="53"/>
      <c r="P1346" s="53"/>
      <c r="Q1346" s="53"/>
      <c r="R1346" s="53"/>
      <c r="S1346" s="53"/>
      <c r="T1346" s="53"/>
      <c r="U1346" s="53"/>
      <c r="V1346" s="53"/>
      <c r="W1346" s="53"/>
      <c r="X1346" s="53"/>
      <c r="Y1346" s="53"/>
      <c r="Z1346" s="53"/>
    </row>
    <row r="1347" spans="1:26" ht="15.75" customHeight="1">
      <c r="A1347" s="103"/>
      <c r="B1347" s="103"/>
      <c r="C1347" s="104" t="e">
        <v>#REF!</v>
      </c>
      <c r="D1347" s="103"/>
      <c r="E1347" s="53"/>
      <c r="F1347" s="53"/>
      <c r="G1347" s="53"/>
      <c r="H1347" s="53"/>
      <c r="I1347" s="53"/>
      <c r="J1347" s="53"/>
      <c r="K1347" s="53"/>
      <c r="L1347" s="53"/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  <c r="W1347" s="53"/>
      <c r="X1347" s="53"/>
      <c r="Y1347" s="53"/>
      <c r="Z1347" s="53"/>
    </row>
    <row r="1348" spans="1:26" ht="15.75" customHeight="1">
      <c r="A1348" s="103"/>
      <c r="B1348" s="103"/>
      <c r="C1348" s="104" t="e">
        <v>#REF!</v>
      </c>
      <c r="D1348" s="103"/>
      <c r="E1348" s="53"/>
      <c r="F1348" s="53"/>
      <c r="G1348" s="53"/>
      <c r="H1348" s="53"/>
      <c r="I1348" s="53"/>
      <c r="J1348" s="53"/>
      <c r="K1348" s="53"/>
      <c r="L1348" s="53"/>
      <c r="M1348" s="53"/>
      <c r="N1348" s="53"/>
      <c r="O1348" s="53"/>
      <c r="P1348" s="53"/>
      <c r="Q1348" s="53"/>
      <c r="R1348" s="53"/>
      <c r="S1348" s="53"/>
      <c r="T1348" s="53"/>
      <c r="U1348" s="53"/>
      <c r="V1348" s="53"/>
      <c r="W1348" s="53"/>
      <c r="X1348" s="53"/>
      <c r="Y1348" s="53"/>
      <c r="Z1348" s="53"/>
    </row>
    <row r="1349" spans="1:26" ht="15.75" customHeight="1">
      <c r="A1349" s="103"/>
      <c r="B1349" s="103"/>
      <c r="C1349" s="104" t="e">
        <v>#REF!</v>
      </c>
      <c r="D1349" s="103"/>
      <c r="E1349" s="53"/>
      <c r="F1349" s="53"/>
      <c r="G1349" s="53"/>
      <c r="H1349" s="53"/>
      <c r="I1349" s="53"/>
      <c r="J1349" s="53"/>
      <c r="K1349" s="53"/>
      <c r="L1349" s="53"/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  <c r="W1349" s="53"/>
      <c r="X1349" s="53"/>
      <c r="Y1349" s="53"/>
      <c r="Z1349" s="53"/>
    </row>
    <row r="1350" spans="1:26" ht="15.75" customHeight="1">
      <c r="A1350" s="103"/>
      <c r="B1350" s="103"/>
      <c r="C1350" s="104" t="e">
        <v>#REF!</v>
      </c>
      <c r="D1350" s="103"/>
      <c r="E1350" s="53"/>
      <c r="F1350" s="53"/>
      <c r="G1350" s="53"/>
      <c r="H1350" s="53"/>
      <c r="I1350" s="53"/>
      <c r="J1350" s="53"/>
      <c r="K1350" s="53"/>
      <c r="L1350" s="53"/>
      <c r="M1350" s="53"/>
      <c r="N1350" s="53"/>
      <c r="O1350" s="53"/>
      <c r="P1350" s="53"/>
      <c r="Q1350" s="53"/>
      <c r="R1350" s="53"/>
      <c r="S1350" s="53"/>
      <c r="T1350" s="53"/>
      <c r="U1350" s="53"/>
      <c r="V1350" s="53"/>
      <c r="W1350" s="53"/>
      <c r="X1350" s="53"/>
      <c r="Y1350" s="53"/>
      <c r="Z1350" s="53"/>
    </row>
    <row r="1351" spans="1:26" ht="15.75" customHeight="1">
      <c r="A1351" s="103"/>
      <c r="B1351" s="103"/>
      <c r="C1351" s="104" t="e">
        <v>#REF!</v>
      </c>
      <c r="D1351" s="103"/>
      <c r="E1351" s="53"/>
      <c r="F1351" s="53"/>
      <c r="G1351" s="53"/>
      <c r="H1351" s="53"/>
      <c r="I1351" s="53"/>
      <c r="J1351" s="53"/>
      <c r="K1351" s="53"/>
      <c r="L1351" s="53"/>
      <c r="M1351" s="53"/>
      <c r="N1351" s="53"/>
      <c r="O1351" s="53"/>
      <c r="P1351" s="53"/>
      <c r="Q1351" s="53"/>
      <c r="R1351" s="53"/>
      <c r="S1351" s="53"/>
      <c r="T1351" s="53"/>
      <c r="U1351" s="53"/>
      <c r="V1351" s="53"/>
      <c r="W1351" s="53"/>
      <c r="X1351" s="53"/>
      <c r="Y1351" s="53"/>
      <c r="Z1351" s="53"/>
    </row>
    <row r="1352" spans="1:26" ht="15.75" customHeight="1">
      <c r="A1352" s="103"/>
      <c r="B1352" s="103"/>
      <c r="C1352" s="104" t="e">
        <v>#REF!</v>
      </c>
      <c r="D1352" s="103"/>
      <c r="E1352" s="53"/>
      <c r="F1352" s="53"/>
      <c r="G1352" s="53"/>
      <c r="H1352" s="53"/>
      <c r="I1352" s="53"/>
      <c r="J1352" s="53"/>
      <c r="K1352" s="53"/>
      <c r="L1352" s="53"/>
      <c r="M1352" s="53"/>
      <c r="N1352" s="53"/>
      <c r="O1352" s="53"/>
      <c r="P1352" s="53"/>
      <c r="Q1352" s="53"/>
      <c r="R1352" s="53"/>
      <c r="S1352" s="53"/>
      <c r="T1352" s="53"/>
      <c r="U1352" s="53"/>
      <c r="V1352" s="53"/>
      <c r="W1352" s="53"/>
      <c r="X1352" s="53"/>
      <c r="Y1352" s="53"/>
      <c r="Z1352" s="53"/>
    </row>
    <row r="1353" spans="1:26" ht="15.75" customHeight="1">
      <c r="A1353" s="103"/>
      <c r="B1353" s="103"/>
      <c r="C1353" s="104" t="e">
        <v>#REF!</v>
      </c>
      <c r="D1353" s="103"/>
      <c r="E1353" s="53"/>
      <c r="F1353" s="53"/>
      <c r="G1353" s="53"/>
      <c r="H1353" s="53"/>
      <c r="I1353" s="53"/>
      <c r="J1353" s="53"/>
      <c r="K1353" s="53"/>
      <c r="L1353" s="53"/>
      <c r="M1353" s="53"/>
      <c r="N1353" s="53"/>
      <c r="O1353" s="53"/>
      <c r="P1353" s="53"/>
      <c r="Q1353" s="53"/>
      <c r="R1353" s="53"/>
      <c r="S1353" s="53"/>
      <c r="T1353" s="53"/>
      <c r="U1353" s="53"/>
      <c r="V1353" s="53"/>
      <c r="W1353" s="53"/>
      <c r="X1353" s="53"/>
      <c r="Y1353" s="53"/>
      <c r="Z1353" s="53"/>
    </row>
    <row r="1354" spans="1:26" ht="15.75" customHeight="1">
      <c r="A1354" s="103"/>
      <c r="B1354" s="103"/>
      <c r="C1354" s="104" t="e">
        <v>#REF!</v>
      </c>
      <c r="D1354" s="103"/>
      <c r="E1354" s="53"/>
      <c r="F1354" s="53"/>
      <c r="G1354" s="53"/>
      <c r="H1354" s="53"/>
      <c r="I1354" s="53"/>
      <c r="J1354" s="53"/>
      <c r="K1354" s="53"/>
      <c r="L1354" s="53"/>
      <c r="M1354" s="53"/>
      <c r="N1354" s="53"/>
      <c r="O1354" s="53"/>
      <c r="P1354" s="53"/>
      <c r="Q1354" s="53"/>
      <c r="R1354" s="53"/>
      <c r="S1354" s="53"/>
      <c r="T1354" s="53"/>
      <c r="U1354" s="53"/>
      <c r="V1354" s="53"/>
      <c r="W1354" s="53"/>
      <c r="X1354" s="53"/>
      <c r="Y1354" s="53"/>
      <c r="Z1354" s="53"/>
    </row>
    <row r="1355" spans="1:26" ht="15.75" customHeight="1">
      <c r="A1355" s="103"/>
      <c r="B1355" s="103"/>
      <c r="C1355" s="104" t="e">
        <v>#REF!</v>
      </c>
      <c r="D1355" s="103"/>
      <c r="E1355" s="53"/>
      <c r="F1355" s="53"/>
      <c r="G1355" s="53"/>
      <c r="H1355" s="53"/>
      <c r="I1355" s="53"/>
      <c r="J1355" s="53"/>
      <c r="K1355" s="53"/>
      <c r="L1355" s="53"/>
      <c r="M1355" s="53"/>
      <c r="N1355" s="53"/>
      <c r="O1355" s="53"/>
      <c r="P1355" s="53"/>
      <c r="Q1355" s="53"/>
      <c r="R1355" s="53"/>
      <c r="S1355" s="53"/>
      <c r="T1355" s="53"/>
      <c r="U1355" s="53"/>
      <c r="V1355" s="53"/>
      <c r="W1355" s="53"/>
      <c r="X1355" s="53"/>
      <c r="Y1355" s="53"/>
      <c r="Z1355" s="53"/>
    </row>
    <row r="1356" spans="1:26" ht="15.75" customHeight="1">
      <c r="A1356" s="103"/>
      <c r="B1356" s="103"/>
      <c r="C1356" s="104" t="e">
        <v>#REF!</v>
      </c>
      <c r="D1356" s="103"/>
      <c r="E1356" s="53"/>
      <c r="F1356" s="53"/>
      <c r="G1356" s="53"/>
      <c r="H1356" s="53"/>
      <c r="I1356" s="53"/>
      <c r="J1356" s="53"/>
      <c r="K1356" s="53"/>
      <c r="L1356" s="53"/>
      <c r="M1356" s="53"/>
      <c r="N1356" s="53"/>
      <c r="O1356" s="53"/>
      <c r="P1356" s="53"/>
      <c r="Q1356" s="53"/>
      <c r="R1356" s="53"/>
      <c r="S1356" s="53"/>
      <c r="T1356" s="53"/>
      <c r="U1356" s="53"/>
      <c r="V1356" s="53"/>
      <c r="W1356" s="53"/>
      <c r="X1356" s="53"/>
      <c r="Y1356" s="53"/>
      <c r="Z1356" s="53"/>
    </row>
    <row r="1357" spans="1:26" ht="15.75" customHeight="1">
      <c r="A1357" s="103"/>
      <c r="B1357" s="103"/>
      <c r="C1357" s="104" t="e">
        <v>#REF!</v>
      </c>
      <c r="D1357" s="103"/>
      <c r="E1357" s="53"/>
      <c r="F1357" s="53"/>
      <c r="G1357" s="53"/>
      <c r="H1357" s="53"/>
      <c r="I1357" s="53"/>
      <c r="J1357" s="53"/>
      <c r="K1357" s="53"/>
      <c r="L1357" s="53"/>
      <c r="M1357" s="53"/>
      <c r="N1357" s="53"/>
      <c r="O1357" s="53"/>
      <c r="P1357" s="53"/>
      <c r="Q1357" s="53"/>
      <c r="R1357" s="53"/>
      <c r="S1357" s="53"/>
      <c r="T1357" s="53"/>
      <c r="U1357" s="53"/>
      <c r="V1357" s="53"/>
      <c r="W1357" s="53"/>
      <c r="X1357" s="53"/>
      <c r="Y1357" s="53"/>
      <c r="Z1357" s="53"/>
    </row>
    <row r="1358" spans="1:26" ht="15.75" customHeight="1">
      <c r="A1358" s="103"/>
      <c r="B1358" s="103"/>
      <c r="C1358" s="104" t="e">
        <v>#REF!</v>
      </c>
      <c r="D1358" s="103"/>
      <c r="E1358" s="53"/>
      <c r="F1358" s="53"/>
      <c r="G1358" s="53"/>
      <c r="H1358" s="53"/>
      <c r="I1358" s="53"/>
      <c r="J1358" s="53"/>
      <c r="K1358" s="53"/>
      <c r="L1358" s="53"/>
      <c r="M1358" s="53"/>
      <c r="N1358" s="53"/>
      <c r="O1358" s="53"/>
      <c r="P1358" s="53"/>
      <c r="Q1358" s="53"/>
      <c r="R1358" s="53"/>
      <c r="S1358" s="53"/>
      <c r="T1358" s="53"/>
      <c r="U1358" s="53"/>
      <c r="V1358" s="53"/>
      <c r="W1358" s="53"/>
      <c r="X1358" s="53"/>
      <c r="Y1358" s="53"/>
      <c r="Z1358" s="53"/>
    </row>
    <row r="1359" spans="1:26" ht="15.75" customHeight="1">
      <c r="A1359" s="103"/>
      <c r="B1359" s="103"/>
      <c r="C1359" s="104" t="e">
        <v>#REF!</v>
      </c>
      <c r="D1359" s="103"/>
      <c r="E1359" s="53"/>
      <c r="F1359" s="53"/>
      <c r="G1359" s="53"/>
      <c r="H1359" s="53"/>
      <c r="I1359" s="53"/>
      <c r="J1359" s="53"/>
      <c r="K1359" s="53"/>
      <c r="L1359" s="53"/>
      <c r="M1359" s="53"/>
      <c r="N1359" s="53"/>
      <c r="O1359" s="53"/>
      <c r="P1359" s="53"/>
      <c r="Q1359" s="53"/>
      <c r="R1359" s="53"/>
      <c r="S1359" s="53"/>
      <c r="T1359" s="53"/>
      <c r="U1359" s="53"/>
      <c r="V1359" s="53"/>
      <c r="W1359" s="53"/>
      <c r="X1359" s="53"/>
      <c r="Y1359" s="53"/>
      <c r="Z1359" s="53"/>
    </row>
    <row r="1360" spans="1:26" ht="15.75" customHeight="1">
      <c r="A1360" s="103"/>
      <c r="B1360" s="103"/>
      <c r="C1360" s="104" t="e">
        <v>#REF!</v>
      </c>
      <c r="D1360" s="103"/>
      <c r="E1360" s="53"/>
      <c r="F1360" s="53"/>
      <c r="G1360" s="53"/>
      <c r="H1360" s="53"/>
      <c r="I1360" s="53"/>
      <c r="J1360" s="53"/>
      <c r="K1360" s="53"/>
      <c r="L1360" s="53"/>
      <c r="M1360" s="53"/>
      <c r="N1360" s="53"/>
      <c r="O1360" s="53"/>
      <c r="P1360" s="53"/>
      <c r="Q1360" s="53"/>
      <c r="R1360" s="53"/>
      <c r="S1360" s="53"/>
      <c r="T1360" s="53"/>
      <c r="U1360" s="53"/>
      <c r="V1360" s="53"/>
      <c r="W1360" s="53"/>
      <c r="X1360" s="53"/>
      <c r="Y1360" s="53"/>
      <c r="Z1360" s="53"/>
    </row>
    <row r="1361" spans="1:26" ht="15.75" customHeight="1">
      <c r="A1361" s="103"/>
      <c r="B1361" s="103"/>
      <c r="C1361" s="104" t="e">
        <v>#REF!</v>
      </c>
      <c r="D1361" s="10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</row>
    <row r="1362" spans="1:26" ht="15.75" customHeight="1">
      <c r="A1362" s="103"/>
      <c r="B1362" s="103"/>
      <c r="C1362" s="104" t="e">
        <v>#REF!</v>
      </c>
      <c r="D1362" s="103"/>
      <c r="E1362" s="53"/>
      <c r="F1362" s="53"/>
      <c r="G1362" s="53"/>
      <c r="H1362" s="53"/>
      <c r="I1362" s="53"/>
      <c r="J1362" s="53"/>
      <c r="K1362" s="53"/>
      <c r="L1362" s="53"/>
      <c r="M1362" s="53"/>
      <c r="N1362" s="53"/>
      <c r="O1362" s="53"/>
      <c r="P1362" s="53"/>
      <c r="Q1362" s="53"/>
      <c r="R1362" s="53"/>
      <c r="S1362" s="53"/>
      <c r="T1362" s="53"/>
      <c r="U1362" s="53"/>
      <c r="V1362" s="53"/>
      <c r="W1362" s="53"/>
      <c r="X1362" s="53"/>
      <c r="Y1362" s="53"/>
      <c r="Z1362" s="53"/>
    </row>
    <row r="1363" spans="1:26" ht="15.75" customHeight="1">
      <c r="A1363" s="103"/>
      <c r="B1363" s="103"/>
      <c r="C1363" s="104" t="e">
        <v>#REF!</v>
      </c>
      <c r="D1363" s="103"/>
      <c r="E1363" s="53"/>
      <c r="F1363" s="53"/>
      <c r="G1363" s="53"/>
      <c r="H1363" s="53"/>
      <c r="I1363" s="53"/>
      <c r="J1363" s="53"/>
      <c r="K1363" s="53"/>
      <c r="L1363" s="53"/>
      <c r="M1363" s="53"/>
      <c r="N1363" s="53"/>
      <c r="O1363" s="53"/>
      <c r="P1363" s="53"/>
      <c r="Q1363" s="53"/>
      <c r="R1363" s="53"/>
      <c r="S1363" s="53"/>
      <c r="T1363" s="53"/>
      <c r="U1363" s="53"/>
      <c r="V1363" s="53"/>
      <c r="W1363" s="53"/>
      <c r="X1363" s="53"/>
      <c r="Y1363" s="53"/>
      <c r="Z1363" s="53"/>
    </row>
    <row r="1364" spans="1:26" ht="15.75" customHeight="1">
      <c r="A1364" s="103"/>
      <c r="B1364" s="103"/>
      <c r="C1364" s="104" t="e">
        <v>#REF!</v>
      </c>
      <c r="D1364" s="103"/>
      <c r="E1364" s="53"/>
      <c r="F1364" s="53"/>
      <c r="G1364" s="53"/>
      <c r="H1364" s="53"/>
      <c r="I1364" s="53"/>
      <c r="J1364" s="53"/>
      <c r="K1364" s="53"/>
      <c r="L1364" s="53"/>
      <c r="M1364" s="53"/>
      <c r="N1364" s="53"/>
      <c r="O1364" s="53"/>
      <c r="P1364" s="53"/>
      <c r="Q1364" s="53"/>
      <c r="R1364" s="53"/>
      <c r="S1364" s="53"/>
      <c r="T1364" s="53"/>
      <c r="U1364" s="53"/>
      <c r="V1364" s="53"/>
      <c r="W1364" s="53"/>
      <c r="X1364" s="53"/>
      <c r="Y1364" s="53"/>
      <c r="Z1364" s="53"/>
    </row>
    <row r="1365" spans="1:26" ht="15.75" customHeight="1">
      <c r="A1365" s="103"/>
      <c r="B1365" s="103"/>
      <c r="C1365" s="104" t="e">
        <v>#REF!</v>
      </c>
      <c r="D1365" s="103"/>
      <c r="E1365" s="53"/>
      <c r="F1365" s="53"/>
      <c r="G1365" s="53"/>
      <c r="H1365" s="53"/>
      <c r="I1365" s="53"/>
      <c r="J1365" s="53"/>
      <c r="K1365" s="53"/>
      <c r="L1365" s="53"/>
      <c r="M1365" s="53"/>
      <c r="N1365" s="53"/>
      <c r="O1365" s="53"/>
      <c r="P1365" s="53"/>
      <c r="Q1365" s="53"/>
      <c r="R1365" s="53"/>
      <c r="S1365" s="53"/>
      <c r="T1365" s="53"/>
      <c r="U1365" s="53"/>
      <c r="V1365" s="53"/>
      <c r="W1365" s="53"/>
      <c r="X1365" s="53"/>
      <c r="Y1365" s="53"/>
      <c r="Z1365" s="53"/>
    </row>
    <row r="1366" spans="1:26" ht="15.75" customHeight="1">
      <c r="A1366" s="103"/>
      <c r="B1366" s="103"/>
      <c r="C1366" s="104" t="e">
        <v>#REF!</v>
      </c>
      <c r="D1366" s="10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53"/>
      <c r="T1366" s="53"/>
      <c r="U1366" s="53"/>
      <c r="V1366" s="53"/>
      <c r="W1366" s="53"/>
      <c r="X1366" s="53"/>
      <c r="Y1366" s="53"/>
      <c r="Z1366" s="53"/>
    </row>
    <row r="1367" spans="1:26" ht="15.75" customHeight="1">
      <c r="A1367" s="103"/>
      <c r="B1367" s="103"/>
      <c r="C1367" s="104" t="e">
        <v>#REF!</v>
      </c>
      <c r="D1367" s="103"/>
      <c r="E1367" s="53"/>
      <c r="F1367" s="53"/>
      <c r="G1367" s="53"/>
      <c r="H1367" s="53"/>
      <c r="I1367" s="53"/>
      <c r="J1367" s="53"/>
      <c r="K1367" s="53"/>
      <c r="L1367" s="53"/>
      <c r="M1367" s="53"/>
      <c r="N1367" s="53"/>
      <c r="O1367" s="53"/>
      <c r="P1367" s="53"/>
      <c r="Q1367" s="53"/>
      <c r="R1367" s="53"/>
      <c r="S1367" s="53"/>
      <c r="T1367" s="53"/>
      <c r="U1367" s="53"/>
      <c r="V1367" s="53"/>
      <c r="W1367" s="53"/>
      <c r="X1367" s="53"/>
      <c r="Y1367" s="53"/>
      <c r="Z1367" s="53"/>
    </row>
    <row r="1368" spans="1:26" ht="15.75" customHeight="1">
      <c r="A1368" s="103"/>
      <c r="B1368" s="103"/>
      <c r="C1368" s="104" t="e">
        <v>#REF!</v>
      </c>
      <c r="D1368" s="103"/>
      <c r="E1368" s="53"/>
      <c r="F1368" s="53"/>
      <c r="G1368" s="53"/>
      <c r="H1368" s="53"/>
      <c r="I1368" s="53"/>
      <c r="J1368" s="53"/>
      <c r="K1368" s="53"/>
      <c r="L1368" s="53"/>
      <c r="M1368" s="53"/>
      <c r="N1368" s="53"/>
      <c r="O1368" s="53"/>
      <c r="P1368" s="53"/>
      <c r="Q1368" s="53"/>
      <c r="R1368" s="53"/>
      <c r="S1368" s="53"/>
      <c r="T1368" s="53"/>
      <c r="U1368" s="53"/>
      <c r="V1368" s="53"/>
      <c r="W1368" s="53"/>
      <c r="X1368" s="53"/>
      <c r="Y1368" s="53"/>
      <c r="Z1368" s="53"/>
    </row>
    <row r="1369" spans="1:26" ht="15.75" customHeight="1">
      <c r="A1369" s="103"/>
      <c r="B1369" s="103"/>
      <c r="C1369" s="104" t="e">
        <v>#REF!</v>
      </c>
      <c r="D1369" s="103"/>
      <c r="E1369" s="53"/>
      <c r="F1369" s="53"/>
      <c r="G1369" s="53"/>
      <c r="H1369" s="53"/>
      <c r="I1369" s="53"/>
      <c r="J1369" s="53"/>
      <c r="K1369" s="53"/>
      <c r="L1369" s="53"/>
      <c r="M1369" s="53"/>
      <c r="N1369" s="53"/>
      <c r="O1369" s="53"/>
      <c r="P1369" s="53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</row>
    <row r="1370" spans="1:26" ht="15.75" customHeight="1">
      <c r="A1370" s="103"/>
      <c r="B1370" s="103"/>
      <c r="C1370" s="104" t="e">
        <v>#REF!</v>
      </c>
      <c r="D1370" s="103"/>
      <c r="E1370" s="53"/>
      <c r="F1370" s="53"/>
      <c r="G1370" s="53"/>
      <c r="H1370" s="53"/>
      <c r="I1370" s="53"/>
      <c r="J1370" s="53"/>
      <c r="K1370" s="53"/>
      <c r="L1370" s="53"/>
      <c r="M1370" s="53"/>
      <c r="N1370" s="53"/>
      <c r="O1370" s="53"/>
      <c r="P1370" s="53"/>
      <c r="Q1370" s="53"/>
      <c r="R1370" s="53"/>
      <c r="S1370" s="53"/>
      <c r="T1370" s="53"/>
      <c r="U1370" s="53"/>
      <c r="V1370" s="53"/>
      <c r="W1370" s="53"/>
      <c r="X1370" s="53"/>
      <c r="Y1370" s="53"/>
      <c r="Z1370" s="53"/>
    </row>
    <row r="1371" spans="1:26" ht="15.75" customHeight="1">
      <c r="A1371" s="103"/>
      <c r="B1371" s="103"/>
      <c r="C1371" s="104" t="e">
        <v>#REF!</v>
      </c>
      <c r="D1371" s="103"/>
      <c r="E1371" s="53"/>
      <c r="F1371" s="53"/>
      <c r="G1371" s="53"/>
      <c r="H1371" s="53"/>
      <c r="I1371" s="53"/>
      <c r="J1371" s="53"/>
      <c r="K1371" s="53"/>
      <c r="L1371" s="53"/>
      <c r="M1371" s="53"/>
      <c r="N1371" s="53"/>
      <c r="O1371" s="53"/>
      <c r="P1371" s="53"/>
      <c r="Q1371" s="53"/>
      <c r="R1371" s="53"/>
      <c r="S1371" s="53"/>
      <c r="T1371" s="53"/>
      <c r="U1371" s="53"/>
      <c r="V1371" s="53"/>
      <c r="W1371" s="53"/>
      <c r="X1371" s="53"/>
      <c r="Y1371" s="53"/>
      <c r="Z1371" s="53"/>
    </row>
    <row r="1372" spans="1:26" ht="15.75" customHeight="1">
      <c r="A1372" s="103"/>
      <c r="B1372" s="103"/>
      <c r="C1372" s="104" t="e">
        <v>#REF!</v>
      </c>
      <c r="D1372" s="103"/>
      <c r="E1372" s="53"/>
      <c r="F1372" s="53"/>
      <c r="G1372" s="53"/>
      <c r="H1372" s="53"/>
      <c r="I1372" s="53"/>
      <c r="J1372" s="53"/>
      <c r="K1372" s="53"/>
      <c r="L1372" s="53"/>
      <c r="M1372" s="53"/>
      <c r="N1372" s="53"/>
      <c r="O1372" s="53"/>
      <c r="P1372" s="53"/>
      <c r="Q1372" s="53"/>
      <c r="R1372" s="53"/>
      <c r="S1372" s="53"/>
      <c r="T1372" s="53"/>
      <c r="U1372" s="53"/>
      <c r="V1372" s="53"/>
      <c r="W1372" s="53"/>
      <c r="X1372" s="53"/>
      <c r="Y1372" s="53"/>
      <c r="Z1372" s="53"/>
    </row>
    <row r="1373" spans="1:26" ht="15.75" customHeight="1">
      <c r="A1373" s="103"/>
      <c r="B1373" s="103"/>
      <c r="C1373" s="104" t="e">
        <v>#REF!</v>
      </c>
      <c r="D1373" s="103"/>
      <c r="E1373" s="53"/>
      <c r="F1373" s="53"/>
      <c r="G1373" s="53"/>
      <c r="H1373" s="53"/>
      <c r="I1373" s="53"/>
      <c r="J1373" s="53"/>
      <c r="K1373" s="53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  <c r="W1373" s="53"/>
      <c r="X1373" s="53"/>
      <c r="Y1373" s="53"/>
      <c r="Z1373" s="53"/>
    </row>
    <row r="1374" spans="1:26" ht="15.75" customHeight="1">
      <c r="A1374" s="103"/>
      <c r="B1374" s="103"/>
      <c r="C1374" s="104" t="e">
        <v>#REF!</v>
      </c>
      <c r="D1374" s="103"/>
      <c r="E1374" s="53"/>
      <c r="F1374" s="53"/>
      <c r="G1374" s="53"/>
      <c r="H1374" s="53"/>
      <c r="I1374" s="53"/>
      <c r="J1374" s="53"/>
      <c r="K1374" s="53"/>
      <c r="L1374" s="53"/>
      <c r="M1374" s="53"/>
      <c r="N1374" s="53"/>
      <c r="O1374" s="53"/>
      <c r="P1374" s="53"/>
      <c r="Q1374" s="53"/>
      <c r="R1374" s="53"/>
      <c r="S1374" s="53"/>
      <c r="T1374" s="53"/>
      <c r="U1374" s="53"/>
      <c r="V1374" s="53"/>
      <c r="W1374" s="53"/>
      <c r="X1374" s="53"/>
      <c r="Y1374" s="53"/>
      <c r="Z1374" s="53"/>
    </row>
    <row r="1375" spans="1:26" ht="15.75" customHeight="1">
      <c r="A1375" s="103"/>
      <c r="B1375" s="103"/>
      <c r="C1375" s="104" t="e">
        <v>#REF!</v>
      </c>
      <c r="D1375" s="103"/>
      <c r="E1375" s="53"/>
      <c r="F1375" s="53"/>
      <c r="G1375" s="53"/>
      <c r="H1375" s="53"/>
      <c r="I1375" s="53"/>
      <c r="J1375" s="53"/>
      <c r="K1375" s="53"/>
      <c r="L1375" s="53"/>
      <c r="M1375" s="53"/>
      <c r="N1375" s="53"/>
      <c r="O1375" s="53"/>
      <c r="P1375" s="53"/>
      <c r="Q1375" s="53"/>
      <c r="R1375" s="53"/>
      <c r="S1375" s="53"/>
      <c r="T1375" s="53"/>
      <c r="U1375" s="53"/>
      <c r="V1375" s="53"/>
      <c r="W1375" s="53"/>
      <c r="X1375" s="53"/>
      <c r="Y1375" s="53"/>
      <c r="Z1375" s="53"/>
    </row>
    <row r="1376" spans="1:26" ht="15.75" customHeight="1">
      <c r="A1376" s="103"/>
      <c r="B1376" s="103"/>
      <c r="C1376" s="104" t="e">
        <v>#REF!</v>
      </c>
      <c r="D1376" s="103"/>
      <c r="E1376" s="53"/>
      <c r="F1376" s="53"/>
      <c r="G1376" s="53"/>
      <c r="H1376" s="53"/>
      <c r="I1376" s="53"/>
      <c r="J1376" s="53"/>
      <c r="K1376" s="53"/>
      <c r="L1376" s="53"/>
      <c r="M1376" s="53"/>
      <c r="N1376" s="53"/>
      <c r="O1376" s="53"/>
      <c r="P1376" s="53"/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</row>
    <row r="1377" spans="1:26" ht="15.75" customHeight="1">
      <c r="A1377" s="103"/>
      <c r="B1377" s="103"/>
      <c r="C1377" s="104" t="e">
        <v>#REF!</v>
      </c>
      <c r="D1377" s="103"/>
      <c r="E1377" s="53"/>
      <c r="F1377" s="53"/>
      <c r="G1377" s="53"/>
      <c r="H1377" s="53"/>
      <c r="I1377" s="53"/>
      <c r="J1377" s="53"/>
      <c r="K1377" s="53"/>
      <c r="L1377" s="53"/>
      <c r="M1377" s="53"/>
      <c r="N1377" s="53"/>
      <c r="O1377" s="53"/>
      <c r="P1377" s="53"/>
      <c r="Q1377" s="53"/>
      <c r="R1377" s="53"/>
      <c r="S1377" s="53"/>
      <c r="T1377" s="53"/>
      <c r="U1377" s="53"/>
      <c r="V1377" s="53"/>
      <c r="W1377" s="53"/>
      <c r="X1377" s="53"/>
      <c r="Y1377" s="53"/>
      <c r="Z1377" s="53"/>
    </row>
    <row r="1378" spans="1:26" ht="15.75" customHeight="1">
      <c r="A1378" s="103"/>
      <c r="B1378" s="103"/>
      <c r="C1378" s="104" t="e">
        <v>#REF!</v>
      </c>
      <c r="D1378" s="103"/>
      <c r="E1378" s="53"/>
      <c r="F1378" s="53"/>
      <c r="G1378" s="53"/>
      <c r="H1378" s="53"/>
      <c r="I1378" s="53"/>
      <c r="J1378" s="53"/>
      <c r="K1378" s="53"/>
      <c r="L1378" s="53"/>
      <c r="M1378" s="53"/>
      <c r="N1378" s="53"/>
      <c r="O1378" s="53"/>
      <c r="P1378" s="53"/>
      <c r="Q1378" s="53"/>
      <c r="R1378" s="53"/>
      <c r="S1378" s="53"/>
      <c r="T1378" s="53"/>
      <c r="U1378" s="53"/>
      <c r="V1378" s="53"/>
      <c r="W1378" s="53"/>
      <c r="X1378" s="53"/>
      <c r="Y1378" s="53"/>
      <c r="Z1378" s="53"/>
    </row>
    <row r="1379" spans="1:26" ht="15.75" customHeight="1">
      <c r="A1379" s="103"/>
      <c r="B1379" s="103"/>
      <c r="C1379" s="104" t="e">
        <v>#REF!</v>
      </c>
      <c r="D1379" s="103"/>
      <c r="E1379" s="53"/>
      <c r="F1379" s="53"/>
      <c r="G1379" s="53"/>
      <c r="H1379" s="53"/>
      <c r="I1379" s="53"/>
      <c r="J1379" s="53"/>
      <c r="K1379" s="53"/>
      <c r="L1379" s="53"/>
      <c r="M1379" s="53"/>
      <c r="N1379" s="53"/>
      <c r="O1379" s="53"/>
      <c r="P1379" s="53"/>
      <c r="Q1379" s="53"/>
      <c r="R1379" s="53"/>
      <c r="S1379" s="53"/>
      <c r="T1379" s="53"/>
      <c r="U1379" s="53"/>
      <c r="V1379" s="53"/>
      <c r="W1379" s="53"/>
      <c r="X1379" s="53"/>
      <c r="Y1379" s="53"/>
      <c r="Z1379" s="53"/>
    </row>
    <row r="1380" spans="1:26" ht="15.75" customHeight="1">
      <c r="A1380" s="103"/>
      <c r="B1380" s="103"/>
      <c r="C1380" s="104" t="e">
        <v>#REF!</v>
      </c>
      <c r="D1380" s="103"/>
      <c r="E1380" s="53"/>
      <c r="F1380" s="53"/>
      <c r="G1380" s="53"/>
      <c r="H1380" s="53"/>
      <c r="I1380" s="53"/>
      <c r="J1380" s="53"/>
      <c r="K1380" s="53"/>
      <c r="L1380" s="53"/>
      <c r="M1380" s="53"/>
      <c r="N1380" s="53"/>
      <c r="O1380" s="53"/>
      <c r="P1380" s="53"/>
      <c r="Q1380" s="53"/>
      <c r="R1380" s="53"/>
      <c r="S1380" s="53"/>
      <c r="T1380" s="53"/>
      <c r="U1380" s="53"/>
      <c r="V1380" s="53"/>
      <c r="W1380" s="53"/>
      <c r="X1380" s="53"/>
      <c r="Y1380" s="53"/>
      <c r="Z1380" s="53"/>
    </row>
    <row r="1381" spans="1:26" ht="15.75" customHeight="1">
      <c r="A1381" s="103"/>
      <c r="B1381" s="103"/>
      <c r="C1381" s="104" t="e">
        <v>#REF!</v>
      </c>
      <c r="D1381" s="103"/>
      <c r="E1381" s="53"/>
      <c r="F1381" s="53"/>
      <c r="G1381" s="53"/>
      <c r="H1381" s="53"/>
      <c r="I1381" s="53"/>
      <c r="J1381" s="53"/>
      <c r="K1381" s="53"/>
      <c r="L1381" s="53"/>
      <c r="M1381" s="53"/>
      <c r="N1381" s="53"/>
      <c r="O1381" s="53"/>
      <c r="P1381" s="53"/>
      <c r="Q1381" s="53"/>
      <c r="R1381" s="53"/>
      <c r="S1381" s="53"/>
      <c r="T1381" s="53"/>
      <c r="U1381" s="53"/>
      <c r="V1381" s="53"/>
      <c r="W1381" s="53"/>
      <c r="X1381" s="53"/>
      <c r="Y1381" s="53"/>
      <c r="Z1381" s="53"/>
    </row>
    <row r="1382" spans="1:26" ht="15.75" customHeight="1">
      <c r="A1382" s="103"/>
      <c r="B1382" s="103"/>
      <c r="C1382" s="104" t="e">
        <v>#REF!</v>
      </c>
      <c r="D1382" s="103"/>
      <c r="E1382" s="53"/>
      <c r="F1382" s="53"/>
      <c r="G1382" s="53"/>
      <c r="H1382" s="53"/>
      <c r="I1382" s="53"/>
      <c r="J1382" s="53"/>
      <c r="K1382" s="53"/>
      <c r="L1382" s="53"/>
      <c r="M1382" s="53"/>
      <c r="N1382" s="53"/>
      <c r="O1382" s="53"/>
      <c r="P1382" s="53"/>
      <c r="Q1382" s="53"/>
      <c r="R1382" s="53"/>
      <c r="S1382" s="53"/>
      <c r="T1382" s="53"/>
      <c r="U1382" s="53"/>
      <c r="V1382" s="53"/>
      <c r="W1382" s="53"/>
      <c r="X1382" s="53"/>
      <c r="Y1382" s="53"/>
      <c r="Z1382" s="53"/>
    </row>
    <row r="1383" spans="1:26" ht="15.75" customHeight="1">
      <c r="A1383" s="103"/>
      <c r="B1383" s="103"/>
      <c r="C1383" s="104" t="e">
        <v>#REF!</v>
      </c>
      <c r="D1383" s="103"/>
      <c r="E1383" s="53"/>
      <c r="F1383" s="53"/>
      <c r="G1383" s="53"/>
      <c r="H1383" s="53"/>
      <c r="I1383" s="53"/>
      <c r="J1383" s="53"/>
      <c r="K1383" s="53"/>
      <c r="L1383" s="53"/>
      <c r="M1383" s="53"/>
      <c r="N1383" s="53"/>
      <c r="O1383" s="53"/>
      <c r="P1383" s="53"/>
      <c r="Q1383" s="53"/>
      <c r="R1383" s="53"/>
      <c r="S1383" s="53"/>
      <c r="T1383" s="53"/>
      <c r="U1383" s="53"/>
      <c r="V1383" s="53"/>
      <c r="W1383" s="53"/>
      <c r="X1383" s="53"/>
      <c r="Y1383" s="53"/>
      <c r="Z1383" s="53"/>
    </row>
    <row r="1384" spans="1:26" ht="15.75" customHeight="1">
      <c r="A1384" s="103"/>
      <c r="B1384" s="103"/>
      <c r="C1384" s="104" t="e">
        <v>#REF!</v>
      </c>
      <c r="D1384" s="103"/>
      <c r="E1384" s="53"/>
      <c r="F1384" s="53"/>
      <c r="G1384" s="53"/>
      <c r="H1384" s="53"/>
      <c r="I1384" s="53"/>
      <c r="J1384" s="53"/>
      <c r="K1384" s="53"/>
      <c r="L1384" s="53"/>
      <c r="M1384" s="53"/>
      <c r="N1384" s="53"/>
      <c r="O1384" s="53"/>
      <c r="P1384" s="53"/>
      <c r="Q1384" s="53"/>
      <c r="R1384" s="53"/>
      <c r="S1384" s="53"/>
      <c r="T1384" s="53"/>
      <c r="U1384" s="53"/>
      <c r="V1384" s="53"/>
      <c r="W1384" s="53"/>
      <c r="X1384" s="53"/>
      <c r="Y1384" s="53"/>
      <c r="Z1384" s="53"/>
    </row>
    <row r="1385" spans="1:26" ht="15.75" customHeight="1">
      <c r="A1385" s="103"/>
      <c r="B1385" s="103"/>
      <c r="C1385" s="104" t="e">
        <v>#REF!</v>
      </c>
      <c r="D1385" s="103"/>
      <c r="E1385" s="53"/>
      <c r="F1385" s="53"/>
      <c r="G1385" s="53"/>
      <c r="H1385" s="53"/>
      <c r="I1385" s="53"/>
      <c r="J1385" s="53"/>
      <c r="K1385" s="53"/>
      <c r="L1385" s="53"/>
      <c r="M1385" s="53"/>
      <c r="N1385" s="53"/>
      <c r="O1385" s="53"/>
      <c r="P1385" s="53"/>
      <c r="Q1385" s="53"/>
      <c r="R1385" s="53"/>
      <c r="S1385" s="53"/>
      <c r="T1385" s="53"/>
      <c r="U1385" s="53"/>
      <c r="V1385" s="53"/>
      <c r="W1385" s="53"/>
      <c r="X1385" s="53"/>
      <c r="Y1385" s="53"/>
      <c r="Z1385" s="53"/>
    </row>
    <row r="1386" spans="1:26" ht="15.75" customHeight="1">
      <c r="A1386" s="103"/>
      <c r="B1386" s="103"/>
      <c r="C1386" s="104" t="e">
        <v>#REF!</v>
      </c>
      <c r="D1386" s="103"/>
      <c r="E1386" s="53"/>
      <c r="F1386" s="53"/>
      <c r="G1386" s="53"/>
      <c r="H1386" s="53"/>
      <c r="I1386" s="53"/>
      <c r="J1386" s="53"/>
      <c r="K1386" s="53"/>
      <c r="L1386" s="53"/>
      <c r="M1386" s="53"/>
      <c r="N1386" s="53"/>
      <c r="O1386" s="53"/>
      <c r="P1386" s="53"/>
      <c r="Q1386" s="53"/>
      <c r="R1386" s="53"/>
      <c r="S1386" s="53"/>
      <c r="T1386" s="53"/>
      <c r="U1386" s="53"/>
      <c r="V1386" s="53"/>
      <c r="W1386" s="53"/>
      <c r="X1386" s="53"/>
      <c r="Y1386" s="53"/>
      <c r="Z1386" s="53"/>
    </row>
    <row r="1387" spans="1:26" ht="15.75" customHeight="1">
      <c r="A1387" s="103"/>
      <c r="B1387" s="103"/>
      <c r="C1387" s="104" t="e">
        <v>#REF!</v>
      </c>
      <c r="D1387" s="103"/>
      <c r="E1387" s="53"/>
      <c r="F1387" s="53"/>
      <c r="G1387" s="53"/>
      <c r="H1387" s="53"/>
      <c r="I1387" s="53"/>
      <c r="J1387" s="53"/>
      <c r="K1387" s="53"/>
      <c r="L1387" s="53"/>
      <c r="M1387" s="53"/>
      <c r="N1387" s="53"/>
      <c r="O1387" s="53"/>
      <c r="P1387" s="53"/>
      <c r="Q1387" s="53"/>
      <c r="R1387" s="53"/>
      <c r="S1387" s="53"/>
      <c r="T1387" s="53"/>
      <c r="U1387" s="53"/>
      <c r="V1387" s="53"/>
      <c r="W1387" s="53"/>
      <c r="X1387" s="53"/>
      <c r="Y1387" s="53"/>
      <c r="Z1387" s="53"/>
    </row>
    <row r="1388" spans="1:26" ht="15.75" customHeight="1">
      <c r="A1388" s="103"/>
      <c r="B1388" s="103"/>
      <c r="C1388" s="104" t="e">
        <v>#REF!</v>
      </c>
      <c r="D1388" s="103"/>
      <c r="E1388" s="53"/>
      <c r="F1388" s="53"/>
      <c r="G1388" s="53"/>
      <c r="H1388" s="53"/>
      <c r="I1388" s="53"/>
      <c r="J1388" s="53"/>
      <c r="K1388" s="53"/>
      <c r="L1388" s="53"/>
      <c r="M1388" s="53"/>
      <c r="N1388" s="53"/>
      <c r="O1388" s="53"/>
      <c r="P1388" s="53"/>
      <c r="Q1388" s="53"/>
      <c r="R1388" s="53"/>
      <c r="S1388" s="53"/>
      <c r="T1388" s="53"/>
      <c r="U1388" s="53"/>
      <c r="V1388" s="53"/>
      <c r="W1388" s="53"/>
      <c r="X1388" s="53"/>
      <c r="Y1388" s="53"/>
      <c r="Z1388" s="53"/>
    </row>
    <row r="1389" spans="1:26" ht="15.75" customHeight="1">
      <c r="A1389" s="103"/>
      <c r="B1389" s="103"/>
      <c r="C1389" s="104" t="e">
        <v>#REF!</v>
      </c>
      <c r="D1389" s="103"/>
      <c r="E1389" s="53"/>
      <c r="F1389" s="53"/>
      <c r="G1389" s="53"/>
      <c r="H1389" s="53"/>
      <c r="I1389" s="53"/>
      <c r="J1389" s="53"/>
      <c r="K1389" s="53"/>
      <c r="L1389" s="53"/>
      <c r="M1389" s="53"/>
      <c r="N1389" s="53"/>
      <c r="O1389" s="53"/>
      <c r="P1389" s="53"/>
      <c r="Q1389" s="53"/>
      <c r="R1389" s="53"/>
      <c r="S1389" s="53"/>
      <c r="T1389" s="53"/>
      <c r="U1389" s="53"/>
      <c r="V1389" s="53"/>
      <c r="W1389" s="53"/>
      <c r="X1389" s="53"/>
      <c r="Y1389" s="53"/>
      <c r="Z1389" s="53"/>
    </row>
    <row r="1390" spans="1:26" ht="15.75" customHeight="1">
      <c r="A1390" s="103"/>
      <c r="B1390" s="103"/>
      <c r="C1390" s="104" t="e">
        <v>#REF!</v>
      </c>
      <c r="D1390" s="103"/>
      <c r="E1390" s="53"/>
      <c r="F1390" s="53"/>
      <c r="G1390" s="53"/>
      <c r="H1390" s="53"/>
      <c r="I1390" s="53"/>
      <c r="J1390" s="53"/>
      <c r="K1390" s="53"/>
      <c r="L1390" s="53"/>
      <c r="M1390" s="53"/>
      <c r="N1390" s="53"/>
      <c r="O1390" s="53"/>
      <c r="P1390" s="53"/>
      <c r="Q1390" s="53"/>
      <c r="R1390" s="53"/>
      <c r="S1390" s="53"/>
      <c r="T1390" s="53"/>
      <c r="U1390" s="53"/>
      <c r="V1390" s="53"/>
      <c r="W1390" s="53"/>
      <c r="X1390" s="53"/>
      <c r="Y1390" s="53"/>
      <c r="Z1390" s="53"/>
    </row>
    <row r="1391" spans="1:26" ht="15.75" customHeight="1">
      <c r="A1391" s="103"/>
      <c r="B1391" s="103"/>
      <c r="C1391" s="104" t="e">
        <v>#REF!</v>
      </c>
      <c r="D1391" s="103"/>
      <c r="E1391" s="53"/>
      <c r="F1391" s="53"/>
      <c r="G1391" s="53"/>
      <c r="H1391" s="53"/>
      <c r="I1391" s="53"/>
      <c r="J1391" s="53"/>
      <c r="K1391" s="53"/>
      <c r="L1391" s="53"/>
      <c r="M1391" s="53"/>
      <c r="N1391" s="53"/>
      <c r="O1391" s="53"/>
      <c r="P1391" s="53"/>
      <c r="Q1391" s="53"/>
      <c r="R1391" s="53"/>
      <c r="S1391" s="53"/>
      <c r="T1391" s="53"/>
      <c r="U1391" s="53"/>
      <c r="V1391" s="53"/>
      <c r="W1391" s="53"/>
      <c r="X1391" s="53"/>
      <c r="Y1391" s="53"/>
      <c r="Z1391" s="53"/>
    </row>
    <row r="1392" spans="1:26" ht="15.75" customHeight="1">
      <c r="A1392" s="103"/>
      <c r="B1392" s="103"/>
      <c r="C1392" s="104" t="e">
        <v>#REF!</v>
      </c>
      <c r="D1392" s="103"/>
      <c r="E1392" s="53"/>
      <c r="F1392" s="53"/>
      <c r="G1392" s="53"/>
      <c r="H1392" s="53"/>
      <c r="I1392" s="53"/>
      <c r="J1392" s="53"/>
      <c r="K1392" s="53"/>
      <c r="L1392" s="53"/>
      <c r="M1392" s="53"/>
      <c r="N1392" s="53"/>
      <c r="O1392" s="53"/>
      <c r="P1392" s="53"/>
      <c r="Q1392" s="53"/>
      <c r="R1392" s="53"/>
      <c r="S1392" s="53"/>
      <c r="T1392" s="53"/>
      <c r="U1392" s="53"/>
      <c r="V1392" s="53"/>
      <c r="W1392" s="53"/>
      <c r="X1392" s="53"/>
      <c r="Y1392" s="53"/>
      <c r="Z1392" s="53"/>
    </row>
    <row r="1393" spans="1:26" ht="15.75" customHeight="1">
      <c r="A1393" s="103"/>
      <c r="B1393" s="103"/>
      <c r="C1393" s="104" t="e">
        <v>#REF!</v>
      </c>
      <c r="D1393" s="103"/>
      <c r="E1393" s="53"/>
      <c r="F1393" s="53"/>
      <c r="G1393" s="53"/>
      <c r="H1393" s="53"/>
      <c r="I1393" s="53"/>
      <c r="J1393" s="53"/>
      <c r="K1393" s="53"/>
      <c r="L1393" s="53"/>
      <c r="M1393" s="53"/>
      <c r="N1393" s="53"/>
      <c r="O1393" s="53"/>
      <c r="P1393" s="53"/>
      <c r="Q1393" s="53"/>
      <c r="R1393" s="53"/>
      <c r="S1393" s="53"/>
      <c r="T1393" s="53"/>
      <c r="U1393" s="53"/>
      <c r="V1393" s="53"/>
      <c r="W1393" s="53"/>
      <c r="X1393" s="53"/>
      <c r="Y1393" s="53"/>
      <c r="Z1393" s="53"/>
    </row>
    <row r="1394" spans="1:26" ht="15.75" customHeight="1">
      <c r="A1394" s="103"/>
      <c r="B1394" s="103"/>
      <c r="C1394" s="104" t="e">
        <v>#REF!</v>
      </c>
      <c r="D1394" s="103"/>
      <c r="E1394" s="53"/>
      <c r="F1394" s="53"/>
      <c r="G1394" s="53"/>
      <c r="H1394" s="53"/>
      <c r="I1394" s="53"/>
      <c r="J1394" s="53"/>
      <c r="K1394" s="53"/>
      <c r="L1394" s="53"/>
      <c r="M1394" s="53"/>
      <c r="N1394" s="53"/>
      <c r="O1394" s="53"/>
      <c r="P1394" s="53"/>
      <c r="Q1394" s="53"/>
      <c r="R1394" s="53"/>
      <c r="S1394" s="53"/>
      <c r="T1394" s="53"/>
      <c r="U1394" s="53"/>
      <c r="V1394" s="53"/>
      <c r="W1394" s="53"/>
      <c r="X1394" s="53"/>
      <c r="Y1394" s="53"/>
      <c r="Z1394" s="53"/>
    </row>
    <row r="1395" spans="1:26" ht="15.75" customHeight="1">
      <c r="A1395" s="103"/>
      <c r="B1395" s="103"/>
      <c r="C1395" s="104" t="e">
        <v>#REF!</v>
      </c>
      <c r="D1395" s="103"/>
      <c r="E1395" s="53"/>
      <c r="F1395" s="53"/>
      <c r="G1395" s="53"/>
      <c r="H1395" s="53"/>
      <c r="I1395" s="53"/>
      <c r="J1395" s="53"/>
      <c r="K1395" s="53"/>
      <c r="L1395" s="53"/>
      <c r="M1395" s="53"/>
      <c r="N1395" s="53"/>
      <c r="O1395" s="53"/>
      <c r="P1395" s="53"/>
      <c r="Q1395" s="53"/>
      <c r="R1395" s="53"/>
      <c r="S1395" s="53"/>
      <c r="T1395" s="53"/>
      <c r="U1395" s="53"/>
      <c r="V1395" s="53"/>
      <c r="W1395" s="53"/>
      <c r="X1395" s="53"/>
      <c r="Y1395" s="53"/>
      <c r="Z1395" s="53"/>
    </row>
    <row r="1396" spans="1:26" ht="15.75" customHeight="1">
      <c r="A1396" s="103"/>
      <c r="B1396" s="103"/>
      <c r="C1396" s="104" t="e">
        <v>#REF!</v>
      </c>
      <c r="D1396" s="103"/>
      <c r="E1396" s="53"/>
      <c r="F1396" s="53"/>
      <c r="G1396" s="53"/>
      <c r="H1396" s="53"/>
      <c r="I1396" s="53"/>
      <c r="J1396" s="53"/>
      <c r="K1396" s="53"/>
      <c r="L1396" s="53"/>
      <c r="M1396" s="53"/>
      <c r="N1396" s="53"/>
      <c r="O1396" s="53"/>
      <c r="P1396" s="53"/>
      <c r="Q1396" s="53"/>
      <c r="R1396" s="53"/>
      <c r="S1396" s="53"/>
      <c r="T1396" s="53"/>
      <c r="U1396" s="53"/>
      <c r="V1396" s="53"/>
      <c r="W1396" s="53"/>
      <c r="X1396" s="53"/>
      <c r="Y1396" s="53"/>
      <c r="Z1396" s="53"/>
    </row>
    <row r="1397" spans="1:26" ht="15.75" customHeight="1">
      <c r="A1397" s="103"/>
      <c r="B1397" s="103"/>
      <c r="C1397" s="104" t="e">
        <v>#REF!</v>
      </c>
      <c r="D1397" s="103"/>
      <c r="E1397" s="53"/>
      <c r="F1397" s="53"/>
      <c r="G1397" s="53"/>
      <c r="H1397" s="53"/>
      <c r="I1397" s="53"/>
      <c r="J1397" s="53"/>
      <c r="K1397" s="53"/>
      <c r="L1397" s="53"/>
      <c r="M1397" s="53"/>
      <c r="N1397" s="53"/>
      <c r="O1397" s="53"/>
      <c r="P1397" s="53"/>
      <c r="Q1397" s="53"/>
      <c r="R1397" s="53"/>
      <c r="S1397" s="53"/>
      <c r="T1397" s="53"/>
      <c r="U1397" s="53"/>
      <c r="V1397" s="53"/>
      <c r="W1397" s="53"/>
      <c r="X1397" s="53"/>
      <c r="Y1397" s="53"/>
      <c r="Z1397" s="53"/>
    </row>
    <row r="1398" spans="1:26" ht="15.75" customHeight="1">
      <c r="A1398" s="103"/>
      <c r="B1398" s="103"/>
      <c r="C1398" s="104" t="e">
        <v>#REF!</v>
      </c>
      <c r="D1398" s="103"/>
      <c r="E1398" s="53"/>
      <c r="F1398" s="53"/>
      <c r="G1398" s="53"/>
      <c r="H1398" s="53"/>
      <c r="I1398" s="53"/>
      <c r="J1398" s="53"/>
      <c r="K1398" s="53"/>
      <c r="L1398" s="53"/>
      <c r="M1398" s="53"/>
      <c r="N1398" s="53"/>
      <c r="O1398" s="53"/>
      <c r="P1398" s="53"/>
      <c r="Q1398" s="53"/>
      <c r="R1398" s="53"/>
      <c r="S1398" s="53"/>
      <c r="T1398" s="53"/>
      <c r="U1398" s="53"/>
      <c r="V1398" s="53"/>
      <c r="W1398" s="53"/>
      <c r="X1398" s="53"/>
      <c r="Y1398" s="53"/>
      <c r="Z1398" s="53"/>
    </row>
    <row r="1399" spans="1:26" ht="15.75" customHeight="1">
      <c r="A1399" s="103"/>
      <c r="B1399" s="103"/>
      <c r="C1399" s="104" t="e">
        <v>#REF!</v>
      </c>
      <c r="D1399" s="103"/>
      <c r="E1399" s="53"/>
      <c r="F1399" s="53"/>
      <c r="G1399" s="53"/>
      <c r="H1399" s="53"/>
      <c r="I1399" s="53"/>
      <c r="J1399" s="53"/>
      <c r="K1399" s="53"/>
      <c r="L1399" s="53"/>
      <c r="M1399" s="53"/>
      <c r="N1399" s="53"/>
      <c r="O1399" s="53"/>
      <c r="P1399" s="53"/>
      <c r="Q1399" s="53"/>
      <c r="R1399" s="53"/>
      <c r="S1399" s="53"/>
      <c r="T1399" s="53"/>
      <c r="U1399" s="53"/>
      <c r="V1399" s="53"/>
      <c r="W1399" s="53"/>
      <c r="X1399" s="53"/>
      <c r="Y1399" s="53"/>
      <c r="Z1399" s="53"/>
    </row>
    <row r="1400" spans="1:26" ht="15.75" customHeight="1">
      <c r="A1400" s="103"/>
      <c r="B1400" s="103"/>
      <c r="C1400" s="104" t="e">
        <v>#REF!</v>
      </c>
      <c r="D1400" s="103"/>
      <c r="E1400" s="53"/>
      <c r="F1400" s="53"/>
      <c r="G1400" s="53"/>
      <c r="H1400" s="53"/>
      <c r="I1400" s="53"/>
      <c r="J1400" s="53"/>
      <c r="K1400" s="53"/>
      <c r="L1400" s="53"/>
      <c r="M1400" s="53"/>
      <c r="N1400" s="53"/>
      <c r="O1400" s="53"/>
      <c r="P1400" s="53"/>
      <c r="Q1400" s="53"/>
      <c r="R1400" s="53"/>
      <c r="S1400" s="53"/>
      <c r="T1400" s="53"/>
      <c r="U1400" s="53"/>
      <c r="V1400" s="53"/>
      <c r="W1400" s="53"/>
      <c r="X1400" s="53"/>
      <c r="Y1400" s="53"/>
      <c r="Z1400" s="53"/>
    </row>
    <row r="1401" spans="1:26" ht="15.75" customHeight="1">
      <c r="A1401" s="103"/>
      <c r="B1401" s="103"/>
      <c r="C1401" s="104" t="e">
        <v>#REF!</v>
      </c>
      <c r="D1401" s="103"/>
      <c r="E1401" s="53"/>
      <c r="F1401" s="53"/>
      <c r="G1401" s="53"/>
      <c r="H1401" s="53"/>
      <c r="I1401" s="53"/>
      <c r="J1401" s="53"/>
      <c r="K1401" s="53"/>
      <c r="L1401" s="53"/>
      <c r="M1401" s="53"/>
      <c r="N1401" s="53"/>
      <c r="O1401" s="53"/>
      <c r="P1401" s="53"/>
      <c r="Q1401" s="53"/>
      <c r="R1401" s="53"/>
      <c r="S1401" s="53"/>
      <c r="T1401" s="53"/>
      <c r="U1401" s="53"/>
      <c r="V1401" s="53"/>
      <c r="W1401" s="53"/>
      <c r="X1401" s="53"/>
      <c r="Y1401" s="53"/>
      <c r="Z1401" s="53"/>
    </row>
    <row r="1402" spans="1:26" ht="15.75" customHeight="1">
      <c r="A1402" s="103"/>
      <c r="B1402" s="103"/>
      <c r="C1402" s="104" t="e">
        <v>#REF!</v>
      </c>
      <c r="D1402" s="103"/>
      <c r="E1402" s="53"/>
      <c r="F1402" s="53"/>
      <c r="G1402" s="53"/>
      <c r="H1402" s="53"/>
      <c r="I1402" s="53"/>
      <c r="J1402" s="53"/>
      <c r="K1402" s="53"/>
      <c r="L1402" s="53"/>
      <c r="M1402" s="53"/>
      <c r="N1402" s="53"/>
      <c r="O1402" s="53"/>
      <c r="P1402" s="53"/>
      <c r="Q1402" s="53"/>
      <c r="R1402" s="53"/>
      <c r="S1402" s="53"/>
      <c r="T1402" s="53"/>
      <c r="U1402" s="53"/>
      <c r="V1402" s="53"/>
      <c r="W1402" s="53"/>
      <c r="X1402" s="53"/>
      <c r="Y1402" s="53"/>
      <c r="Z1402" s="53"/>
    </row>
    <row r="1403" spans="1:26" ht="15.75" customHeight="1">
      <c r="A1403" s="103"/>
      <c r="B1403" s="103"/>
      <c r="C1403" s="104" t="e">
        <v>#REF!</v>
      </c>
      <c r="D1403" s="103"/>
      <c r="E1403" s="53"/>
      <c r="F1403" s="53"/>
      <c r="G1403" s="53"/>
      <c r="H1403" s="53"/>
      <c r="I1403" s="53"/>
      <c r="J1403" s="53"/>
      <c r="K1403" s="53"/>
      <c r="L1403" s="53"/>
      <c r="M1403" s="53"/>
      <c r="N1403" s="53"/>
      <c r="O1403" s="53"/>
      <c r="P1403" s="53"/>
      <c r="Q1403" s="53"/>
      <c r="R1403" s="53"/>
      <c r="S1403" s="53"/>
      <c r="T1403" s="53"/>
      <c r="U1403" s="53"/>
      <c r="V1403" s="53"/>
      <c r="W1403" s="53"/>
      <c r="X1403" s="53"/>
      <c r="Y1403" s="53"/>
      <c r="Z1403" s="53"/>
    </row>
    <row r="1404" spans="1:26" ht="15.75" customHeight="1">
      <c r="A1404" s="103"/>
      <c r="B1404" s="103"/>
      <c r="C1404" s="104" t="e">
        <v>#REF!</v>
      </c>
      <c r="D1404" s="103"/>
      <c r="E1404" s="53"/>
      <c r="F1404" s="53"/>
      <c r="G1404" s="53"/>
      <c r="H1404" s="53"/>
      <c r="I1404" s="53"/>
      <c r="J1404" s="53"/>
      <c r="K1404" s="53"/>
      <c r="L1404" s="53"/>
      <c r="M1404" s="53"/>
      <c r="N1404" s="53"/>
      <c r="O1404" s="53"/>
      <c r="P1404" s="53"/>
      <c r="Q1404" s="53"/>
      <c r="R1404" s="53"/>
      <c r="S1404" s="53"/>
      <c r="T1404" s="53"/>
      <c r="U1404" s="53"/>
      <c r="V1404" s="53"/>
      <c r="W1404" s="53"/>
      <c r="X1404" s="53"/>
      <c r="Y1404" s="53"/>
      <c r="Z1404" s="53"/>
    </row>
    <row r="1405" spans="1:26" ht="15.75" customHeight="1">
      <c r="A1405" s="103"/>
      <c r="B1405" s="103"/>
      <c r="C1405" s="104" t="e">
        <v>#REF!</v>
      </c>
      <c r="D1405" s="103"/>
      <c r="E1405" s="53"/>
      <c r="F1405" s="53"/>
      <c r="G1405" s="53"/>
      <c r="H1405" s="53"/>
      <c r="I1405" s="53"/>
      <c r="J1405" s="53"/>
      <c r="K1405" s="53"/>
      <c r="L1405" s="53"/>
      <c r="M1405" s="53"/>
      <c r="N1405" s="53"/>
      <c r="O1405" s="53"/>
      <c r="P1405" s="53"/>
      <c r="Q1405" s="53"/>
      <c r="R1405" s="53"/>
      <c r="S1405" s="53"/>
      <c r="T1405" s="53"/>
      <c r="U1405" s="53"/>
      <c r="V1405" s="53"/>
      <c r="W1405" s="53"/>
      <c r="X1405" s="53"/>
      <c r="Y1405" s="53"/>
      <c r="Z1405" s="53"/>
    </row>
    <row r="1406" spans="1:26" ht="15.75" customHeight="1">
      <c r="A1406" s="103"/>
      <c r="B1406" s="103"/>
      <c r="C1406" s="104" t="e">
        <v>#REF!</v>
      </c>
      <c r="D1406" s="103"/>
      <c r="E1406" s="53"/>
      <c r="F1406" s="53"/>
      <c r="G1406" s="53"/>
      <c r="H1406" s="53"/>
      <c r="I1406" s="53"/>
      <c r="J1406" s="53"/>
      <c r="K1406" s="53"/>
      <c r="L1406" s="53"/>
      <c r="M1406" s="53"/>
      <c r="N1406" s="53"/>
      <c r="O1406" s="53"/>
      <c r="P1406" s="53"/>
      <c r="Q1406" s="53"/>
      <c r="R1406" s="53"/>
      <c r="S1406" s="53"/>
      <c r="T1406" s="53"/>
      <c r="U1406" s="53"/>
      <c r="V1406" s="53"/>
      <c r="W1406" s="53"/>
      <c r="X1406" s="53"/>
      <c r="Y1406" s="53"/>
      <c r="Z1406" s="53"/>
    </row>
    <row r="1407" spans="1:26" ht="15.75" customHeight="1">
      <c r="A1407" s="103"/>
      <c r="B1407" s="103"/>
      <c r="C1407" s="104" t="e">
        <v>#REF!</v>
      </c>
      <c r="D1407" s="103"/>
      <c r="E1407" s="53"/>
      <c r="F1407" s="53"/>
      <c r="G1407" s="53"/>
      <c r="H1407" s="53"/>
      <c r="I1407" s="53"/>
      <c r="J1407" s="53"/>
      <c r="K1407" s="53"/>
      <c r="L1407" s="53"/>
      <c r="M1407" s="53"/>
      <c r="N1407" s="53"/>
      <c r="O1407" s="53"/>
      <c r="P1407" s="53"/>
      <c r="Q1407" s="53"/>
      <c r="R1407" s="53"/>
      <c r="S1407" s="53"/>
      <c r="T1407" s="53"/>
      <c r="U1407" s="53"/>
      <c r="V1407" s="53"/>
      <c r="W1407" s="53"/>
      <c r="X1407" s="53"/>
      <c r="Y1407" s="53"/>
      <c r="Z1407" s="53"/>
    </row>
    <row r="1408" spans="1:26" ht="15.75" customHeight="1">
      <c r="A1408" s="103"/>
      <c r="B1408" s="103"/>
      <c r="C1408" s="104" t="e">
        <v>#REF!</v>
      </c>
      <c r="D1408" s="103"/>
      <c r="E1408" s="53"/>
      <c r="F1408" s="53"/>
      <c r="G1408" s="53"/>
      <c r="H1408" s="53"/>
      <c r="I1408" s="53"/>
      <c r="J1408" s="53"/>
      <c r="K1408" s="53"/>
      <c r="L1408" s="53"/>
      <c r="M1408" s="53"/>
      <c r="N1408" s="53"/>
      <c r="O1408" s="53"/>
      <c r="P1408" s="53"/>
      <c r="Q1408" s="53"/>
      <c r="R1408" s="53"/>
      <c r="S1408" s="53"/>
      <c r="T1408" s="53"/>
      <c r="U1408" s="53"/>
      <c r="V1408" s="53"/>
      <c r="W1408" s="53"/>
      <c r="X1408" s="53"/>
      <c r="Y1408" s="53"/>
      <c r="Z1408" s="53"/>
    </row>
    <row r="1409" spans="1:26" ht="15.75" customHeight="1">
      <c r="A1409" s="103"/>
      <c r="B1409" s="103"/>
      <c r="C1409" s="104" t="e">
        <v>#REF!</v>
      </c>
      <c r="D1409" s="103"/>
      <c r="E1409" s="53"/>
      <c r="F1409" s="53"/>
      <c r="G1409" s="53"/>
      <c r="H1409" s="53"/>
      <c r="I1409" s="53"/>
      <c r="J1409" s="53"/>
      <c r="K1409" s="53"/>
      <c r="L1409" s="53"/>
      <c r="M1409" s="53"/>
      <c r="N1409" s="53"/>
      <c r="O1409" s="53"/>
      <c r="P1409" s="53"/>
      <c r="Q1409" s="53"/>
      <c r="R1409" s="53"/>
      <c r="S1409" s="53"/>
      <c r="T1409" s="53"/>
      <c r="U1409" s="53"/>
      <c r="V1409" s="53"/>
      <c r="W1409" s="53"/>
      <c r="X1409" s="53"/>
      <c r="Y1409" s="53"/>
      <c r="Z1409" s="53"/>
    </row>
    <row r="1410" spans="1:26" ht="15.75" customHeight="1">
      <c r="A1410" s="103"/>
      <c r="B1410" s="103"/>
      <c r="C1410" s="104" t="e">
        <v>#REF!</v>
      </c>
      <c r="D1410" s="103"/>
      <c r="E1410" s="53"/>
      <c r="F1410" s="53"/>
      <c r="G1410" s="53"/>
      <c r="H1410" s="53"/>
      <c r="I1410" s="53"/>
      <c r="J1410" s="53"/>
      <c r="K1410" s="53"/>
      <c r="L1410" s="53"/>
      <c r="M1410" s="53"/>
      <c r="N1410" s="53"/>
      <c r="O1410" s="53"/>
      <c r="P1410" s="53"/>
      <c r="Q1410" s="53"/>
      <c r="R1410" s="53"/>
      <c r="S1410" s="53"/>
      <c r="T1410" s="53"/>
      <c r="U1410" s="53"/>
      <c r="V1410" s="53"/>
      <c r="W1410" s="53"/>
      <c r="X1410" s="53"/>
      <c r="Y1410" s="53"/>
      <c r="Z1410" s="53"/>
    </row>
    <row r="1411" spans="1:26" ht="15.75" customHeight="1">
      <c r="A1411" s="103"/>
      <c r="B1411" s="103"/>
      <c r="C1411" s="104" t="e">
        <v>#REF!</v>
      </c>
      <c r="D1411" s="103"/>
      <c r="E1411" s="53"/>
      <c r="F1411" s="53"/>
      <c r="G1411" s="53"/>
      <c r="H1411" s="53"/>
      <c r="I1411" s="53"/>
      <c r="J1411" s="53"/>
      <c r="K1411" s="53"/>
      <c r="L1411" s="53"/>
      <c r="M1411" s="53"/>
      <c r="N1411" s="53"/>
      <c r="O1411" s="53"/>
      <c r="P1411" s="53"/>
      <c r="Q1411" s="53"/>
      <c r="R1411" s="53"/>
      <c r="S1411" s="53"/>
      <c r="T1411" s="53"/>
      <c r="U1411" s="53"/>
      <c r="V1411" s="53"/>
      <c r="W1411" s="53"/>
      <c r="X1411" s="53"/>
      <c r="Y1411" s="53"/>
      <c r="Z1411" s="53"/>
    </row>
    <row r="1412" spans="1:26" ht="15.75" customHeight="1">
      <c r="A1412" s="103"/>
      <c r="B1412" s="103"/>
      <c r="C1412" s="104" t="e">
        <v>#REF!</v>
      </c>
      <c r="D1412" s="103"/>
      <c r="E1412" s="53"/>
      <c r="F1412" s="53"/>
      <c r="G1412" s="53"/>
      <c r="H1412" s="53"/>
      <c r="I1412" s="53"/>
      <c r="J1412" s="53"/>
      <c r="K1412" s="53"/>
      <c r="L1412" s="53"/>
      <c r="M1412" s="53"/>
      <c r="N1412" s="53"/>
      <c r="O1412" s="53"/>
      <c r="P1412" s="53"/>
      <c r="Q1412" s="53"/>
      <c r="R1412" s="53"/>
      <c r="S1412" s="53"/>
      <c r="T1412" s="53"/>
      <c r="U1412" s="53"/>
      <c r="V1412" s="53"/>
      <c r="W1412" s="53"/>
      <c r="X1412" s="53"/>
      <c r="Y1412" s="53"/>
      <c r="Z1412" s="53"/>
    </row>
    <row r="1413" spans="1:26" ht="15.75" customHeight="1">
      <c r="A1413" s="103"/>
      <c r="B1413" s="103"/>
      <c r="C1413" s="104" t="e">
        <v>#REF!</v>
      </c>
      <c r="D1413" s="103"/>
      <c r="E1413" s="53"/>
      <c r="F1413" s="53"/>
      <c r="G1413" s="53"/>
      <c r="H1413" s="53"/>
      <c r="I1413" s="53"/>
      <c r="J1413" s="53"/>
      <c r="K1413" s="53"/>
      <c r="L1413" s="53"/>
      <c r="M1413" s="53"/>
      <c r="N1413" s="53"/>
      <c r="O1413" s="53"/>
      <c r="P1413" s="53"/>
      <c r="Q1413" s="53"/>
      <c r="R1413" s="53"/>
      <c r="S1413" s="53"/>
      <c r="T1413" s="53"/>
      <c r="U1413" s="53"/>
      <c r="V1413" s="53"/>
      <c r="W1413" s="53"/>
      <c r="X1413" s="53"/>
      <c r="Y1413" s="53"/>
      <c r="Z1413" s="53"/>
    </row>
    <row r="1414" spans="1:26" ht="15.75" customHeight="1">
      <c r="A1414" s="103"/>
      <c r="B1414" s="103"/>
      <c r="C1414" s="104" t="e">
        <v>#REF!</v>
      </c>
      <c r="D1414" s="10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</row>
    <row r="1415" spans="1:26" ht="15.75" customHeight="1">
      <c r="A1415" s="103"/>
      <c r="B1415" s="103"/>
      <c r="C1415" s="104" t="e">
        <v>#REF!</v>
      </c>
      <c r="D1415" s="103"/>
      <c r="E1415" s="53"/>
      <c r="F1415" s="53"/>
      <c r="G1415" s="53"/>
      <c r="H1415" s="53"/>
      <c r="I1415" s="53"/>
      <c r="J1415" s="53"/>
      <c r="K1415" s="53"/>
      <c r="L1415" s="53"/>
      <c r="M1415" s="53"/>
      <c r="N1415" s="53"/>
      <c r="O1415" s="53"/>
      <c r="P1415" s="53"/>
      <c r="Q1415" s="53"/>
      <c r="R1415" s="53"/>
      <c r="S1415" s="53"/>
      <c r="T1415" s="53"/>
      <c r="U1415" s="53"/>
      <c r="V1415" s="53"/>
      <c r="W1415" s="53"/>
      <c r="X1415" s="53"/>
      <c r="Y1415" s="53"/>
      <c r="Z1415" s="53"/>
    </row>
    <row r="1416" spans="1:26" ht="15.75" customHeight="1">
      <c r="A1416" s="103"/>
      <c r="B1416" s="103"/>
      <c r="C1416" s="104" t="e">
        <v>#REF!</v>
      </c>
      <c r="D1416" s="103"/>
      <c r="E1416" s="53"/>
      <c r="F1416" s="53"/>
      <c r="G1416" s="53"/>
      <c r="H1416" s="53"/>
      <c r="I1416" s="53"/>
      <c r="J1416" s="53"/>
      <c r="K1416" s="53"/>
      <c r="L1416" s="53"/>
      <c r="M1416" s="53"/>
      <c r="N1416" s="53"/>
      <c r="O1416" s="53"/>
      <c r="P1416" s="53"/>
      <c r="Q1416" s="53"/>
      <c r="R1416" s="53"/>
      <c r="S1416" s="53"/>
      <c r="T1416" s="53"/>
      <c r="U1416" s="53"/>
      <c r="V1416" s="53"/>
      <c r="W1416" s="53"/>
      <c r="X1416" s="53"/>
      <c r="Y1416" s="53"/>
      <c r="Z1416" s="53"/>
    </row>
    <row r="1417" spans="1:26" ht="15.75" customHeight="1">
      <c r="A1417" s="103"/>
      <c r="B1417" s="103"/>
      <c r="C1417" s="104" t="e">
        <v>#REF!</v>
      </c>
      <c r="D1417" s="103"/>
      <c r="E1417" s="53"/>
      <c r="F1417" s="53"/>
      <c r="G1417" s="53"/>
      <c r="H1417" s="53"/>
      <c r="I1417" s="53"/>
      <c r="J1417" s="53"/>
      <c r="K1417" s="53"/>
      <c r="L1417" s="53"/>
      <c r="M1417" s="53"/>
      <c r="N1417" s="53"/>
      <c r="O1417" s="53"/>
      <c r="P1417" s="53"/>
      <c r="Q1417" s="53"/>
      <c r="R1417" s="53"/>
      <c r="S1417" s="53"/>
      <c r="T1417" s="53"/>
      <c r="U1417" s="53"/>
      <c r="V1417" s="53"/>
      <c r="W1417" s="53"/>
      <c r="X1417" s="53"/>
      <c r="Y1417" s="53"/>
      <c r="Z1417" s="53"/>
    </row>
    <row r="1418" spans="1:26" ht="15.75" customHeight="1">
      <c r="A1418" s="103"/>
      <c r="B1418" s="103"/>
      <c r="C1418" s="104" t="e">
        <v>#REF!</v>
      </c>
      <c r="D1418" s="103"/>
      <c r="E1418" s="53"/>
      <c r="F1418" s="53"/>
      <c r="G1418" s="53"/>
      <c r="H1418" s="53"/>
      <c r="I1418" s="53"/>
      <c r="J1418" s="53"/>
      <c r="K1418" s="53"/>
      <c r="L1418" s="53"/>
      <c r="M1418" s="53"/>
      <c r="N1418" s="53"/>
      <c r="O1418" s="53"/>
      <c r="P1418" s="53"/>
      <c r="Q1418" s="53"/>
      <c r="R1418" s="53"/>
      <c r="S1418" s="53"/>
      <c r="T1418" s="53"/>
      <c r="U1418" s="53"/>
      <c r="V1418" s="53"/>
      <c r="W1418" s="53"/>
      <c r="X1418" s="53"/>
      <c r="Y1418" s="53"/>
      <c r="Z1418" s="53"/>
    </row>
    <row r="1419" spans="1:26" ht="15.75" customHeight="1">
      <c r="A1419" s="103"/>
      <c r="B1419" s="103"/>
      <c r="C1419" s="104" t="e">
        <v>#REF!</v>
      </c>
      <c r="D1419" s="10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53"/>
      <c r="T1419" s="53"/>
      <c r="U1419" s="53"/>
      <c r="V1419" s="53"/>
      <c r="W1419" s="53"/>
      <c r="X1419" s="53"/>
      <c r="Y1419" s="53"/>
      <c r="Z1419" s="53"/>
    </row>
    <row r="1420" spans="1:26" ht="15.75" customHeight="1">
      <c r="A1420" s="103"/>
      <c r="B1420" s="103"/>
      <c r="C1420" s="104" t="e">
        <v>#REF!</v>
      </c>
      <c r="D1420" s="103"/>
      <c r="E1420" s="53"/>
      <c r="F1420" s="53"/>
      <c r="G1420" s="53"/>
      <c r="H1420" s="53"/>
      <c r="I1420" s="53"/>
      <c r="J1420" s="53"/>
      <c r="K1420" s="53"/>
      <c r="L1420" s="53"/>
      <c r="M1420" s="53"/>
      <c r="N1420" s="53"/>
      <c r="O1420" s="53"/>
      <c r="P1420" s="53"/>
      <c r="Q1420" s="53"/>
      <c r="R1420" s="53"/>
      <c r="S1420" s="53"/>
      <c r="T1420" s="53"/>
      <c r="U1420" s="53"/>
      <c r="V1420" s="53"/>
      <c r="W1420" s="53"/>
      <c r="X1420" s="53"/>
      <c r="Y1420" s="53"/>
      <c r="Z1420" s="53"/>
    </row>
    <row r="1421" spans="1:26" ht="15.75" customHeight="1">
      <c r="A1421" s="103"/>
      <c r="B1421" s="103"/>
      <c r="C1421" s="104" t="e">
        <v>#REF!</v>
      </c>
      <c r="D1421" s="103"/>
      <c r="E1421" s="53"/>
      <c r="F1421" s="53"/>
      <c r="G1421" s="53"/>
      <c r="H1421" s="53"/>
      <c r="I1421" s="53"/>
      <c r="J1421" s="53"/>
      <c r="K1421" s="53"/>
      <c r="L1421" s="53"/>
      <c r="M1421" s="53"/>
      <c r="N1421" s="53"/>
      <c r="O1421" s="53"/>
      <c r="P1421" s="53"/>
      <c r="Q1421" s="53"/>
      <c r="R1421" s="53"/>
      <c r="S1421" s="53"/>
      <c r="T1421" s="53"/>
      <c r="U1421" s="53"/>
      <c r="V1421" s="53"/>
      <c r="W1421" s="53"/>
      <c r="X1421" s="53"/>
      <c r="Y1421" s="53"/>
      <c r="Z1421" s="53"/>
    </row>
    <row r="1422" spans="1:26" ht="15.75" customHeight="1">
      <c r="A1422" s="103"/>
      <c r="B1422" s="103"/>
      <c r="C1422" s="104" t="e">
        <v>#REF!</v>
      </c>
      <c r="D1422" s="103"/>
      <c r="E1422" s="53"/>
      <c r="F1422" s="53"/>
      <c r="G1422" s="53"/>
      <c r="H1422" s="53"/>
      <c r="I1422" s="53"/>
      <c r="J1422" s="53"/>
      <c r="K1422" s="53"/>
      <c r="L1422" s="53"/>
      <c r="M1422" s="53"/>
      <c r="N1422" s="53"/>
      <c r="O1422" s="53"/>
      <c r="P1422" s="53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</row>
    <row r="1423" spans="1:26" ht="15.75" customHeight="1">
      <c r="A1423" s="103"/>
      <c r="B1423" s="103"/>
      <c r="C1423" s="104" t="e">
        <v>#REF!</v>
      </c>
      <c r="D1423" s="103"/>
      <c r="E1423" s="53"/>
      <c r="F1423" s="53"/>
      <c r="G1423" s="53"/>
      <c r="H1423" s="53"/>
      <c r="I1423" s="53"/>
      <c r="J1423" s="53"/>
      <c r="K1423" s="53"/>
      <c r="L1423" s="53"/>
      <c r="M1423" s="53"/>
      <c r="N1423" s="53"/>
      <c r="O1423" s="53"/>
      <c r="P1423" s="53"/>
      <c r="Q1423" s="53"/>
      <c r="R1423" s="53"/>
      <c r="S1423" s="53"/>
      <c r="T1423" s="53"/>
      <c r="U1423" s="53"/>
      <c r="V1423" s="53"/>
      <c r="W1423" s="53"/>
      <c r="X1423" s="53"/>
      <c r="Y1423" s="53"/>
      <c r="Z1423" s="53"/>
    </row>
    <row r="1424" spans="1:26" ht="15.75" customHeight="1">
      <c r="A1424" s="103"/>
      <c r="B1424" s="103"/>
      <c r="C1424" s="104" t="e">
        <v>#REF!</v>
      </c>
      <c r="D1424" s="103"/>
      <c r="E1424" s="53"/>
      <c r="F1424" s="53"/>
      <c r="G1424" s="53"/>
      <c r="H1424" s="53"/>
      <c r="I1424" s="53"/>
      <c r="J1424" s="53"/>
      <c r="K1424" s="53"/>
      <c r="L1424" s="53"/>
      <c r="M1424" s="53"/>
      <c r="N1424" s="53"/>
      <c r="O1424" s="53"/>
      <c r="P1424" s="53"/>
      <c r="Q1424" s="53"/>
      <c r="R1424" s="53"/>
      <c r="S1424" s="53"/>
      <c r="T1424" s="53"/>
      <c r="U1424" s="53"/>
      <c r="V1424" s="53"/>
      <c r="W1424" s="53"/>
      <c r="X1424" s="53"/>
      <c r="Y1424" s="53"/>
      <c r="Z1424" s="53"/>
    </row>
    <row r="1425" spans="1:26" ht="15.75" customHeight="1">
      <c r="A1425" s="103"/>
      <c r="B1425" s="103"/>
      <c r="C1425" s="104" t="e">
        <v>#REF!</v>
      </c>
      <c r="D1425" s="103"/>
      <c r="E1425" s="53"/>
      <c r="F1425" s="53"/>
      <c r="G1425" s="53"/>
      <c r="H1425" s="53"/>
      <c r="I1425" s="53"/>
      <c r="J1425" s="53"/>
      <c r="K1425" s="53"/>
      <c r="L1425" s="53"/>
      <c r="M1425" s="53"/>
      <c r="N1425" s="53"/>
      <c r="O1425" s="53"/>
      <c r="P1425" s="53"/>
      <c r="Q1425" s="53"/>
      <c r="R1425" s="53"/>
      <c r="S1425" s="53"/>
      <c r="T1425" s="53"/>
      <c r="U1425" s="53"/>
      <c r="V1425" s="53"/>
      <c r="W1425" s="53"/>
      <c r="X1425" s="53"/>
      <c r="Y1425" s="53"/>
      <c r="Z1425" s="53"/>
    </row>
    <row r="1426" spans="1:26" ht="15.75" customHeight="1">
      <c r="A1426" s="103"/>
      <c r="B1426" s="103"/>
      <c r="C1426" s="104" t="e">
        <v>#REF!</v>
      </c>
      <c r="D1426" s="103"/>
      <c r="E1426" s="53"/>
      <c r="F1426" s="53"/>
      <c r="G1426" s="53"/>
      <c r="H1426" s="53"/>
      <c r="I1426" s="53"/>
      <c r="J1426" s="53"/>
      <c r="K1426" s="53"/>
      <c r="L1426" s="53"/>
      <c r="M1426" s="53"/>
      <c r="N1426" s="53"/>
      <c r="O1426" s="53"/>
      <c r="P1426" s="53"/>
      <c r="Q1426" s="53"/>
      <c r="R1426" s="53"/>
      <c r="S1426" s="53"/>
      <c r="T1426" s="53"/>
      <c r="U1426" s="53"/>
      <c r="V1426" s="53"/>
      <c r="W1426" s="53"/>
      <c r="X1426" s="53"/>
      <c r="Y1426" s="53"/>
      <c r="Z1426" s="53"/>
    </row>
    <row r="1427" spans="1:26" ht="15.75" customHeight="1">
      <c r="A1427" s="103"/>
      <c r="B1427" s="103"/>
      <c r="C1427" s="104" t="e">
        <v>#REF!</v>
      </c>
      <c r="D1427" s="103"/>
      <c r="E1427" s="53"/>
      <c r="F1427" s="53"/>
      <c r="G1427" s="53"/>
      <c r="H1427" s="53"/>
      <c r="I1427" s="53"/>
      <c r="J1427" s="53"/>
      <c r="K1427" s="53"/>
      <c r="L1427" s="53"/>
      <c r="M1427" s="53"/>
      <c r="N1427" s="53"/>
      <c r="O1427" s="53"/>
      <c r="P1427" s="53"/>
      <c r="Q1427" s="53"/>
      <c r="R1427" s="53"/>
      <c r="S1427" s="53"/>
      <c r="T1427" s="53"/>
      <c r="U1427" s="53"/>
      <c r="V1427" s="53"/>
      <c r="W1427" s="53"/>
      <c r="X1427" s="53"/>
      <c r="Y1427" s="53"/>
      <c r="Z1427" s="53"/>
    </row>
    <row r="1428" spans="1:26" ht="15.75" customHeight="1">
      <c r="A1428" s="103"/>
      <c r="B1428" s="103"/>
      <c r="C1428" s="104" t="e">
        <v>#REF!</v>
      </c>
      <c r="D1428" s="103"/>
      <c r="E1428" s="53"/>
      <c r="F1428" s="53"/>
      <c r="G1428" s="53"/>
      <c r="H1428" s="53"/>
      <c r="I1428" s="53"/>
      <c r="J1428" s="53"/>
      <c r="K1428" s="53"/>
      <c r="L1428" s="53"/>
      <c r="M1428" s="53"/>
      <c r="N1428" s="53"/>
      <c r="O1428" s="53"/>
      <c r="P1428" s="53"/>
      <c r="Q1428" s="53"/>
      <c r="R1428" s="53"/>
      <c r="S1428" s="53"/>
      <c r="T1428" s="53"/>
      <c r="U1428" s="53"/>
      <c r="V1428" s="53"/>
      <c r="W1428" s="53"/>
      <c r="X1428" s="53"/>
      <c r="Y1428" s="53"/>
      <c r="Z1428" s="53"/>
    </row>
    <row r="1429" spans="1:26" ht="15.75" customHeight="1">
      <c r="A1429" s="103"/>
      <c r="B1429" s="103"/>
      <c r="C1429" s="104" t="e">
        <v>#REF!</v>
      </c>
      <c r="D1429" s="103"/>
      <c r="E1429" s="53"/>
      <c r="F1429" s="53"/>
      <c r="G1429" s="53"/>
      <c r="H1429" s="53"/>
      <c r="I1429" s="53"/>
      <c r="J1429" s="53"/>
      <c r="K1429" s="53"/>
      <c r="L1429" s="53"/>
      <c r="M1429" s="53"/>
      <c r="N1429" s="53"/>
      <c r="O1429" s="53"/>
      <c r="P1429" s="53"/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</row>
    <row r="1430" spans="1:26" ht="15.75" customHeight="1">
      <c r="A1430" s="103"/>
      <c r="B1430" s="103"/>
      <c r="C1430" s="104" t="e">
        <v>#REF!</v>
      </c>
      <c r="D1430" s="103"/>
      <c r="E1430" s="53"/>
      <c r="F1430" s="53"/>
      <c r="G1430" s="53"/>
      <c r="H1430" s="53"/>
      <c r="I1430" s="53"/>
      <c r="J1430" s="53"/>
      <c r="K1430" s="53"/>
      <c r="L1430" s="53"/>
      <c r="M1430" s="53"/>
      <c r="N1430" s="53"/>
      <c r="O1430" s="53"/>
      <c r="P1430" s="53"/>
      <c r="Q1430" s="53"/>
      <c r="R1430" s="53"/>
      <c r="S1430" s="53"/>
      <c r="T1430" s="53"/>
      <c r="U1430" s="53"/>
      <c r="V1430" s="53"/>
      <c r="W1430" s="53"/>
      <c r="X1430" s="53"/>
      <c r="Y1430" s="53"/>
      <c r="Z1430" s="53"/>
    </row>
    <row r="1431" spans="1:26" ht="15.75" customHeight="1">
      <c r="A1431" s="103"/>
      <c r="B1431" s="103"/>
      <c r="C1431" s="104" t="e">
        <v>#REF!</v>
      </c>
      <c r="D1431" s="103"/>
      <c r="E1431" s="53"/>
      <c r="F1431" s="53"/>
      <c r="G1431" s="53"/>
      <c r="H1431" s="53"/>
      <c r="I1431" s="53"/>
      <c r="J1431" s="53"/>
      <c r="K1431" s="53"/>
      <c r="L1431" s="53"/>
      <c r="M1431" s="53"/>
      <c r="N1431" s="53"/>
      <c r="O1431" s="53"/>
      <c r="P1431" s="53"/>
      <c r="Q1431" s="53"/>
      <c r="R1431" s="53"/>
      <c r="S1431" s="53"/>
      <c r="T1431" s="53"/>
      <c r="U1431" s="53"/>
      <c r="V1431" s="53"/>
      <c r="W1431" s="53"/>
      <c r="X1431" s="53"/>
      <c r="Y1431" s="53"/>
      <c r="Z1431" s="53"/>
    </row>
    <row r="1432" spans="1:26" ht="15.75" customHeight="1">
      <c r="A1432" s="103"/>
      <c r="B1432" s="103"/>
      <c r="C1432" s="104" t="e">
        <v>#REF!</v>
      </c>
      <c r="D1432" s="103"/>
      <c r="E1432" s="53"/>
      <c r="F1432" s="53"/>
      <c r="G1432" s="53"/>
      <c r="H1432" s="53"/>
      <c r="I1432" s="53"/>
      <c r="J1432" s="53"/>
      <c r="K1432" s="53"/>
      <c r="L1432" s="53"/>
      <c r="M1432" s="53"/>
      <c r="N1432" s="53"/>
      <c r="O1432" s="53"/>
      <c r="P1432" s="53"/>
      <c r="Q1432" s="53"/>
      <c r="R1432" s="53"/>
      <c r="S1432" s="53"/>
      <c r="T1432" s="53"/>
      <c r="U1432" s="53"/>
      <c r="V1432" s="53"/>
      <c r="W1432" s="53"/>
      <c r="X1432" s="53"/>
      <c r="Y1432" s="53"/>
      <c r="Z1432" s="53"/>
    </row>
    <row r="1433" spans="1:26" ht="15.75" customHeight="1">
      <c r="A1433" s="103"/>
      <c r="B1433" s="103"/>
      <c r="C1433" s="104" t="e">
        <v>#REF!</v>
      </c>
      <c r="D1433" s="103"/>
      <c r="E1433" s="53"/>
      <c r="F1433" s="53"/>
      <c r="G1433" s="53"/>
      <c r="H1433" s="53"/>
      <c r="I1433" s="53"/>
      <c r="J1433" s="53"/>
      <c r="K1433" s="53"/>
      <c r="L1433" s="53"/>
      <c r="M1433" s="53"/>
      <c r="N1433" s="53"/>
      <c r="O1433" s="53"/>
      <c r="P1433" s="53"/>
      <c r="Q1433" s="53"/>
      <c r="R1433" s="53"/>
      <c r="S1433" s="53"/>
      <c r="T1433" s="53"/>
      <c r="U1433" s="53"/>
      <c r="V1433" s="53"/>
      <c r="W1433" s="53"/>
      <c r="X1433" s="53"/>
      <c r="Y1433" s="53"/>
      <c r="Z1433" s="53"/>
    </row>
    <row r="1434" spans="1:26" ht="15.75" customHeight="1">
      <c r="A1434" s="103"/>
      <c r="B1434" s="103"/>
      <c r="C1434" s="104" t="e">
        <v>#REF!</v>
      </c>
      <c r="D1434" s="103"/>
      <c r="E1434" s="53"/>
      <c r="F1434" s="53"/>
      <c r="G1434" s="53"/>
      <c r="H1434" s="53"/>
      <c r="I1434" s="53"/>
      <c r="J1434" s="53"/>
      <c r="K1434" s="53"/>
      <c r="L1434" s="53"/>
      <c r="M1434" s="53"/>
      <c r="N1434" s="53"/>
      <c r="O1434" s="53"/>
      <c r="P1434" s="53"/>
      <c r="Q1434" s="53"/>
      <c r="R1434" s="53"/>
      <c r="S1434" s="53"/>
      <c r="T1434" s="53"/>
      <c r="U1434" s="53"/>
      <c r="V1434" s="53"/>
      <c r="W1434" s="53"/>
      <c r="X1434" s="53"/>
      <c r="Y1434" s="53"/>
      <c r="Z1434" s="53"/>
    </row>
    <row r="1435" spans="1:26" ht="15.75" customHeight="1">
      <c r="A1435" s="103"/>
      <c r="B1435" s="103"/>
      <c r="C1435" s="104" t="e">
        <v>#REF!</v>
      </c>
      <c r="D1435" s="103"/>
      <c r="E1435" s="53"/>
      <c r="F1435" s="53"/>
      <c r="G1435" s="53"/>
      <c r="H1435" s="53"/>
      <c r="I1435" s="53"/>
      <c r="J1435" s="53"/>
      <c r="K1435" s="53"/>
      <c r="L1435" s="53"/>
      <c r="M1435" s="53"/>
      <c r="N1435" s="53"/>
      <c r="O1435" s="53"/>
      <c r="P1435" s="53"/>
      <c r="Q1435" s="53"/>
      <c r="R1435" s="53"/>
      <c r="S1435" s="53"/>
      <c r="T1435" s="53"/>
      <c r="U1435" s="53"/>
      <c r="V1435" s="53"/>
      <c r="W1435" s="53"/>
      <c r="X1435" s="53"/>
      <c r="Y1435" s="53"/>
      <c r="Z1435" s="53"/>
    </row>
    <row r="1436" spans="1:26" ht="15.75" customHeight="1">
      <c r="A1436" s="103"/>
      <c r="B1436" s="103"/>
      <c r="C1436" s="104" t="e">
        <v>#REF!</v>
      </c>
      <c r="D1436" s="103"/>
      <c r="E1436" s="53"/>
      <c r="F1436" s="53"/>
      <c r="G1436" s="53"/>
      <c r="H1436" s="53"/>
      <c r="I1436" s="53"/>
      <c r="J1436" s="53"/>
      <c r="K1436" s="53"/>
      <c r="L1436" s="53"/>
      <c r="M1436" s="53"/>
      <c r="N1436" s="53"/>
      <c r="O1436" s="53"/>
      <c r="P1436" s="53"/>
      <c r="Q1436" s="53"/>
      <c r="R1436" s="53"/>
      <c r="S1436" s="53"/>
      <c r="T1436" s="53"/>
      <c r="U1436" s="53"/>
      <c r="V1436" s="53"/>
      <c r="W1436" s="53"/>
      <c r="X1436" s="53"/>
      <c r="Y1436" s="53"/>
      <c r="Z1436" s="53"/>
    </row>
    <row r="1437" spans="1:26" ht="15.75" customHeight="1">
      <c r="A1437" s="103"/>
      <c r="B1437" s="103"/>
      <c r="C1437" s="104" t="e">
        <v>#REF!</v>
      </c>
      <c r="D1437" s="103"/>
      <c r="E1437" s="53"/>
      <c r="F1437" s="53"/>
      <c r="G1437" s="53"/>
      <c r="H1437" s="53"/>
      <c r="I1437" s="53"/>
      <c r="J1437" s="53"/>
      <c r="K1437" s="53"/>
      <c r="L1437" s="53"/>
      <c r="M1437" s="53"/>
      <c r="N1437" s="53"/>
      <c r="O1437" s="53"/>
      <c r="P1437" s="53"/>
      <c r="Q1437" s="53"/>
      <c r="R1437" s="53"/>
      <c r="S1437" s="53"/>
      <c r="T1437" s="53"/>
      <c r="U1437" s="53"/>
      <c r="V1437" s="53"/>
      <c r="W1437" s="53"/>
      <c r="X1437" s="53"/>
      <c r="Y1437" s="53"/>
      <c r="Z1437" s="53"/>
    </row>
    <row r="1438" spans="1:26" ht="15.75" customHeight="1">
      <c r="A1438" s="103"/>
      <c r="B1438" s="103"/>
      <c r="C1438" s="104" t="e">
        <v>#REF!</v>
      </c>
      <c r="D1438" s="103"/>
      <c r="E1438" s="53"/>
      <c r="F1438" s="53"/>
      <c r="G1438" s="53"/>
      <c r="H1438" s="53"/>
      <c r="I1438" s="53"/>
      <c r="J1438" s="53"/>
      <c r="K1438" s="53"/>
      <c r="L1438" s="53"/>
      <c r="M1438" s="53"/>
      <c r="N1438" s="53"/>
      <c r="O1438" s="53"/>
      <c r="P1438" s="53"/>
      <c r="Q1438" s="53"/>
      <c r="R1438" s="53"/>
      <c r="S1438" s="53"/>
      <c r="T1438" s="53"/>
      <c r="U1438" s="53"/>
      <c r="V1438" s="53"/>
      <c r="W1438" s="53"/>
      <c r="X1438" s="53"/>
      <c r="Y1438" s="53"/>
      <c r="Z1438" s="53"/>
    </row>
    <row r="1439" spans="1:26" ht="15.75" customHeight="1">
      <c r="A1439" s="103"/>
      <c r="B1439" s="103"/>
      <c r="C1439" s="104" t="e">
        <v>#REF!</v>
      </c>
      <c r="D1439" s="103"/>
      <c r="E1439" s="53"/>
      <c r="F1439" s="53"/>
      <c r="G1439" s="53"/>
      <c r="H1439" s="53"/>
      <c r="I1439" s="53"/>
      <c r="J1439" s="53"/>
      <c r="K1439" s="53"/>
      <c r="L1439" s="53"/>
      <c r="M1439" s="53"/>
      <c r="N1439" s="53"/>
      <c r="O1439" s="53"/>
      <c r="P1439" s="53"/>
      <c r="Q1439" s="53"/>
      <c r="R1439" s="53"/>
      <c r="S1439" s="53"/>
      <c r="T1439" s="53"/>
      <c r="U1439" s="53"/>
      <c r="V1439" s="53"/>
      <c r="W1439" s="53"/>
      <c r="X1439" s="53"/>
      <c r="Y1439" s="53"/>
      <c r="Z1439" s="53"/>
    </row>
    <row r="1440" spans="1:26" ht="15.75" customHeight="1">
      <c r="A1440" s="103"/>
      <c r="B1440" s="103"/>
      <c r="C1440" s="104" t="e">
        <v>#REF!</v>
      </c>
      <c r="D1440" s="103"/>
      <c r="E1440" s="53"/>
      <c r="F1440" s="53"/>
      <c r="G1440" s="53"/>
      <c r="H1440" s="53"/>
      <c r="I1440" s="53"/>
      <c r="J1440" s="53"/>
      <c r="K1440" s="53"/>
      <c r="L1440" s="53"/>
      <c r="M1440" s="53"/>
      <c r="N1440" s="53"/>
      <c r="O1440" s="53"/>
      <c r="P1440" s="53"/>
      <c r="Q1440" s="53"/>
      <c r="R1440" s="53"/>
      <c r="S1440" s="53"/>
      <c r="T1440" s="53"/>
      <c r="U1440" s="53"/>
      <c r="V1440" s="53"/>
      <c r="W1440" s="53"/>
      <c r="X1440" s="53"/>
      <c r="Y1440" s="53"/>
      <c r="Z1440" s="53"/>
    </row>
    <row r="1441" spans="1:26" ht="15.75" customHeight="1">
      <c r="A1441" s="103"/>
      <c r="B1441" s="103"/>
      <c r="C1441" s="104" t="e">
        <v>#REF!</v>
      </c>
      <c r="D1441" s="103"/>
      <c r="E1441" s="53"/>
      <c r="F1441" s="53"/>
      <c r="G1441" s="53"/>
      <c r="H1441" s="53"/>
      <c r="I1441" s="53"/>
      <c r="J1441" s="53"/>
      <c r="K1441" s="53"/>
      <c r="L1441" s="53"/>
      <c r="M1441" s="53"/>
      <c r="N1441" s="53"/>
      <c r="O1441" s="53"/>
      <c r="P1441" s="53"/>
      <c r="Q1441" s="53"/>
      <c r="R1441" s="53"/>
      <c r="S1441" s="53"/>
      <c r="T1441" s="53"/>
      <c r="U1441" s="53"/>
      <c r="V1441" s="53"/>
      <c r="W1441" s="53"/>
      <c r="X1441" s="53"/>
      <c r="Y1441" s="53"/>
      <c r="Z1441" s="53"/>
    </row>
    <row r="1442" spans="1:26" ht="15.75" customHeight="1">
      <c r="A1442" s="103"/>
      <c r="B1442" s="103"/>
      <c r="C1442" s="104" t="e">
        <v>#REF!</v>
      </c>
      <c r="D1442" s="103"/>
      <c r="E1442" s="53"/>
      <c r="F1442" s="53"/>
      <c r="G1442" s="53"/>
      <c r="H1442" s="53"/>
      <c r="I1442" s="53"/>
      <c r="J1442" s="53"/>
      <c r="K1442" s="53"/>
      <c r="L1442" s="53"/>
      <c r="M1442" s="53"/>
      <c r="N1442" s="53"/>
      <c r="O1442" s="53"/>
      <c r="P1442" s="53"/>
      <c r="Q1442" s="53"/>
      <c r="R1442" s="53"/>
      <c r="S1442" s="53"/>
      <c r="T1442" s="53"/>
      <c r="U1442" s="53"/>
      <c r="V1442" s="53"/>
      <c r="W1442" s="53"/>
      <c r="X1442" s="53"/>
      <c r="Y1442" s="53"/>
      <c r="Z1442" s="53"/>
    </row>
    <row r="1443" spans="1:26" ht="15.75" customHeight="1">
      <c r="A1443" s="103"/>
      <c r="B1443" s="103"/>
      <c r="C1443" s="104" t="e">
        <v>#REF!</v>
      </c>
      <c r="D1443" s="103"/>
      <c r="E1443" s="53"/>
      <c r="F1443" s="53"/>
      <c r="G1443" s="53"/>
      <c r="H1443" s="53"/>
      <c r="I1443" s="53"/>
      <c r="J1443" s="53"/>
      <c r="K1443" s="53"/>
      <c r="L1443" s="53"/>
      <c r="M1443" s="53"/>
      <c r="N1443" s="53"/>
      <c r="O1443" s="53"/>
      <c r="P1443" s="53"/>
      <c r="Q1443" s="53"/>
      <c r="R1443" s="53"/>
      <c r="S1443" s="53"/>
      <c r="T1443" s="53"/>
      <c r="U1443" s="53"/>
      <c r="V1443" s="53"/>
      <c r="W1443" s="53"/>
      <c r="X1443" s="53"/>
      <c r="Y1443" s="53"/>
      <c r="Z1443" s="53"/>
    </row>
    <row r="1444" spans="1:26" ht="15.75" customHeight="1">
      <c r="A1444" s="103"/>
      <c r="B1444" s="103"/>
      <c r="C1444" s="104" t="e">
        <v>#REF!</v>
      </c>
      <c r="D1444" s="103"/>
      <c r="E1444" s="53"/>
      <c r="F1444" s="53"/>
      <c r="G1444" s="53"/>
      <c r="H1444" s="53"/>
      <c r="I1444" s="53"/>
      <c r="J1444" s="53"/>
      <c r="K1444" s="53"/>
      <c r="L1444" s="53"/>
      <c r="M1444" s="53"/>
      <c r="N1444" s="53"/>
      <c r="O1444" s="53"/>
      <c r="P1444" s="53"/>
      <c r="Q1444" s="53"/>
      <c r="R1444" s="53"/>
      <c r="S1444" s="53"/>
      <c r="T1444" s="53"/>
      <c r="U1444" s="53"/>
      <c r="V1444" s="53"/>
      <c r="W1444" s="53"/>
      <c r="X1444" s="53"/>
      <c r="Y1444" s="53"/>
      <c r="Z1444" s="53"/>
    </row>
    <row r="1445" spans="1:26" ht="15.75" customHeight="1">
      <c r="A1445" s="103"/>
      <c r="B1445" s="103"/>
      <c r="C1445" s="104" t="e">
        <v>#REF!</v>
      </c>
      <c r="D1445" s="103"/>
      <c r="E1445" s="53"/>
      <c r="F1445" s="53"/>
      <c r="G1445" s="53"/>
      <c r="H1445" s="53"/>
      <c r="I1445" s="53"/>
      <c r="J1445" s="53"/>
      <c r="K1445" s="53"/>
      <c r="L1445" s="53"/>
      <c r="M1445" s="53"/>
      <c r="N1445" s="53"/>
      <c r="O1445" s="53"/>
      <c r="P1445" s="53"/>
      <c r="Q1445" s="53"/>
      <c r="R1445" s="53"/>
      <c r="S1445" s="53"/>
      <c r="T1445" s="53"/>
      <c r="U1445" s="53"/>
      <c r="V1445" s="53"/>
      <c r="W1445" s="53"/>
      <c r="X1445" s="53"/>
      <c r="Y1445" s="53"/>
      <c r="Z1445" s="53"/>
    </row>
    <row r="1446" spans="1:26" ht="15.75" customHeight="1">
      <c r="A1446" s="103"/>
      <c r="B1446" s="103"/>
      <c r="C1446" s="104" t="e">
        <v>#REF!</v>
      </c>
      <c r="D1446" s="103"/>
      <c r="E1446" s="53"/>
      <c r="F1446" s="53"/>
      <c r="G1446" s="53"/>
      <c r="H1446" s="53"/>
      <c r="I1446" s="53"/>
      <c r="J1446" s="53"/>
      <c r="K1446" s="53"/>
      <c r="L1446" s="53"/>
      <c r="M1446" s="53"/>
      <c r="N1446" s="53"/>
      <c r="O1446" s="53"/>
      <c r="P1446" s="53"/>
      <c r="Q1446" s="53"/>
      <c r="R1446" s="53"/>
      <c r="S1446" s="53"/>
      <c r="T1446" s="53"/>
      <c r="U1446" s="53"/>
      <c r="V1446" s="53"/>
      <c r="W1446" s="53"/>
      <c r="X1446" s="53"/>
      <c r="Y1446" s="53"/>
      <c r="Z1446" s="53"/>
    </row>
    <row r="1447" spans="1:26" ht="15.75" customHeight="1">
      <c r="A1447" s="103"/>
      <c r="B1447" s="103"/>
      <c r="C1447" s="104" t="e">
        <v>#REF!</v>
      </c>
      <c r="D1447" s="103"/>
      <c r="E1447" s="53"/>
      <c r="F1447" s="53"/>
      <c r="G1447" s="53"/>
      <c r="H1447" s="53"/>
      <c r="I1447" s="53"/>
      <c r="J1447" s="53"/>
      <c r="K1447" s="53"/>
      <c r="L1447" s="53"/>
      <c r="M1447" s="53"/>
      <c r="N1447" s="53"/>
      <c r="O1447" s="53"/>
      <c r="P1447" s="53"/>
      <c r="Q1447" s="53"/>
      <c r="R1447" s="53"/>
      <c r="S1447" s="53"/>
      <c r="T1447" s="53"/>
      <c r="U1447" s="53"/>
      <c r="V1447" s="53"/>
      <c r="W1447" s="53"/>
      <c r="X1447" s="53"/>
      <c r="Y1447" s="53"/>
      <c r="Z1447" s="53"/>
    </row>
    <row r="1448" spans="1:26" ht="15.75" customHeight="1">
      <c r="A1448" s="103"/>
      <c r="B1448" s="103"/>
      <c r="C1448" s="104" t="e">
        <v>#REF!</v>
      </c>
      <c r="D1448" s="103"/>
      <c r="E1448" s="53"/>
      <c r="F1448" s="53"/>
      <c r="G1448" s="53"/>
      <c r="H1448" s="53"/>
      <c r="I1448" s="53"/>
      <c r="J1448" s="53"/>
      <c r="K1448" s="53"/>
      <c r="L1448" s="53"/>
      <c r="M1448" s="53"/>
      <c r="N1448" s="53"/>
      <c r="O1448" s="53"/>
      <c r="P1448" s="53"/>
      <c r="Q1448" s="53"/>
      <c r="R1448" s="53"/>
      <c r="S1448" s="53"/>
      <c r="T1448" s="53"/>
      <c r="U1448" s="53"/>
      <c r="V1448" s="53"/>
      <c r="W1448" s="53"/>
      <c r="X1448" s="53"/>
      <c r="Y1448" s="53"/>
      <c r="Z1448" s="53"/>
    </row>
    <row r="1449" spans="1:26" ht="15.75" customHeight="1">
      <c r="A1449" s="103"/>
      <c r="B1449" s="103"/>
      <c r="C1449" s="104" t="e">
        <v>#REF!</v>
      </c>
      <c r="D1449" s="103"/>
      <c r="E1449" s="53"/>
      <c r="F1449" s="53"/>
      <c r="G1449" s="53"/>
      <c r="H1449" s="53"/>
      <c r="I1449" s="53"/>
      <c r="J1449" s="53"/>
      <c r="K1449" s="53"/>
      <c r="L1449" s="53"/>
      <c r="M1449" s="53"/>
      <c r="N1449" s="53"/>
      <c r="O1449" s="53"/>
      <c r="P1449" s="53"/>
      <c r="Q1449" s="53"/>
      <c r="R1449" s="53"/>
      <c r="S1449" s="53"/>
      <c r="T1449" s="53"/>
      <c r="U1449" s="53"/>
      <c r="V1449" s="53"/>
      <c r="W1449" s="53"/>
      <c r="X1449" s="53"/>
      <c r="Y1449" s="53"/>
      <c r="Z1449" s="53"/>
    </row>
    <row r="1450" spans="1:26" ht="15.75" customHeight="1">
      <c r="A1450" s="103"/>
      <c r="B1450" s="103"/>
      <c r="C1450" s="104" t="e">
        <v>#REF!</v>
      </c>
      <c r="D1450" s="103"/>
      <c r="E1450" s="53"/>
      <c r="F1450" s="53"/>
      <c r="G1450" s="53"/>
      <c r="H1450" s="53"/>
      <c r="I1450" s="53"/>
      <c r="J1450" s="53"/>
      <c r="K1450" s="53"/>
      <c r="L1450" s="53"/>
      <c r="M1450" s="53"/>
      <c r="N1450" s="53"/>
      <c r="O1450" s="53"/>
      <c r="P1450" s="53"/>
      <c r="Q1450" s="53"/>
      <c r="R1450" s="53"/>
      <c r="S1450" s="53"/>
      <c r="T1450" s="53"/>
      <c r="U1450" s="53"/>
      <c r="V1450" s="53"/>
      <c r="W1450" s="53"/>
      <c r="X1450" s="53"/>
      <c r="Y1450" s="53"/>
      <c r="Z1450" s="53"/>
    </row>
    <row r="1451" spans="1:26" ht="15.75" customHeight="1">
      <c r="A1451" s="103"/>
      <c r="B1451" s="103"/>
      <c r="C1451" s="104" t="e">
        <v>#REF!</v>
      </c>
      <c r="D1451" s="103"/>
      <c r="E1451" s="53"/>
      <c r="F1451" s="53"/>
      <c r="G1451" s="53"/>
      <c r="H1451" s="53"/>
      <c r="I1451" s="53"/>
      <c r="J1451" s="53"/>
      <c r="K1451" s="53"/>
      <c r="L1451" s="53"/>
      <c r="M1451" s="53"/>
      <c r="N1451" s="53"/>
      <c r="O1451" s="53"/>
      <c r="P1451" s="53"/>
      <c r="Q1451" s="53"/>
      <c r="R1451" s="53"/>
      <c r="S1451" s="53"/>
      <c r="T1451" s="53"/>
      <c r="U1451" s="53"/>
      <c r="V1451" s="53"/>
      <c r="W1451" s="53"/>
      <c r="X1451" s="53"/>
      <c r="Y1451" s="53"/>
      <c r="Z1451" s="53"/>
    </row>
    <row r="1452" spans="1:26" ht="15.75" customHeight="1">
      <c r="A1452" s="103"/>
      <c r="B1452" s="103"/>
      <c r="C1452" s="104" t="e">
        <v>#REF!</v>
      </c>
      <c r="D1452" s="103"/>
      <c r="E1452" s="53"/>
      <c r="F1452" s="53"/>
      <c r="G1452" s="53"/>
      <c r="H1452" s="53"/>
      <c r="I1452" s="53"/>
      <c r="J1452" s="53"/>
      <c r="K1452" s="53"/>
      <c r="L1452" s="53"/>
      <c r="M1452" s="53"/>
      <c r="N1452" s="53"/>
      <c r="O1452" s="53"/>
      <c r="P1452" s="53"/>
      <c r="Q1452" s="53"/>
      <c r="R1452" s="53"/>
      <c r="S1452" s="53"/>
      <c r="T1452" s="53"/>
      <c r="U1452" s="53"/>
      <c r="V1452" s="53"/>
      <c r="W1452" s="53"/>
      <c r="X1452" s="53"/>
      <c r="Y1452" s="53"/>
      <c r="Z1452" s="53"/>
    </row>
    <row r="1453" spans="1:26" ht="15.75" customHeight="1">
      <c r="A1453" s="103"/>
      <c r="B1453" s="103"/>
      <c r="C1453" s="104" t="e">
        <v>#REF!</v>
      </c>
      <c r="D1453" s="103"/>
      <c r="E1453" s="53"/>
      <c r="F1453" s="53"/>
      <c r="G1453" s="53"/>
      <c r="H1453" s="53"/>
      <c r="I1453" s="53"/>
      <c r="J1453" s="53"/>
      <c r="K1453" s="53"/>
      <c r="L1453" s="53"/>
      <c r="M1453" s="53"/>
      <c r="N1453" s="53"/>
      <c r="O1453" s="53"/>
      <c r="P1453" s="53"/>
      <c r="Q1453" s="53"/>
      <c r="R1453" s="53"/>
      <c r="S1453" s="53"/>
      <c r="T1453" s="53"/>
      <c r="U1453" s="53"/>
      <c r="V1453" s="53"/>
      <c r="W1453" s="53"/>
      <c r="X1453" s="53"/>
      <c r="Y1453" s="53"/>
      <c r="Z1453" s="53"/>
    </row>
    <row r="1454" spans="1:26" ht="15.75" customHeight="1">
      <c r="A1454" s="103"/>
      <c r="B1454" s="103"/>
      <c r="C1454" s="104" t="e">
        <v>#REF!</v>
      </c>
      <c r="D1454" s="103"/>
      <c r="E1454" s="53"/>
      <c r="F1454" s="53"/>
      <c r="G1454" s="53"/>
      <c r="H1454" s="53"/>
      <c r="I1454" s="53"/>
      <c r="J1454" s="53"/>
      <c r="K1454" s="53"/>
      <c r="L1454" s="53"/>
      <c r="M1454" s="53"/>
      <c r="N1454" s="53"/>
      <c r="O1454" s="53"/>
      <c r="P1454" s="53"/>
      <c r="Q1454" s="53"/>
      <c r="R1454" s="53"/>
      <c r="S1454" s="53"/>
      <c r="T1454" s="53"/>
      <c r="U1454" s="53"/>
      <c r="V1454" s="53"/>
      <c r="W1454" s="53"/>
      <c r="X1454" s="53"/>
      <c r="Y1454" s="53"/>
      <c r="Z1454" s="53"/>
    </row>
    <row r="1455" spans="1:26" ht="15.75" customHeight="1">
      <c r="A1455" s="103"/>
      <c r="B1455" s="103"/>
      <c r="C1455" s="104" t="e">
        <v>#REF!</v>
      </c>
      <c r="D1455" s="103"/>
      <c r="E1455" s="53"/>
      <c r="F1455" s="53"/>
      <c r="G1455" s="53"/>
      <c r="H1455" s="53"/>
      <c r="I1455" s="53"/>
      <c r="J1455" s="53"/>
      <c r="K1455" s="53"/>
      <c r="L1455" s="53"/>
      <c r="M1455" s="53"/>
      <c r="N1455" s="53"/>
      <c r="O1455" s="53"/>
      <c r="P1455" s="53"/>
      <c r="Q1455" s="53"/>
      <c r="R1455" s="53"/>
      <c r="S1455" s="53"/>
      <c r="T1455" s="53"/>
      <c r="U1455" s="53"/>
      <c r="V1455" s="53"/>
      <c r="W1455" s="53"/>
      <c r="X1455" s="53"/>
      <c r="Y1455" s="53"/>
      <c r="Z1455" s="53"/>
    </row>
    <row r="1456" spans="1:26" ht="15.75" customHeight="1">
      <c r="A1456" s="103"/>
      <c r="B1456" s="103"/>
      <c r="C1456" s="104" t="e">
        <v>#REF!</v>
      </c>
      <c r="D1456" s="103"/>
      <c r="E1456" s="53"/>
      <c r="F1456" s="53"/>
      <c r="G1456" s="53"/>
      <c r="H1456" s="53"/>
      <c r="I1456" s="53"/>
      <c r="J1456" s="53"/>
      <c r="K1456" s="53"/>
      <c r="L1456" s="53"/>
      <c r="M1456" s="53"/>
      <c r="N1456" s="53"/>
      <c r="O1456" s="53"/>
      <c r="P1456" s="53"/>
      <c r="Q1456" s="53"/>
      <c r="R1456" s="53"/>
      <c r="S1456" s="53"/>
      <c r="T1456" s="53"/>
      <c r="U1456" s="53"/>
      <c r="V1456" s="53"/>
      <c r="W1456" s="53"/>
      <c r="X1456" s="53"/>
      <c r="Y1456" s="53"/>
      <c r="Z1456" s="53"/>
    </row>
    <row r="1457" spans="1:26" ht="15.75" customHeight="1">
      <c r="A1457" s="103"/>
      <c r="B1457" s="103"/>
      <c r="C1457" s="104" t="e">
        <v>#REF!</v>
      </c>
      <c r="D1457" s="103"/>
      <c r="E1457" s="53"/>
      <c r="F1457" s="53"/>
      <c r="G1457" s="53"/>
      <c r="H1457" s="53"/>
      <c r="I1457" s="53"/>
      <c r="J1457" s="53"/>
      <c r="K1457" s="53"/>
      <c r="L1457" s="53"/>
      <c r="M1457" s="53"/>
      <c r="N1457" s="53"/>
      <c r="O1457" s="53"/>
      <c r="P1457" s="53"/>
      <c r="Q1457" s="53"/>
      <c r="R1457" s="53"/>
      <c r="S1457" s="53"/>
      <c r="T1457" s="53"/>
      <c r="U1457" s="53"/>
      <c r="V1457" s="53"/>
      <c r="W1457" s="53"/>
      <c r="X1457" s="53"/>
      <c r="Y1457" s="53"/>
      <c r="Z1457" s="53"/>
    </row>
    <row r="1458" spans="1:26" ht="15.75" customHeight="1">
      <c r="A1458" s="103"/>
      <c r="B1458" s="103"/>
      <c r="C1458" s="104" t="e">
        <v>#REF!</v>
      </c>
      <c r="D1458" s="103"/>
      <c r="E1458" s="53"/>
      <c r="F1458" s="53"/>
      <c r="G1458" s="53"/>
      <c r="H1458" s="53"/>
      <c r="I1458" s="53"/>
      <c r="J1458" s="53"/>
      <c r="K1458" s="53"/>
      <c r="L1458" s="53"/>
      <c r="M1458" s="53"/>
      <c r="N1458" s="53"/>
      <c r="O1458" s="53"/>
      <c r="P1458" s="53"/>
      <c r="Q1458" s="53"/>
      <c r="R1458" s="53"/>
      <c r="S1458" s="53"/>
      <c r="T1458" s="53"/>
      <c r="U1458" s="53"/>
      <c r="V1458" s="53"/>
      <c r="W1458" s="53"/>
      <c r="X1458" s="53"/>
      <c r="Y1458" s="53"/>
      <c r="Z1458" s="53"/>
    </row>
    <row r="1459" spans="1:26" ht="15.75" customHeight="1">
      <c r="A1459" s="103"/>
      <c r="B1459" s="103"/>
      <c r="C1459" s="104" t="e">
        <v>#REF!</v>
      </c>
      <c r="D1459" s="103"/>
      <c r="E1459" s="53"/>
      <c r="F1459" s="53"/>
      <c r="G1459" s="53"/>
      <c r="H1459" s="53"/>
      <c r="I1459" s="53"/>
      <c r="J1459" s="53"/>
      <c r="K1459" s="53"/>
      <c r="L1459" s="53"/>
      <c r="M1459" s="53"/>
      <c r="N1459" s="53"/>
      <c r="O1459" s="53"/>
      <c r="P1459" s="53"/>
      <c r="Q1459" s="53"/>
      <c r="R1459" s="53"/>
      <c r="S1459" s="53"/>
      <c r="T1459" s="53"/>
      <c r="U1459" s="53"/>
      <c r="V1459" s="53"/>
      <c r="W1459" s="53"/>
      <c r="X1459" s="53"/>
      <c r="Y1459" s="53"/>
      <c r="Z1459" s="53"/>
    </row>
    <row r="1460" spans="1:26" ht="15.75" customHeight="1">
      <c r="A1460" s="103"/>
      <c r="B1460" s="103"/>
      <c r="C1460" s="104" t="e">
        <v>#REF!</v>
      </c>
      <c r="D1460" s="103"/>
      <c r="E1460" s="53"/>
      <c r="F1460" s="53"/>
      <c r="G1460" s="53"/>
      <c r="H1460" s="53"/>
      <c r="I1460" s="53"/>
      <c r="J1460" s="53"/>
      <c r="K1460" s="53"/>
      <c r="L1460" s="53"/>
      <c r="M1460" s="53"/>
      <c r="N1460" s="53"/>
      <c r="O1460" s="53"/>
      <c r="P1460" s="53"/>
      <c r="Q1460" s="53"/>
      <c r="R1460" s="53"/>
      <c r="S1460" s="53"/>
      <c r="T1460" s="53"/>
      <c r="U1460" s="53"/>
      <c r="V1460" s="53"/>
      <c r="W1460" s="53"/>
      <c r="X1460" s="53"/>
      <c r="Y1460" s="53"/>
      <c r="Z1460" s="53"/>
    </row>
    <row r="1461" spans="1:26" ht="15.75" customHeight="1">
      <c r="A1461" s="103"/>
      <c r="B1461" s="103"/>
      <c r="C1461" s="104" t="e">
        <v>#REF!</v>
      </c>
      <c r="D1461" s="103"/>
      <c r="E1461" s="53"/>
      <c r="F1461" s="53"/>
      <c r="G1461" s="53"/>
      <c r="H1461" s="53"/>
      <c r="I1461" s="53"/>
      <c r="J1461" s="53"/>
      <c r="K1461" s="53"/>
      <c r="L1461" s="53"/>
      <c r="M1461" s="53"/>
      <c r="N1461" s="53"/>
      <c r="O1461" s="53"/>
      <c r="P1461" s="53"/>
      <c r="Q1461" s="53"/>
      <c r="R1461" s="53"/>
      <c r="S1461" s="53"/>
      <c r="T1461" s="53"/>
      <c r="U1461" s="53"/>
      <c r="V1461" s="53"/>
      <c r="W1461" s="53"/>
      <c r="X1461" s="53"/>
      <c r="Y1461" s="53"/>
      <c r="Z1461" s="53"/>
    </row>
    <row r="1462" spans="1:26" ht="15.75" customHeight="1">
      <c r="A1462" s="103"/>
      <c r="B1462" s="103"/>
      <c r="C1462" s="104" t="e">
        <v>#REF!</v>
      </c>
      <c r="D1462" s="103"/>
      <c r="E1462" s="53"/>
      <c r="F1462" s="53"/>
      <c r="G1462" s="53"/>
      <c r="H1462" s="53"/>
      <c r="I1462" s="53"/>
      <c r="J1462" s="53"/>
      <c r="K1462" s="53"/>
      <c r="L1462" s="53"/>
      <c r="M1462" s="53"/>
      <c r="N1462" s="53"/>
      <c r="O1462" s="53"/>
      <c r="P1462" s="53"/>
      <c r="Q1462" s="53"/>
      <c r="R1462" s="53"/>
      <c r="S1462" s="53"/>
      <c r="T1462" s="53"/>
      <c r="U1462" s="53"/>
      <c r="V1462" s="53"/>
      <c r="W1462" s="53"/>
      <c r="X1462" s="53"/>
      <c r="Y1462" s="53"/>
      <c r="Z1462" s="53"/>
    </row>
    <row r="1463" spans="1:26" ht="15.75" customHeight="1">
      <c r="A1463" s="103"/>
      <c r="B1463" s="103"/>
      <c r="C1463" s="104" t="e">
        <v>#REF!</v>
      </c>
      <c r="D1463" s="103"/>
      <c r="E1463" s="53"/>
      <c r="F1463" s="53"/>
      <c r="G1463" s="53"/>
      <c r="H1463" s="53"/>
      <c r="I1463" s="53"/>
      <c r="J1463" s="53"/>
      <c r="K1463" s="53"/>
      <c r="L1463" s="53"/>
      <c r="M1463" s="53"/>
      <c r="N1463" s="53"/>
      <c r="O1463" s="53"/>
      <c r="P1463" s="53"/>
      <c r="Q1463" s="53"/>
      <c r="R1463" s="53"/>
      <c r="S1463" s="53"/>
      <c r="T1463" s="53"/>
      <c r="U1463" s="53"/>
      <c r="V1463" s="53"/>
      <c r="W1463" s="53"/>
      <c r="X1463" s="53"/>
      <c r="Y1463" s="53"/>
      <c r="Z1463" s="53"/>
    </row>
    <row r="1464" spans="1:26" ht="15.75" customHeight="1">
      <c r="A1464" s="103"/>
      <c r="B1464" s="103"/>
      <c r="C1464" s="104" t="e">
        <v>#REF!</v>
      </c>
      <c r="D1464" s="103"/>
      <c r="E1464" s="53"/>
      <c r="F1464" s="53"/>
      <c r="G1464" s="53"/>
      <c r="H1464" s="53"/>
      <c r="I1464" s="53"/>
      <c r="J1464" s="53"/>
      <c r="K1464" s="53"/>
      <c r="L1464" s="53"/>
      <c r="M1464" s="53"/>
      <c r="N1464" s="53"/>
      <c r="O1464" s="53"/>
      <c r="P1464" s="53"/>
      <c r="Q1464" s="53"/>
      <c r="R1464" s="53"/>
      <c r="S1464" s="53"/>
      <c r="T1464" s="53"/>
      <c r="U1464" s="53"/>
      <c r="V1464" s="53"/>
      <c r="W1464" s="53"/>
      <c r="X1464" s="53"/>
      <c r="Y1464" s="53"/>
      <c r="Z1464" s="53"/>
    </row>
    <row r="1465" spans="1:26" ht="15.75" customHeight="1">
      <c r="A1465" s="103"/>
      <c r="B1465" s="103"/>
      <c r="C1465" s="104" t="e">
        <v>#REF!</v>
      </c>
      <c r="D1465" s="103"/>
      <c r="E1465" s="53"/>
      <c r="F1465" s="53"/>
      <c r="G1465" s="53"/>
      <c r="H1465" s="53"/>
      <c r="I1465" s="53"/>
      <c r="J1465" s="53"/>
      <c r="K1465" s="53"/>
      <c r="L1465" s="53"/>
      <c r="M1465" s="53"/>
      <c r="N1465" s="53"/>
      <c r="O1465" s="53"/>
      <c r="P1465" s="53"/>
      <c r="Q1465" s="53"/>
      <c r="R1465" s="53"/>
      <c r="S1465" s="53"/>
      <c r="T1465" s="53"/>
      <c r="U1465" s="53"/>
      <c r="V1465" s="53"/>
      <c r="W1465" s="53"/>
      <c r="X1465" s="53"/>
      <c r="Y1465" s="53"/>
      <c r="Z1465" s="53"/>
    </row>
    <row r="1466" spans="1:26" ht="15.75" customHeight="1">
      <c r="A1466" s="103"/>
      <c r="B1466" s="103"/>
      <c r="C1466" s="104" t="e">
        <v>#REF!</v>
      </c>
      <c r="D1466" s="103"/>
      <c r="E1466" s="53"/>
      <c r="F1466" s="53"/>
      <c r="G1466" s="53"/>
      <c r="H1466" s="53"/>
      <c r="I1466" s="53"/>
      <c r="J1466" s="53"/>
      <c r="K1466" s="53"/>
      <c r="L1466" s="53"/>
      <c r="M1466" s="53"/>
      <c r="N1466" s="53"/>
      <c r="O1466" s="53"/>
      <c r="P1466" s="53"/>
      <c r="Q1466" s="53"/>
      <c r="R1466" s="53"/>
      <c r="S1466" s="53"/>
      <c r="T1466" s="53"/>
      <c r="U1466" s="53"/>
      <c r="V1466" s="53"/>
      <c r="W1466" s="53"/>
      <c r="X1466" s="53"/>
      <c r="Y1466" s="53"/>
      <c r="Z1466" s="53"/>
    </row>
    <row r="1467" spans="1:26" ht="15.75" customHeight="1">
      <c r="A1467" s="103"/>
      <c r="B1467" s="103"/>
      <c r="C1467" s="104" t="e">
        <v>#REF!</v>
      </c>
      <c r="D1467" s="10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</row>
    <row r="1468" spans="1:26" ht="15.75" customHeight="1">
      <c r="A1468" s="103"/>
      <c r="B1468" s="103"/>
      <c r="C1468" s="104" t="e">
        <v>#REF!</v>
      </c>
      <c r="D1468" s="103"/>
      <c r="E1468" s="53"/>
      <c r="F1468" s="53"/>
      <c r="G1468" s="53"/>
      <c r="H1468" s="53"/>
      <c r="I1468" s="53"/>
      <c r="J1468" s="53"/>
      <c r="K1468" s="53"/>
      <c r="L1468" s="53"/>
      <c r="M1468" s="53"/>
      <c r="N1468" s="53"/>
      <c r="O1468" s="53"/>
      <c r="P1468" s="53"/>
      <c r="Q1468" s="53"/>
      <c r="R1468" s="53"/>
      <c r="S1468" s="53"/>
      <c r="T1468" s="53"/>
      <c r="U1468" s="53"/>
      <c r="V1468" s="53"/>
      <c r="W1468" s="53"/>
      <c r="X1468" s="53"/>
      <c r="Y1468" s="53"/>
      <c r="Z1468" s="53"/>
    </row>
    <row r="1469" spans="1:26" ht="15.75" customHeight="1">
      <c r="A1469" s="103"/>
      <c r="B1469" s="103"/>
      <c r="C1469" s="104" t="e">
        <v>#REF!</v>
      </c>
      <c r="D1469" s="103"/>
      <c r="E1469" s="53"/>
      <c r="F1469" s="53"/>
      <c r="G1469" s="53"/>
      <c r="H1469" s="53"/>
      <c r="I1469" s="53"/>
      <c r="J1469" s="53"/>
      <c r="K1469" s="53"/>
      <c r="L1469" s="53"/>
      <c r="M1469" s="53"/>
      <c r="N1469" s="53"/>
      <c r="O1469" s="53"/>
      <c r="P1469" s="53"/>
      <c r="Q1469" s="53"/>
      <c r="R1469" s="53"/>
      <c r="S1469" s="53"/>
      <c r="T1469" s="53"/>
      <c r="U1469" s="53"/>
      <c r="V1469" s="53"/>
      <c r="W1469" s="53"/>
      <c r="X1469" s="53"/>
      <c r="Y1469" s="53"/>
      <c r="Z1469" s="53"/>
    </row>
    <row r="1470" spans="1:26" ht="15.75" customHeight="1">
      <c r="A1470" s="103"/>
      <c r="B1470" s="103"/>
      <c r="C1470" s="104" t="e">
        <v>#REF!</v>
      </c>
      <c r="D1470" s="103"/>
      <c r="E1470" s="53"/>
      <c r="F1470" s="53"/>
      <c r="G1470" s="53"/>
      <c r="H1470" s="53"/>
      <c r="I1470" s="53"/>
      <c r="J1470" s="53"/>
      <c r="K1470" s="53"/>
      <c r="L1470" s="53"/>
      <c r="M1470" s="53"/>
      <c r="N1470" s="53"/>
      <c r="O1470" s="53"/>
      <c r="P1470" s="53"/>
      <c r="Q1470" s="53"/>
      <c r="R1470" s="53"/>
      <c r="S1470" s="53"/>
      <c r="T1470" s="53"/>
      <c r="U1470" s="53"/>
      <c r="V1470" s="53"/>
      <c r="W1470" s="53"/>
      <c r="X1470" s="53"/>
      <c r="Y1470" s="53"/>
      <c r="Z1470" s="53"/>
    </row>
    <row r="1471" spans="1:26" ht="15.75" customHeight="1">
      <c r="A1471" s="103"/>
      <c r="B1471" s="103"/>
      <c r="C1471" s="104" t="e">
        <v>#REF!</v>
      </c>
      <c r="D1471" s="103"/>
      <c r="E1471" s="53"/>
      <c r="F1471" s="53"/>
      <c r="G1471" s="53"/>
      <c r="H1471" s="53"/>
      <c r="I1471" s="53"/>
      <c r="J1471" s="53"/>
      <c r="K1471" s="53"/>
      <c r="L1471" s="53"/>
      <c r="M1471" s="53"/>
      <c r="N1471" s="53"/>
      <c r="O1471" s="53"/>
      <c r="P1471" s="53"/>
      <c r="Q1471" s="53"/>
      <c r="R1471" s="53"/>
      <c r="S1471" s="53"/>
      <c r="T1471" s="53"/>
      <c r="U1471" s="53"/>
      <c r="V1471" s="53"/>
      <c r="W1471" s="53"/>
      <c r="X1471" s="53"/>
      <c r="Y1471" s="53"/>
      <c r="Z1471" s="53"/>
    </row>
    <row r="1472" spans="1:26" ht="15.75" customHeight="1">
      <c r="A1472" s="103"/>
      <c r="B1472" s="103"/>
      <c r="C1472" s="104" t="e">
        <v>#REF!</v>
      </c>
      <c r="D1472" s="10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53"/>
      <c r="T1472" s="53"/>
      <c r="U1472" s="53"/>
      <c r="V1472" s="53"/>
      <c r="W1472" s="53"/>
      <c r="X1472" s="53"/>
      <c r="Y1472" s="53"/>
      <c r="Z1472" s="53"/>
    </row>
    <row r="1473" spans="1:26" ht="15.75" customHeight="1">
      <c r="A1473" s="103"/>
      <c r="B1473" s="103"/>
      <c r="C1473" s="104" t="e">
        <v>#REF!</v>
      </c>
      <c r="D1473" s="103"/>
      <c r="E1473" s="53"/>
      <c r="F1473" s="53"/>
      <c r="G1473" s="53"/>
      <c r="H1473" s="53"/>
      <c r="I1473" s="53"/>
      <c r="J1473" s="53"/>
      <c r="K1473" s="53"/>
      <c r="L1473" s="53"/>
      <c r="M1473" s="53"/>
      <c r="N1473" s="53"/>
      <c r="O1473" s="53"/>
      <c r="P1473" s="53"/>
      <c r="Q1473" s="53"/>
      <c r="R1473" s="53"/>
      <c r="S1473" s="53"/>
      <c r="T1473" s="53"/>
      <c r="U1473" s="53"/>
      <c r="V1473" s="53"/>
      <c r="W1473" s="53"/>
      <c r="X1473" s="53"/>
      <c r="Y1473" s="53"/>
      <c r="Z1473" s="53"/>
    </row>
    <row r="1474" spans="1:26" ht="15.75" customHeight="1">
      <c r="A1474" s="103"/>
      <c r="B1474" s="103"/>
      <c r="C1474" s="104" t="e">
        <v>#REF!</v>
      </c>
      <c r="D1474" s="103"/>
      <c r="E1474" s="53"/>
      <c r="F1474" s="53"/>
      <c r="G1474" s="53"/>
      <c r="H1474" s="53"/>
      <c r="I1474" s="53"/>
      <c r="J1474" s="53"/>
      <c r="K1474" s="53"/>
      <c r="L1474" s="53"/>
      <c r="M1474" s="53"/>
      <c r="N1474" s="53"/>
      <c r="O1474" s="53"/>
      <c r="P1474" s="53"/>
      <c r="Q1474" s="53"/>
      <c r="R1474" s="53"/>
      <c r="S1474" s="53"/>
      <c r="T1474" s="53"/>
      <c r="U1474" s="53"/>
      <c r="V1474" s="53"/>
      <c r="W1474" s="53"/>
      <c r="X1474" s="53"/>
      <c r="Y1474" s="53"/>
      <c r="Z1474" s="53"/>
    </row>
    <row r="1475" spans="1:26" ht="15.75" customHeight="1">
      <c r="A1475" s="103"/>
      <c r="B1475" s="103"/>
      <c r="C1475" s="104" t="e">
        <v>#REF!</v>
      </c>
      <c r="D1475" s="103"/>
      <c r="E1475" s="53"/>
      <c r="F1475" s="53"/>
      <c r="G1475" s="53"/>
      <c r="H1475" s="53"/>
      <c r="I1475" s="53"/>
      <c r="J1475" s="53"/>
      <c r="K1475" s="53"/>
      <c r="L1475" s="53"/>
      <c r="M1475" s="53"/>
      <c r="N1475" s="53"/>
      <c r="O1475" s="53"/>
      <c r="P1475" s="53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</row>
    <row r="1476" spans="1:26" ht="15.75" customHeight="1">
      <c r="A1476" s="103"/>
      <c r="B1476" s="103"/>
      <c r="C1476" s="104" t="e">
        <v>#REF!</v>
      </c>
      <c r="D1476" s="103"/>
      <c r="E1476" s="53"/>
      <c r="F1476" s="53"/>
      <c r="G1476" s="53"/>
      <c r="H1476" s="53"/>
      <c r="I1476" s="53"/>
      <c r="J1476" s="53"/>
      <c r="K1476" s="53"/>
      <c r="L1476" s="53"/>
      <c r="M1476" s="53"/>
      <c r="N1476" s="53"/>
      <c r="O1476" s="53"/>
      <c r="P1476" s="53"/>
      <c r="Q1476" s="53"/>
      <c r="R1476" s="53"/>
      <c r="S1476" s="53"/>
      <c r="T1476" s="53"/>
      <c r="U1476" s="53"/>
      <c r="V1476" s="53"/>
      <c r="W1476" s="53"/>
      <c r="X1476" s="53"/>
      <c r="Y1476" s="53"/>
      <c r="Z1476" s="53"/>
    </row>
    <row r="1477" spans="1:26" ht="15.75" customHeight="1">
      <c r="A1477" s="103"/>
      <c r="B1477" s="103"/>
      <c r="C1477" s="104" t="e">
        <v>#REF!</v>
      </c>
      <c r="D1477" s="103"/>
      <c r="E1477" s="53"/>
      <c r="F1477" s="53"/>
      <c r="G1477" s="53"/>
      <c r="H1477" s="53"/>
      <c r="I1477" s="53"/>
      <c r="J1477" s="53"/>
      <c r="K1477" s="53"/>
      <c r="L1477" s="53"/>
      <c r="M1477" s="53"/>
      <c r="N1477" s="53"/>
      <c r="O1477" s="53"/>
      <c r="P1477" s="53"/>
      <c r="Q1477" s="53"/>
      <c r="R1477" s="53"/>
      <c r="S1477" s="53"/>
      <c r="T1477" s="53"/>
      <c r="U1477" s="53"/>
      <c r="V1477" s="53"/>
      <c r="W1477" s="53"/>
      <c r="X1477" s="53"/>
      <c r="Y1477" s="53"/>
      <c r="Z1477" s="53"/>
    </row>
    <row r="1478" spans="1:26" ht="15.75" customHeight="1">
      <c r="A1478" s="103"/>
      <c r="B1478" s="103"/>
      <c r="C1478" s="104" t="e">
        <v>#REF!</v>
      </c>
      <c r="D1478" s="103"/>
      <c r="E1478" s="53"/>
      <c r="F1478" s="53"/>
      <c r="G1478" s="53"/>
      <c r="H1478" s="53"/>
      <c r="I1478" s="53"/>
      <c r="J1478" s="53"/>
      <c r="K1478" s="53"/>
      <c r="L1478" s="53"/>
      <c r="M1478" s="53"/>
      <c r="N1478" s="53"/>
      <c r="O1478" s="53"/>
      <c r="P1478" s="53"/>
      <c r="Q1478" s="53"/>
      <c r="R1478" s="53"/>
      <c r="S1478" s="53"/>
      <c r="T1478" s="53"/>
      <c r="U1478" s="53"/>
      <c r="V1478" s="53"/>
      <c r="W1478" s="53"/>
      <c r="X1478" s="53"/>
      <c r="Y1478" s="53"/>
      <c r="Z1478" s="53"/>
    </row>
    <row r="1479" spans="1:26" ht="15.75" customHeight="1">
      <c r="A1479" s="103"/>
      <c r="B1479" s="103"/>
      <c r="C1479" s="104" t="e">
        <v>#REF!</v>
      </c>
      <c r="D1479" s="103"/>
      <c r="E1479" s="53"/>
      <c r="F1479" s="53"/>
      <c r="G1479" s="53"/>
      <c r="H1479" s="53"/>
      <c r="I1479" s="53"/>
      <c r="J1479" s="53"/>
      <c r="K1479" s="53"/>
      <c r="L1479" s="53"/>
      <c r="M1479" s="53"/>
      <c r="N1479" s="53"/>
      <c r="O1479" s="53"/>
      <c r="P1479" s="53"/>
      <c r="Q1479" s="53"/>
      <c r="R1479" s="53"/>
      <c r="S1479" s="53"/>
      <c r="T1479" s="53"/>
      <c r="U1479" s="53"/>
      <c r="V1479" s="53"/>
      <c r="W1479" s="53"/>
      <c r="X1479" s="53"/>
      <c r="Y1479" s="53"/>
      <c r="Z1479" s="53"/>
    </row>
    <row r="1480" spans="1:26" ht="15.75" customHeight="1">
      <c r="A1480" s="103"/>
      <c r="B1480" s="103"/>
      <c r="C1480" s="104" t="e">
        <v>#REF!</v>
      </c>
      <c r="D1480" s="103"/>
      <c r="E1480" s="53"/>
      <c r="F1480" s="53"/>
      <c r="G1480" s="53"/>
      <c r="H1480" s="53"/>
      <c r="I1480" s="53"/>
      <c r="J1480" s="53"/>
      <c r="K1480" s="53"/>
      <c r="L1480" s="53"/>
      <c r="M1480" s="53"/>
      <c r="N1480" s="53"/>
      <c r="O1480" s="53"/>
      <c r="P1480" s="53"/>
      <c r="Q1480" s="53"/>
      <c r="R1480" s="53"/>
      <c r="S1480" s="53"/>
      <c r="T1480" s="53"/>
      <c r="U1480" s="53"/>
      <c r="V1480" s="53"/>
      <c r="W1480" s="53"/>
      <c r="X1480" s="53"/>
      <c r="Y1480" s="53"/>
      <c r="Z1480" s="53"/>
    </row>
    <row r="1481" spans="1:26" ht="15.75" customHeight="1">
      <c r="A1481" s="103"/>
      <c r="B1481" s="103"/>
      <c r="C1481" s="104" t="e">
        <v>#REF!</v>
      </c>
      <c r="D1481" s="103"/>
      <c r="E1481" s="53"/>
      <c r="F1481" s="53"/>
      <c r="G1481" s="53"/>
      <c r="H1481" s="53"/>
      <c r="I1481" s="53"/>
      <c r="J1481" s="53"/>
      <c r="K1481" s="53"/>
      <c r="L1481" s="53"/>
      <c r="M1481" s="53"/>
      <c r="N1481" s="53"/>
      <c r="O1481" s="53"/>
      <c r="P1481" s="53"/>
      <c r="Q1481" s="53"/>
      <c r="R1481" s="53"/>
      <c r="S1481" s="53"/>
      <c r="T1481" s="53"/>
      <c r="U1481" s="53"/>
      <c r="V1481" s="53"/>
      <c r="W1481" s="53"/>
      <c r="X1481" s="53"/>
      <c r="Y1481" s="53"/>
      <c r="Z1481" s="53"/>
    </row>
    <row r="1482" spans="1:26" ht="15.75" customHeight="1">
      <c r="A1482" s="103"/>
      <c r="B1482" s="103"/>
      <c r="C1482" s="104" t="e">
        <v>#REF!</v>
      </c>
      <c r="D1482" s="103"/>
      <c r="E1482" s="53"/>
      <c r="F1482" s="53"/>
      <c r="G1482" s="53"/>
      <c r="H1482" s="53"/>
      <c r="I1482" s="53"/>
      <c r="J1482" s="53"/>
      <c r="K1482" s="53"/>
      <c r="L1482" s="53"/>
      <c r="M1482" s="53"/>
      <c r="N1482" s="53"/>
      <c r="O1482" s="53"/>
      <c r="P1482" s="53"/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</row>
    <row r="1483" spans="1:26" ht="15.75" customHeight="1">
      <c r="A1483" s="103"/>
      <c r="B1483" s="103"/>
      <c r="C1483" s="104" t="e">
        <v>#REF!</v>
      </c>
      <c r="D1483" s="103"/>
      <c r="E1483" s="53"/>
      <c r="F1483" s="53"/>
      <c r="G1483" s="53"/>
      <c r="H1483" s="53"/>
      <c r="I1483" s="53"/>
      <c r="J1483" s="53"/>
      <c r="K1483" s="53"/>
      <c r="L1483" s="53"/>
      <c r="M1483" s="53"/>
      <c r="N1483" s="53"/>
      <c r="O1483" s="53"/>
      <c r="P1483" s="53"/>
      <c r="Q1483" s="53"/>
      <c r="R1483" s="53"/>
      <c r="S1483" s="53"/>
      <c r="T1483" s="53"/>
      <c r="U1483" s="53"/>
      <c r="V1483" s="53"/>
      <c r="W1483" s="53"/>
      <c r="X1483" s="53"/>
      <c r="Y1483" s="53"/>
      <c r="Z1483" s="53"/>
    </row>
    <row r="1484" spans="1:26" ht="15.75" customHeight="1">
      <c r="A1484" s="103"/>
      <c r="B1484" s="103"/>
      <c r="C1484" s="104" t="e">
        <v>#REF!</v>
      </c>
      <c r="D1484" s="103"/>
      <c r="E1484" s="53"/>
      <c r="F1484" s="53"/>
      <c r="G1484" s="53"/>
      <c r="H1484" s="53"/>
      <c r="I1484" s="53"/>
      <c r="J1484" s="53"/>
      <c r="K1484" s="53"/>
      <c r="L1484" s="53"/>
      <c r="M1484" s="53"/>
      <c r="N1484" s="53"/>
      <c r="O1484" s="53"/>
      <c r="P1484" s="53"/>
      <c r="Q1484" s="53"/>
      <c r="R1484" s="53"/>
      <c r="S1484" s="53"/>
      <c r="T1484" s="53"/>
      <c r="U1484" s="53"/>
      <c r="V1484" s="53"/>
      <c r="W1484" s="53"/>
      <c r="X1484" s="53"/>
      <c r="Y1484" s="53"/>
      <c r="Z1484" s="53"/>
    </row>
    <row r="1485" spans="1:26" ht="15.75" customHeight="1">
      <c r="A1485" s="103"/>
      <c r="B1485" s="103"/>
      <c r="C1485" s="104" t="e">
        <v>#REF!</v>
      </c>
      <c r="D1485" s="103"/>
      <c r="E1485" s="53"/>
      <c r="F1485" s="53"/>
      <c r="G1485" s="53"/>
      <c r="H1485" s="53"/>
      <c r="I1485" s="53"/>
      <c r="J1485" s="53"/>
      <c r="K1485" s="53"/>
      <c r="L1485" s="53"/>
      <c r="M1485" s="53"/>
      <c r="N1485" s="53"/>
      <c r="O1485" s="53"/>
      <c r="P1485" s="53"/>
      <c r="Q1485" s="53"/>
      <c r="R1485" s="53"/>
      <c r="S1485" s="53"/>
      <c r="T1485" s="53"/>
      <c r="U1485" s="53"/>
      <c r="V1485" s="53"/>
      <c r="W1485" s="53"/>
      <c r="X1485" s="53"/>
      <c r="Y1485" s="53"/>
      <c r="Z1485" s="53"/>
    </row>
    <row r="1486" spans="1:26" ht="15.75" customHeight="1">
      <c r="A1486" s="103"/>
      <c r="B1486" s="103"/>
      <c r="C1486" s="104" t="e">
        <v>#REF!</v>
      </c>
      <c r="D1486" s="103"/>
      <c r="E1486" s="53"/>
      <c r="F1486" s="53"/>
      <c r="G1486" s="53"/>
      <c r="H1486" s="53"/>
      <c r="I1486" s="53"/>
      <c r="J1486" s="53"/>
      <c r="K1486" s="53"/>
      <c r="L1486" s="53"/>
      <c r="M1486" s="53"/>
      <c r="N1486" s="53"/>
      <c r="O1486" s="53"/>
      <c r="P1486" s="53"/>
      <c r="Q1486" s="53"/>
      <c r="R1486" s="53"/>
      <c r="S1486" s="53"/>
      <c r="T1486" s="53"/>
      <c r="U1486" s="53"/>
      <c r="V1486" s="53"/>
      <c r="W1486" s="53"/>
      <c r="X1486" s="53"/>
      <c r="Y1486" s="53"/>
      <c r="Z1486" s="53"/>
    </row>
    <row r="1487" spans="1:26" ht="15.75" customHeight="1">
      <c r="A1487" s="103"/>
      <c r="B1487" s="103"/>
      <c r="C1487" s="104" t="e">
        <v>#REF!</v>
      </c>
      <c r="D1487" s="103"/>
      <c r="E1487" s="53"/>
      <c r="F1487" s="53"/>
      <c r="G1487" s="53"/>
      <c r="H1487" s="53"/>
      <c r="I1487" s="53"/>
      <c r="J1487" s="53"/>
      <c r="K1487" s="53"/>
      <c r="L1487" s="53"/>
      <c r="M1487" s="53"/>
      <c r="N1487" s="53"/>
      <c r="O1487" s="53"/>
      <c r="P1487" s="53"/>
      <c r="Q1487" s="53"/>
      <c r="R1487" s="53"/>
      <c r="S1487" s="53"/>
      <c r="T1487" s="53"/>
      <c r="U1487" s="53"/>
      <c r="V1487" s="53"/>
      <c r="W1487" s="53"/>
      <c r="X1487" s="53"/>
      <c r="Y1487" s="53"/>
      <c r="Z1487" s="53"/>
    </row>
    <row r="1488" spans="1:26" ht="15.75" customHeight="1">
      <c r="A1488" s="103"/>
      <c r="B1488" s="103"/>
      <c r="C1488" s="104" t="e">
        <v>#REF!</v>
      </c>
      <c r="D1488" s="103"/>
      <c r="E1488" s="53"/>
      <c r="F1488" s="53"/>
      <c r="G1488" s="53"/>
      <c r="H1488" s="53"/>
      <c r="I1488" s="53"/>
      <c r="J1488" s="53"/>
      <c r="K1488" s="53"/>
      <c r="L1488" s="53"/>
      <c r="M1488" s="53"/>
      <c r="N1488" s="53"/>
      <c r="O1488" s="53"/>
      <c r="P1488" s="53"/>
      <c r="Q1488" s="53"/>
      <c r="R1488" s="53"/>
      <c r="S1488" s="53"/>
      <c r="T1488" s="53"/>
      <c r="U1488" s="53"/>
      <c r="V1488" s="53"/>
      <c r="W1488" s="53"/>
      <c r="X1488" s="53"/>
      <c r="Y1488" s="53"/>
      <c r="Z1488" s="53"/>
    </row>
    <row r="1489" spans="1:26" ht="15.75" customHeight="1">
      <c r="A1489" s="103"/>
      <c r="B1489" s="103"/>
      <c r="C1489" s="104" t="e">
        <v>#REF!</v>
      </c>
      <c r="D1489" s="103"/>
      <c r="E1489" s="53"/>
      <c r="F1489" s="53"/>
      <c r="G1489" s="53"/>
      <c r="H1489" s="53"/>
      <c r="I1489" s="53"/>
      <c r="J1489" s="53"/>
      <c r="K1489" s="53"/>
      <c r="L1489" s="53"/>
      <c r="M1489" s="53"/>
      <c r="N1489" s="53"/>
      <c r="O1489" s="53"/>
      <c r="P1489" s="53"/>
      <c r="Q1489" s="53"/>
      <c r="R1489" s="53"/>
      <c r="S1489" s="53"/>
      <c r="T1489" s="53"/>
      <c r="U1489" s="53"/>
      <c r="V1489" s="53"/>
      <c r="W1489" s="53"/>
      <c r="X1489" s="53"/>
      <c r="Y1489" s="53"/>
      <c r="Z1489" s="53"/>
    </row>
    <row r="1490" spans="1:26" ht="15.75" customHeight="1">
      <c r="A1490" s="103"/>
      <c r="B1490" s="103"/>
      <c r="C1490" s="104" t="e">
        <v>#REF!</v>
      </c>
      <c r="D1490" s="103"/>
      <c r="E1490" s="53"/>
      <c r="F1490" s="53"/>
      <c r="G1490" s="53"/>
      <c r="H1490" s="53"/>
      <c r="I1490" s="53"/>
      <c r="J1490" s="53"/>
      <c r="K1490" s="53"/>
      <c r="L1490" s="53"/>
      <c r="M1490" s="53"/>
      <c r="N1490" s="53"/>
      <c r="O1490" s="53"/>
      <c r="P1490" s="53"/>
      <c r="Q1490" s="53"/>
      <c r="R1490" s="53"/>
      <c r="S1490" s="53"/>
      <c r="T1490" s="53"/>
      <c r="U1490" s="53"/>
      <c r="V1490" s="53"/>
      <c r="W1490" s="53"/>
      <c r="X1490" s="53"/>
      <c r="Y1490" s="53"/>
      <c r="Z1490" s="53"/>
    </row>
    <row r="1491" spans="1:26" ht="15.75" customHeight="1">
      <c r="A1491" s="103"/>
      <c r="B1491" s="103"/>
      <c r="C1491" s="104" t="e">
        <v>#REF!</v>
      </c>
      <c r="D1491" s="103"/>
      <c r="E1491" s="53"/>
      <c r="F1491" s="53"/>
      <c r="G1491" s="53"/>
      <c r="H1491" s="53"/>
      <c r="I1491" s="53"/>
      <c r="J1491" s="53"/>
      <c r="K1491" s="53"/>
      <c r="L1491" s="53"/>
      <c r="M1491" s="53"/>
      <c r="N1491" s="53"/>
      <c r="O1491" s="53"/>
      <c r="P1491" s="53"/>
      <c r="Q1491" s="53"/>
      <c r="R1491" s="53"/>
      <c r="S1491" s="53"/>
      <c r="T1491" s="53"/>
      <c r="U1491" s="53"/>
      <c r="V1491" s="53"/>
      <c r="W1491" s="53"/>
      <c r="X1491" s="53"/>
      <c r="Y1491" s="53"/>
      <c r="Z1491" s="53"/>
    </row>
    <row r="1492" spans="1:26" ht="15.75" customHeight="1">
      <c r="A1492" s="103"/>
      <c r="B1492" s="103"/>
      <c r="C1492" s="104" t="e">
        <v>#REF!</v>
      </c>
      <c r="D1492" s="103"/>
      <c r="E1492" s="53"/>
      <c r="F1492" s="53"/>
      <c r="G1492" s="53"/>
      <c r="H1492" s="53"/>
      <c r="I1492" s="53"/>
      <c r="J1492" s="53"/>
      <c r="K1492" s="53"/>
      <c r="L1492" s="53"/>
      <c r="M1492" s="53"/>
      <c r="N1492" s="53"/>
      <c r="O1492" s="53"/>
      <c r="P1492" s="53"/>
      <c r="Q1492" s="53"/>
      <c r="R1492" s="53"/>
      <c r="S1492" s="53"/>
      <c r="T1492" s="53"/>
      <c r="U1492" s="53"/>
      <c r="V1492" s="53"/>
      <c r="W1492" s="53"/>
      <c r="X1492" s="53"/>
      <c r="Y1492" s="53"/>
      <c r="Z1492" s="53"/>
    </row>
    <row r="1493" spans="1:26" ht="15.75" customHeight="1">
      <c r="A1493" s="103"/>
      <c r="B1493" s="103"/>
      <c r="C1493" s="104" t="e">
        <v>#REF!</v>
      </c>
      <c r="D1493" s="103"/>
      <c r="E1493" s="53"/>
      <c r="F1493" s="53"/>
      <c r="G1493" s="53"/>
      <c r="H1493" s="53"/>
      <c r="I1493" s="53"/>
      <c r="J1493" s="53"/>
      <c r="K1493" s="53"/>
      <c r="L1493" s="53"/>
      <c r="M1493" s="53"/>
      <c r="N1493" s="53"/>
      <c r="O1493" s="53"/>
      <c r="P1493" s="53"/>
      <c r="Q1493" s="53"/>
      <c r="R1493" s="53"/>
      <c r="S1493" s="53"/>
      <c r="T1493" s="53"/>
      <c r="U1493" s="53"/>
      <c r="V1493" s="53"/>
      <c r="W1493" s="53"/>
      <c r="X1493" s="53"/>
      <c r="Y1493" s="53"/>
      <c r="Z1493" s="53"/>
    </row>
    <row r="1494" spans="1:26" ht="15.75" customHeight="1">
      <c r="A1494" s="103"/>
      <c r="B1494" s="103"/>
      <c r="C1494" s="104" t="e">
        <v>#REF!</v>
      </c>
      <c r="D1494" s="103"/>
      <c r="E1494" s="53"/>
      <c r="F1494" s="53"/>
      <c r="G1494" s="53"/>
      <c r="H1494" s="53"/>
      <c r="I1494" s="53"/>
      <c r="J1494" s="53"/>
      <c r="K1494" s="53"/>
      <c r="L1494" s="53"/>
      <c r="M1494" s="53"/>
      <c r="N1494" s="53"/>
      <c r="O1494" s="53"/>
      <c r="P1494" s="53"/>
      <c r="Q1494" s="53"/>
      <c r="R1494" s="53"/>
      <c r="S1494" s="53"/>
      <c r="T1494" s="53"/>
      <c r="U1494" s="53"/>
      <c r="V1494" s="53"/>
      <c r="W1494" s="53"/>
      <c r="X1494" s="53"/>
      <c r="Y1494" s="53"/>
      <c r="Z1494" s="53"/>
    </row>
    <row r="1495" spans="1:26" ht="15.75" customHeight="1">
      <c r="A1495" s="103"/>
      <c r="B1495" s="103"/>
      <c r="C1495" s="104" t="e">
        <v>#REF!</v>
      </c>
      <c r="D1495" s="103"/>
      <c r="E1495" s="53"/>
      <c r="F1495" s="53"/>
      <c r="G1495" s="53"/>
      <c r="H1495" s="53"/>
      <c r="I1495" s="53"/>
      <c r="J1495" s="53"/>
      <c r="K1495" s="53"/>
      <c r="L1495" s="53"/>
      <c r="M1495" s="53"/>
      <c r="N1495" s="53"/>
      <c r="O1495" s="53"/>
      <c r="P1495" s="53"/>
      <c r="Q1495" s="53"/>
      <c r="R1495" s="53"/>
      <c r="S1495" s="53"/>
      <c r="T1495" s="53"/>
      <c r="U1495" s="53"/>
      <c r="V1495" s="53"/>
      <c r="W1495" s="53"/>
      <c r="X1495" s="53"/>
      <c r="Y1495" s="53"/>
      <c r="Z1495" s="53"/>
    </row>
    <row r="1496" spans="1:26" ht="15.75" customHeight="1">
      <c r="A1496" s="103"/>
      <c r="B1496" s="103"/>
      <c r="C1496" s="104" t="e">
        <v>#REF!</v>
      </c>
      <c r="D1496" s="103"/>
      <c r="E1496" s="53"/>
      <c r="F1496" s="53"/>
      <c r="G1496" s="53"/>
      <c r="H1496" s="53"/>
      <c r="I1496" s="53"/>
      <c r="J1496" s="53"/>
      <c r="K1496" s="53"/>
      <c r="L1496" s="53"/>
      <c r="M1496" s="53"/>
      <c r="N1496" s="53"/>
      <c r="O1496" s="53"/>
      <c r="P1496" s="53"/>
      <c r="Q1496" s="53"/>
      <c r="R1496" s="53"/>
      <c r="S1496" s="53"/>
      <c r="T1496" s="53"/>
      <c r="U1496" s="53"/>
      <c r="V1496" s="53"/>
      <c r="W1496" s="53"/>
      <c r="X1496" s="53"/>
      <c r="Y1496" s="53"/>
      <c r="Z1496" s="53"/>
    </row>
    <row r="1497" spans="1:26" ht="15.75" customHeight="1">
      <c r="A1497" s="103"/>
      <c r="B1497" s="103"/>
      <c r="C1497" s="104" t="e">
        <v>#REF!</v>
      </c>
      <c r="D1497" s="103"/>
      <c r="E1497" s="53"/>
      <c r="F1497" s="53"/>
      <c r="G1497" s="53"/>
      <c r="H1497" s="53"/>
      <c r="I1497" s="53"/>
      <c r="J1497" s="53"/>
      <c r="K1497" s="53"/>
      <c r="L1497" s="53"/>
      <c r="M1497" s="53"/>
      <c r="N1497" s="53"/>
      <c r="O1497" s="53"/>
      <c r="P1497" s="53"/>
      <c r="Q1497" s="53"/>
      <c r="R1497" s="53"/>
      <c r="S1497" s="53"/>
      <c r="T1497" s="53"/>
      <c r="U1497" s="53"/>
      <c r="V1497" s="53"/>
      <c r="W1497" s="53"/>
      <c r="X1497" s="53"/>
      <c r="Y1497" s="53"/>
      <c r="Z1497" s="53"/>
    </row>
    <row r="1498" spans="1:26" ht="15.75" customHeight="1">
      <c r="A1498" s="103"/>
      <c r="B1498" s="103"/>
      <c r="C1498" s="104" t="e">
        <v>#REF!</v>
      </c>
      <c r="D1498" s="103"/>
      <c r="E1498" s="53"/>
      <c r="F1498" s="53"/>
      <c r="G1498" s="53"/>
      <c r="H1498" s="53"/>
      <c r="I1498" s="53"/>
      <c r="J1498" s="53"/>
      <c r="K1498" s="53"/>
      <c r="L1498" s="53"/>
      <c r="M1498" s="53"/>
      <c r="N1498" s="53"/>
      <c r="O1498" s="53"/>
      <c r="P1498" s="53"/>
      <c r="Q1498" s="53"/>
      <c r="R1498" s="53"/>
      <c r="S1498" s="53"/>
      <c r="T1498" s="53"/>
      <c r="U1498" s="53"/>
      <c r="V1498" s="53"/>
      <c r="W1498" s="53"/>
      <c r="X1498" s="53"/>
      <c r="Y1498" s="53"/>
      <c r="Z1498" s="53"/>
    </row>
    <row r="1499" spans="1:26" ht="15.75" customHeight="1">
      <c r="A1499" s="103"/>
      <c r="B1499" s="103"/>
      <c r="C1499" s="104" t="e">
        <v>#REF!</v>
      </c>
      <c r="D1499" s="103"/>
      <c r="E1499" s="53"/>
      <c r="F1499" s="53"/>
      <c r="G1499" s="53"/>
      <c r="H1499" s="53"/>
      <c r="I1499" s="53"/>
      <c r="J1499" s="53"/>
      <c r="K1499" s="53"/>
      <c r="L1499" s="53"/>
      <c r="M1499" s="53"/>
      <c r="N1499" s="53"/>
      <c r="O1499" s="53"/>
      <c r="P1499" s="53"/>
      <c r="Q1499" s="53"/>
      <c r="R1499" s="53"/>
      <c r="S1499" s="53"/>
      <c r="T1499" s="53"/>
      <c r="U1499" s="53"/>
      <c r="V1499" s="53"/>
      <c r="W1499" s="53"/>
      <c r="X1499" s="53"/>
      <c r="Y1499" s="53"/>
      <c r="Z1499" s="53"/>
    </row>
    <row r="1500" spans="1:26" ht="15.75" customHeight="1">
      <c r="A1500" s="103"/>
      <c r="B1500" s="103"/>
      <c r="C1500" s="104" t="e">
        <v>#REF!</v>
      </c>
      <c r="D1500" s="103"/>
      <c r="E1500" s="53"/>
      <c r="F1500" s="53"/>
      <c r="G1500" s="53"/>
      <c r="H1500" s="53"/>
      <c r="I1500" s="53"/>
      <c r="J1500" s="53"/>
      <c r="K1500" s="53"/>
      <c r="L1500" s="53"/>
      <c r="M1500" s="53"/>
      <c r="N1500" s="53"/>
      <c r="O1500" s="53"/>
      <c r="P1500" s="53"/>
      <c r="Q1500" s="53"/>
      <c r="R1500" s="53"/>
      <c r="S1500" s="53"/>
      <c r="T1500" s="53"/>
      <c r="U1500" s="53"/>
      <c r="V1500" s="53"/>
      <c r="W1500" s="53"/>
      <c r="X1500" s="53"/>
      <c r="Y1500" s="53"/>
      <c r="Z1500" s="53"/>
    </row>
    <row r="1501" spans="1:26" ht="15.75" customHeight="1">
      <c r="A1501" s="103"/>
      <c r="B1501" s="103"/>
      <c r="C1501" s="104" t="e">
        <v>#REF!</v>
      </c>
      <c r="D1501" s="103"/>
      <c r="E1501" s="53"/>
      <c r="F1501" s="53"/>
      <c r="G1501" s="53"/>
      <c r="H1501" s="53"/>
      <c r="I1501" s="53"/>
      <c r="J1501" s="53"/>
      <c r="K1501" s="53"/>
      <c r="L1501" s="53"/>
      <c r="M1501" s="53"/>
      <c r="N1501" s="53"/>
      <c r="O1501" s="53"/>
      <c r="P1501" s="53"/>
      <c r="Q1501" s="53"/>
      <c r="R1501" s="53"/>
      <c r="S1501" s="53"/>
      <c r="T1501" s="53"/>
      <c r="U1501" s="53"/>
      <c r="V1501" s="53"/>
      <c r="W1501" s="53"/>
      <c r="X1501" s="53"/>
      <c r="Y1501" s="53"/>
      <c r="Z1501" s="53"/>
    </row>
    <row r="1502" spans="1:26" ht="15.75" customHeight="1">
      <c r="A1502" s="103"/>
      <c r="B1502" s="103"/>
      <c r="C1502" s="104" t="e">
        <v>#REF!</v>
      </c>
      <c r="D1502" s="103"/>
      <c r="E1502" s="53"/>
      <c r="F1502" s="53"/>
      <c r="G1502" s="53"/>
      <c r="H1502" s="53"/>
      <c r="I1502" s="53"/>
      <c r="J1502" s="53"/>
      <c r="K1502" s="53"/>
      <c r="L1502" s="53"/>
      <c r="M1502" s="53"/>
      <c r="N1502" s="53"/>
      <c r="O1502" s="53"/>
      <c r="P1502" s="53"/>
      <c r="Q1502" s="53"/>
      <c r="R1502" s="53"/>
      <c r="S1502" s="53"/>
      <c r="T1502" s="53"/>
      <c r="U1502" s="53"/>
      <c r="V1502" s="53"/>
      <c r="W1502" s="53"/>
      <c r="X1502" s="53"/>
      <c r="Y1502" s="53"/>
      <c r="Z1502" s="53"/>
    </row>
    <row r="1503" spans="1:26" ht="15.75" customHeight="1">
      <c r="A1503" s="103"/>
      <c r="B1503" s="103"/>
      <c r="C1503" s="104" t="e">
        <v>#REF!</v>
      </c>
      <c r="D1503" s="103"/>
      <c r="E1503" s="53"/>
      <c r="F1503" s="53"/>
      <c r="G1503" s="53"/>
      <c r="H1503" s="53"/>
      <c r="I1503" s="53"/>
      <c r="J1503" s="53"/>
      <c r="K1503" s="53"/>
      <c r="L1503" s="53"/>
      <c r="M1503" s="53"/>
      <c r="N1503" s="53"/>
      <c r="O1503" s="53"/>
      <c r="P1503" s="53"/>
      <c r="Q1503" s="53"/>
      <c r="R1503" s="53"/>
      <c r="S1503" s="53"/>
      <c r="T1503" s="53"/>
      <c r="U1503" s="53"/>
      <c r="V1503" s="53"/>
      <c r="W1503" s="53"/>
      <c r="X1503" s="53"/>
      <c r="Y1503" s="53"/>
      <c r="Z1503" s="53"/>
    </row>
    <row r="1504" spans="1:26" ht="15.75" customHeight="1">
      <c r="A1504" s="103"/>
      <c r="B1504" s="103"/>
      <c r="C1504" s="104" t="e">
        <v>#REF!</v>
      </c>
      <c r="D1504" s="103"/>
      <c r="E1504" s="53"/>
      <c r="F1504" s="53"/>
      <c r="G1504" s="53"/>
      <c r="H1504" s="53"/>
      <c r="I1504" s="53"/>
      <c r="J1504" s="53"/>
      <c r="K1504" s="53"/>
      <c r="L1504" s="53"/>
      <c r="M1504" s="53"/>
      <c r="N1504" s="53"/>
      <c r="O1504" s="53"/>
      <c r="P1504" s="53"/>
      <c r="Q1504" s="53"/>
      <c r="R1504" s="53"/>
      <c r="S1504" s="53"/>
      <c r="T1504" s="53"/>
      <c r="U1504" s="53"/>
      <c r="V1504" s="53"/>
      <c r="W1504" s="53"/>
      <c r="X1504" s="53"/>
      <c r="Y1504" s="53"/>
      <c r="Z1504" s="53"/>
    </row>
    <row r="1505" spans="1:26" ht="15.75" customHeight="1">
      <c r="A1505" s="103"/>
      <c r="B1505" s="103"/>
      <c r="C1505" s="104" t="e">
        <v>#REF!</v>
      </c>
      <c r="D1505" s="103"/>
      <c r="E1505" s="53"/>
      <c r="F1505" s="53"/>
      <c r="G1505" s="53"/>
      <c r="H1505" s="53"/>
      <c r="I1505" s="53"/>
      <c r="J1505" s="53"/>
      <c r="K1505" s="53"/>
      <c r="L1505" s="53"/>
      <c r="M1505" s="53"/>
      <c r="N1505" s="53"/>
      <c r="O1505" s="53"/>
      <c r="P1505" s="53"/>
      <c r="Q1505" s="53"/>
      <c r="R1505" s="53"/>
      <c r="S1505" s="53"/>
      <c r="T1505" s="53"/>
      <c r="U1505" s="53"/>
      <c r="V1505" s="53"/>
      <c r="W1505" s="53"/>
      <c r="X1505" s="53"/>
      <c r="Y1505" s="53"/>
      <c r="Z1505" s="53"/>
    </row>
    <row r="1506" spans="1:26" ht="15.75" customHeight="1">
      <c r="A1506" s="103"/>
      <c r="B1506" s="103"/>
      <c r="C1506" s="104" t="e">
        <v>#REF!</v>
      </c>
      <c r="D1506" s="103"/>
      <c r="E1506" s="53"/>
      <c r="F1506" s="53"/>
      <c r="G1506" s="53"/>
      <c r="H1506" s="53"/>
      <c r="I1506" s="53"/>
      <c r="J1506" s="53"/>
      <c r="K1506" s="53"/>
      <c r="L1506" s="53"/>
      <c r="M1506" s="53"/>
      <c r="N1506" s="53"/>
      <c r="O1506" s="53"/>
      <c r="P1506" s="53"/>
      <c r="Q1506" s="53"/>
      <c r="R1506" s="53"/>
      <c r="S1506" s="53"/>
      <c r="T1506" s="53"/>
      <c r="U1506" s="53"/>
      <c r="V1506" s="53"/>
      <c r="W1506" s="53"/>
      <c r="X1506" s="53"/>
      <c r="Y1506" s="53"/>
      <c r="Z1506" s="53"/>
    </row>
    <row r="1507" spans="1:26" ht="15.75" customHeight="1">
      <c r="A1507" s="103"/>
      <c r="B1507" s="103"/>
      <c r="C1507" s="104" t="e">
        <v>#REF!</v>
      </c>
      <c r="D1507" s="103"/>
      <c r="E1507" s="53"/>
      <c r="F1507" s="53"/>
      <c r="G1507" s="53"/>
      <c r="H1507" s="53"/>
      <c r="I1507" s="53"/>
      <c r="J1507" s="53"/>
      <c r="K1507" s="53"/>
      <c r="L1507" s="53"/>
      <c r="M1507" s="53"/>
      <c r="N1507" s="53"/>
      <c r="O1507" s="53"/>
      <c r="P1507" s="53"/>
      <c r="Q1507" s="53"/>
      <c r="R1507" s="53"/>
      <c r="S1507" s="53"/>
      <c r="T1507" s="53"/>
      <c r="U1507" s="53"/>
      <c r="V1507" s="53"/>
      <c r="W1507" s="53"/>
      <c r="X1507" s="53"/>
      <c r="Y1507" s="53"/>
      <c r="Z1507" s="53"/>
    </row>
    <row r="1508" spans="1:26" ht="15.75" customHeight="1">
      <c r="A1508" s="103"/>
      <c r="B1508" s="103"/>
      <c r="C1508" s="104" t="e">
        <v>#REF!</v>
      </c>
      <c r="D1508" s="103"/>
      <c r="E1508" s="53"/>
      <c r="F1508" s="53"/>
      <c r="G1508" s="53"/>
      <c r="H1508" s="53"/>
      <c r="I1508" s="53"/>
      <c r="J1508" s="53"/>
      <c r="K1508" s="53"/>
      <c r="L1508" s="53"/>
      <c r="M1508" s="53"/>
      <c r="N1508" s="53"/>
      <c r="O1508" s="53"/>
      <c r="P1508" s="53"/>
      <c r="Q1508" s="53"/>
      <c r="R1508" s="53"/>
      <c r="S1508" s="53"/>
      <c r="T1508" s="53"/>
      <c r="U1508" s="53"/>
      <c r="V1508" s="53"/>
      <c r="W1508" s="53"/>
      <c r="X1508" s="53"/>
      <c r="Y1508" s="53"/>
      <c r="Z1508" s="53"/>
    </row>
    <row r="1509" spans="1:26" ht="15.75" customHeight="1">
      <c r="A1509" s="103"/>
      <c r="B1509" s="103"/>
      <c r="C1509" s="104" t="e">
        <v>#REF!</v>
      </c>
      <c r="D1509" s="103"/>
      <c r="E1509" s="53"/>
      <c r="F1509" s="53"/>
      <c r="G1509" s="53"/>
      <c r="H1509" s="53"/>
      <c r="I1509" s="53"/>
      <c r="J1509" s="53"/>
      <c r="K1509" s="53"/>
      <c r="L1509" s="53"/>
      <c r="M1509" s="53"/>
      <c r="N1509" s="53"/>
      <c r="O1509" s="53"/>
      <c r="P1509" s="53"/>
      <c r="Q1509" s="53"/>
      <c r="R1509" s="53"/>
      <c r="S1509" s="53"/>
      <c r="T1509" s="53"/>
      <c r="U1509" s="53"/>
      <c r="V1509" s="53"/>
      <c r="W1509" s="53"/>
      <c r="X1509" s="53"/>
      <c r="Y1509" s="53"/>
      <c r="Z1509" s="53"/>
    </row>
    <row r="1510" spans="1:26" ht="15.75" customHeight="1">
      <c r="A1510" s="103"/>
      <c r="B1510" s="103"/>
      <c r="C1510" s="104" t="e">
        <v>#REF!</v>
      </c>
      <c r="D1510" s="103"/>
      <c r="E1510" s="53"/>
      <c r="F1510" s="53"/>
      <c r="G1510" s="53"/>
      <c r="H1510" s="53"/>
      <c r="I1510" s="53"/>
      <c r="J1510" s="53"/>
      <c r="K1510" s="53"/>
      <c r="L1510" s="53"/>
      <c r="M1510" s="53"/>
      <c r="N1510" s="53"/>
      <c r="O1510" s="53"/>
      <c r="P1510" s="53"/>
      <c r="Q1510" s="53"/>
      <c r="R1510" s="53"/>
      <c r="S1510" s="53"/>
      <c r="T1510" s="53"/>
      <c r="U1510" s="53"/>
      <c r="V1510" s="53"/>
      <c r="W1510" s="53"/>
      <c r="X1510" s="53"/>
      <c r="Y1510" s="53"/>
      <c r="Z1510" s="53"/>
    </row>
    <row r="1511" spans="1:26" ht="15.75" customHeight="1">
      <c r="A1511" s="103"/>
      <c r="B1511" s="103"/>
      <c r="C1511" s="104" t="e">
        <v>#REF!</v>
      </c>
      <c r="D1511" s="103"/>
      <c r="E1511" s="53"/>
      <c r="F1511" s="53"/>
      <c r="G1511" s="53"/>
      <c r="H1511" s="53"/>
      <c r="I1511" s="53"/>
      <c r="J1511" s="53"/>
      <c r="K1511" s="53"/>
      <c r="L1511" s="53"/>
      <c r="M1511" s="53"/>
      <c r="N1511" s="53"/>
      <c r="O1511" s="53"/>
      <c r="P1511" s="53"/>
      <c r="Q1511" s="53"/>
      <c r="R1511" s="53"/>
      <c r="S1511" s="53"/>
      <c r="T1511" s="53"/>
      <c r="U1511" s="53"/>
      <c r="V1511" s="53"/>
      <c r="W1511" s="53"/>
      <c r="X1511" s="53"/>
      <c r="Y1511" s="53"/>
      <c r="Z1511" s="53"/>
    </row>
    <row r="1512" spans="1:26" ht="15.75" customHeight="1">
      <c r="A1512" s="103"/>
      <c r="B1512" s="103"/>
      <c r="C1512" s="104" t="e">
        <v>#REF!</v>
      </c>
      <c r="D1512" s="103"/>
      <c r="E1512" s="53"/>
      <c r="F1512" s="53"/>
      <c r="G1512" s="53"/>
      <c r="H1512" s="53"/>
      <c r="I1512" s="53"/>
      <c r="J1512" s="53"/>
      <c r="K1512" s="53"/>
      <c r="L1512" s="53"/>
      <c r="M1512" s="53"/>
      <c r="N1512" s="53"/>
      <c r="O1512" s="53"/>
      <c r="P1512" s="53"/>
      <c r="Q1512" s="53"/>
      <c r="R1512" s="53"/>
      <c r="S1512" s="53"/>
      <c r="T1512" s="53"/>
      <c r="U1512" s="53"/>
      <c r="V1512" s="53"/>
      <c r="W1512" s="53"/>
      <c r="X1512" s="53"/>
      <c r="Y1512" s="53"/>
      <c r="Z1512" s="53"/>
    </row>
    <row r="1513" spans="1:26" ht="15.75" customHeight="1">
      <c r="A1513" s="103"/>
      <c r="B1513" s="103"/>
      <c r="C1513" s="104" t="e">
        <v>#REF!</v>
      </c>
      <c r="D1513" s="103"/>
      <c r="E1513" s="53"/>
      <c r="F1513" s="53"/>
      <c r="G1513" s="53"/>
      <c r="H1513" s="53"/>
      <c r="I1513" s="53"/>
      <c r="J1513" s="53"/>
      <c r="K1513" s="53"/>
      <c r="L1513" s="53"/>
      <c r="M1513" s="53"/>
      <c r="N1513" s="53"/>
      <c r="O1513" s="53"/>
      <c r="P1513" s="53"/>
      <c r="Q1513" s="53"/>
      <c r="R1513" s="53"/>
      <c r="S1513" s="53"/>
      <c r="T1513" s="53"/>
      <c r="U1513" s="53"/>
      <c r="V1513" s="53"/>
      <c r="W1513" s="53"/>
      <c r="X1513" s="53"/>
      <c r="Y1513" s="53"/>
      <c r="Z1513" s="53"/>
    </row>
    <row r="1514" spans="1:26" ht="15.75" customHeight="1">
      <c r="A1514" s="103"/>
      <c r="B1514" s="103"/>
      <c r="C1514" s="104" t="e">
        <v>#REF!</v>
      </c>
      <c r="D1514" s="103"/>
      <c r="E1514" s="53"/>
      <c r="F1514" s="53"/>
      <c r="G1514" s="53"/>
      <c r="H1514" s="53"/>
      <c r="I1514" s="53"/>
      <c r="J1514" s="53"/>
      <c r="K1514" s="53"/>
      <c r="L1514" s="53"/>
      <c r="M1514" s="53"/>
      <c r="N1514" s="53"/>
      <c r="O1514" s="53"/>
      <c r="P1514" s="53"/>
      <c r="Q1514" s="53"/>
      <c r="R1514" s="53"/>
      <c r="S1514" s="53"/>
      <c r="T1514" s="53"/>
      <c r="U1514" s="53"/>
      <c r="V1514" s="53"/>
      <c r="W1514" s="53"/>
      <c r="X1514" s="53"/>
      <c r="Y1514" s="53"/>
      <c r="Z1514" s="53"/>
    </row>
    <row r="1515" spans="1:26" ht="15.75" customHeight="1">
      <c r="A1515" s="103"/>
      <c r="B1515" s="103"/>
      <c r="C1515" s="104" t="e">
        <v>#REF!</v>
      </c>
      <c r="D1515" s="103"/>
      <c r="E1515" s="53"/>
      <c r="F1515" s="53"/>
      <c r="G1515" s="53"/>
      <c r="H1515" s="53"/>
      <c r="I1515" s="53"/>
      <c r="J1515" s="53"/>
      <c r="K1515" s="53"/>
      <c r="L1515" s="53"/>
      <c r="M1515" s="53"/>
      <c r="N1515" s="53"/>
      <c r="O1515" s="53"/>
      <c r="P1515" s="53"/>
      <c r="Q1515" s="53"/>
      <c r="R1515" s="53"/>
      <c r="S1515" s="53"/>
      <c r="T1515" s="53"/>
      <c r="U1515" s="53"/>
      <c r="V1515" s="53"/>
      <c r="W1515" s="53"/>
      <c r="X1515" s="53"/>
      <c r="Y1515" s="53"/>
      <c r="Z1515" s="53"/>
    </row>
    <row r="1516" spans="1:26" ht="15.75" customHeight="1">
      <c r="A1516" s="103"/>
      <c r="B1516" s="103"/>
      <c r="C1516" s="104" t="e">
        <v>#REF!</v>
      </c>
      <c r="D1516" s="103"/>
      <c r="E1516" s="53"/>
      <c r="F1516" s="53"/>
      <c r="G1516" s="53"/>
      <c r="H1516" s="53"/>
      <c r="I1516" s="53"/>
      <c r="J1516" s="53"/>
      <c r="K1516" s="53"/>
      <c r="L1516" s="53"/>
      <c r="M1516" s="53"/>
      <c r="N1516" s="53"/>
      <c r="O1516" s="53"/>
      <c r="P1516" s="53"/>
      <c r="Q1516" s="53"/>
      <c r="R1516" s="53"/>
      <c r="S1516" s="53"/>
      <c r="T1516" s="53"/>
      <c r="U1516" s="53"/>
      <c r="V1516" s="53"/>
      <c r="W1516" s="53"/>
      <c r="X1516" s="53"/>
      <c r="Y1516" s="53"/>
      <c r="Z1516" s="53"/>
    </row>
    <row r="1517" spans="1:26" ht="15.75" customHeight="1">
      <c r="A1517" s="103"/>
      <c r="B1517" s="103"/>
      <c r="C1517" s="104" t="e">
        <v>#REF!</v>
      </c>
      <c r="D1517" s="103"/>
      <c r="E1517" s="53"/>
      <c r="F1517" s="53"/>
      <c r="G1517" s="53"/>
      <c r="H1517" s="53"/>
      <c r="I1517" s="53"/>
      <c r="J1517" s="53"/>
      <c r="K1517" s="53"/>
      <c r="L1517" s="53"/>
      <c r="M1517" s="53"/>
      <c r="N1517" s="53"/>
      <c r="O1517" s="53"/>
      <c r="P1517" s="53"/>
      <c r="Q1517" s="53"/>
      <c r="R1517" s="53"/>
      <c r="S1517" s="53"/>
      <c r="T1517" s="53"/>
      <c r="U1517" s="53"/>
      <c r="V1517" s="53"/>
      <c r="W1517" s="53"/>
      <c r="X1517" s="53"/>
      <c r="Y1517" s="53"/>
      <c r="Z1517" s="53"/>
    </row>
    <row r="1518" spans="1:26" ht="15.75" customHeight="1">
      <c r="A1518" s="103"/>
      <c r="B1518" s="103"/>
      <c r="C1518" s="104" t="e">
        <v>#REF!</v>
      </c>
      <c r="D1518" s="103"/>
      <c r="E1518" s="53"/>
      <c r="F1518" s="53"/>
      <c r="G1518" s="53"/>
      <c r="H1518" s="53"/>
      <c r="I1518" s="53"/>
      <c r="J1518" s="53"/>
      <c r="K1518" s="53"/>
      <c r="L1518" s="53"/>
      <c r="M1518" s="53"/>
      <c r="N1518" s="53"/>
      <c r="O1518" s="53"/>
      <c r="P1518" s="53"/>
      <c r="Q1518" s="53"/>
      <c r="R1518" s="53"/>
      <c r="S1518" s="53"/>
      <c r="T1518" s="53"/>
      <c r="U1518" s="53"/>
      <c r="V1518" s="53"/>
      <c r="W1518" s="53"/>
      <c r="X1518" s="53"/>
      <c r="Y1518" s="53"/>
      <c r="Z1518" s="53"/>
    </row>
    <row r="1519" spans="1:26" ht="15.75" customHeight="1">
      <c r="A1519" s="103"/>
      <c r="B1519" s="103"/>
      <c r="C1519" s="104" t="e">
        <v>#REF!</v>
      </c>
      <c r="D1519" s="103"/>
      <c r="E1519" s="53"/>
      <c r="F1519" s="53"/>
      <c r="G1519" s="53"/>
      <c r="H1519" s="53"/>
      <c r="I1519" s="53"/>
      <c r="J1519" s="53"/>
      <c r="K1519" s="53"/>
      <c r="L1519" s="53"/>
      <c r="M1519" s="53"/>
      <c r="N1519" s="53"/>
      <c r="O1519" s="53"/>
      <c r="P1519" s="53"/>
      <c r="Q1519" s="53"/>
      <c r="R1519" s="53"/>
      <c r="S1519" s="53"/>
      <c r="T1519" s="53"/>
      <c r="U1519" s="53"/>
      <c r="V1519" s="53"/>
      <c r="W1519" s="53"/>
      <c r="X1519" s="53"/>
      <c r="Y1519" s="53"/>
      <c r="Z1519" s="53"/>
    </row>
    <row r="1520" spans="1:26" ht="15.75" customHeight="1">
      <c r="A1520" s="103"/>
      <c r="B1520" s="103"/>
      <c r="C1520" s="104" t="e">
        <v>#REF!</v>
      </c>
      <c r="D1520" s="10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</row>
    <row r="1521" spans="1:26" ht="15.75" customHeight="1">
      <c r="A1521" s="103"/>
      <c r="B1521" s="103"/>
      <c r="C1521" s="104" t="e">
        <v>#REF!</v>
      </c>
      <c r="D1521" s="103"/>
      <c r="E1521" s="53"/>
      <c r="F1521" s="53"/>
      <c r="G1521" s="53"/>
      <c r="H1521" s="53"/>
      <c r="I1521" s="53"/>
      <c r="J1521" s="53"/>
      <c r="K1521" s="53"/>
      <c r="L1521" s="53"/>
      <c r="M1521" s="53"/>
      <c r="N1521" s="53"/>
      <c r="O1521" s="53"/>
      <c r="P1521" s="53"/>
      <c r="Q1521" s="53"/>
      <c r="R1521" s="53"/>
      <c r="S1521" s="53"/>
      <c r="T1521" s="53"/>
      <c r="U1521" s="53"/>
      <c r="V1521" s="53"/>
      <c r="W1521" s="53"/>
      <c r="X1521" s="53"/>
      <c r="Y1521" s="53"/>
      <c r="Z1521" s="53"/>
    </row>
    <row r="1522" spans="1:26" ht="15.75" customHeight="1">
      <c r="A1522" s="103"/>
      <c r="B1522" s="103"/>
      <c r="C1522" s="104" t="e">
        <v>#REF!</v>
      </c>
      <c r="D1522" s="103"/>
      <c r="E1522" s="53"/>
      <c r="F1522" s="53"/>
      <c r="G1522" s="53"/>
      <c r="H1522" s="53"/>
      <c r="I1522" s="53"/>
      <c r="J1522" s="53"/>
      <c r="K1522" s="53"/>
      <c r="L1522" s="53"/>
      <c r="M1522" s="53"/>
      <c r="N1522" s="53"/>
      <c r="O1522" s="53"/>
      <c r="P1522" s="53"/>
      <c r="Q1522" s="53"/>
      <c r="R1522" s="53"/>
      <c r="S1522" s="53"/>
      <c r="T1522" s="53"/>
      <c r="U1522" s="53"/>
      <c r="V1522" s="53"/>
      <c r="W1522" s="53"/>
      <c r="X1522" s="53"/>
      <c r="Y1522" s="53"/>
      <c r="Z1522" s="53"/>
    </row>
    <row r="1523" spans="1:26" ht="15.75" customHeight="1">
      <c r="A1523" s="103"/>
      <c r="B1523" s="103"/>
      <c r="C1523" s="104" t="e">
        <v>#REF!</v>
      </c>
      <c r="D1523" s="103"/>
      <c r="E1523" s="53"/>
      <c r="F1523" s="53"/>
      <c r="G1523" s="53"/>
      <c r="H1523" s="53"/>
      <c r="I1523" s="53"/>
      <c r="J1523" s="53"/>
      <c r="K1523" s="53"/>
      <c r="L1523" s="53"/>
      <c r="M1523" s="53"/>
      <c r="N1523" s="53"/>
      <c r="O1523" s="53"/>
      <c r="P1523" s="53"/>
      <c r="Q1523" s="53"/>
      <c r="R1523" s="53"/>
      <c r="S1523" s="53"/>
      <c r="T1523" s="53"/>
      <c r="U1523" s="53"/>
      <c r="V1523" s="53"/>
      <c r="W1523" s="53"/>
      <c r="X1523" s="53"/>
      <c r="Y1523" s="53"/>
      <c r="Z1523" s="53"/>
    </row>
    <row r="1524" spans="1:26" ht="15.75" customHeight="1">
      <c r="A1524" s="103"/>
      <c r="B1524" s="103"/>
      <c r="C1524" s="104" t="e">
        <v>#REF!</v>
      </c>
      <c r="D1524" s="103"/>
      <c r="E1524" s="53"/>
      <c r="F1524" s="53"/>
      <c r="G1524" s="53"/>
      <c r="H1524" s="53"/>
      <c r="I1524" s="53"/>
      <c r="J1524" s="53"/>
      <c r="K1524" s="53"/>
      <c r="L1524" s="53"/>
      <c r="M1524" s="53"/>
      <c r="N1524" s="53"/>
      <c r="O1524" s="53"/>
      <c r="P1524" s="53"/>
      <c r="Q1524" s="53"/>
      <c r="R1524" s="53"/>
      <c r="S1524" s="53"/>
      <c r="T1524" s="53"/>
      <c r="U1524" s="53"/>
      <c r="V1524" s="53"/>
      <c r="W1524" s="53"/>
      <c r="X1524" s="53"/>
      <c r="Y1524" s="53"/>
      <c r="Z1524" s="53"/>
    </row>
    <row r="1525" spans="1:26" ht="15.75" customHeight="1">
      <c r="A1525" s="103"/>
      <c r="B1525" s="103"/>
      <c r="C1525" s="104" t="e">
        <v>#REF!</v>
      </c>
      <c r="D1525" s="10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53"/>
      <c r="T1525" s="53"/>
      <c r="U1525" s="53"/>
      <c r="V1525" s="53"/>
      <c r="W1525" s="53"/>
      <c r="X1525" s="53"/>
      <c r="Y1525" s="53"/>
      <c r="Z1525" s="53"/>
    </row>
    <row r="1526" spans="1:26" ht="15.75" customHeight="1">
      <c r="A1526" s="103"/>
      <c r="B1526" s="103"/>
      <c r="C1526" s="104" t="e">
        <v>#REF!</v>
      </c>
      <c r="D1526" s="103"/>
      <c r="E1526" s="53"/>
      <c r="F1526" s="53"/>
      <c r="G1526" s="53"/>
      <c r="H1526" s="53"/>
      <c r="I1526" s="53"/>
      <c r="J1526" s="53"/>
      <c r="K1526" s="53"/>
      <c r="L1526" s="53"/>
      <c r="M1526" s="53"/>
      <c r="N1526" s="53"/>
      <c r="O1526" s="53"/>
      <c r="P1526" s="53"/>
      <c r="Q1526" s="53"/>
      <c r="R1526" s="53"/>
      <c r="S1526" s="53"/>
      <c r="T1526" s="53"/>
      <c r="U1526" s="53"/>
      <c r="V1526" s="53"/>
      <c r="W1526" s="53"/>
      <c r="X1526" s="53"/>
      <c r="Y1526" s="53"/>
      <c r="Z1526" s="53"/>
    </row>
    <row r="1527" spans="1:26" ht="15.75" customHeight="1">
      <c r="A1527" s="103"/>
      <c r="B1527" s="103"/>
      <c r="C1527" s="104" t="e">
        <v>#REF!</v>
      </c>
      <c r="D1527" s="103"/>
      <c r="E1527" s="53"/>
      <c r="F1527" s="53"/>
      <c r="G1527" s="53"/>
      <c r="H1527" s="53"/>
      <c r="I1527" s="53"/>
      <c r="J1527" s="53"/>
      <c r="K1527" s="53"/>
      <c r="L1527" s="53"/>
      <c r="M1527" s="53"/>
      <c r="N1527" s="53"/>
      <c r="O1527" s="53"/>
      <c r="P1527" s="53"/>
      <c r="Q1527" s="53"/>
      <c r="R1527" s="53"/>
      <c r="S1527" s="53"/>
      <c r="T1527" s="53"/>
      <c r="U1527" s="53"/>
      <c r="V1527" s="53"/>
      <c r="W1527" s="53"/>
      <c r="X1527" s="53"/>
      <c r="Y1527" s="53"/>
      <c r="Z1527" s="53"/>
    </row>
    <row r="1528" spans="1:26" ht="15.75" customHeight="1">
      <c r="A1528" s="103"/>
      <c r="B1528" s="103"/>
      <c r="C1528" s="104" t="e">
        <v>#REF!</v>
      </c>
      <c r="D1528" s="103"/>
      <c r="E1528" s="53"/>
      <c r="F1528" s="53"/>
      <c r="G1528" s="53"/>
      <c r="H1528" s="53"/>
      <c r="I1528" s="53"/>
      <c r="J1528" s="53"/>
      <c r="K1528" s="53"/>
      <c r="L1528" s="53"/>
      <c r="M1528" s="53"/>
      <c r="N1528" s="53"/>
      <c r="O1528" s="53"/>
      <c r="P1528" s="53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</row>
    <row r="1529" spans="1:26" ht="15.75" customHeight="1">
      <c r="A1529" s="103"/>
      <c r="B1529" s="103"/>
      <c r="C1529" s="104" t="e">
        <v>#REF!</v>
      </c>
      <c r="D1529" s="103"/>
      <c r="E1529" s="53"/>
      <c r="F1529" s="53"/>
      <c r="G1529" s="53"/>
      <c r="H1529" s="53"/>
      <c r="I1529" s="53"/>
      <c r="J1529" s="53"/>
      <c r="K1529" s="53"/>
      <c r="L1529" s="53"/>
      <c r="M1529" s="53"/>
      <c r="N1529" s="53"/>
      <c r="O1529" s="53"/>
      <c r="P1529" s="53"/>
      <c r="Q1529" s="53"/>
      <c r="R1529" s="53"/>
      <c r="S1529" s="53"/>
      <c r="T1529" s="53"/>
      <c r="U1529" s="53"/>
      <c r="V1529" s="53"/>
      <c r="W1529" s="53"/>
      <c r="X1529" s="53"/>
      <c r="Y1529" s="53"/>
      <c r="Z1529" s="53"/>
    </row>
    <row r="1530" spans="1:26" ht="15.75" customHeight="1">
      <c r="A1530" s="103"/>
      <c r="B1530" s="103"/>
      <c r="C1530" s="104" t="e">
        <v>#REF!</v>
      </c>
      <c r="D1530" s="103"/>
      <c r="E1530" s="53"/>
      <c r="F1530" s="53"/>
      <c r="G1530" s="53"/>
      <c r="H1530" s="53"/>
      <c r="I1530" s="53"/>
      <c r="J1530" s="53"/>
      <c r="K1530" s="53"/>
      <c r="L1530" s="53"/>
      <c r="M1530" s="53"/>
      <c r="N1530" s="53"/>
      <c r="O1530" s="53"/>
      <c r="P1530" s="53"/>
      <c r="Q1530" s="53"/>
      <c r="R1530" s="53"/>
      <c r="S1530" s="53"/>
      <c r="T1530" s="53"/>
      <c r="U1530" s="53"/>
      <c r="V1530" s="53"/>
      <c r="W1530" s="53"/>
      <c r="X1530" s="53"/>
      <c r="Y1530" s="53"/>
      <c r="Z1530" s="53"/>
    </row>
    <row r="1531" spans="1:26" ht="15.75" customHeight="1">
      <c r="A1531" s="103"/>
      <c r="B1531" s="103"/>
      <c r="C1531" s="104" t="e">
        <v>#REF!</v>
      </c>
      <c r="D1531" s="103"/>
      <c r="E1531" s="53"/>
      <c r="F1531" s="53"/>
      <c r="G1531" s="53"/>
      <c r="H1531" s="53"/>
      <c r="I1531" s="53"/>
      <c r="J1531" s="53"/>
      <c r="K1531" s="53"/>
      <c r="L1531" s="53"/>
      <c r="M1531" s="53"/>
      <c r="N1531" s="53"/>
      <c r="O1531" s="53"/>
      <c r="P1531" s="53"/>
      <c r="Q1531" s="53"/>
      <c r="R1531" s="53"/>
      <c r="S1531" s="53"/>
      <c r="T1531" s="53"/>
      <c r="U1531" s="53"/>
      <c r="V1531" s="53"/>
      <c r="W1531" s="53"/>
      <c r="X1531" s="53"/>
      <c r="Y1531" s="53"/>
      <c r="Z1531" s="53"/>
    </row>
    <row r="1532" spans="1:26" ht="15.75" customHeight="1">
      <c r="A1532" s="103"/>
      <c r="B1532" s="103"/>
      <c r="C1532" s="104" t="e">
        <v>#REF!</v>
      </c>
      <c r="D1532" s="103"/>
      <c r="E1532" s="53"/>
      <c r="F1532" s="53"/>
      <c r="G1532" s="53"/>
      <c r="H1532" s="53"/>
      <c r="I1532" s="53"/>
      <c r="J1532" s="53"/>
      <c r="K1532" s="53"/>
      <c r="L1532" s="53"/>
      <c r="M1532" s="53"/>
      <c r="N1532" s="53"/>
      <c r="O1532" s="53"/>
      <c r="P1532" s="53"/>
      <c r="Q1532" s="53"/>
      <c r="R1532" s="53"/>
      <c r="S1532" s="53"/>
      <c r="T1532" s="53"/>
      <c r="U1532" s="53"/>
      <c r="V1532" s="53"/>
      <c r="W1532" s="53"/>
      <c r="X1532" s="53"/>
      <c r="Y1532" s="53"/>
      <c r="Z1532" s="53"/>
    </row>
    <row r="1533" spans="1:26" ht="15.75" customHeight="1">
      <c r="A1533" s="103"/>
      <c r="B1533" s="103"/>
      <c r="C1533" s="104" t="e">
        <v>#REF!</v>
      </c>
      <c r="D1533" s="103"/>
      <c r="E1533" s="53"/>
      <c r="F1533" s="53"/>
      <c r="G1533" s="53"/>
      <c r="H1533" s="53"/>
      <c r="I1533" s="53"/>
      <c r="J1533" s="53"/>
      <c r="K1533" s="53"/>
      <c r="L1533" s="53"/>
      <c r="M1533" s="53"/>
      <c r="N1533" s="53"/>
      <c r="O1533" s="53"/>
      <c r="P1533" s="53"/>
      <c r="Q1533" s="53"/>
      <c r="R1533" s="53"/>
      <c r="S1533" s="53"/>
      <c r="T1533" s="53"/>
      <c r="U1533" s="53"/>
      <c r="V1533" s="53"/>
      <c r="W1533" s="53"/>
      <c r="X1533" s="53"/>
      <c r="Y1533" s="53"/>
      <c r="Z1533" s="53"/>
    </row>
    <row r="1534" spans="1:26" ht="15.75" customHeight="1">
      <c r="A1534" s="103"/>
      <c r="B1534" s="103"/>
      <c r="C1534" s="104" t="e">
        <v>#REF!</v>
      </c>
      <c r="D1534" s="103"/>
      <c r="E1534" s="53"/>
      <c r="F1534" s="53"/>
      <c r="G1534" s="53"/>
      <c r="H1534" s="53"/>
      <c r="I1534" s="53"/>
      <c r="J1534" s="53"/>
      <c r="K1534" s="53"/>
      <c r="L1534" s="53"/>
      <c r="M1534" s="53"/>
      <c r="N1534" s="53"/>
      <c r="O1534" s="53"/>
      <c r="P1534" s="53"/>
      <c r="Q1534" s="53"/>
      <c r="R1534" s="53"/>
      <c r="S1534" s="53"/>
      <c r="T1534" s="53"/>
      <c r="U1534" s="53"/>
      <c r="V1534" s="53"/>
      <c r="W1534" s="53"/>
      <c r="X1534" s="53"/>
      <c r="Y1534" s="53"/>
      <c r="Z1534" s="53"/>
    </row>
    <row r="1535" spans="1:26" ht="15.75" customHeight="1">
      <c r="A1535" s="103"/>
      <c r="B1535" s="103"/>
      <c r="C1535" s="104" t="e">
        <v>#REF!</v>
      </c>
      <c r="D1535" s="103"/>
      <c r="E1535" s="53"/>
      <c r="F1535" s="53"/>
      <c r="G1535" s="53"/>
      <c r="H1535" s="53"/>
      <c r="I1535" s="53"/>
      <c r="J1535" s="53"/>
      <c r="K1535" s="53"/>
      <c r="L1535" s="53"/>
      <c r="M1535" s="53"/>
      <c r="N1535" s="53"/>
      <c r="O1535" s="53"/>
      <c r="P1535" s="53"/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</row>
    <row r="1536" spans="1:26" ht="15.75" customHeight="1">
      <c r="A1536" s="103"/>
      <c r="B1536" s="103"/>
      <c r="C1536" s="104" t="e">
        <v>#REF!</v>
      </c>
      <c r="D1536" s="103"/>
      <c r="E1536" s="53"/>
      <c r="F1536" s="53"/>
      <c r="G1536" s="53"/>
      <c r="H1536" s="53"/>
      <c r="I1536" s="53"/>
      <c r="J1536" s="53"/>
      <c r="K1536" s="53"/>
      <c r="L1536" s="53"/>
      <c r="M1536" s="53"/>
      <c r="N1536" s="53"/>
      <c r="O1536" s="53"/>
      <c r="P1536" s="53"/>
      <c r="Q1536" s="53"/>
      <c r="R1536" s="53"/>
      <c r="S1536" s="53"/>
      <c r="T1536" s="53"/>
      <c r="U1536" s="53"/>
      <c r="V1536" s="53"/>
      <c r="W1536" s="53"/>
      <c r="X1536" s="53"/>
      <c r="Y1536" s="53"/>
      <c r="Z1536" s="53"/>
    </row>
    <row r="1537" spans="1:26" ht="15.75" customHeight="1">
      <c r="A1537" s="103"/>
      <c r="B1537" s="103"/>
      <c r="C1537" s="104" t="e">
        <v>#REF!</v>
      </c>
      <c r="D1537" s="103"/>
      <c r="E1537" s="53"/>
      <c r="F1537" s="53"/>
      <c r="G1537" s="53"/>
      <c r="H1537" s="53"/>
      <c r="I1537" s="53"/>
      <c r="J1537" s="53"/>
      <c r="K1537" s="53"/>
      <c r="L1537" s="53"/>
      <c r="M1537" s="53"/>
      <c r="N1537" s="53"/>
      <c r="O1537" s="53"/>
      <c r="P1537" s="53"/>
      <c r="Q1537" s="53"/>
      <c r="R1537" s="53"/>
      <c r="S1537" s="53"/>
      <c r="T1537" s="53"/>
      <c r="U1537" s="53"/>
      <c r="V1537" s="53"/>
      <c r="W1537" s="53"/>
      <c r="X1537" s="53"/>
      <c r="Y1537" s="53"/>
      <c r="Z1537" s="53"/>
    </row>
    <row r="1538" spans="1:26" ht="15.75" customHeight="1">
      <c r="A1538" s="103"/>
      <c r="B1538" s="103"/>
      <c r="C1538" s="104" t="e">
        <v>#REF!</v>
      </c>
      <c r="D1538" s="103"/>
      <c r="E1538" s="53"/>
      <c r="F1538" s="53"/>
      <c r="G1538" s="53"/>
      <c r="H1538" s="53"/>
      <c r="I1538" s="53"/>
      <c r="J1538" s="53"/>
      <c r="K1538" s="53"/>
      <c r="L1538" s="53"/>
      <c r="M1538" s="53"/>
      <c r="N1538" s="53"/>
      <c r="O1538" s="53"/>
      <c r="P1538" s="53"/>
      <c r="Q1538" s="53"/>
      <c r="R1538" s="53"/>
      <c r="S1538" s="53"/>
      <c r="T1538" s="53"/>
      <c r="U1538" s="53"/>
      <c r="V1538" s="53"/>
      <c r="W1538" s="53"/>
      <c r="X1538" s="53"/>
      <c r="Y1538" s="53"/>
      <c r="Z1538" s="53"/>
    </row>
    <row r="1539" spans="1:26" ht="15.75" customHeight="1">
      <c r="A1539" s="103"/>
      <c r="B1539" s="103"/>
      <c r="C1539" s="104" t="e">
        <v>#REF!</v>
      </c>
      <c r="D1539" s="103"/>
      <c r="E1539" s="53"/>
      <c r="F1539" s="53"/>
      <c r="G1539" s="53"/>
      <c r="H1539" s="53"/>
      <c r="I1539" s="53"/>
      <c r="J1539" s="53"/>
      <c r="K1539" s="53"/>
      <c r="L1539" s="53"/>
      <c r="M1539" s="53"/>
      <c r="N1539" s="53"/>
      <c r="O1539" s="53"/>
      <c r="P1539" s="53"/>
      <c r="Q1539" s="53"/>
      <c r="R1539" s="53"/>
      <c r="S1539" s="53"/>
      <c r="T1539" s="53"/>
      <c r="U1539" s="53"/>
      <c r="V1539" s="53"/>
      <c r="W1539" s="53"/>
      <c r="X1539" s="53"/>
      <c r="Y1539" s="53"/>
      <c r="Z1539" s="53"/>
    </row>
    <row r="1540" spans="1:26" ht="15.75" customHeight="1">
      <c r="A1540" s="103"/>
      <c r="B1540" s="103"/>
      <c r="C1540" s="104" t="e">
        <v>#REF!</v>
      </c>
      <c r="D1540" s="103"/>
      <c r="E1540" s="53"/>
      <c r="F1540" s="53"/>
      <c r="G1540" s="53"/>
      <c r="H1540" s="53"/>
      <c r="I1540" s="53"/>
      <c r="J1540" s="53"/>
      <c r="K1540" s="53"/>
      <c r="L1540" s="53"/>
      <c r="M1540" s="53"/>
      <c r="N1540" s="53"/>
      <c r="O1540" s="53"/>
      <c r="P1540" s="53"/>
      <c r="Q1540" s="53"/>
      <c r="R1540" s="53"/>
      <c r="S1540" s="53"/>
      <c r="T1540" s="53"/>
      <c r="U1540" s="53"/>
      <c r="V1540" s="53"/>
      <c r="W1540" s="53"/>
      <c r="X1540" s="53"/>
      <c r="Y1540" s="53"/>
      <c r="Z1540" s="53"/>
    </row>
    <row r="1541" spans="1:26" ht="15.75" customHeight="1">
      <c r="A1541" s="103"/>
      <c r="B1541" s="103"/>
      <c r="C1541" s="104" t="e">
        <v>#REF!</v>
      </c>
      <c r="D1541" s="103"/>
      <c r="E1541" s="53"/>
      <c r="F1541" s="53"/>
      <c r="G1541" s="53"/>
      <c r="H1541" s="53"/>
      <c r="I1541" s="53"/>
      <c r="J1541" s="53"/>
      <c r="K1541" s="53"/>
      <c r="L1541" s="53"/>
      <c r="M1541" s="53"/>
      <c r="N1541" s="53"/>
      <c r="O1541" s="53"/>
      <c r="P1541" s="53"/>
      <c r="Q1541" s="53"/>
      <c r="R1541" s="53"/>
      <c r="S1541" s="53"/>
      <c r="T1541" s="53"/>
      <c r="U1541" s="53"/>
      <c r="V1541" s="53"/>
      <c r="W1541" s="53"/>
      <c r="X1541" s="53"/>
      <c r="Y1541" s="53"/>
      <c r="Z1541" s="53"/>
    </row>
    <row r="1542" spans="1:26" ht="15.75" customHeight="1">
      <c r="A1542" s="103"/>
      <c r="B1542" s="103"/>
      <c r="C1542" s="104" t="e">
        <v>#REF!</v>
      </c>
      <c r="D1542" s="103"/>
      <c r="E1542" s="53"/>
      <c r="F1542" s="53"/>
      <c r="G1542" s="53"/>
      <c r="H1542" s="53"/>
      <c r="I1542" s="53"/>
      <c r="J1542" s="53"/>
      <c r="K1542" s="53"/>
      <c r="L1542" s="53"/>
      <c r="M1542" s="53"/>
      <c r="N1542" s="53"/>
      <c r="O1542" s="53"/>
      <c r="P1542" s="53"/>
      <c r="Q1542" s="53"/>
      <c r="R1542" s="53"/>
      <c r="S1542" s="53"/>
      <c r="T1542" s="53"/>
      <c r="U1542" s="53"/>
      <c r="V1542" s="53"/>
      <c r="W1542" s="53"/>
      <c r="X1542" s="53"/>
      <c r="Y1542" s="53"/>
      <c r="Z1542" s="53"/>
    </row>
    <row r="1543" spans="1:26" ht="15.75" customHeight="1">
      <c r="A1543" s="103"/>
      <c r="B1543" s="103"/>
      <c r="C1543" s="104" t="e">
        <v>#REF!</v>
      </c>
      <c r="D1543" s="103"/>
      <c r="E1543" s="53"/>
      <c r="F1543" s="53"/>
      <c r="G1543" s="53"/>
      <c r="H1543" s="53"/>
      <c r="I1543" s="53"/>
      <c r="J1543" s="53"/>
      <c r="K1543" s="53"/>
      <c r="L1543" s="53"/>
      <c r="M1543" s="53"/>
      <c r="N1543" s="53"/>
      <c r="O1543" s="53"/>
      <c r="P1543" s="53"/>
      <c r="Q1543" s="53"/>
      <c r="R1543" s="53"/>
      <c r="S1543" s="53"/>
      <c r="T1543" s="53"/>
      <c r="U1543" s="53"/>
      <c r="V1543" s="53"/>
      <c r="W1543" s="53"/>
      <c r="X1543" s="53"/>
      <c r="Y1543" s="53"/>
      <c r="Z1543" s="53"/>
    </row>
    <row r="1544" spans="1:26" ht="15.75" customHeight="1">
      <c r="A1544" s="103"/>
      <c r="B1544" s="103"/>
      <c r="C1544" s="104" t="e">
        <v>#REF!</v>
      </c>
      <c r="D1544" s="103"/>
      <c r="E1544" s="53"/>
      <c r="F1544" s="53"/>
      <c r="G1544" s="53"/>
      <c r="H1544" s="53"/>
      <c r="I1544" s="53"/>
      <c r="J1544" s="53"/>
      <c r="K1544" s="53"/>
      <c r="L1544" s="53"/>
      <c r="M1544" s="53"/>
      <c r="N1544" s="53"/>
      <c r="O1544" s="53"/>
      <c r="P1544" s="53"/>
      <c r="Q1544" s="53"/>
      <c r="R1544" s="53"/>
      <c r="S1544" s="53"/>
      <c r="T1544" s="53"/>
      <c r="U1544" s="53"/>
      <c r="V1544" s="53"/>
      <c r="W1544" s="53"/>
      <c r="X1544" s="53"/>
      <c r="Y1544" s="53"/>
      <c r="Z1544" s="53"/>
    </row>
    <row r="1545" spans="1:26" ht="15.75" customHeight="1">
      <c r="A1545" s="103"/>
      <c r="B1545" s="103"/>
      <c r="C1545" s="104" t="e">
        <v>#REF!</v>
      </c>
      <c r="D1545" s="103"/>
      <c r="E1545" s="53"/>
      <c r="F1545" s="53"/>
      <c r="G1545" s="53"/>
      <c r="H1545" s="53"/>
      <c r="I1545" s="53"/>
      <c r="J1545" s="53"/>
      <c r="K1545" s="53"/>
      <c r="L1545" s="53"/>
      <c r="M1545" s="53"/>
      <c r="N1545" s="53"/>
      <c r="O1545" s="53"/>
      <c r="P1545" s="53"/>
      <c r="Q1545" s="53"/>
      <c r="R1545" s="53"/>
      <c r="S1545" s="53"/>
      <c r="T1545" s="53"/>
      <c r="U1545" s="53"/>
      <c r="V1545" s="53"/>
      <c r="W1545" s="53"/>
      <c r="X1545" s="53"/>
      <c r="Y1545" s="53"/>
      <c r="Z1545" s="53"/>
    </row>
    <row r="1546" spans="1:26" ht="15.75" customHeight="1">
      <c r="A1546" s="103"/>
      <c r="B1546" s="103"/>
      <c r="C1546" s="104" t="e">
        <v>#REF!</v>
      </c>
      <c r="D1546" s="103"/>
      <c r="E1546" s="53"/>
      <c r="F1546" s="53"/>
      <c r="G1546" s="53"/>
      <c r="H1546" s="53"/>
      <c r="I1546" s="53"/>
      <c r="J1546" s="53"/>
      <c r="K1546" s="53"/>
      <c r="L1546" s="53"/>
      <c r="M1546" s="53"/>
      <c r="N1546" s="53"/>
      <c r="O1546" s="53"/>
      <c r="P1546" s="53"/>
      <c r="Q1546" s="53"/>
      <c r="R1546" s="53"/>
      <c r="S1546" s="53"/>
      <c r="T1546" s="53"/>
      <c r="U1546" s="53"/>
      <c r="V1546" s="53"/>
      <c r="W1546" s="53"/>
      <c r="X1546" s="53"/>
      <c r="Y1546" s="53"/>
      <c r="Z1546" s="53"/>
    </row>
    <row r="1547" spans="1:26" ht="15.75" customHeight="1">
      <c r="A1547" s="103"/>
      <c r="B1547" s="103"/>
      <c r="C1547" s="104" t="e">
        <v>#REF!</v>
      </c>
      <c r="D1547" s="103"/>
      <c r="E1547" s="53"/>
      <c r="F1547" s="53"/>
      <c r="G1547" s="53"/>
      <c r="H1547" s="53"/>
      <c r="I1547" s="53"/>
      <c r="J1547" s="53"/>
      <c r="K1547" s="53"/>
      <c r="L1547" s="53"/>
      <c r="M1547" s="53"/>
      <c r="N1547" s="53"/>
      <c r="O1547" s="53"/>
      <c r="P1547" s="53"/>
      <c r="Q1547" s="53"/>
      <c r="R1547" s="53"/>
      <c r="S1547" s="53"/>
      <c r="T1547" s="53"/>
      <c r="U1547" s="53"/>
      <c r="V1547" s="53"/>
      <c r="W1547" s="53"/>
      <c r="X1547" s="53"/>
      <c r="Y1547" s="53"/>
      <c r="Z1547" s="53"/>
    </row>
    <row r="1548" spans="1:26" ht="15.75" customHeight="1">
      <c r="A1548" s="103"/>
      <c r="B1548" s="103"/>
      <c r="C1548" s="104" t="e">
        <v>#REF!</v>
      </c>
      <c r="D1548" s="103"/>
      <c r="E1548" s="53"/>
      <c r="F1548" s="53"/>
      <c r="G1548" s="53"/>
      <c r="H1548" s="53"/>
      <c r="I1548" s="53"/>
      <c r="J1548" s="53"/>
      <c r="K1548" s="53"/>
      <c r="L1548" s="53"/>
      <c r="M1548" s="53"/>
      <c r="N1548" s="53"/>
      <c r="O1548" s="53"/>
      <c r="P1548" s="53"/>
      <c r="Q1548" s="53"/>
      <c r="R1548" s="53"/>
      <c r="S1548" s="53"/>
      <c r="T1548" s="53"/>
      <c r="U1548" s="53"/>
      <c r="V1548" s="53"/>
      <c r="W1548" s="53"/>
      <c r="X1548" s="53"/>
      <c r="Y1548" s="53"/>
      <c r="Z1548" s="53"/>
    </row>
    <row r="1549" spans="1:26" ht="15.75" customHeight="1">
      <c r="A1549" s="103"/>
      <c r="B1549" s="103"/>
      <c r="C1549" s="104" t="e">
        <v>#REF!</v>
      </c>
      <c r="D1549" s="103"/>
      <c r="E1549" s="53"/>
      <c r="F1549" s="53"/>
      <c r="G1549" s="53"/>
      <c r="H1549" s="53"/>
      <c r="I1549" s="53"/>
      <c r="J1549" s="53"/>
      <c r="K1549" s="53"/>
      <c r="L1549" s="53"/>
      <c r="M1549" s="53"/>
      <c r="N1549" s="53"/>
      <c r="O1549" s="53"/>
      <c r="P1549" s="53"/>
      <c r="Q1549" s="53"/>
      <c r="R1549" s="53"/>
      <c r="S1549" s="53"/>
      <c r="T1549" s="53"/>
      <c r="U1549" s="53"/>
      <c r="V1549" s="53"/>
      <c r="W1549" s="53"/>
      <c r="X1549" s="53"/>
      <c r="Y1549" s="53"/>
      <c r="Z1549" s="53"/>
    </row>
    <row r="1550" spans="1:26" ht="15.75" customHeight="1">
      <c r="A1550" s="103"/>
      <c r="B1550" s="103"/>
      <c r="C1550" s="104" t="e">
        <v>#REF!</v>
      </c>
      <c r="D1550" s="103"/>
      <c r="E1550" s="53"/>
      <c r="F1550" s="53"/>
      <c r="G1550" s="53"/>
      <c r="H1550" s="53"/>
      <c r="I1550" s="53"/>
      <c r="J1550" s="53"/>
      <c r="K1550" s="53"/>
      <c r="L1550" s="53"/>
      <c r="M1550" s="53"/>
      <c r="N1550" s="53"/>
      <c r="O1550" s="53"/>
      <c r="P1550" s="53"/>
      <c r="Q1550" s="53"/>
      <c r="R1550" s="53"/>
      <c r="S1550" s="53"/>
      <c r="T1550" s="53"/>
      <c r="U1550" s="53"/>
      <c r="V1550" s="53"/>
      <c r="W1550" s="53"/>
      <c r="X1550" s="53"/>
      <c r="Y1550" s="53"/>
      <c r="Z1550" s="53"/>
    </row>
    <row r="1551" spans="1:26" ht="15.75" customHeight="1">
      <c r="A1551" s="103"/>
      <c r="B1551" s="103"/>
      <c r="C1551" s="104" t="e">
        <v>#REF!</v>
      </c>
      <c r="D1551" s="103"/>
      <c r="E1551" s="53"/>
      <c r="F1551" s="53"/>
      <c r="G1551" s="53"/>
      <c r="H1551" s="53"/>
      <c r="I1551" s="53"/>
      <c r="J1551" s="53"/>
      <c r="K1551" s="53"/>
      <c r="L1551" s="53"/>
      <c r="M1551" s="53"/>
      <c r="N1551" s="53"/>
      <c r="O1551" s="53"/>
      <c r="P1551" s="53"/>
      <c r="Q1551" s="53"/>
      <c r="R1551" s="53"/>
      <c r="S1551" s="53"/>
      <c r="T1551" s="53"/>
      <c r="U1551" s="53"/>
      <c r="V1551" s="53"/>
      <c r="W1551" s="53"/>
      <c r="X1551" s="53"/>
      <c r="Y1551" s="53"/>
      <c r="Z1551" s="53"/>
    </row>
    <row r="1552" spans="1:26" ht="15.75" customHeight="1">
      <c r="A1552" s="103"/>
      <c r="B1552" s="103"/>
      <c r="C1552" s="104" t="e">
        <v>#REF!</v>
      </c>
      <c r="D1552" s="103"/>
      <c r="E1552" s="53"/>
      <c r="F1552" s="53"/>
      <c r="G1552" s="53"/>
      <c r="H1552" s="53"/>
      <c r="I1552" s="53"/>
      <c r="J1552" s="53"/>
      <c r="K1552" s="53"/>
      <c r="L1552" s="53"/>
      <c r="M1552" s="53"/>
      <c r="N1552" s="53"/>
      <c r="O1552" s="53"/>
      <c r="P1552" s="53"/>
      <c r="Q1552" s="53"/>
      <c r="R1552" s="53"/>
      <c r="S1552" s="53"/>
      <c r="T1552" s="53"/>
      <c r="U1552" s="53"/>
      <c r="V1552" s="53"/>
      <c r="W1552" s="53"/>
      <c r="X1552" s="53"/>
      <c r="Y1552" s="53"/>
      <c r="Z1552" s="53"/>
    </row>
    <row r="1553" spans="1:26" ht="15.75" customHeight="1">
      <c r="A1553" s="103"/>
      <c r="B1553" s="103"/>
      <c r="C1553" s="104" t="e">
        <v>#REF!</v>
      </c>
      <c r="D1553" s="103"/>
      <c r="E1553" s="53"/>
      <c r="F1553" s="53"/>
      <c r="G1553" s="53"/>
      <c r="H1553" s="53"/>
      <c r="I1553" s="53"/>
      <c r="J1553" s="53"/>
      <c r="K1553" s="53"/>
      <c r="L1553" s="53"/>
      <c r="M1553" s="53"/>
      <c r="N1553" s="53"/>
      <c r="O1553" s="53"/>
      <c r="P1553" s="53"/>
      <c r="Q1553" s="53"/>
      <c r="R1553" s="53"/>
      <c r="S1553" s="53"/>
      <c r="T1553" s="53"/>
      <c r="U1553" s="53"/>
      <c r="V1553" s="53"/>
      <c r="W1553" s="53"/>
      <c r="X1553" s="53"/>
      <c r="Y1553" s="53"/>
      <c r="Z1553" s="53"/>
    </row>
    <row r="1554" spans="1:26" ht="15.75" customHeight="1">
      <c r="A1554" s="103"/>
      <c r="B1554" s="103"/>
      <c r="C1554" s="104" t="e">
        <v>#REF!</v>
      </c>
      <c r="D1554" s="103"/>
      <c r="E1554" s="53"/>
      <c r="F1554" s="53"/>
      <c r="G1554" s="53"/>
      <c r="H1554" s="53"/>
      <c r="I1554" s="53"/>
      <c r="J1554" s="53"/>
      <c r="K1554" s="53"/>
      <c r="L1554" s="53"/>
      <c r="M1554" s="53"/>
      <c r="N1554" s="53"/>
      <c r="O1554" s="53"/>
      <c r="P1554" s="53"/>
      <c r="Q1554" s="53"/>
      <c r="R1554" s="53"/>
      <c r="S1554" s="53"/>
      <c r="T1554" s="53"/>
      <c r="U1554" s="53"/>
      <c r="V1554" s="53"/>
      <c r="W1554" s="53"/>
      <c r="X1554" s="53"/>
      <c r="Y1554" s="53"/>
      <c r="Z1554" s="53"/>
    </row>
    <row r="1555" spans="1:26" ht="15.75" customHeight="1">
      <c r="A1555" s="103"/>
      <c r="B1555" s="103"/>
      <c r="C1555" s="104" t="e">
        <v>#REF!</v>
      </c>
      <c r="D1555" s="103"/>
      <c r="E1555" s="53"/>
      <c r="F1555" s="53"/>
      <c r="G1555" s="53"/>
      <c r="H1555" s="53"/>
      <c r="I1555" s="53"/>
      <c r="J1555" s="53"/>
      <c r="K1555" s="53"/>
      <c r="L1555" s="53"/>
      <c r="M1555" s="53"/>
      <c r="N1555" s="53"/>
      <c r="O1555" s="53"/>
      <c r="P1555" s="53"/>
      <c r="Q1555" s="53"/>
      <c r="R1555" s="53"/>
      <c r="S1555" s="53"/>
      <c r="T1555" s="53"/>
      <c r="U1555" s="53"/>
      <c r="V1555" s="53"/>
      <c r="W1555" s="53"/>
      <c r="X1555" s="53"/>
      <c r="Y1555" s="53"/>
      <c r="Z1555" s="53"/>
    </row>
    <row r="1556" spans="1:26" ht="15.75" customHeight="1">
      <c r="A1556" s="103"/>
      <c r="B1556" s="103"/>
      <c r="C1556" s="104" t="e">
        <v>#REF!</v>
      </c>
      <c r="D1556" s="103"/>
      <c r="E1556" s="53"/>
      <c r="F1556" s="53"/>
      <c r="G1556" s="53"/>
      <c r="H1556" s="53"/>
      <c r="I1556" s="53"/>
      <c r="J1556" s="53"/>
      <c r="K1556" s="53"/>
      <c r="L1556" s="53"/>
      <c r="M1556" s="53"/>
      <c r="N1556" s="53"/>
      <c r="O1556" s="53"/>
      <c r="P1556" s="53"/>
      <c r="Q1556" s="53"/>
      <c r="R1556" s="53"/>
      <c r="S1556" s="53"/>
      <c r="T1556" s="53"/>
      <c r="U1556" s="53"/>
      <c r="V1556" s="53"/>
      <c r="W1556" s="53"/>
      <c r="X1556" s="53"/>
      <c r="Y1556" s="53"/>
      <c r="Z1556" s="53"/>
    </row>
    <row r="1557" spans="1:26" ht="15.75" customHeight="1">
      <c r="A1557" s="103"/>
      <c r="B1557" s="103"/>
      <c r="C1557" s="104" t="e">
        <v>#REF!</v>
      </c>
      <c r="D1557" s="103"/>
      <c r="E1557" s="53"/>
      <c r="F1557" s="53"/>
      <c r="G1557" s="53"/>
      <c r="H1557" s="53"/>
      <c r="I1557" s="53"/>
      <c r="J1557" s="53"/>
      <c r="K1557" s="53"/>
      <c r="L1557" s="53"/>
      <c r="M1557" s="53"/>
      <c r="N1557" s="53"/>
      <c r="O1557" s="53"/>
      <c r="P1557" s="53"/>
      <c r="Q1557" s="53"/>
      <c r="R1557" s="53"/>
      <c r="S1557" s="53"/>
      <c r="T1557" s="53"/>
      <c r="U1557" s="53"/>
      <c r="V1557" s="53"/>
      <c r="W1557" s="53"/>
      <c r="X1557" s="53"/>
      <c r="Y1557" s="53"/>
      <c r="Z1557" s="53"/>
    </row>
    <row r="1558" spans="1:26" ht="15.75" customHeight="1">
      <c r="A1558" s="103"/>
      <c r="B1558" s="103"/>
      <c r="C1558" s="104" t="e">
        <v>#REF!</v>
      </c>
      <c r="D1558" s="103"/>
      <c r="E1558" s="53"/>
      <c r="F1558" s="53"/>
      <c r="G1558" s="53"/>
      <c r="H1558" s="53"/>
      <c r="I1558" s="53"/>
      <c r="J1558" s="53"/>
      <c r="K1558" s="53"/>
      <c r="L1558" s="53"/>
      <c r="M1558" s="53"/>
      <c r="N1558" s="53"/>
      <c r="O1558" s="53"/>
      <c r="P1558" s="53"/>
      <c r="Q1558" s="53"/>
      <c r="R1558" s="53"/>
      <c r="S1558" s="53"/>
      <c r="T1558" s="53"/>
      <c r="U1558" s="53"/>
      <c r="V1558" s="53"/>
      <c r="W1558" s="53"/>
      <c r="X1558" s="53"/>
      <c r="Y1558" s="53"/>
      <c r="Z1558" s="53"/>
    </row>
    <row r="1559" spans="1:26" ht="15.75" customHeight="1">
      <c r="A1559" s="103"/>
      <c r="B1559" s="103"/>
      <c r="C1559" s="104" t="e">
        <v>#REF!</v>
      </c>
      <c r="D1559" s="103"/>
      <c r="E1559" s="53"/>
      <c r="F1559" s="53"/>
      <c r="G1559" s="53"/>
      <c r="H1559" s="53"/>
      <c r="I1559" s="53"/>
      <c r="J1559" s="53"/>
      <c r="K1559" s="53"/>
      <c r="L1559" s="53"/>
      <c r="M1559" s="53"/>
      <c r="N1559" s="53"/>
      <c r="O1559" s="53"/>
      <c r="P1559" s="53"/>
      <c r="Q1559" s="53"/>
      <c r="R1559" s="53"/>
      <c r="S1559" s="53"/>
      <c r="T1559" s="53"/>
      <c r="U1559" s="53"/>
      <c r="V1559" s="53"/>
      <c r="W1559" s="53"/>
      <c r="X1559" s="53"/>
      <c r="Y1559" s="53"/>
      <c r="Z1559" s="53"/>
    </row>
    <row r="1560" spans="1:26" ht="15.75" customHeight="1">
      <c r="A1560" s="103"/>
      <c r="B1560" s="103"/>
      <c r="C1560" s="104" t="e">
        <v>#REF!</v>
      </c>
      <c r="D1560" s="103"/>
      <c r="E1560" s="53"/>
      <c r="F1560" s="53"/>
      <c r="G1560" s="53"/>
      <c r="H1560" s="53"/>
      <c r="I1560" s="53"/>
      <c r="J1560" s="53"/>
      <c r="K1560" s="53"/>
      <c r="L1560" s="53"/>
      <c r="M1560" s="53"/>
      <c r="N1560" s="53"/>
      <c r="O1560" s="53"/>
      <c r="P1560" s="53"/>
      <c r="Q1560" s="53"/>
      <c r="R1560" s="53"/>
      <c r="S1560" s="53"/>
      <c r="T1560" s="53"/>
      <c r="U1560" s="53"/>
      <c r="V1560" s="53"/>
      <c r="W1560" s="53"/>
      <c r="X1560" s="53"/>
      <c r="Y1560" s="53"/>
      <c r="Z1560" s="53"/>
    </row>
    <row r="1561" spans="1:26" ht="15.75" customHeight="1">
      <c r="A1561" s="103"/>
      <c r="B1561" s="103"/>
      <c r="C1561" s="104" t="e">
        <v>#REF!</v>
      </c>
      <c r="D1561" s="103"/>
      <c r="E1561" s="53"/>
      <c r="F1561" s="53"/>
      <c r="G1561" s="53"/>
      <c r="H1561" s="53"/>
      <c r="I1561" s="53"/>
      <c r="J1561" s="53"/>
      <c r="K1561" s="53"/>
      <c r="L1561" s="53"/>
      <c r="M1561" s="53"/>
      <c r="N1561" s="53"/>
      <c r="O1561" s="53"/>
      <c r="P1561" s="53"/>
      <c r="Q1561" s="53"/>
      <c r="R1561" s="53"/>
      <c r="S1561" s="53"/>
      <c r="T1561" s="53"/>
      <c r="U1561" s="53"/>
      <c r="V1561" s="53"/>
      <c r="W1561" s="53"/>
      <c r="X1561" s="53"/>
      <c r="Y1561" s="53"/>
      <c r="Z1561" s="53"/>
    </row>
    <row r="1562" spans="1:26" ht="15.75" customHeight="1">
      <c r="A1562" s="103"/>
      <c r="B1562" s="103"/>
      <c r="C1562" s="104" t="e">
        <v>#REF!</v>
      </c>
      <c r="D1562" s="103"/>
      <c r="E1562" s="53"/>
      <c r="F1562" s="53"/>
      <c r="G1562" s="53"/>
      <c r="H1562" s="53"/>
      <c r="I1562" s="53"/>
      <c r="J1562" s="53"/>
      <c r="K1562" s="53"/>
      <c r="L1562" s="53"/>
      <c r="M1562" s="53"/>
      <c r="N1562" s="53"/>
      <c r="O1562" s="53"/>
      <c r="P1562" s="53"/>
      <c r="Q1562" s="53"/>
      <c r="R1562" s="53"/>
      <c r="S1562" s="53"/>
      <c r="T1562" s="53"/>
      <c r="U1562" s="53"/>
      <c r="V1562" s="53"/>
      <c r="W1562" s="53"/>
      <c r="X1562" s="53"/>
      <c r="Y1562" s="53"/>
      <c r="Z1562" s="53"/>
    </row>
    <row r="1563" spans="1:26" ht="15.75" customHeight="1">
      <c r="A1563" s="103"/>
      <c r="B1563" s="103"/>
      <c r="C1563" s="104" t="e">
        <v>#REF!</v>
      </c>
      <c r="D1563" s="103"/>
      <c r="E1563" s="53"/>
      <c r="F1563" s="53"/>
      <c r="G1563" s="53"/>
      <c r="H1563" s="53"/>
      <c r="I1563" s="53"/>
      <c r="J1563" s="53"/>
      <c r="K1563" s="53"/>
      <c r="L1563" s="53"/>
      <c r="M1563" s="53"/>
      <c r="N1563" s="53"/>
      <c r="O1563" s="53"/>
      <c r="P1563" s="53"/>
      <c r="Q1563" s="53"/>
      <c r="R1563" s="53"/>
      <c r="S1563" s="53"/>
      <c r="T1563" s="53"/>
      <c r="U1563" s="53"/>
      <c r="V1563" s="53"/>
      <c r="W1563" s="53"/>
      <c r="X1563" s="53"/>
      <c r="Y1563" s="53"/>
      <c r="Z1563" s="53"/>
    </row>
    <row r="1564" spans="1:26" ht="15.75" customHeight="1">
      <c r="A1564" s="103"/>
      <c r="B1564" s="103"/>
      <c r="C1564" s="104" t="e">
        <v>#REF!</v>
      </c>
      <c r="D1564" s="103"/>
      <c r="E1564" s="53"/>
      <c r="F1564" s="53"/>
      <c r="G1564" s="53"/>
      <c r="H1564" s="53"/>
      <c r="I1564" s="53"/>
      <c r="J1564" s="53"/>
      <c r="K1564" s="53"/>
      <c r="L1564" s="53"/>
      <c r="M1564" s="53"/>
      <c r="N1564" s="53"/>
      <c r="O1564" s="53"/>
      <c r="P1564" s="53"/>
      <c r="Q1564" s="53"/>
      <c r="R1564" s="53"/>
      <c r="S1564" s="53"/>
      <c r="T1564" s="53"/>
      <c r="U1564" s="53"/>
      <c r="V1564" s="53"/>
      <c r="W1564" s="53"/>
      <c r="X1564" s="53"/>
      <c r="Y1564" s="53"/>
      <c r="Z1564" s="53"/>
    </row>
    <row r="1565" spans="1:26" ht="15.75" customHeight="1">
      <c r="A1565" s="103"/>
      <c r="B1565" s="103"/>
      <c r="C1565" s="104" t="e">
        <v>#REF!</v>
      </c>
      <c r="D1565" s="103"/>
      <c r="E1565" s="53"/>
      <c r="F1565" s="53"/>
      <c r="G1565" s="53"/>
      <c r="H1565" s="53"/>
      <c r="I1565" s="53"/>
      <c r="J1565" s="53"/>
      <c r="K1565" s="53"/>
      <c r="L1565" s="53"/>
      <c r="M1565" s="53"/>
      <c r="N1565" s="53"/>
      <c r="O1565" s="53"/>
      <c r="P1565" s="53"/>
      <c r="Q1565" s="53"/>
      <c r="R1565" s="53"/>
      <c r="S1565" s="53"/>
      <c r="T1565" s="53"/>
      <c r="U1565" s="53"/>
      <c r="V1565" s="53"/>
      <c r="W1565" s="53"/>
      <c r="X1565" s="53"/>
      <c r="Y1565" s="53"/>
      <c r="Z1565" s="53"/>
    </row>
    <row r="1566" spans="1:26" ht="15.75" customHeight="1">
      <c r="A1566" s="103"/>
      <c r="B1566" s="103"/>
      <c r="C1566" s="104" t="e">
        <v>#REF!</v>
      </c>
      <c r="D1566" s="103"/>
      <c r="E1566" s="53"/>
      <c r="F1566" s="53"/>
      <c r="G1566" s="53"/>
      <c r="H1566" s="53"/>
      <c r="I1566" s="53"/>
      <c r="J1566" s="53"/>
      <c r="K1566" s="53"/>
      <c r="L1566" s="53"/>
      <c r="M1566" s="53"/>
      <c r="N1566" s="53"/>
      <c r="O1566" s="53"/>
      <c r="P1566" s="53"/>
      <c r="Q1566" s="53"/>
      <c r="R1566" s="53"/>
      <c r="S1566" s="53"/>
      <c r="T1566" s="53"/>
      <c r="U1566" s="53"/>
      <c r="V1566" s="53"/>
      <c r="W1566" s="53"/>
      <c r="X1566" s="53"/>
      <c r="Y1566" s="53"/>
      <c r="Z1566" s="53"/>
    </row>
    <row r="1567" spans="1:26" ht="15.75" customHeight="1">
      <c r="A1567" s="103"/>
      <c r="B1567" s="103"/>
      <c r="C1567" s="104" t="e">
        <v>#REF!</v>
      </c>
      <c r="D1567" s="103"/>
      <c r="E1567" s="53"/>
      <c r="F1567" s="53"/>
      <c r="G1567" s="53"/>
      <c r="H1567" s="53"/>
      <c r="I1567" s="53"/>
      <c r="J1567" s="53"/>
      <c r="K1567" s="53"/>
      <c r="L1567" s="53"/>
      <c r="M1567" s="53"/>
      <c r="N1567" s="53"/>
      <c r="O1567" s="53"/>
      <c r="P1567" s="53"/>
      <c r="Q1567" s="53"/>
      <c r="R1567" s="53"/>
      <c r="S1567" s="53"/>
      <c r="T1567" s="53"/>
      <c r="U1567" s="53"/>
      <c r="V1567" s="53"/>
      <c r="W1567" s="53"/>
      <c r="X1567" s="53"/>
      <c r="Y1567" s="53"/>
      <c r="Z1567" s="53"/>
    </row>
    <row r="1568" spans="1:26" ht="15.75" customHeight="1">
      <c r="A1568" s="103"/>
      <c r="B1568" s="103"/>
      <c r="C1568" s="104" t="e">
        <v>#REF!</v>
      </c>
      <c r="D1568" s="103"/>
      <c r="E1568" s="53"/>
      <c r="F1568" s="53"/>
      <c r="G1568" s="53"/>
      <c r="H1568" s="53"/>
      <c r="I1568" s="53"/>
      <c r="J1568" s="53"/>
      <c r="K1568" s="53"/>
      <c r="L1568" s="53"/>
      <c r="M1568" s="53"/>
      <c r="N1568" s="53"/>
      <c r="O1568" s="53"/>
      <c r="P1568" s="53"/>
      <c r="Q1568" s="53"/>
      <c r="R1568" s="53"/>
      <c r="S1568" s="53"/>
      <c r="T1568" s="53"/>
      <c r="U1568" s="53"/>
      <c r="V1568" s="53"/>
      <c r="W1568" s="53"/>
      <c r="X1568" s="53"/>
      <c r="Y1568" s="53"/>
      <c r="Z1568" s="53"/>
    </row>
    <row r="1569" spans="1:26" ht="15.75" customHeight="1">
      <c r="A1569" s="103"/>
      <c r="B1569" s="103"/>
      <c r="C1569" s="104" t="e">
        <v>#REF!</v>
      </c>
      <c r="D1569" s="103"/>
      <c r="E1569" s="53"/>
      <c r="F1569" s="53"/>
      <c r="G1569" s="53"/>
      <c r="H1569" s="53"/>
      <c r="I1569" s="53"/>
      <c r="J1569" s="53"/>
      <c r="K1569" s="53"/>
      <c r="L1569" s="53"/>
      <c r="M1569" s="53"/>
      <c r="N1569" s="53"/>
      <c r="O1569" s="53"/>
      <c r="P1569" s="53"/>
      <c r="Q1569" s="53"/>
      <c r="R1569" s="53"/>
      <c r="S1569" s="53"/>
      <c r="T1569" s="53"/>
      <c r="U1569" s="53"/>
      <c r="V1569" s="53"/>
      <c r="W1569" s="53"/>
      <c r="X1569" s="53"/>
      <c r="Y1569" s="53"/>
      <c r="Z1569" s="53"/>
    </row>
    <row r="1570" spans="1:26" ht="15.75" customHeight="1">
      <c r="A1570" s="103"/>
      <c r="B1570" s="103"/>
      <c r="C1570" s="104" t="e">
        <v>#REF!</v>
      </c>
      <c r="D1570" s="103"/>
      <c r="E1570" s="53"/>
      <c r="F1570" s="53"/>
      <c r="G1570" s="53"/>
      <c r="H1570" s="53"/>
      <c r="I1570" s="53"/>
      <c r="J1570" s="53"/>
      <c r="K1570" s="53"/>
      <c r="L1570" s="53"/>
      <c r="M1570" s="53"/>
      <c r="N1570" s="53"/>
      <c r="O1570" s="53"/>
      <c r="P1570" s="53"/>
      <c r="Q1570" s="53"/>
      <c r="R1570" s="53"/>
      <c r="S1570" s="53"/>
      <c r="T1570" s="53"/>
      <c r="U1570" s="53"/>
      <c r="V1570" s="53"/>
      <c r="W1570" s="53"/>
      <c r="X1570" s="53"/>
      <c r="Y1570" s="53"/>
      <c r="Z1570" s="53"/>
    </row>
    <row r="1571" spans="1:26" ht="15.75" customHeight="1">
      <c r="A1571" s="103"/>
      <c r="B1571" s="103"/>
      <c r="C1571" s="104" t="e">
        <v>#REF!</v>
      </c>
      <c r="D1571" s="103"/>
      <c r="E1571" s="53"/>
      <c r="F1571" s="53"/>
      <c r="G1571" s="53"/>
      <c r="H1571" s="53"/>
      <c r="I1571" s="53"/>
      <c r="J1571" s="53"/>
      <c r="K1571" s="53"/>
      <c r="L1571" s="53"/>
      <c r="M1571" s="53"/>
      <c r="N1571" s="53"/>
      <c r="O1571" s="53"/>
      <c r="P1571" s="53"/>
      <c r="Q1571" s="53"/>
      <c r="R1571" s="53"/>
      <c r="S1571" s="53"/>
      <c r="T1571" s="53"/>
      <c r="U1571" s="53"/>
      <c r="V1571" s="53"/>
      <c r="W1571" s="53"/>
      <c r="X1571" s="53"/>
      <c r="Y1571" s="53"/>
      <c r="Z1571" s="53"/>
    </row>
    <row r="1572" spans="1:26" ht="15.75" customHeight="1">
      <c r="A1572" s="103"/>
      <c r="B1572" s="103"/>
      <c r="C1572" s="104" t="e">
        <v>#REF!</v>
      </c>
      <c r="D1572" s="103"/>
      <c r="E1572" s="53"/>
      <c r="F1572" s="53"/>
      <c r="G1572" s="53"/>
      <c r="H1572" s="53"/>
      <c r="I1572" s="53"/>
      <c r="J1572" s="53"/>
      <c r="K1572" s="53"/>
      <c r="L1572" s="53"/>
      <c r="M1572" s="53"/>
      <c r="N1572" s="53"/>
      <c r="O1572" s="53"/>
      <c r="P1572" s="53"/>
      <c r="Q1572" s="53"/>
      <c r="R1572" s="53"/>
      <c r="S1572" s="53"/>
      <c r="T1572" s="53"/>
      <c r="U1572" s="53"/>
      <c r="V1572" s="53"/>
      <c r="W1572" s="53"/>
      <c r="X1572" s="53"/>
      <c r="Y1572" s="53"/>
      <c r="Z1572" s="53"/>
    </row>
    <row r="1573" spans="1:26" ht="15.75" customHeight="1">
      <c r="A1573" s="103"/>
      <c r="B1573" s="103"/>
      <c r="C1573" s="104" t="e">
        <v>#REF!</v>
      </c>
      <c r="D1573" s="10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</row>
    <row r="1574" spans="1:26" ht="15.75" customHeight="1">
      <c r="A1574" s="103"/>
      <c r="B1574" s="103"/>
      <c r="C1574" s="104" t="e">
        <v>#REF!</v>
      </c>
      <c r="D1574" s="103"/>
      <c r="E1574" s="53"/>
      <c r="F1574" s="53"/>
      <c r="G1574" s="53"/>
      <c r="H1574" s="53"/>
      <c r="I1574" s="53"/>
      <c r="J1574" s="53"/>
      <c r="K1574" s="53"/>
      <c r="L1574" s="53"/>
      <c r="M1574" s="53"/>
      <c r="N1574" s="53"/>
      <c r="O1574" s="53"/>
      <c r="P1574" s="53"/>
      <c r="Q1574" s="53"/>
      <c r="R1574" s="53"/>
      <c r="S1574" s="53"/>
      <c r="T1574" s="53"/>
      <c r="U1574" s="53"/>
      <c r="V1574" s="53"/>
      <c r="W1574" s="53"/>
      <c r="X1574" s="53"/>
      <c r="Y1574" s="53"/>
      <c r="Z1574" s="53"/>
    </row>
    <row r="1575" spans="1:26" ht="15.75" customHeight="1">
      <c r="A1575" s="103"/>
      <c r="B1575" s="103"/>
      <c r="C1575" s="104" t="e">
        <v>#REF!</v>
      </c>
      <c r="D1575" s="103"/>
      <c r="E1575" s="53"/>
      <c r="F1575" s="53"/>
      <c r="G1575" s="53"/>
      <c r="H1575" s="53"/>
      <c r="I1575" s="53"/>
      <c r="J1575" s="53"/>
      <c r="K1575" s="53"/>
      <c r="L1575" s="53"/>
      <c r="M1575" s="53"/>
      <c r="N1575" s="53"/>
      <c r="O1575" s="53"/>
      <c r="P1575" s="53"/>
      <c r="Q1575" s="53"/>
      <c r="R1575" s="53"/>
      <c r="S1575" s="53"/>
      <c r="T1575" s="53"/>
      <c r="U1575" s="53"/>
      <c r="V1575" s="53"/>
      <c r="W1575" s="53"/>
      <c r="X1575" s="53"/>
      <c r="Y1575" s="53"/>
      <c r="Z1575" s="53"/>
    </row>
    <row r="1576" spans="1:26" ht="15.75" customHeight="1">
      <c r="A1576" s="103"/>
      <c r="B1576" s="103"/>
      <c r="C1576" s="104" t="e">
        <v>#REF!</v>
      </c>
      <c r="D1576" s="103"/>
      <c r="E1576" s="53"/>
      <c r="F1576" s="53"/>
      <c r="G1576" s="53"/>
      <c r="H1576" s="53"/>
      <c r="I1576" s="53"/>
      <c r="J1576" s="53"/>
      <c r="K1576" s="53"/>
      <c r="L1576" s="53"/>
      <c r="M1576" s="53"/>
      <c r="N1576" s="53"/>
      <c r="O1576" s="53"/>
      <c r="P1576" s="53"/>
      <c r="Q1576" s="53"/>
      <c r="R1576" s="53"/>
      <c r="S1576" s="53"/>
      <c r="T1576" s="53"/>
      <c r="U1576" s="53"/>
      <c r="V1576" s="53"/>
      <c r="W1576" s="53"/>
      <c r="X1576" s="53"/>
      <c r="Y1576" s="53"/>
      <c r="Z1576" s="53"/>
    </row>
    <row r="1577" spans="1:26" ht="15.75" customHeight="1">
      <c r="A1577" s="103"/>
      <c r="B1577" s="103"/>
      <c r="C1577" s="104" t="e">
        <v>#REF!</v>
      </c>
      <c r="D1577" s="103"/>
      <c r="E1577" s="53"/>
      <c r="F1577" s="53"/>
      <c r="G1577" s="53"/>
      <c r="H1577" s="53"/>
      <c r="I1577" s="53"/>
      <c r="J1577" s="53"/>
      <c r="K1577" s="53"/>
      <c r="L1577" s="53"/>
      <c r="M1577" s="53"/>
      <c r="N1577" s="53"/>
      <c r="O1577" s="53"/>
      <c r="P1577" s="53"/>
      <c r="Q1577" s="53"/>
      <c r="R1577" s="53"/>
      <c r="S1577" s="53"/>
      <c r="T1577" s="53"/>
      <c r="U1577" s="53"/>
      <c r="V1577" s="53"/>
      <c r="W1577" s="53"/>
      <c r="X1577" s="53"/>
      <c r="Y1577" s="53"/>
      <c r="Z1577" s="53"/>
    </row>
    <row r="1578" spans="1:26" ht="15.75" customHeight="1">
      <c r="A1578" s="103"/>
      <c r="B1578" s="103"/>
      <c r="C1578" s="104" t="e">
        <v>#REF!</v>
      </c>
      <c r="D1578" s="10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53"/>
      <c r="T1578" s="53"/>
      <c r="U1578" s="53"/>
      <c r="V1578" s="53"/>
      <c r="W1578" s="53"/>
      <c r="X1578" s="53"/>
      <c r="Y1578" s="53"/>
      <c r="Z1578" s="53"/>
    </row>
    <row r="1579" spans="1:26" ht="15.75" customHeight="1">
      <c r="A1579" s="103"/>
      <c r="B1579" s="103"/>
      <c r="C1579" s="104" t="e">
        <v>#REF!</v>
      </c>
      <c r="D1579" s="103"/>
      <c r="E1579" s="53"/>
      <c r="F1579" s="53"/>
      <c r="G1579" s="53"/>
      <c r="H1579" s="53"/>
      <c r="I1579" s="53"/>
      <c r="J1579" s="53"/>
      <c r="K1579" s="53"/>
      <c r="L1579" s="53"/>
      <c r="M1579" s="53"/>
      <c r="N1579" s="53"/>
      <c r="O1579" s="53"/>
      <c r="P1579" s="53"/>
      <c r="Q1579" s="53"/>
      <c r="R1579" s="53"/>
      <c r="S1579" s="53"/>
      <c r="T1579" s="53"/>
      <c r="U1579" s="53"/>
      <c r="V1579" s="53"/>
      <c r="W1579" s="53"/>
      <c r="X1579" s="53"/>
      <c r="Y1579" s="53"/>
      <c r="Z1579" s="53"/>
    </row>
    <row r="1580" spans="1:26" ht="15.75" customHeight="1">
      <c r="A1580" s="103"/>
      <c r="B1580" s="103"/>
      <c r="C1580" s="104" t="e">
        <v>#REF!</v>
      </c>
      <c r="D1580" s="103"/>
      <c r="E1580" s="53"/>
      <c r="F1580" s="53"/>
      <c r="G1580" s="53"/>
      <c r="H1580" s="53"/>
      <c r="I1580" s="53"/>
      <c r="J1580" s="53"/>
      <c r="K1580" s="53"/>
      <c r="L1580" s="53"/>
      <c r="M1580" s="53"/>
      <c r="N1580" s="53"/>
      <c r="O1580" s="53"/>
      <c r="P1580" s="53"/>
      <c r="Q1580" s="53"/>
      <c r="R1580" s="53"/>
      <c r="S1580" s="53"/>
      <c r="T1580" s="53"/>
      <c r="U1580" s="53"/>
      <c r="V1580" s="53"/>
      <c r="W1580" s="53"/>
      <c r="X1580" s="53"/>
      <c r="Y1580" s="53"/>
      <c r="Z1580" s="53"/>
    </row>
    <row r="1581" spans="1:26" ht="15.75" customHeight="1">
      <c r="A1581" s="103"/>
      <c r="B1581" s="103"/>
      <c r="C1581" s="104" t="e">
        <v>#REF!</v>
      </c>
      <c r="D1581" s="103"/>
      <c r="E1581" s="53"/>
      <c r="F1581" s="53"/>
      <c r="G1581" s="53"/>
      <c r="H1581" s="53"/>
      <c r="I1581" s="53"/>
      <c r="J1581" s="53"/>
      <c r="K1581" s="53"/>
      <c r="L1581" s="53"/>
      <c r="M1581" s="53"/>
      <c r="N1581" s="53"/>
      <c r="O1581" s="53"/>
      <c r="P1581" s="53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</row>
    <row r="1582" spans="1:26" ht="15.75" customHeight="1">
      <c r="A1582" s="103"/>
      <c r="B1582" s="103"/>
      <c r="C1582" s="104" t="e">
        <v>#REF!</v>
      </c>
      <c r="D1582" s="103"/>
      <c r="E1582" s="53"/>
      <c r="F1582" s="53"/>
      <c r="G1582" s="53"/>
      <c r="H1582" s="53"/>
      <c r="I1582" s="53"/>
      <c r="J1582" s="53"/>
      <c r="K1582" s="53"/>
      <c r="L1582" s="53"/>
      <c r="M1582" s="53"/>
      <c r="N1582" s="53"/>
      <c r="O1582" s="53"/>
      <c r="P1582" s="53"/>
      <c r="Q1582" s="53"/>
      <c r="R1582" s="53"/>
      <c r="S1582" s="53"/>
      <c r="T1582" s="53"/>
      <c r="U1582" s="53"/>
      <c r="V1582" s="53"/>
      <c r="W1582" s="53"/>
      <c r="X1582" s="53"/>
      <c r="Y1582" s="53"/>
      <c r="Z1582" s="53"/>
    </row>
    <row r="1583" spans="1:26" ht="15.75" customHeight="1">
      <c r="A1583" s="103"/>
      <c r="B1583" s="103"/>
      <c r="C1583" s="104" t="e">
        <v>#REF!</v>
      </c>
      <c r="D1583" s="103"/>
      <c r="E1583" s="53"/>
      <c r="F1583" s="53"/>
      <c r="G1583" s="53"/>
      <c r="H1583" s="53"/>
      <c r="I1583" s="53"/>
      <c r="J1583" s="53"/>
      <c r="K1583" s="53"/>
      <c r="L1583" s="53"/>
      <c r="M1583" s="53"/>
      <c r="N1583" s="53"/>
      <c r="O1583" s="53"/>
      <c r="P1583" s="53"/>
      <c r="Q1583" s="53"/>
      <c r="R1583" s="53"/>
      <c r="S1583" s="53"/>
      <c r="T1583" s="53"/>
      <c r="U1583" s="53"/>
      <c r="V1583" s="53"/>
      <c r="W1583" s="53"/>
      <c r="X1583" s="53"/>
      <c r="Y1583" s="53"/>
      <c r="Z1583" s="53"/>
    </row>
    <row r="1584" spans="1:26" ht="15.75" customHeight="1">
      <c r="A1584" s="103"/>
      <c r="B1584" s="103"/>
      <c r="C1584" s="104" t="e">
        <v>#REF!</v>
      </c>
      <c r="D1584" s="103"/>
      <c r="E1584" s="53"/>
      <c r="F1584" s="53"/>
      <c r="G1584" s="53"/>
      <c r="H1584" s="53"/>
      <c r="I1584" s="53"/>
      <c r="J1584" s="53"/>
      <c r="K1584" s="53"/>
      <c r="L1584" s="53"/>
      <c r="M1584" s="53"/>
      <c r="N1584" s="53"/>
      <c r="O1584" s="53"/>
      <c r="P1584" s="53"/>
      <c r="Q1584" s="53"/>
      <c r="R1584" s="53"/>
      <c r="S1584" s="53"/>
      <c r="T1584" s="53"/>
      <c r="U1584" s="53"/>
      <c r="V1584" s="53"/>
      <c r="W1584" s="53"/>
      <c r="X1584" s="53"/>
      <c r="Y1584" s="53"/>
      <c r="Z1584" s="53"/>
    </row>
    <row r="1585" spans="1:26" ht="15.75" customHeight="1">
      <c r="A1585" s="103"/>
      <c r="B1585" s="103"/>
      <c r="C1585" s="104" t="e">
        <v>#REF!</v>
      </c>
      <c r="D1585" s="103"/>
      <c r="E1585" s="53"/>
      <c r="F1585" s="53"/>
      <c r="G1585" s="53"/>
      <c r="H1585" s="53"/>
      <c r="I1585" s="53"/>
      <c r="J1585" s="53"/>
      <c r="K1585" s="53"/>
      <c r="L1585" s="53"/>
      <c r="M1585" s="53"/>
      <c r="N1585" s="53"/>
      <c r="O1585" s="53"/>
      <c r="P1585" s="53"/>
      <c r="Q1585" s="53"/>
      <c r="R1585" s="53"/>
      <c r="S1585" s="53"/>
      <c r="T1585" s="53"/>
      <c r="U1585" s="53"/>
      <c r="V1585" s="53"/>
      <c r="W1585" s="53"/>
      <c r="X1585" s="53"/>
      <c r="Y1585" s="53"/>
      <c r="Z1585" s="53"/>
    </row>
    <row r="1586" spans="1:26" ht="15.75" customHeight="1">
      <c r="A1586" s="103"/>
      <c r="B1586" s="103"/>
      <c r="C1586" s="104" t="e">
        <v>#REF!</v>
      </c>
      <c r="D1586" s="103"/>
      <c r="E1586" s="53"/>
      <c r="F1586" s="53"/>
      <c r="G1586" s="53"/>
      <c r="H1586" s="53"/>
      <c r="I1586" s="53"/>
      <c r="J1586" s="53"/>
      <c r="K1586" s="53"/>
      <c r="L1586" s="53"/>
      <c r="M1586" s="53"/>
      <c r="N1586" s="53"/>
      <c r="O1586" s="53"/>
      <c r="P1586" s="53"/>
      <c r="Q1586" s="53"/>
      <c r="R1586" s="53"/>
      <c r="S1586" s="53"/>
      <c r="T1586" s="53"/>
      <c r="U1586" s="53"/>
      <c r="V1586" s="53"/>
      <c r="W1586" s="53"/>
      <c r="X1586" s="53"/>
      <c r="Y1586" s="53"/>
      <c r="Z1586" s="53"/>
    </row>
    <row r="1587" spans="1:26" ht="15.75" customHeight="1">
      <c r="A1587" s="103"/>
      <c r="B1587" s="103"/>
      <c r="C1587" s="104" t="e">
        <v>#REF!</v>
      </c>
      <c r="D1587" s="103"/>
      <c r="E1587" s="53"/>
      <c r="F1587" s="53"/>
      <c r="G1587" s="53"/>
      <c r="H1587" s="53"/>
      <c r="I1587" s="53"/>
      <c r="J1587" s="53"/>
      <c r="K1587" s="53"/>
      <c r="L1587" s="53"/>
      <c r="M1587" s="53"/>
      <c r="N1587" s="53"/>
      <c r="O1587" s="53"/>
      <c r="P1587" s="53"/>
      <c r="Q1587" s="53"/>
      <c r="R1587" s="53"/>
      <c r="S1587" s="53"/>
      <c r="T1587" s="53"/>
      <c r="U1587" s="53"/>
      <c r="V1587" s="53"/>
      <c r="W1587" s="53"/>
      <c r="X1587" s="53"/>
      <c r="Y1587" s="53"/>
      <c r="Z1587" s="53"/>
    </row>
    <row r="1588" spans="1:26" ht="15.75" customHeight="1">
      <c r="A1588" s="103"/>
      <c r="B1588" s="103"/>
      <c r="C1588" s="104" t="e">
        <v>#REF!</v>
      </c>
      <c r="D1588" s="103"/>
      <c r="E1588" s="53"/>
      <c r="F1588" s="53"/>
      <c r="G1588" s="53"/>
      <c r="H1588" s="53"/>
      <c r="I1588" s="53"/>
      <c r="J1588" s="53"/>
      <c r="K1588" s="53"/>
      <c r="L1588" s="53"/>
      <c r="M1588" s="53"/>
      <c r="N1588" s="53"/>
      <c r="O1588" s="53"/>
      <c r="P1588" s="53"/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</row>
    <row r="1589" spans="1:26" ht="15.75" customHeight="1">
      <c r="A1589" s="103"/>
      <c r="B1589" s="103"/>
      <c r="C1589" s="104" t="e">
        <v>#REF!</v>
      </c>
      <c r="D1589" s="103"/>
      <c r="E1589" s="53"/>
      <c r="F1589" s="53"/>
      <c r="G1589" s="53"/>
      <c r="H1589" s="53"/>
      <c r="I1589" s="53"/>
      <c r="J1589" s="53"/>
      <c r="K1589" s="53"/>
      <c r="L1589" s="53"/>
      <c r="M1589" s="53"/>
      <c r="N1589" s="53"/>
      <c r="O1589" s="53"/>
      <c r="P1589" s="53"/>
      <c r="Q1589" s="53"/>
      <c r="R1589" s="53"/>
      <c r="S1589" s="53"/>
      <c r="T1589" s="53"/>
      <c r="U1589" s="53"/>
      <c r="V1589" s="53"/>
      <c r="W1589" s="53"/>
      <c r="X1589" s="53"/>
      <c r="Y1589" s="53"/>
      <c r="Z1589" s="53"/>
    </row>
    <row r="1590" spans="1:26" ht="15.75" customHeight="1">
      <c r="A1590" s="103"/>
      <c r="B1590" s="103"/>
      <c r="C1590" s="104" t="e">
        <v>#REF!</v>
      </c>
      <c r="D1590" s="103"/>
      <c r="E1590" s="53"/>
      <c r="F1590" s="53"/>
      <c r="G1590" s="53"/>
      <c r="H1590" s="53"/>
      <c r="I1590" s="53"/>
      <c r="J1590" s="53"/>
      <c r="K1590" s="53"/>
      <c r="L1590" s="53"/>
      <c r="M1590" s="53"/>
      <c r="N1590" s="53"/>
      <c r="O1590" s="53"/>
      <c r="P1590" s="53"/>
      <c r="Q1590" s="53"/>
      <c r="R1590" s="53"/>
      <c r="S1590" s="53"/>
      <c r="T1590" s="53"/>
      <c r="U1590" s="53"/>
      <c r="V1590" s="53"/>
      <c r="W1590" s="53"/>
      <c r="X1590" s="53"/>
      <c r="Y1590" s="53"/>
      <c r="Z1590" s="53"/>
    </row>
    <row r="1591" spans="1:26" ht="15.75" customHeight="1">
      <c r="A1591" s="103"/>
      <c r="B1591" s="103"/>
      <c r="C1591" s="104" t="e">
        <v>#REF!</v>
      </c>
      <c r="D1591" s="103"/>
      <c r="E1591" s="53"/>
      <c r="F1591" s="53"/>
      <c r="G1591" s="53"/>
      <c r="H1591" s="53"/>
      <c r="I1591" s="53"/>
      <c r="J1591" s="53"/>
      <c r="K1591" s="53"/>
      <c r="L1591" s="53"/>
      <c r="M1591" s="53"/>
      <c r="N1591" s="53"/>
      <c r="O1591" s="53"/>
      <c r="P1591" s="53"/>
      <c r="Q1591" s="53"/>
      <c r="R1591" s="53"/>
      <c r="S1591" s="53"/>
      <c r="T1591" s="53"/>
      <c r="U1591" s="53"/>
      <c r="V1591" s="53"/>
      <c r="W1591" s="53"/>
      <c r="X1591" s="53"/>
      <c r="Y1591" s="53"/>
      <c r="Z1591" s="53"/>
    </row>
    <row r="1592" spans="1:26" ht="15.75" customHeight="1">
      <c r="A1592" s="103"/>
      <c r="B1592" s="103"/>
      <c r="C1592" s="104" t="e">
        <v>#REF!</v>
      </c>
      <c r="D1592" s="103"/>
      <c r="E1592" s="53"/>
      <c r="F1592" s="53"/>
      <c r="G1592" s="53"/>
      <c r="H1592" s="53"/>
      <c r="I1592" s="53"/>
      <c r="J1592" s="53"/>
      <c r="K1592" s="53"/>
      <c r="L1592" s="53"/>
      <c r="M1592" s="53"/>
      <c r="N1592" s="53"/>
      <c r="O1592" s="53"/>
      <c r="P1592" s="53"/>
      <c r="Q1592" s="53"/>
      <c r="R1592" s="53"/>
      <c r="S1592" s="53"/>
      <c r="T1592" s="53"/>
      <c r="U1592" s="53"/>
      <c r="V1592" s="53"/>
      <c r="W1592" s="53"/>
      <c r="X1592" s="53"/>
      <c r="Y1592" s="53"/>
      <c r="Z1592" s="53"/>
    </row>
    <row r="1593" spans="1:26" ht="15.75" customHeight="1">
      <c r="A1593" s="103"/>
      <c r="B1593" s="103"/>
      <c r="C1593" s="104" t="e">
        <v>#REF!</v>
      </c>
      <c r="D1593" s="103"/>
      <c r="E1593" s="53"/>
      <c r="F1593" s="53"/>
      <c r="G1593" s="53"/>
      <c r="H1593" s="53"/>
      <c r="I1593" s="53"/>
      <c r="J1593" s="53"/>
      <c r="K1593" s="53"/>
      <c r="L1593" s="53"/>
      <c r="M1593" s="53"/>
      <c r="N1593" s="53"/>
      <c r="O1593" s="53"/>
      <c r="P1593" s="53"/>
      <c r="Q1593" s="53"/>
      <c r="R1593" s="53"/>
      <c r="S1593" s="53"/>
      <c r="T1593" s="53"/>
      <c r="U1593" s="53"/>
      <c r="V1593" s="53"/>
      <c r="W1593" s="53"/>
      <c r="X1593" s="53"/>
      <c r="Y1593" s="53"/>
      <c r="Z1593" s="53"/>
    </row>
    <row r="1594" spans="1:26" ht="15.75" customHeight="1">
      <c r="A1594" s="103"/>
      <c r="B1594" s="103"/>
      <c r="C1594" s="104" t="e">
        <v>#REF!</v>
      </c>
      <c r="D1594" s="103"/>
      <c r="E1594" s="53"/>
      <c r="F1594" s="53"/>
      <c r="G1594" s="53"/>
      <c r="H1594" s="53"/>
      <c r="I1594" s="53"/>
      <c r="J1594" s="53"/>
      <c r="K1594" s="53"/>
      <c r="L1594" s="53"/>
      <c r="M1594" s="53"/>
      <c r="N1594" s="53"/>
      <c r="O1594" s="53"/>
      <c r="P1594" s="53"/>
      <c r="Q1594" s="53"/>
      <c r="R1594" s="53"/>
      <c r="S1594" s="53"/>
      <c r="T1594" s="53"/>
      <c r="U1594" s="53"/>
      <c r="V1594" s="53"/>
      <c r="W1594" s="53"/>
      <c r="X1594" s="53"/>
      <c r="Y1594" s="53"/>
      <c r="Z1594" s="53"/>
    </row>
    <row r="1595" spans="1:26" ht="15.75" customHeight="1">
      <c r="A1595" s="103"/>
      <c r="B1595" s="103"/>
      <c r="C1595" s="104" t="e">
        <v>#REF!</v>
      </c>
      <c r="D1595" s="103"/>
      <c r="E1595" s="53"/>
      <c r="F1595" s="53"/>
      <c r="G1595" s="53"/>
      <c r="H1595" s="53"/>
      <c r="I1595" s="53"/>
      <c r="J1595" s="53"/>
      <c r="K1595" s="53"/>
      <c r="L1595" s="53"/>
      <c r="M1595" s="53"/>
      <c r="N1595" s="53"/>
      <c r="O1595" s="53"/>
      <c r="P1595" s="53"/>
      <c r="Q1595" s="53"/>
      <c r="R1595" s="53"/>
      <c r="S1595" s="53"/>
      <c r="T1595" s="53"/>
      <c r="U1595" s="53"/>
      <c r="V1595" s="53"/>
      <c r="W1595" s="53"/>
      <c r="X1595" s="53"/>
      <c r="Y1595" s="53"/>
      <c r="Z1595" s="53"/>
    </row>
    <row r="1596" spans="1:26" ht="15.75" customHeight="1">
      <c r="A1596" s="103"/>
      <c r="B1596" s="103"/>
      <c r="C1596" s="104" t="e">
        <v>#REF!</v>
      </c>
      <c r="D1596" s="103"/>
      <c r="E1596" s="53"/>
      <c r="F1596" s="53"/>
      <c r="G1596" s="53"/>
      <c r="H1596" s="53"/>
      <c r="I1596" s="53"/>
      <c r="J1596" s="53"/>
      <c r="K1596" s="53"/>
      <c r="L1596" s="53"/>
      <c r="M1596" s="53"/>
      <c r="N1596" s="53"/>
      <c r="O1596" s="53"/>
      <c r="P1596" s="53"/>
      <c r="Q1596" s="53"/>
      <c r="R1596" s="53"/>
      <c r="S1596" s="53"/>
      <c r="T1596" s="53"/>
      <c r="U1596" s="53"/>
      <c r="V1596" s="53"/>
      <c r="W1596" s="53"/>
      <c r="X1596" s="53"/>
      <c r="Y1596" s="53"/>
      <c r="Z1596" s="53"/>
    </row>
    <row r="1597" spans="1:26" ht="15.75" customHeight="1">
      <c r="A1597" s="103"/>
      <c r="B1597" s="103"/>
      <c r="C1597" s="104" t="e">
        <v>#REF!</v>
      </c>
      <c r="D1597" s="103"/>
      <c r="E1597" s="53"/>
      <c r="F1597" s="53"/>
      <c r="G1597" s="53"/>
      <c r="H1597" s="53"/>
      <c r="I1597" s="53"/>
      <c r="J1597" s="53"/>
      <c r="K1597" s="53"/>
      <c r="L1597" s="53"/>
      <c r="M1597" s="53"/>
      <c r="N1597" s="53"/>
      <c r="O1597" s="53"/>
      <c r="P1597" s="53"/>
      <c r="Q1597" s="53"/>
      <c r="R1597" s="53"/>
      <c r="S1597" s="53"/>
      <c r="T1597" s="53"/>
      <c r="U1597" s="53"/>
      <c r="V1597" s="53"/>
      <c r="W1597" s="53"/>
      <c r="X1597" s="53"/>
      <c r="Y1597" s="53"/>
      <c r="Z1597" s="53"/>
    </row>
    <row r="1598" spans="1:26" ht="15.75" customHeight="1">
      <c r="A1598" s="103"/>
      <c r="B1598" s="103"/>
      <c r="C1598" s="104" t="e">
        <v>#REF!</v>
      </c>
      <c r="D1598" s="103"/>
      <c r="E1598" s="53"/>
      <c r="F1598" s="53"/>
      <c r="G1598" s="53"/>
      <c r="H1598" s="53"/>
      <c r="I1598" s="53"/>
      <c r="J1598" s="53"/>
      <c r="K1598" s="53"/>
      <c r="L1598" s="53"/>
      <c r="M1598" s="53"/>
      <c r="N1598" s="53"/>
      <c r="O1598" s="53"/>
      <c r="P1598" s="53"/>
      <c r="Q1598" s="53"/>
      <c r="R1598" s="53"/>
      <c r="S1598" s="53"/>
      <c r="T1598" s="53"/>
      <c r="U1598" s="53"/>
      <c r="V1598" s="53"/>
      <c r="W1598" s="53"/>
      <c r="X1598" s="53"/>
      <c r="Y1598" s="53"/>
      <c r="Z1598" s="53"/>
    </row>
    <row r="1599" spans="1:26" ht="15.75" customHeight="1">
      <c r="A1599" s="103"/>
      <c r="B1599" s="103"/>
      <c r="C1599" s="104" t="e">
        <v>#REF!</v>
      </c>
      <c r="D1599" s="103"/>
      <c r="E1599" s="53"/>
      <c r="F1599" s="53"/>
      <c r="G1599" s="53"/>
      <c r="H1599" s="53"/>
      <c r="I1599" s="53"/>
      <c r="J1599" s="53"/>
      <c r="K1599" s="53"/>
      <c r="L1599" s="53"/>
      <c r="M1599" s="53"/>
      <c r="N1599" s="53"/>
      <c r="O1599" s="53"/>
      <c r="P1599" s="53"/>
      <c r="Q1599" s="53"/>
      <c r="R1599" s="53"/>
      <c r="S1599" s="53"/>
      <c r="T1599" s="53"/>
      <c r="U1599" s="53"/>
      <c r="V1599" s="53"/>
      <c r="W1599" s="53"/>
      <c r="X1599" s="53"/>
      <c r="Y1599" s="53"/>
      <c r="Z1599" s="53"/>
    </row>
    <row r="1600" spans="1:26" ht="15.75" customHeight="1">
      <c r="A1600" s="103"/>
      <c r="B1600" s="103"/>
      <c r="C1600" s="104" t="e">
        <v>#REF!</v>
      </c>
      <c r="D1600" s="103"/>
      <c r="E1600" s="53"/>
      <c r="F1600" s="53"/>
      <c r="G1600" s="53"/>
      <c r="H1600" s="53"/>
      <c r="I1600" s="53"/>
      <c r="J1600" s="53"/>
      <c r="K1600" s="53"/>
      <c r="L1600" s="53"/>
      <c r="M1600" s="53"/>
      <c r="N1600" s="53"/>
      <c r="O1600" s="53"/>
      <c r="P1600" s="53"/>
      <c r="Q1600" s="53"/>
      <c r="R1600" s="53"/>
      <c r="S1600" s="53"/>
      <c r="T1600" s="53"/>
      <c r="U1600" s="53"/>
      <c r="V1600" s="53"/>
      <c r="W1600" s="53"/>
      <c r="X1600" s="53"/>
      <c r="Y1600" s="53"/>
      <c r="Z1600" s="53"/>
    </row>
    <row r="1601" spans="1:26" ht="15.75" customHeight="1">
      <c r="A1601" s="103"/>
      <c r="B1601" s="103"/>
      <c r="C1601" s="104" t="e">
        <v>#REF!</v>
      </c>
      <c r="D1601" s="103"/>
      <c r="E1601" s="53"/>
      <c r="F1601" s="53"/>
      <c r="G1601" s="53"/>
      <c r="H1601" s="53"/>
      <c r="I1601" s="53"/>
      <c r="J1601" s="53"/>
      <c r="K1601" s="53"/>
      <c r="L1601" s="53"/>
      <c r="M1601" s="53"/>
      <c r="N1601" s="53"/>
      <c r="O1601" s="53"/>
      <c r="P1601" s="53"/>
      <c r="Q1601" s="53"/>
      <c r="R1601" s="53"/>
      <c r="S1601" s="53"/>
      <c r="T1601" s="53"/>
      <c r="U1601" s="53"/>
      <c r="V1601" s="53"/>
      <c r="W1601" s="53"/>
      <c r="X1601" s="53"/>
      <c r="Y1601" s="53"/>
      <c r="Z1601" s="53"/>
    </row>
    <row r="1602" spans="1:26" ht="15.75" customHeight="1">
      <c r="A1602" s="103"/>
      <c r="B1602" s="103"/>
      <c r="C1602" s="104" t="e">
        <v>#REF!</v>
      </c>
      <c r="D1602" s="103"/>
      <c r="E1602" s="53"/>
      <c r="F1602" s="53"/>
      <c r="G1602" s="53"/>
      <c r="H1602" s="53"/>
      <c r="I1602" s="53"/>
      <c r="J1602" s="53"/>
      <c r="K1602" s="53"/>
      <c r="L1602" s="53"/>
      <c r="M1602" s="53"/>
      <c r="N1602" s="53"/>
      <c r="O1602" s="53"/>
      <c r="P1602" s="53"/>
      <c r="Q1602" s="53"/>
      <c r="R1602" s="53"/>
      <c r="S1602" s="53"/>
      <c r="T1602" s="53"/>
      <c r="U1602" s="53"/>
      <c r="V1602" s="53"/>
      <c r="W1602" s="53"/>
      <c r="X1602" s="53"/>
      <c r="Y1602" s="53"/>
      <c r="Z1602" s="53"/>
    </row>
    <row r="1603" spans="1:26" ht="15.75" customHeight="1">
      <c r="A1603" s="103"/>
      <c r="B1603" s="103"/>
      <c r="C1603" s="104" t="e">
        <v>#REF!</v>
      </c>
      <c r="D1603" s="103"/>
      <c r="E1603" s="53"/>
      <c r="F1603" s="53"/>
      <c r="G1603" s="53"/>
      <c r="H1603" s="53"/>
      <c r="I1603" s="53"/>
      <c r="J1603" s="53"/>
      <c r="K1603" s="53"/>
      <c r="L1603" s="53"/>
      <c r="M1603" s="53"/>
      <c r="N1603" s="53"/>
      <c r="O1603" s="53"/>
      <c r="P1603" s="53"/>
      <c r="Q1603" s="53"/>
      <c r="R1603" s="53"/>
      <c r="S1603" s="53"/>
      <c r="T1603" s="53"/>
      <c r="U1603" s="53"/>
      <c r="V1603" s="53"/>
      <c r="W1603" s="53"/>
      <c r="X1603" s="53"/>
      <c r="Y1603" s="53"/>
      <c r="Z1603" s="53"/>
    </row>
    <row r="1604" spans="1:26" ht="15.75" customHeight="1">
      <c r="A1604" s="103"/>
      <c r="B1604" s="103"/>
      <c r="C1604" s="104" t="e">
        <v>#REF!</v>
      </c>
      <c r="D1604" s="103"/>
      <c r="E1604" s="53"/>
      <c r="F1604" s="53"/>
      <c r="G1604" s="53"/>
      <c r="H1604" s="53"/>
      <c r="I1604" s="53"/>
      <c r="J1604" s="53"/>
      <c r="K1604" s="53"/>
      <c r="L1604" s="53"/>
      <c r="M1604" s="53"/>
      <c r="N1604" s="53"/>
      <c r="O1604" s="53"/>
      <c r="P1604" s="53"/>
      <c r="Q1604" s="53"/>
      <c r="R1604" s="53"/>
      <c r="S1604" s="53"/>
      <c r="T1604" s="53"/>
      <c r="U1604" s="53"/>
      <c r="V1604" s="53"/>
      <c r="W1604" s="53"/>
      <c r="X1604" s="53"/>
      <c r="Y1604" s="53"/>
      <c r="Z1604" s="53"/>
    </row>
    <row r="1605" spans="1:26" ht="15.75" customHeight="1">
      <c r="A1605" s="103"/>
      <c r="B1605" s="103"/>
      <c r="C1605" s="104" t="e">
        <v>#REF!</v>
      </c>
      <c r="D1605" s="103"/>
      <c r="E1605" s="53"/>
      <c r="F1605" s="53"/>
      <c r="G1605" s="53"/>
      <c r="H1605" s="53"/>
      <c r="I1605" s="53"/>
      <c r="J1605" s="53"/>
      <c r="K1605" s="53"/>
      <c r="L1605" s="53"/>
      <c r="M1605" s="53"/>
      <c r="N1605" s="53"/>
      <c r="O1605" s="53"/>
      <c r="P1605" s="53"/>
      <c r="Q1605" s="53"/>
      <c r="R1605" s="53"/>
      <c r="S1605" s="53"/>
      <c r="T1605" s="53"/>
      <c r="U1605" s="53"/>
      <c r="V1605" s="53"/>
      <c r="W1605" s="53"/>
      <c r="X1605" s="53"/>
      <c r="Y1605" s="53"/>
      <c r="Z1605" s="53"/>
    </row>
    <row r="1606" spans="1:26" ht="15.75" customHeight="1">
      <c r="A1606" s="103"/>
      <c r="B1606" s="103"/>
      <c r="C1606" s="104" t="e">
        <v>#REF!</v>
      </c>
      <c r="D1606" s="103"/>
      <c r="E1606" s="53"/>
      <c r="F1606" s="53"/>
      <c r="G1606" s="53"/>
      <c r="H1606" s="53"/>
      <c r="I1606" s="53"/>
      <c r="J1606" s="53"/>
      <c r="K1606" s="53"/>
      <c r="L1606" s="53"/>
      <c r="M1606" s="53"/>
      <c r="N1606" s="53"/>
      <c r="O1606" s="53"/>
      <c r="P1606" s="53"/>
      <c r="Q1606" s="53"/>
      <c r="R1606" s="53"/>
      <c r="S1606" s="53"/>
      <c r="T1606" s="53"/>
      <c r="U1606" s="53"/>
      <c r="V1606" s="53"/>
      <c r="W1606" s="53"/>
      <c r="X1606" s="53"/>
      <c r="Y1606" s="53"/>
      <c r="Z1606" s="53"/>
    </row>
    <row r="1607" spans="1:26" ht="15.75" customHeight="1">
      <c r="A1607" s="103"/>
      <c r="B1607" s="103"/>
      <c r="C1607" s="104" t="e">
        <v>#REF!</v>
      </c>
      <c r="D1607" s="103"/>
      <c r="E1607" s="53"/>
      <c r="F1607" s="53"/>
      <c r="G1607" s="53"/>
      <c r="H1607" s="53"/>
      <c r="I1607" s="53"/>
      <c r="J1607" s="53"/>
      <c r="K1607" s="53"/>
      <c r="L1607" s="53"/>
      <c r="M1607" s="53"/>
      <c r="N1607" s="53"/>
      <c r="O1607" s="53"/>
      <c r="P1607" s="53"/>
      <c r="Q1607" s="53"/>
      <c r="R1607" s="53"/>
      <c r="S1607" s="53"/>
      <c r="T1607" s="53"/>
      <c r="U1607" s="53"/>
      <c r="V1607" s="53"/>
      <c r="W1607" s="53"/>
      <c r="X1607" s="53"/>
      <c r="Y1607" s="53"/>
      <c r="Z1607" s="53"/>
    </row>
    <row r="1608" spans="1:26" ht="15.75" customHeight="1">
      <c r="A1608" s="103"/>
      <c r="B1608" s="103"/>
      <c r="C1608" s="104" t="e">
        <v>#REF!</v>
      </c>
      <c r="D1608" s="103"/>
      <c r="E1608" s="53"/>
      <c r="F1608" s="53"/>
      <c r="G1608" s="53"/>
      <c r="H1608" s="53"/>
      <c r="I1608" s="53"/>
      <c r="J1608" s="53"/>
      <c r="K1608" s="53"/>
      <c r="L1608" s="53"/>
      <c r="M1608" s="53"/>
      <c r="N1608" s="53"/>
      <c r="O1608" s="53"/>
      <c r="P1608" s="53"/>
      <c r="Q1608" s="53"/>
      <c r="R1608" s="53"/>
      <c r="S1608" s="53"/>
      <c r="T1608" s="53"/>
      <c r="U1608" s="53"/>
      <c r="V1608" s="53"/>
      <c r="W1608" s="53"/>
      <c r="X1608" s="53"/>
      <c r="Y1608" s="53"/>
      <c r="Z1608" s="53"/>
    </row>
    <row r="1609" spans="1:26" ht="15.75" customHeight="1">
      <c r="A1609" s="103"/>
      <c r="B1609" s="103"/>
      <c r="C1609" s="104" t="e">
        <v>#REF!</v>
      </c>
      <c r="D1609" s="103"/>
      <c r="E1609" s="53"/>
      <c r="F1609" s="53"/>
      <c r="G1609" s="53"/>
      <c r="H1609" s="53"/>
      <c r="I1609" s="53"/>
      <c r="J1609" s="53"/>
      <c r="K1609" s="53"/>
      <c r="L1609" s="53"/>
      <c r="M1609" s="53"/>
      <c r="N1609" s="53"/>
      <c r="O1609" s="53"/>
      <c r="P1609" s="53"/>
      <c r="Q1609" s="53"/>
      <c r="R1609" s="53"/>
      <c r="S1609" s="53"/>
      <c r="T1609" s="53"/>
      <c r="U1609" s="53"/>
      <c r="V1609" s="53"/>
      <c r="W1609" s="53"/>
      <c r="X1609" s="53"/>
      <c r="Y1609" s="53"/>
      <c r="Z1609" s="53"/>
    </row>
    <row r="1610" spans="1:26" ht="15.75" customHeight="1">
      <c r="A1610" s="103"/>
      <c r="B1610" s="103"/>
      <c r="C1610" s="104" t="e">
        <v>#REF!</v>
      </c>
      <c r="D1610" s="103"/>
      <c r="E1610" s="53"/>
      <c r="F1610" s="53"/>
      <c r="G1610" s="53"/>
      <c r="H1610" s="53"/>
      <c r="I1610" s="53"/>
      <c r="J1610" s="53"/>
      <c r="K1610" s="53"/>
      <c r="L1610" s="53"/>
      <c r="M1610" s="53"/>
      <c r="N1610" s="53"/>
      <c r="O1610" s="53"/>
      <c r="P1610" s="53"/>
      <c r="Q1610" s="53"/>
      <c r="R1610" s="53"/>
      <c r="S1610" s="53"/>
      <c r="T1610" s="53"/>
      <c r="U1610" s="53"/>
      <c r="V1610" s="53"/>
      <c r="W1610" s="53"/>
      <c r="X1610" s="53"/>
      <c r="Y1610" s="53"/>
      <c r="Z1610" s="53"/>
    </row>
    <row r="1611" spans="1:26" ht="15.75" customHeight="1">
      <c r="A1611" s="103"/>
      <c r="B1611" s="103"/>
      <c r="C1611" s="104" t="e">
        <v>#REF!</v>
      </c>
      <c r="D1611" s="103"/>
      <c r="E1611" s="53"/>
      <c r="F1611" s="53"/>
      <c r="G1611" s="53"/>
      <c r="H1611" s="53"/>
      <c r="I1611" s="53"/>
      <c r="J1611" s="53"/>
      <c r="K1611" s="53"/>
      <c r="L1611" s="53"/>
      <c r="M1611" s="53"/>
      <c r="N1611" s="53"/>
      <c r="O1611" s="53"/>
      <c r="P1611" s="53"/>
      <c r="Q1611" s="53"/>
      <c r="R1611" s="53"/>
      <c r="S1611" s="53"/>
      <c r="T1611" s="53"/>
      <c r="U1611" s="53"/>
      <c r="V1611" s="53"/>
      <c r="W1611" s="53"/>
      <c r="X1611" s="53"/>
      <c r="Y1611" s="53"/>
      <c r="Z1611" s="53"/>
    </row>
    <row r="1612" spans="1:26" ht="15.75" customHeight="1">
      <c r="A1612" s="103"/>
      <c r="B1612" s="103"/>
      <c r="C1612" s="104" t="e">
        <v>#REF!</v>
      </c>
      <c r="D1612" s="103"/>
      <c r="E1612" s="53"/>
      <c r="F1612" s="53"/>
      <c r="G1612" s="53"/>
      <c r="H1612" s="53"/>
      <c r="I1612" s="53"/>
      <c r="J1612" s="53"/>
      <c r="K1612" s="53"/>
      <c r="L1612" s="53"/>
      <c r="M1612" s="53"/>
      <c r="N1612" s="53"/>
      <c r="O1612" s="53"/>
      <c r="P1612" s="53"/>
      <c r="Q1612" s="53"/>
      <c r="R1612" s="53"/>
      <c r="S1612" s="53"/>
      <c r="T1612" s="53"/>
      <c r="U1612" s="53"/>
      <c r="V1612" s="53"/>
      <c r="W1612" s="53"/>
      <c r="X1612" s="53"/>
      <c r="Y1612" s="53"/>
      <c r="Z1612" s="53"/>
    </row>
    <row r="1613" spans="1:26" ht="15.75" customHeight="1">
      <c r="A1613" s="103"/>
      <c r="B1613" s="103"/>
      <c r="C1613" s="104" t="e">
        <v>#REF!</v>
      </c>
      <c r="D1613" s="103"/>
      <c r="E1613" s="53"/>
      <c r="F1613" s="53"/>
      <c r="G1613" s="53"/>
      <c r="H1613" s="53"/>
      <c r="I1613" s="53"/>
      <c r="J1613" s="53"/>
      <c r="K1613" s="53"/>
      <c r="L1613" s="53"/>
      <c r="M1613" s="53"/>
      <c r="N1613" s="53"/>
      <c r="O1613" s="53"/>
      <c r="P1613" s="53"/>
      <c r="Q1613" s="53"/>
      <c r="R1613" s="53"/>
      <c r="S1613" s="53"/>
      <c r="T1613" s="53"/>
      <c r="U1613" s="53"/>
      <c r="V1613" s="53"/>
      <c r="W1613" s="53"/>
      <c r="X1613" s="53"/>
      <c r="Y1613" s="53"/>
      <c r="Z1613" s="53"/>
    </row>
    <row r="1614" spans="1:26" ht="15.75" customHeight="1">
      <c r="A1614" s="103"/>
      <c r="B1614" s="103"/>
      <c r="C1614" s="104" t="e">
        <v>#REF!</v>
      </c>
      <c r="D1614" s="103"/>
      <c r="E1614" s="53"/>
      <c r="F1614" s="53"/>
      <c r="G1614" s="53"/>
      <c r="H1614" s="53"/>
      <c r="I1614" s="53"/>
      <c r="J1614" s="53"/>
      <c r="K1614" s="53"/>
      <c r="L1614" s="53"/>
      <c r="M1614" s="53"/>
      <c r="N1614" s="53"/>
      <c r="O1614" s="53"/>
      <c r="P1614" s="53"/>
      <c r="Q1614" s="53"/>
      <c r="R1614" s="53"/>
      <c r="S1614" s="53"/>
      <c r="T1614" s="53"/>
      <c r="U1614" s="53"/>
      <c r="V1614" s="53"/>
      <c r="W1614" s="53"/>
      <c r="X1614" s="53"/>
      <c r="Y1614" s="53"/>
      <c r="Z1614" s="53"/>
    </row>
    <row r="1615" spans="1:26" ht="15.75" customHeight="1">
      <c r="A1615" s="103"/>
      <c r="B1615" s="103"/>
      <c r="C1615" s="104" t="e">
        <v>#REF!</v>
      </c>
      <c r="D1615" s="103"/>
      <c r="E1615" s="53"/>
      <c r="F1615" s="53"/>
      <c r="G1615" s="53"/>
      <c r="H1615" s="53"/>
      <c r="I1615" s="53"/>
      <c r="J1615" s="53"/>
      <c r="K1615" s="53"/>
      <c r="L1615" s="53"/>
      <c r="M1615" s="53"/>
      <c r="N1615" s="53"/>
      <c r="O1615" s="53"/>
      <c r="P1615" s="53"/>
      <c r="Q1615" s="53"/>
      <c r="R1615" s="53"/>
      <c r="S1615" s="53"/>
      <c r="T1615" s="53"/>
      <c r="U1615" s="53"/>
      <c r="V1615" s="53"/>
      <c r="W1615" s="53"/>
      <c r="X1615" s="53"/>
      <c r="Y1615" s="53"/>
      <c r="Z1615" s="53"/>
    </row>
    <row r="1616" spans="1:26" ht="15.75" customHeight="1">
      <c r="A1616" s="103"/>
      <c r="B1616" s="103"/>
      <c r="C1616" s="104" t="e">
        <v>#REF!</v>
      </c>
      <c r="D1616" s="103"/>
      <c r="E1616" s="53"/>
      <c r="F1616" s="53"/>
      <c r="G1616" s="53"/>
      <c r="H1616" s="53"/>
      <c r="I1616" s="53"/>
      <c r="J1616" s="53"/>
      <c r="K1616" s="53"/>
      <c r="L1616" s="53"/>
      <c r="M1616" s="53"/>
      <c r="N1616" s="53"/>
      <c r="O1616" s="53"/>
      <c r="P1616" s="53"/>
      <c r="Q1616" s="53"/>
      <c r="R1616" s="53"/>
      <c r="S1616" s="53"/>
      <c r="T1616" s="53"/>
      <c r="U1616" s="53"/>
      <c r="V1616" s="53"/>
      <c r="W1616" s="53"/>
      <c r="X1616" s="53"/>
      <c r="Y1616" s="53"/>
      <c r="Z1616" s="53"/>
    </row>
    <row r="1617" spans="1:26" ht="15.75" customHeight="1">
      <c r="A1617" s="103"/>
      <c r="B1617" s="103"/>
      <c r="C1617" s="104" t="e">
        <v>#REF!</v>
      </c>
      <c r="D1617" s="103"/>
      <c r="E1617" s="53"/>
      <c r="F1617" s="53"/>
      <c r="G1617" s="53"/>
      <c r="H1617" s="53"/>
      <c r="I1617" s="53"/>
      <c r="J1617" s="53"/>
      <c r="K1617" s="53"/>
      <c r="L1617" s="53"/>
      <c r="M1617" s="53"/>
      <c r="N1617" s="53"/>
      <c r="O1617" s="53"/>
      <c r="P1617" s="53"/>
      <c r="Q1617" s="53"/>
      <c r="R1617" s="53"/>
      <c r="S1617" s="53"/>
      <c r="T1617" s="53"/>
      <c r="U1617" s="53"/>
      <c r="V1617" s="53"/>
      <c r="W1617" s="53"/>
      <c r="X1617" s="53"/>
      <c r="Y1617" s="53"/>
      <c r="Z1617" s="53"/>
    </row>
    <row r="1618" spans="1:26" ht="15.75" customHeight="1">
      <c r="A1618" s="103"/>
      <c r="B1618" s="103"/>
      <c r="C1618" s="104" t="e">
        <v>#REF!</v>
      </c>
      <c r="D1618" s="103"/>
      <c r="E1618" s="53"/>
      <c r="F1618" s="53"/>
      <c r="G1618" s="53"/>
      <c r="H1618" s="53"/>
      <c r="I1618" s="53"/>
      <c r="J1618" s="53"/>
      <c r="K1618" s="53"/>
      <c r="L1618" s="53"/>
      <c r="M1618" s="53"/>
      <c r="N1618" s="53"/>
      <c r="O1618" s="53"/>
      <c r="P1618" s="53"/>
      <c r="Q1618" s="53"/>
      <c r="R1618" s="53"/>
      <c r="S1618" s="53"/>
      <c r="T1618" s="53"/>
      <c r="U1618" s="53"/>
      <c r="V1618" s="53"/>
      <c r="W1618" s="53"/>
      <c r="X1618" s="53"/>
      <c r="Y1618" s="53"/>
      <c r="Z1618" s="53"/>
    </row>
    <row r="1619" spans="1:26" ht="15.75" customHeight="1">
      <c r="A1619" s="103"/>
      <c r="B1619" s="103"/>
      <c r="C1619" s="104" t="e">
        <v>#REF!</v>
      </c>
      <c r="D1619" s="103"/>
      <c r="E1619" s="53"/>
      <c r="F1619" s="53"/>
      <c r="G1619" s="53"/>
      <c r="H1619" s="53"/>
      <c r="I1619" s="53"/>
      <c r="J1619" s="53"/>
      <c r="K1619" s="53"/>
      <c r="L1619" s="53"/>
      <c r="M1619" s="53"/>
      <c r="N1619" s="53"/>
      <c r="O1619" s="53"/>
      <c r="P1619" s="53"/>
      <c r="Q1619" s="53"/>
      <c r="R1619" s="53"/>
      <c r="S1619" s="53"/>
      <c r="T1619" s="53"/>
      <c r="U1619" s="53"/>
      <c r="V1619" s="53"/>
      <c r="W1619" s="53"/>
      <c r="X1619" s="53"/>
      <c r="Y1619" s="53"/>
      <c r="Z1619" s="53"/>
    </row>
    <row r="1620" spans="1:26" ht="15.75" customHeight="1">
      <c r="A1620" s="103"/>
      <c r="B1620" s="103"/>
      <c r="C1620" s="104" t="e">
        <v>#REF!</v>
      </c>
      <c r="D1620" s="103"/>
      <c r="E1620" s="53"/>
      <c r="F1620" s="53"/>
      <c r="G1620" s="53"/>
      <c r="H1620" s="53"/>
      <c r="I1620" s="53"/>
      <c r="J1620" s="53"/>
      <c r="K1620" s="53"/>
      <c r="L1620" s="53"/>
      <c r="M1620" s="53"/>
      <c r="N1620" s="53"/>
      <c r="O1620" s="53"/>
      <c r="P1620" s="53"/>
      <c r="Q1620" s="53"/>
      <c r="R1620" s="53"/>
      <c r="S1620" s="53"/>
      <c r="T1620" s="53"/>
      <c r="U1620" s="53"/>
      <c r="V1620" s="53"/>
      <c r="W1620" s="53"/>
      <c r="X1620" s="53"/>
      <c r="Y1620" s="53"/>
      <c r="Z1620" s="53"/>
    </row>
    <row r="1621" spans="1:26" ht="15.75" customHeight="1">
      <c r="A1621" s="103"/>
      <c r="B1621" s="103"/>
      <c r="C1621" s="104" t="e">
        <v>#REF!</v>
      </c>
      <c r="D1621" s="103"/>
      <c r="E1621" s="53"/>
      <c r="F1621" s="53"/>
      <c r="G1621" s="53"/>
      <c r="H1621" s="53"/>
      <c r="I1621" s="53"/>
      <c r="J1621" s="53"/>
      <c r="K1621" s="53"/>
      <c r="L1621" s="53"/>
      <c r="M1621" s="53"/>
      <c r="N1621" s="53"/>
      <c r="O1621" s="53"/>
      <c r="P1621" s="53"/>
      <c r="Q1621" s="53"/>
      <c r="R1621" s="53"/>
      <c r="S1621" s="53"/>
      <c r="T1621" s="53"/>
      <c r="U1621" s="53"/>
      <c r="V1621" s="53"/>
      <c r="W1621" s="53"/>
      <c r="X1621" s="53"/>
      <c r="Y1621" s="53"/>
      <c r="Z1621" s="53"/>
    </row>
    <row r="1622" spans="1:26" ht="15.75" customHeight="1">
      <c r="A1622" s="103"/>
      <c r="B1622" s="103"/>
      <c r="C1622" s="104" t="e">
        <v>#REF!</v>
      </c>
      <c r="D1622" s="103"/>
      <c r="E1622" s="53"/>
      <c r="F1622" s="53"/>
      <c r="G1622" s="53"/>
      <c r="H1622" s="53"/>
      <c r="I1622" s="53"/>
      <c r="J1622" s="53"/>
      <c r="K1622" s="53"/>
      <c r="L1622" s="53"/>
      <c r="M1622" s="53"/>
      <c r="N1622" s="53"/>
      <c r="O1622" s="53"/>
      <c r="P1622" s="53"/>
      <c r="Q1622" s="53"/>
      <c r="R1622" s="53"/>
      <c r="S1622" s="53"/>
      <c r="T1622" s="53"/>
      <c r="U1622" s="53"/>
      <c r="V1622" s="53"/>
      <c r="W1622" s="53"/>
      <c r="X1622" s="53"/>
      <c r="Y1622" s="53"/>
      <c r="Z1622" s="53"/>
    </row>
    <row r="1623" spans="1:26" ht="15.75" customHeight="1">
      <c r="A1623" s="103"/>
      <c r="B1623" s="103"/>
      <c r="C1623" s="104" t="e">
        <v>#REF!</v>
      </c>
      <c r="D1623" s="103"/>
      <c r="E1623" s="53"/>
      <c r="F1623" s="53"/>
      <c r="G1623" s="53"/>
      <c r="H1623" s="53"/>
      <c r="I1623" s="53"/>
      <c r="J1623" s="53"/>
      <c r="K1623" s="53"/>
      <c r="L1623" s="53"/>
      <c r="M1623" s="53"/>
      <c r="N1623" s="53"/>
      <c r="O1623" s="53"/>
      <c r="P1623" s="53"/>
      <c r="Q1623" s="53"/>
      <c r="R1623" s="53"/>
      <c r="S1623" s="53"/>
      <c r="T1623" s="53"/>
      <c r="U1623" s="53"/>
      <c r="V1623" s="53"/>
      <c r="W1623" s="53"/>
      <c r="X1623" s="53"/>
      <c r="Y1623" s="53"/>
      <c r="Z1623" s="53"/>
    </row>
    <row r="1624" spans="1:26" ht="15.75" customHeight="1">
      <c r="A1624" s="103"/>
      <c r="B1624" s="103"/>
      <c r="C1624" s="104" t="e">
        <v>#REF!</v>
      </c>
      <c r="D1624" s="103"/>
      <c r="E1624" s="53"/>
      <c r="F1624" s="53"/>
      <c r="G1624" s="53"/>
      <c r="H1624" s="53"/>
      <c r="I1624" s="53"/>
      <c r="J1624" s="53"/>
      <c r="K1624" s="53"/>
      <c r="L1624" s="53"/>
      <c r="M1624" s="53"/>
      <c r="N1624" s="53"/>
      <c r="O1624" s="53"/>
      <c r="P1624" s="53"/>
      <c r="Q1624" s="53"/>
      <c r="R1624" s="53"/>
      <c r="S1624" s="53"/>
      <c r="T1624" s="53"/>
      <c r="U1624" s="53"/>
      <c r="V1624" s="53"/>
      <c r="W1624" s="53"/>
      <c r="X1624" s="53"/>
      <c r="Y1624" s="53"/>
      <c r="Z1624" s="53"/>
    </row>
    <row r="1625" spans="1:26" ht="15.75" customHeight="1">
      <c r="A1625" s="103"/>
      <c r="B1625" s="103"/>
      <c r="C1625" s="104" t="e">
        <v>#REF!</v>
      </c>
      <c r="D1625" s="103"/>
      <c r="E1625" s="53"/>
      <c r="F1625" s="53"/>
      <c r="G1625" s="53"/>
      <c r="H1625" s="53"/>
      <c r="I1625" s="53"/>
      <c r="J1625" s="53"/>
      <c r="K1625" s="53"/>
      <c r="L1625" s="53"/>
      <c r="M1625" s="53"/>
      <c r="N1625" s="53"/>
      <c r="O1625" s="53"/>
      <c r="P1625" s="53"/>
      <c r="Q1625" s="53"/>
      <c r="R1625" s="53"/>
      <c r="S1625" s="53"/>
      <c r="T1625" s="53"/>
      <c r="U1625" s="53"/>
      <c r="V1625" s="53"/>
      <c r="W1625" s="53"/>
      <c r="X1625" s="53"/>
      <c r="Y1625" s="53"/>
      <c r="Z1625" s="53"/>
    </row>
    <row r="1626" spans="1:26" ht="15.75" customHeight="1">
      <c r="A1626" s="103"/>
      <c r="B1626" s="103"/>
      <c r="C1626" s="104" t="e">
        <v>#REF!</v>
      </c>
      <c r="D1626" s="10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</row>
    <row r="1627" spans="1:26" ht="15.75" customHeight="1">
      <c r="A1627" s="103"/>
      <c r="B1627" s="103"/>
      <c r="C1627" s="104" t="e">
        <v>#REF!</v>
      </c>
      <c r="D1627" s="103"/>
      <c r="E1627" s="53"/>
      <c r="F1627" s="53"/>
      <c r="G1627" s="53"/>
      <c r="H1627" s="53"/>
      <c r="I1627" s="53"/>
      <c r="J1627" s="53"/>
      <c r="K1627" s="53"/>
      <c r="L1627" s="53"/>
      <c r="M1627" s="53"/>
      <c r="N1627" s="53"/>
      <c r="O1627" s="53"/>
      <c r="P1627" s="53"/>
      <c r="Q1627" s="53"/>
      <c r="R1627" s="53"/>
      <c r="S1627" s="53"/>
      <c r="T1627" s="53"/>
      <c r="U1627" s="53"/>
      <c r="V1627" s="53"/>
      <c r="W1627" s="53"/>
      <c r="X1627" s="53"/>
      <c r="Y1627" s="53"/>
      <c r="Z1627" s="53"/>
    </row>
    <row r="1628" spans="1:26" ht="15.75" customHeight="1">
      <c r="A1628" s="103"/>
      <c r="B1628" s="103"/>
      <c r="C1628" s="104" t="e">
        <v>#REF!</v>
      </c>
      <c r="D1628" s="103"/>
      <c r="E1628" s="53"/>
      <c r="F1628" s="53"/>
      <c r="G1628" s="53"/>
      <c r="H1628" s="53"/>
      <c r="I1628" s="53"/>
      <c r="J1628" s="53"/>
      <c r="K1628" s="53"/>
      <c r="L1628" s="53"/>
      <c r="M1628" s="53"/>
      <c r="N1628" s="53"/>
      <c r="O1628" s="53"/>
      <c r="P1628" s="53"/>
      <c r="Q1628" s="53"/>
      <c r="R1628" s="53"/>
      <c r="S1628" s="53"/>
      <c r="T1628" s="53"/>
      <c r="U1628" s="53"/>
      <c r="V1628" s="53"/>
      <c r="W1628" s="53"/>
      <c r="X1628" s="53"/>
      <c r="Y1628" s="53"/>
      <c r="Z1628" s="53"/>
    </row>
    <row r="1629" spans="1:26" ht="15.75" customHeight="1">
      <c r="A1629" s="103"/>
      <c r="B1629" s="103"/>
      <c r="C1629" s="104" t="e">
        <v>#REF!</v>
      </c>
      <c r="D1629" s="103"/>
      <c r="E1629" s="53"/>
      <c r="F1629" s="53"/>
      <c r="G1629" s="53"/>
      <c r="H1629" s="53"/>
      <c r="I1629" s="53"/>
      <c r="J1629" s="53"/>
      <c r="K1629" s="53"/>
      <c r="L1629" s="53"/>
      <c r="M1629" s="53"/>
      <c r="N1629" s="53"/>
      <c r="O1629" s="53"/>
      <c r="P1629" s="53"/>
      <c r="Q1629" s="53"/>
      <c r="R1629" s="53"/>
      <c r="S1629" s="53"/>
      <c r="T1629" s="53"/>
      <c r="U1629" s="53"/>
      <c r="V1629" s="53"/>
      <c r="W1629" s="53"/>
      <c r="X1629" s="53"/>
      <c r="Y1629" s="53"/>
      <c r="Z1629" s="53"/>
    </row>
    <row r="1630" spans="1:26" ht="15.75" customHeight="1">
      <c r="A1630" s="103"/>
      <c r="B1630" s="103"/>
      <c r="C1630" s="104" t="e">
        <v>#REF!</v>
      </c>
      <c r="D1630" s="103"/>
      <c r="E1630" s="53"/>
      <c r="F1630" s="53"/>
      <c r="G1630" s="53"/>
      <c r="H1630" s="53"/>
      <c r="I1630" s="53"/>
      <c r="J1630" s="53"/>
      <c r="K1630" s="53"/>
      <c r="L1630" s="53"/>
      <c r="M1630" s="53"/>
      <c r="N1630" s="53"/>
      <c r="O1630" s="53"/>
      <c r="P1630" s="53"/>
      <c r="Q1630" s="53"/>
      <c r="R1630" s="53"/>
      <c r="S1630" s="53"/>
      <c r="T1630" s="53"/>
      <c r="U1630" s="53"/>
      <c r="V1630" s="53"/>
      <c r="W1630" s="53"/>
      <c r="X1630" s="53"/>
      <c r="Y1630" s="53"/>
      <c r="Z1630" s="53"/>
    </row>
    <row r="1631" spans="1:26" ht="15.75" customHeight="1">
      <c r="A1631" s="103"/>
      <c r="B1631" s="103"/>
      <c r="C1631" s="104" t="e">
        <v>#REF!</v>
      </c>
      <c r="D1631" s="10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53"/>
      <c r="T1631" s="53"/>
      <c r="U1631" s="53"/>
      <c r="V1631" s="53"/>
      <c r="W1631" s="53"/>
      <c r="X1631" s="53"/>
      <c r="Y1631" s="53"/>
      <c r="Z1631" s="53"/>
    </row>
    <row r="1632" spans="1:26" ht="15.75" customHeight="1">
      <c r="A1632" s="103"/>
      <c r="B1632" s="103"/>
      <c r="C1632" s="104" t="e">
        <v>#REF!</v>
      </c>
      <c r="D1632" s="103"/>
      <c r="E1632" s="53"/>
      <c r="F1632" s="53"/>
      <c r="G1632" s="53"/>
      <c r="H1632" s="53"/>
      <c r="I1632" s="53"/>
      <c r="J1632" s="53"/>
      <c r="K1632" s="53"/>
      <c r="L1632" s="53"/>
      <c r="M1632" s="53"/>
      <c r="N1632" s="53"/>
      <c r="O1632" s="53"/>
      <c r="P1632" s="53"/>
      <c r="Q1632" s="53"/>
      <c r="R1632" s="53"/>
      <c r="S1632" s="53"/>
      <c r="T1632" s="53"/>
      <c r="U1632" s="53"/>
      <c r="V1632" s="53"/>
      <c r="W1632" s="53"/>
      <c r="X1632" s="53"/>
      <c r="Y1632" s="53"/>
      <c r="Z1632" s="53"/>
    </row>
    <row r="1633" spans="1:26" ht="15.75" customHeight="1">
      <c r="A1633" s="103"/>
      <c r="B1633" s="103"/>
      <c r="C1633" s="104" t="e">
        <v>#REF!</v>
      </c>
      <c r="D1633" s="103"/>
      <c r="E1633" s="53"/>
      <c r="F1633" s="53"/>
      <c r="G1633" s="53"/>
      <c r="H1633" s="53"/>
      <c r="I1633" s="53"/>
      <c r="J1633" s="53"/>
      <c r="K1633" s="53"/>
      <c r="L1633" s="53"/>
      <c r="M1633" s="53"/>
      <c r="N1633" s="53"/>
      <c r="O1633" s="53"/>
      <c r="P1633" s="53"/>
      <c r="Q1633" s="53"/>
      <c r="R1633" s="53"/>
      <c r="S1633" s="53"/>
      <c r="T1633" s="53"/>
      <c r="U1633" s="53"/>
      <c r="V1633" s="53"/>
      <c r="W1633" s="53"/>
      <c r="X1633" s="53"/>
      <c r="Y1633" s="53"/>
      <c r="Z1633" s="53"/>
    </row>
    <row r="1634" spans="1:26" ht="15.75" customHeight="1">
      <c r="A1634" s="103"/>
      <c r="B1634" s="103"/>
      <c r="C1634" s="104" t="e">
        <v>#REF!</v>
      </c>
      <c r="D1634" s="103"/>
      <c r="E1634" s="53"/>
      <c r="F1634" s="53"/>
      <c r="G1634" s="53"/>
      <c r="H1634" s="53"/>
      <c r="I1634" s="53"/>
      <c r="J1634" s="53"/>
      <c r="K1634" s="53"/>
      <c r="L1634" s="53"/>
      <c r="M1634" s="53"/>
      <c r="N1634" s="53"/>
      <c r="O1634" s="53"/>
      <c r="P1634" s="53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</row>
    <row r="1635" spans="1:26" ht="15.75" customHeight="1">
      <c r="A1635" s="103"/>
      <c r="B1635" s="103"/>
      <c r="C1635" s="104" t="e">
        <v>#REF!</v>
      </c>
      <c r="D1635" s="103"/>
      <c r="E1635" s="53"/>
      <c r="F1635" s="53"/>
      <c r="G1635" s="53"/>
      <c r="H1635" s="53"/>
      <c r="I1635" s="53"/>
      <c r="J1635" s="53"/>
      <c r="K1635" s="53"/>
      <c r="L1635" s="53"/>
      <c r="M1635" s="53"/>
      <c r="N1635" s="53"/>
      <c r="O1635" s="53"/>
      <c r="P1635" s="53"/>
      <c r="Q1635" s="53"/>
      <c r="R1635" s="53"/>
      <c r="S1635" s="53"/>
      <c r="T1635" s="53"/>
      <c r="U1635" s="53"/>
      <c r="V1635" s="53"/>
      <c r="W1635" s="53"/>
      <c r="X1635" s="53"/>
      <c r="Y1635" s="53"/>
      <c r="Z1635" s="53"/>
    </row>
    <row r="1636" spans="1:26" ht="15.75" customHeight="1">
      <c r="A1636" s="103"/>
      <c r="B1636" s="103"/>
      <c r="C1636" s="104" t="e">
        <v>#REF!</v>
      </c>
      <c r="D1636" s="103"/>
      <c r="E1636" s="53"/>
      <c r="F1636" s="53"/>
      <c r="G1636" s="53"/>
      <c r="H1636" s="53"/>
      <c r="I1636" s="53"/>
      <c r="J1636" s="53"/>
      <c r="K1636" s="53"/>
      <c r="L1636" s="53"/>
      <c r="M1636" s="53"/>
      <c r="N1636" s="53"/>
      <c r="O1636" s="53"/>
      <c r="P1636" s="53"/>
      <c r="Q1636" s="53"/>
      <c r="R1636" s="53"/>
      <c r="S1636" s="53"/>
      <c r="T1636" s="53"/>
      <c r="U1636" s="53"/>
      <c r="V1636" s="53"/>
      <c r="W1636" s="53"/>
      <c r="X1636" s="53"/>
      <c r="Y1636" s="53"/>
      <c r="Z1636" s="53"/>
    </row>
    <row r="1637" spans="1:26" ht="15.75" customHeight="1">
      <c r="A1637" s="103"/>
      <c r="B1637" s="103"/>
      <c r="C1637" s="104" t="e">
        <v>#REF!</v>
      </c>
      <c r="D1637" s="103"/>
      <c r="E1637" s="53"/>
      <c r="F1637" s="53"/>
      <c r="G1637" s="53"/>
      <c r="H1637" s="53"/>
      <c r="I1637" s="53"/>
      <c r="J1637" s="53"/>
      <c r="K1637" s="53"/>
      <c r="L1637" s="53"/>
      <c r="M1637" s="53"/>
      <c r="N1637" s="53"/>
      <c r="O1637" s="53"/>
      <c r="P1637" s="53"/>
      <c r="Q1637" s="53"/>
      <c r="R1637" s="53"/>
      <c r="S1637" s="53"/>
      <c r="T1637" s="53"/>
      <c r="U1637" s="53"/>
      <c r="V1637" s="53"/>
      <c r="W1637" s="53"/>
      <c r="X1637" s="53"/>
      <c r="Y1637" s="53"/>
      <c r="Z1637" s="53"/>
    </row>
    <row r="1638" spans="1:26" ht="15.75" customHeight="1">
      <c r="A1638" s="103"/>
      <c r="B1638" s="103"/>
      <c r="C1638" s="104" t="e">
        <v>#REF!</v>
      </c>
      <c r="D1638" s="103"/>
      <c r="E1638" s="53"/>
      <c r="F1638" s="53"/>
      <c r="G1638" s="53"/>
      <c r="H1638" s="53"/>
      <c r="I1638" s="53"/>
      <c r="J1638" s="53"/>
      <c r="K1638" s="53"/>
      <c r="L1638" s="53"/>
      <c r="M1638" s="53"/>
      <c r="N1638" s="53"/>
      <c r="O1638" s="53"/>
      <c r="P1638" s="53"/>
      <c r="Q1638" s="53"/>
      <c r="R1638" s="53"/>
      <c r="S1638" s="53"/>
      <c r="T1638" s="53"/>
      <c r="U1638" s="53"/>
      <c r="V1638" s="53"/>
      <c r="W1638" s="53"/>
      <c r="X1638" s="53"/>
      <c r="Y1638" s="53"/>
      <c r="Z1638" s="53"/>
    </row>
    <row r="1639" spans="1:26" ht="15.75" customHeight="1">
      <c r="A1639" s="103"/>
      <c r="B1639" s="103"/>
      <c r="C1639" s="104" t="e">
        <v>#REF!</v>
      </c>
      <c r="D1639" s="103"/>
      <c r="E1639" s="53"/>
      <c r="F1639" s="53"/>
      <c r="G1639" s="53"/>
      <c r="H1639" s="53"/>
      <c r="I1639" s="53"/>
      <c r="J1639" s="53"/>
      <c r="K1639" s="53"/>
      <c r="L1639" s="53"/>
      <c r="M1639" s="53"/>
      <c r="N1639" s="53"/>
      <c r="O1639" s="53"/>
      <c r="P1639" s="53"/>
      <c r="Q1639" s="53"/>
      <c r="R1639" s="53"/>
      <c r="S1639" s="53"/>
      <c r="T1639" s="53"/>
      <c r="U1639" s="53"/>
      <c r="V1639" s="53"/>
      <c r="W1639" s="53"/>
      <c r="X1639" s="53"/>
      <c r="Y1639" s="53"/>
      <c r="Z1639" s="53"/>
    </row>
    <row r="1640" spans="1:26" ht="15.75" customHeight="1">
      <c r="A1640" s="103"/>
      <c r="B1640" s="103"/>
      <c r="C1640" s="104" t="e">
        <v>#REF!</v>
      </c>
      <c r="D1640" s="103"/>
      <c r="E1640" s="53"/>
      <c r="F1640" s="53"/>
      <c r="G1640" s="53"/>
      <c r="H1640" s="53"/>
      <c r="I1640" s="53"/>
      <c r="J1640" s="53"/>
      <c r="K1640" s="53"/>
      <c r="L1640" s="53"/>
      <c r="M1640" s="53"/>
      <c r="N1640" s="53"/>
      <c r="O1640" s="53"/>
      <c r="P1640" s="53"/>
      <c r="Q1640" s="53"/>
      <c r="R1640" s="53"/>
      <c r="S1640" s="53"/>
      <c r="T1640" s="53"/>
      <c r="U1640" s="53"/>
      <c r="V1640" s="53"/>
      <c r="W1640" s="53"/>
      <c r="X1640" s="53"/>
      <c r="Y1640" s="53"/>
      <c r="Z1640" s="53"/>
    </row>
    <row r="1641" spans="1:26" ht="15.75" customHeight="1">
      <c r="A1641" s="103"/>
      <c r="B1641" s="103"/>
      <c r="C1641" s="104" t="e">
        <v>#REF!</v>
      </c>
      <c r="D1641" s="103"/>
      <c r="E1641" s="53"/>
      <c r="F1641" s="53"/>
      <c r="G1641" s="53"/>
      <c r="H1641" s="53"/>
      <c r="I1641" s="53"/>
      <c r="J1641" s="53"/>
      <c r="K1641" s="53"/>
      <c r="L1641" s="53"/>
      <c r="M1641" s="53"/>
      <c r="N1641" s="53"/>
      <c r="O1641" s="53"/>
      <c r="P1641" s="53"/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</row>
    <row r="1642" spans="1:26" ht="15.75" customHeight="1">
      <c r="A1642" s="103"/>
      <c r="B1642" s="103"/>
      <c r="C1642" s="104" t="e">
        <v>#REF!</v>
      </c>
      <c r="D1642" s="103"/>
      <c r="E1642" s="53"/>
      <c r="F1642" s="53"/>
      <c r="G1642" s="53"/>
      <c r="H1642" s="53"/>
      <c r="I1642" s="53"/>
      <c r="J1642" s="53"/>
      <c r="K1642" s="53"/>
      <c r="L1642" s="53"/>
      <c r="M1642" s="53"/>
      <c r="N1642" s="53"/>
      <c r="O1642" s="53"/>
      <c r="P1642" s="53"/>
      <c r="Q1642" s="53"/>
      <c r="R1642" s="53"/>
      <c r="S1642" s="53"/>
      <c r="T1642" s="53"/>
      <c r="U1642" s="53"/>
      <c r="V1642" s="53"/>
      <c r="W1642" s="53"/>
      <c r="X1642" s="53"/>
      <c r="Y1642" s="53"/>
      <c r="Z1642" s="53"/>
    </row>
    <row r="1643" spans="1:26" ht="15.75" customHeight="1">
      <c r="A1643" s="103"/>
      <c r="B1643" s="103"/>
      <c r="C1643" s="104" t="e">
        <v>#REF!</v>
      </c>
      <c r="D1643" s="103"/>
      <c r="E1643" s="53"/>
      <c r="F1643" s="53"/>
      <c r="G1643" s="53"/>
      <c r="H1643" s="53"/>
      <c r="I1643" s="53"/>
      <c r="J1643" s="53"/>
      <c r="K1643" s="53"/>
      <c r="L1643" s="53"/>
      <c r="M1643" s="53"/>
      <c r="N1643" s="53"/>
      <c r="O1643" s="53"/>
      <c r="P1643" s="53"/>
      <c r="Q1643" s="53"/>
      <c r="R1643" s="53"/>
      <c r="S1643" s="53"/>
      <c r="T1643" s="53"/>
      <c r="U1643" s="53"/>
      <c r="V1643" s="53"/>
      <c r="W1643" s="53"/>
      <c r="X1643" s="53"/>
      <c r="Y1643" s="53"/>
      <c r="Z1643" s="53"/>
    </row>
    <row r="1644" spans="1:26" ht="15.75" customHeight="1">
      <c r="A1644" s="103"/>
      <c r="B1644" s="103"/>
      <c r="C1644" s="104" t="e">
        <v>#REF!</v>
      </c>
      <c r="D1644" s="103"/>
      <c r="E1644" s="53"/>
      <c r="F1644" s="53"/>
      <c r="G1644" s="53"/>
      <c r="H1644" s="53"/>
      <c r="I1644" s="53"/>
      <c r="J1644" s="53"/>
      <c r="K1644" s="53"/>
      <c r="L1644" s="53"/>
      <c r="M1644" s="53"/>
      <c r="N1644" s="53"/>
      <c r="O1644" s="53"/>
      <c r="P1644" s="53"/>
      <c r="Q1644" s="53"/>
      <c r="R1644" s="53"/>
      <c r="S1644" s="53"/>
      <c r="T1644" s="53"/>
      <c r="U1644" s="53"/>
      <c r="V1644" s="53"/>
      <c r="W1644" s="53"/>
      <c r="X1644" s="53"/>
      <c r="Y1644" s="53"/>
      <c r="Z1644" s="53"/>
    </row>
    <row r="1645" spans="1:26" ht="15.75" customHeight="1">
      <c r="A1645" s="103"/>
      <c r="B1645" s="103"/>
      <c r="C1645" s="104" t="e">
        <v>#REF!</v>
      </c>
      <c r="D1645" s="103"/>
      <c r="E1645" s="53"/>
      <c r="F1645" s="53"/>
      <c r="G1645" s="53"/>
      <c r="H1645" s="53"/>
      <c r="I1645" s="53"/>
      <c r="J1645" s="53"/>
      <c r="K1645" s="53"/>
      <c r="L1645" s="53"/>
      <c r="M1645" s="53"/>
      <c r="N1645" s="53"/>
      <c r="O1645" s="53"/>
      <c r="P1645" s="53"/>
      <c r="Q1645" s="53"/>
      <c r="R1645" s="53"/>
      <c r="S1645" s="53"/>
      <c r="T1645" s="53"/>
      <c r="U1645" s="53"/>
      <c r="V1645" s="53"/>
      <c r="W1645" s="53"/>
      <c r="X1645" s="53"/>
      <c r="Y1645" s="53"/>
      <c r="Z1645" s="53"/>
    </row>
    <row r="1646" spans="1:26" ht="15.75" customHeight="1">
      <c r="A1646" s="103"/>
      <c r="B1646" s="103"/>
      <c r="C1646" s="104" t="e">
        <v>#REF!</v>
      </c>
      <c r="D1646" s="103"/>
      <c r="E1646" s="53"/>
      <c r="F1646" s="53"/>
      <c r="G1646" s="53"/>
      <c r="H1646" s="53"/>
      <c r="I1646" s="53"/>
      <c r="J1646" s="53"/>
      <c r="K1646" s="53"/>
      <c r="L1646" s="53"/>
      <c r="M1646" s="53"/>
      <c r="N1646" s="53"/>
      <c r="O1646" s="53"/>
      <c r="P1646" s="53"/>
      <c r="Q1646" s="53"/>
      <c r="R1646" s="53"/>
      <c r="S1646" s="53"/>
      <c r="T1646" s="53"/>
      <c r="U1646" s="53"/>
      <c r="V1646" s="53"/>
      <c r="W1646" s="53"/>
      <c r="X1646" s="53"/>
      <c r="Y1646" s="53"/>
      <c r="Z1646" s="53"/>
    </row>
    <row r="1647" spans="1:26" ht="15.75" customHeight="1">
      <c r="A1647" s="103"/>
      <c r="B1647" s="103"/>
      <c r="C1647" s="104" t="e">
        <v>#REF!</v>
      </c>
      <c r="D1647" s="103"/>
      <c r="E1647" s="53"/>
      <c r="F1647" s="53"/>
      <c r="G1647" s="53"/>
      <c r="H1647" s="53"/>
      <c r="I1647" s="53"/>
      <c r="J1647" s="53"/>
      <c r="K1647" s="53"/>
      <c r="L1647" s="53"/>
      <c r="M1647" s="53"/>
      <c r="N1647" s="53"/>
      <c r="O1647" s="53"/>
      <c r="P1647" s="53"/>
      <c r="Q1647" s="53"/>
      <c r="R1647" s="53"/>
      <c r="S1647" s="53"/>
      <c r="T1647" s="53"/>
      <c r="U1647" s="53"/>
      <c r="V1647" s="53"/>
      <c r="W1647" s="53"/>
      <c r="X1647" s="53"/>
      <c r="Y1647" s="53"/>
      <c r="Z1647" s="53"/>
    </row>
    <row r="1648" spans="1:26" ht="15.75" customHeight="1">
      <c r="A1648" s="103"/>
      <c r="B1648" s="103"/>
      <c r="C1648" s="104" t="e">
        <v>#REF!</v>
      </c>
      <c r="D1648" s="103"/>
      <c r="E1648" s="53"/>
      <c r="F1648" s="53"/>
      <c r="G1648" s="53"/>
      <c r="H1648" s="53"/>
      <c r="I1648" s="53"/>
      <c r="J1648" s="53"/>
      <c r="K1648" s="53"/>
      <c r="L1648" s="53"/>
      <c r="M1648" s="53"/>
      <c r="N1648" s="53"/>
      <c r="O1648" s="53"/>
      <c r="P1648" s="53"/>
      <c r="Q1648" s="53"/>
      <c r="R1648" s="53"/>
      <c r="S1648" s="53"/>
      <c r="T1648" s="53"/>
      <c r="U1648" s="53"/>
      <c r="V1648" s="53"/>
      <c r="W1648" s="53"/>
      <c r="X1648" s="53"/>
      <c r="Y1648" s="53"/>
      <c r="Z1648" s="53"/>
    </row>
    <row r="1649" spans="1:26" ht="15.75" customHeight="1">
      <c r="A1649" s="103"/>
      <c r="B1649" s="103"/>
      <c r="C1649" s="104" t="e">
        <v>#REF!</v>
      </c>
      <c r="D1649" s="103"/>
      <c r="E1649" s="53"/>
      <c r="F1649" s="53"/>
      <c r="G1649" s="53"/>
      <c r="H1649" s="53"/>
      <c r="I1649" s="53"/>
      <c r="J1649" s="53"/>
      <c r="K1649" s="53"/>
      <c r="L1649" s="53"/>
      <c r="M1649" s="53"/>
      <c r="N1649" s="53"/>
      <c r="O1649" s="53"/>
      <c r="P1649" s="53"/>
      <c r="Q1649" s="53"/>
      <c r="R1649" s="53"/>
      <c r="S1649" s="53"/>
      <c r="T1649" s="53"/>
      <c r="U1649" s="53"/>
      <c r="V1649" s="53"/>
      <c r="W1649" s="53"/>
      <c r="X1649" s="53"/>
      <c r="Y1649" s="53"/>
      <c r="Z1649" s="53"/>
    </row>
    <row r="1650" spans="1:26" ht="15.75" customHeight="1">
      <c r="A1650" s="103"/>
      <c r="B1650" s="103"/>
      <c r="C1650" s="104" t="e">
        <v>#REF!</v>
      </c>
      <c r="D1650" s="103"/>
      <c r="E1650" s="53"/>
      <c r="F1650" s="53"/>
      <c r="G1650" s="53"/>
      <c r="H1650" s="53"/>
      <c r="I1650" s="53"/>
      <c r="J1650" s="53"/>
      <c r="K1650" s="53"/>
      <c r="L1650" s="53"/>
      <c r="M1650" s="53"/>
      <c r="N1650" s="53"/>
      <c r="O1650" s="53"/>
      <c r="P1650" s="53"/>
      <c r="Q1650" s="53"/>
      <c r="R1650" s="53"/>
      <c r="S1650" s="53"/>
      <c r="T1650" s="53"/>
      <c r="U1650" s="53"/>
      <c r="V1650" s="53"/>
      <c r="W1650" s="53"/>
      <c r="X1650" s="53"/>
      <c r="Y1650" s="53"/>
      <c r="Z1650" s="53"/>
    </row>
    <row r="1651" spans="1:26" ht="15.75" customHeight="1">
      <c r="A1651" s="103"/>
      <c r="B1651" s="103"/>
      <c r="C1651" s="104" t="e">
        <v>#REF!</v>
      </c>
      <c r="D1651" s="103"/>
      <c r="E1651" s="53"/>
      <c r="F1651" s="53"/>
      <c r="G1651" s="53"/>
      <c r="H1651" s="53"/>
      <c r="I1651" s="53"/>
      <c r="J1651" s="53"/>
      <c r="K1651" s="53"/>
      <c r="L1651" s="53"/>
      <c r="M1651" s="53"/>
      <c r="N1651" s="53"/>
      <c r="O1651" s="53"/>
      <c r="P1651" s="53"/>
      <c r="Q1651" s="53"/>
      <c r="R1651" s="53"/>
      <c r="S1651" s="53"/>
      <c r="T1651" s="53"/>
      <c r="U1651" s="53"/>
      <c r="V1651" s="53"/>
      <c r="W1651" s="53"/>
      <c r="X1651" s="53"/>
      <c r="Y1651" s="53"/>
      <c r="Z1651" s="53"/>
    </row>
    <row r="1652" spans="1:26" ht="15.75" customHeight="1">
      <c r="A1652" s="103"/>
      <c r="B1652" s="103"/>
      <c r="C1652" s="104" t="e">
        <v>#REF!</v>
      </c>
      <c r="D1652" s="103"/>
      <c r="E1652" s="53"/>
      <c r="F1652" s="53"/>
      <c r="G1652" s="53"/>
      <c r="H1652" s="53"/>
      <c r="I1652" s="53"/>
      <c r="J1652" s="53"/>
      <c r="K1652" s="53"/>
      <c r="L1652" s="53"/>
      <c r="M1652" s="53"/>
      <c r="N1652" s="53"/>
      <c r="O1652" s="53"/>
      <c r="P1652" s="53"/>
      <c r="Q1652" s="53"/>
      <c r="R1652" s="53"/>
      <c r="S1652" s="53"/>
      <c r="T1652" s="53"/>
      <c r="U1652" s="53"/>
      <c r="V1652" s="53"/>
      <c r="W1652" s="53"/>
      <c r="X1652" s="53"/>
      <c r="Y1652" s="53"/>
      <c r="Z1652" s="53"/>
    </row>
    <row r="1653" spans="1:26" ht="15.75" customHeight="1">
      <c r="A1653" s="103"/>
      <c r="B1653" s="103"/>
      <c r="C1653" s="104" t="e">
        <v>#REF!</v>
      </c>
      <c r="D1653" s="103"/>
      <c r="E1653" s="53"/>
      <c r="F1653" s="53"/>
      <c r="G1653" s="53"/>
      <c r="H1653" s="53"/>
      <c r="I1653" s="53"/>
      <c r="J1653" s="53"/>
      <c r="K1653" s="53"/>
      <c r="L1653" s="53"/>
      <c r="M1653" s="53"/>
      <c r="N1653" s="53"/>
      <c r="O1653" s="53"/>
      <c r="P1653" s="53"/>
      <c r="Q1653" s="53"/>
      <c r="R1653" s="53"/>
      <c r="S1653" s="53"/>
      <c r="T1653" s="53"/>
      <c r="U1653" s="53"/>
      <c r="V1653" s="53"/>
      <c r="W1653" s="53"/>
      <c r="X1653" s="53"/>
      <c r="Y1653" s="53"/>
      <c r="Z1653" s="53"/>
    </row>
    <row r="1654" spans="1:26" ht="15.75" customHeight="1">
      <c r="A1654" s="103"/>
      <c r="B1654" s="103"/>
      <c r="C1654" s="104" t="e">
        <v>#REF!</v>
      </c>
      <c r="D1654" s="103"/>
      <c r="E1654" s="53"/>
      <c r="F1654" s="53"/>
      <c r="G1654" s="53"/>
      <c r="H1654" s="53"/>
      <c r="I1654" s="53"/>
      <c r="J1654" s="53"/>
      <c r="K1654" s="53"/>
      <c r="L1654" s="53"/>
      <c r="M1654" s="53"/>
      <c r="N1654" s="53"/>
      <c r="O1654" s="53"/>
      <c r="P1654" s="53"/>
      <c r="Q1654" s="53"/>
      <c r="R1654" s="53"/>
      <c r="S1654" s="53"/>
      <c r="T1654" s="53"/>
      <c r="U1654" s="53"/>
      <c r="V1654" s="53"/>
      <c r="W1654" s="53"/>
      <c r="X1654" s="53"/>
      <c r="Y1654" s="53"/>
      <c r="Z1654" s="53"/>
    </row>
    <row r="1655" spans="1:26" ht="15.75" customHeight="1">
      <c r="A1655" s="103"/>
      <c r="B1655" s="103"/>
      <c r="C1655" s="104" t="e">
        <v>#REF!</v>
      </c>
      <c r="D1655" s="103"/>
      <c r="E1655" s="53"/>
      <c r="F1655" s="53"/>
      <c r="G1655" s="53"/>
      <c r="H1655" s="53"/>
      <c r="I1655" s="53"/>
      <c r="J1655" s="53"/>
      <c r="K1655" s="53"/>
      <c r="L1655" s="53"/>
      <c r="M1655" s="53"/>
      <c r="N1655" s="53"/>
      <c r="O1655" s="53"/>
      <c r="P1655" s="53"/>
      <c r="Q1655" s="53"/>
      <c r="R1655" s="53"/>
      <c r="S1655" s="53"/>
      <c r="T1655" s="53"/>
      <c r="U1655" s="53"/>
      <c r="V1655" s="53"/>
      <c r="W1655" s="53"/>
      <c r="X1655" s="53"/>
      <c r="Y1655" s="53"/>
      <c r="Z1655" s="53"/>
    </row>
    <row r="1656" spans="1:26" ht="15.75" customHeight="1">
      <c r="A1656" s="103"/>
      <c r="B1656" s="103"/>
      <c r="C1656" s="104" t="e">
        <v>#REF!</v>
      </c>
      <c r="D1656" s="103"/>
      <c r="E1656" s="53"/>
      <c r="F1656" s="53"/>
      <c r="G1656" s="53"/>
      <c r="H1656" s="53"/>
      <c r="I1656" s="53"/>
      <c r="J1656" s="53"/>
      <c r="K1656" s="53"/>
      <c r="L1656" s="53"/>
      <c r="M1656" s="53"/>
      <c r="N1656" s="53"/>
      <c r="O1656" s="53"/>
      <c r="P1656" s="53"/>
      <c r="Q1656" s="53"/>
      <c r="R1656" s="53"/>
      <c r="S1656" s="53"/>
      <c r="T1656" s="53"/>
      <c r="U1656" s="53"/>
      <c r="V1656" s="53"/>
      <c r="W1656" s="53"/>
      <c r="X1656" s="53"/>
      <c r="Y1656" s="53"/>
      <c r="Z1656" s="53"/>
    </row>
    <row r="1657" spans="1:26" ht="15.75" customHeight="1">
      <c r="A1657" s="103"/>
      <c r="B1657" s="103"/>
      <c r="C1657" s="104" t="e">
        <v>#REF!</v>
      </c>
      <c r="D1657" s="103"/>
      <c r="E1657" s="53"/>
      <c r="F1657" s="53"/>
      <c r="G1657" s="53"/>
      <c r="H1657" s="53"/>
      <c r="I1657" s="53"/>
      <c r="J1657" s="53"/>
      <c r="K1657" s="53"/>
      <c r="L1657" s="53"/>
      <c r="M1657" s="53"/>
      <c r="N1657" s="53"/>
      <c r="O1657" s="53"/>
      <c r="P1657" s="53"/>
      <c r="Q1657" s="53"/>
      <c r="R1657" s="53"/>
      <c r="S1657" s="53"/>
      <c r="T1657" s="53"/>
      <c r="U1657" s="53"/>
      <c r="V1657" s="53"/>
      <c r="W1657" s="53"/>
      <c r="X1657" s="53"/>
      <c r="Y1657" s="53"/>
      <c r="Z1657" s="53"/>
    </row>
    <row r="1658" spans="1:26" ht="15.75" customHeight="1">
      <c r="A1658" s="103"/>
      <c r="B1658" s="103"/>
      <c r="C1658" s="104" t="e">
        <v>#REF!</v>
      </c>
      <c r="D1658" s="103"/>
      <c r="E1658" s="53"/>
      <c r="F1658" s="53"/>
      <c r="G1658" s="53"/>
      <c r="H1658" s="53"/>
      <c r="I1658" s="53"/>
      <c r="J1658" s="53"/>
      <c r="K1658" s="53"/>
      <c r="L1658" s="53"/>
      <c r="M1658" s="53"/>
      <c r="N1658" s="53"/>
      <c r="O1658" s="53"/>
      <c r="P1658" s="53"/>
      <c r="Q1658" s="53"/>
      <c r="R1658" s="53"/>
      <c r="S1658" s="53"/>
      <c r="T1658" s="53"/>
      <c r="U1658" s="53"/>
      <c r="V1658" s="53"/>
      <c r="W1658" s="53"/>
      <c r="X1658" s="53"/>
      <c r="Y1658" s="53"/>
      <c r="Z1658" s="53"/>
    </row>
    <row r="1659" spans="1:26" ht="15.75" customHeight="1">
      <c r="A1659" s="103"/>
      <c r="B1659" s="103"/>
      <c r="C1659" s="104" t="e">
        <v>#REF!</v>
      </c>
      <c r="D1659" s="103"/>
      <c r="E1659" s="53"/>
      <c r="F1659" s="53"/>
      <c r="G1659" s="53"/>
      <c r="H1659" s="53"/>
      <c r="I1659" s="53"/>
      <c r="J1659" s="53"/>
      <c r="K1659" s="53"/>
      <c r="L1659" s="53"/>
      <c r="M1659" s="53"/>
      <c r="N1659" s="53"/>
      <c r="O1659" s="53"/>
      <c r="P1659" s="53"/>
      <c r="Q1659" s="53"/>
      <c r="R1659" s="53"/>
      <c r="S1659" s="53"/>
      <c r="T1659" s="53"/>
      <c r="U1659" s="53"/>
      <c r="V1659" s="53"/>
      <c r="W1659" s="53"/>
      <c r="X1659" s="53"/>
      <c r="Y1659" s="53"/>
      <c r="Z1659" s="53"/>
    </row>
    <row r="1660" spans="1:26" ht="15.75" customHeight="1">
      <c r="A1660" s="103"/>
      <c r="B1660" s="103"/>
      <c r="C1660" s="104" t="e">
        <v>#REF!</v>
      </c>
      <c r="D1660" s="103"/>
      <c r="E1660" s="53"/>
      <c r="F1660" s="53"/>
      <c r="G1660" s="53"/>
      <c r="H1660" s="53"/>
      <c r="I1660" s="53"/>
      <c r="J1660" s="53"/>
      <c r="K1660" s="53"/>
      <c r="L1660" s="53"/>
      <c r="M1660" s="53"/>
      <c r="N1660" s="53"/>
      <c r="O1660" s="53"/>
      <c r="P1660" s="53"/>
      <c r="Q1660" s="53"/>
      <c r="R1660" s="53"/>
      <c r="S1660" s="53"/>
      <c r="T1660" s="53"/>
      <c r="U1660" s="53"/>
      <c r="V1660" s="53"/>
      <c r="W1660" s="53"/>
      <c r="X1660" s="53"/>
      <c r="Y1660" s="53"/>
      <c r="Z1660" s="53"/>
    </row>
    <row r="1661" spans="1:26" ht="15.75" customHeight="1">
      <c r="A1661" s="103"/>
      <c r="B1661" s="103"/>
      <c r="C1661" s="104" t="e">
        <v>#REF!</v>
      </c>
      <c r="D1661" s="103"/>
      <c r="E1661" s="53"/>
      <c r="F1661" s="53"/>
      <c r="G1661" s="53"/>
      <c r="H1661" s="53"/>
      <c r="I1661" s="53"/>
      <c r="J1661" s="53"/>
      <c r="K1661" s="53"/>
      <c r="L1661" s="53"/>
      <c r="M1661" s="53"/>
      <c r="N1661" s="53"/>
      <c r="O1661" s="53"/>
      <c r="P1661" s="53"/>
      <c r="Q1661" s="53"/>
      <c r="R1661" s="53"/>
      <c r="S1661" s="53"/>
      <c r="T1661" s="53"/>
      <c r="U1661" s="53"/>
      <c r="V1661" s="53"/>
      <c r="W1661" s="53"/>
      <c r="X1661" s="53"/>
      <c r="Y1661" s="53"/>
      <c r="Z1661" s="53"/>
    </row>
    <row r="1662" spans="1:26" ht="15.75" customHeight="1">
      <c r="A1662" s="103"/>
      <c r="B1662" s="103"/>
      <c r="C1662" s="104" t="e">
        <v>#REF!</v>
      </c>
      <c r="D1662" s="103"/>
      <c r="E1662" s="53"/>
      <c r="F1662" s="53"/>
      <c r="G1662" s="53"/>
      <c r="H1662" s="53"/>
      <c r="I1662" s="53"/>
      <c r="J1662" s="53"/>
      <c r="K1662" s="53"/>
      <c r="L1662" s="53"/>
      <c r="M1662" s="53"/>
      <c r="N1662" s="53"/>
      <c r="O1662" s="53"/>
      <c r="P1662" s="53"/>
      <c r="Q1662" s="53"/>
      <c r="R1662" s="53"/>
      <c r="S1662" s="53"/>
      <c r="T1662" s="53"/>
      <c r="U1662" s="53"/>
      <c r="V1662" s="53"/>
      <c r="W1662" s="53"/>
      <c r="X1662" s="53"/>
      <c r="Y1662" s="53"/>
      <c r="Z1662" s="53"/>
    </row>
    <row r="1663" spans="1:26" ht="15.75" customHeight="1">
      <c r="A1663" s="103"/>
      <c r="B1663" s="103"/>
      <c r="C1663" s="104" t="e">
        <v>#REF!</v>
      </c>
      <c r="D1663" s="103"/>
      <c r="E1663" s="53"/>
      <c r="F1663" s="53"/>
      <c r="G1663" s="53"/>
      <c r="H1663" s="53"/>
      <c r="I1663" s="53"/>
      <c r="J1663" s="53"/>
      <c r="K1663" s="53"/>
      <c r="L1663" s="53"/>
      <c r="M1663" s="53"/>
      <c r="N1663" s="53"/>
      <c r="O1663" s="53"/>
      <c r="P1663" s="53"/>
      <c r="Q1663" s="53"/>
      <c r="R1663" s="53"/>
      <c r="S1663" s="53"/>
      <c r="T1663" s="53"/>
      <c r="U1663" s="53"/>
      <c r="V1663" s="53"/>
      <c r="W1663" s="53"/>
      <c r="X1663" s="53"/>
      <c r="Y1663" s="53"/>
      <c r="Z1663" s="53"/>
    </row>
    <row r="1664" spans="1:26" ht="15.75" customHeight="1">
      <c r="A1664" s="103"/>
      <c r="B1664" s="103"/>
      <c r="C1664" s="104" t="e">
        <v>#REF!</v>
      </c>
      <c r="D1664" s="103"/>
      <c r="E1664" s="53"/>
      <c r="F1664" s="53"/>
      <c r="G1664" s="53"/>
      <c r="H1664" s="53"/>
      <c r="I1664" s="53"/>
      <c r="J1664" s="53"/>
      <c r="K1664" s="53"/>
      <c r="L1664" s="53"/>
      <c r="M1664" s="53"/>
      <c r="N1664" s="53"/>
      <c r="O1664" s="53"/>
      <c r="P1664" s="53"/>
      <c r="Q1664" s="53"/>
      <c r="R1664" s="53"/>
      <c r="S1664" s="53"/>
      <c r="T1664" s="53"/>
      <c r="U1664" s="53"/>
      <c r="V1664" s="53"/>
      <c r="W1664" s="53"/>
      <c r="X1664" s="53"/>
      <c r="Y1664" s="53"/>
      <c r="Z1664" s="53"/>
    </row>
    <row r="1665" spans="1:26" ht="15.75" customHeight="1">
      <c r="A1665" s="103"/>
      <c r="B1665" s="103"/>
      <c r="C1665" s="104" t="e">
        <v>#REF!</v>
      </c>
      <c r="D1665" s="103"/>
      <c r="E1665" s="53"/>
      <c r="F1665" s="53"/>
      <c r="G1665" s="53"/>
      <c r="H1665" s="53"/>
      <c r="I1665" s="53"/>
      <c r="J1665" s="53"/>
      <c r="K1665" s="53"/>
      <c r="L1665" s="53"/>
      <c r="M1665" s="53"/>
      <c r="N1665" s="53"/>
      <c r="O1665" s="53"/>
      <c r="P1665" s="53"/>
      <c r="Q1665" s="53"/>
      <c r="R1665" s="53"/>
      <c r="S1665" s="53"/>
      <c r="T1665" s="53"/>
      <c r="U1665" s="53"/>
      <c r="V1665" s="53"/>
      <c r="W1665" s="53"/>
      <c r="X1665" s="53"/>
      <c r="Y1665" s="53"/>
      <c r="Z1665" s="53"/>
    </row>
    <row r="1666" spans="1:26" ht="15.75" customHeight="1">
      <c r="A1666" s="103"/>
      <c r="B1666" s="103"/>
      <c r="C1666" s="104" t="e">
        <v>#REF!</v>
      </c>
      <c r="D1666" s="103"/>
      <c r="E1666" s="53"/>
      <c r="F1666" s="53"/>
      <c r="G1666" s="53"/>
      <c r="H1666" s="53"/>
      <c r="I1666" s="53"/>
      <c r="J1666" s="53"/>
      <c r="K1666" s="53"/>
      <c r="L1666" s="53"/>
      <c r="M1666" s="53"/>
      <c r="N1666" s="53"/>
      <c r="O1666" s="53"/>
      <c r="P1666" s="53"/>
      <c r="Q1666" s="53"/>
      <c r="R1666" s="53"/>
      <c r="S1666" s="53"/>
      <c r="T1666" s="53"/>
      <c r="U1666" s="53"/>
      <c r="V1666" s="53"/>
      <c r="W1666" s="53"/>
      <c r="X1666" s="53"/>
      <c r="Y1666" s="53"/>
      <c r="Z1666" s="53"/>
    </row>
    <row r="1667" spans="1:26" ht="15.75" customHeight="1">
      <c r="A1667" s="103"/>
      <c r="B1667" s="103"/>
      <c r="C1667" s="104" t="e">
        <v>#REF!</v>
      </c>
      <c r="D1667" s="103"/>
      <c r="E1667" s="53"/>
      <c r="F1667" s="53"/>
      <c r="G1667" s="53"/>
      <c r="H1667" s="53"/>
      <c r="I1667" s="53"/>
      <c r="J1667" s="53"/>
      <c r="K1667" s="53"/>
      <c r="L1667" s="53"/>
      <c r="M1667" s="53"/>
      <c r="N1667" s="53"/>
      <c r="O1667" s="53"/>
      <c r="P1667" s="53"/>
      <c r="Q1667" s="53"/>
      <c r="R1667" s="53"/>
      <c r="S1667" s="53"/>
      <c r="T1667" s="53"/>
      <c r="U1667" s="53"/>
      <c r="V1667" s="53"/>
      <c r="W1667" s="53"/>
      <c r="X1667" s="53"/>
      <c r="Y1667" s="53"/>
      <c r="Z1667" s="53"/>
    </row>
    <row r="1668" spans="1:26" ht="15.75" customHeight="1">
      <c r="A1668" s="103"/>
      <c r="B1668" s="103"/>
      <c r="C1668" s="104" t="e">
        <v>#REF!</v>
      </c>
      <c r="D1668" s="103"/>
      <c r="E1668" s="53"/>
      <c r="F1668" s="53"/>
      <c r="G1668" s="53"/>
      <c r="H1668" s="53"/>
      <c r="I1668" s="53"/>
      <c r="J1668" s="53"/>
      <c r="K1668" s="53"/>
      <c r="L1668" s="53"/>
      <c r="M1668" s="53"/>
      <c r="N1668" s="53"/>
      <c r="O1668" s="53"/>
      <c r="P1668" s="53"/>
      <c r="Q1668" s="53"/>
      <c r="R1668" s="53"/>
      <c r="S1668" s="53"/>
      <c r="T1668" s="53"/>
      <c r="U1668" s="53"/>
      <c r="V1668" s="53"/>
      <c r="W1668" s="53"/>
      <c r="X1668" s="53"/>
      <c r="Y1668" s="53"/>
      <c r="Z1668" s="53"/>
    </row>
    <row r="1669" spans="1:26" ht="15.75" customHeight="1">
      <c r="A1669" s="103"/>
      <c r="B1669" s="103"/>
      <c r="C1669" s="104" t="e">
        <v>#REF!</v>
      </c>
      <c r="D1669" s="103"/>
      <c r="E1669" s="53"/>
      <c r="F1669" s="53"/>
      <c r="G1669" s="53"/>
      <c r="H1669" s="53"/>
      <c r="I1669" s="53"/>
      <c r="J1669" s="53"/>
      <c r="K1669" s="53"/>
      <c r="L1669" s="53"/>
      <c r="M1669" s="53"/>
      <c r="N1669" s="53"/>
      <c r="O1669" s="53"/>
      <c r="P1669" s="53"/>
      <c r="Q1669" s="53"/>
      <c r="R1669" s="53"/>
      <c r="S1669" s="53"/>
      <c r="T1669" s="53"/>
      <c r="U1669" s="53"/>
      <c r="V1669" s="53"/>
      <c r="W1669" s="53"/>
      <c r="X1669" s="53"/>
      <c r="Y1669" s="53"/>
      <c r="Z1669" s="53"/>
    </row>
    <row r="1670" spans="1:26" ht="15.75" customHeight="1">
      <c r="A1670" s="103"/>
      <c r="B1670" s="103"/>
      <c r="C1670" s="104" t="e">
        <v>#REF!</v>
      </c>
      <c r="D1670" s="103"/>
      <c r="E1670" s="53"/>
      <c r="F1670" s="53"/>
      <c r="G1670" s="53"/>
      <c r="H1670" s="53"/>
      <c r="I1670" s="53"/>
      <c r="J1670" s="53"/>
      <c r="K1670" s="53"/>
      <c r="L1670" s="53"/>
      <c r="M1670" s="53"/>
      <c r="N1670" s="53"/>
      <c r="O1670" s="53"/>
      <c r="P1670" s="53"/>
      <c r="Q1670" s="53"/>
      <c r="R1670" s="53"/>
      <c r="S1670" s="53"/>
      <c r="T1670" s="53"/>
      <c r="U1670" s="53"/>
      <c r="V1670" s="53"/>
      <c r="W1670" s="53"/>
      <c r="X1670" s="53"/>
      <c r="Y1670" s="53"/>
      <c r="Z1670" s="53"/>
    </row>
    <row r="1671" spans="1:26" ht="15.75" customHeight="1">
      <c r="A1671" s="103"/>
      <c r="B1671" s="103"/>
      <c r="C1671" s="104" t="e">
        <v>#REF!</v>
      </c>
      <c r="D1671" s="103"/>
      <c r="E1671" s="53"/>
      <c r="F1671" s="53"/>
      <c r="G1671" s="53"/>
      <c r="H1671" s="53"/>
      <c r="I1671" s="53"/>
      <c r="J1671" s="53"/>
      <c r="K1671" s="53"/>
      <c r="L1671" s="53"/>
      <c r="M1671" s="53"/>
      <c r="N1671" s="53"/>
      <c r="O1671" s="53"/>
      <c r="P1671" s="53"/>
      <c r="Q1671" s="53"/>
      <c r="R1671" s="53"/>
      <c r="S1671" s="53"/>
      <c r="T1671" s="53"/>
      <c r="U1671" s="53"/>
      <c r="V1671" s="53"/>
      <c r="W1671" s="53"/>
      <c r="X1671" s="53"/>
      <c r="Y1671" s="53"/>
      <c r="Z1671" s="53"/>
    </row>
    <row r="1672" spans="1:26" ht="15.75" customHeight="1">
      <c r="A1672" s="103"/>
      <c r="B1672" s="103"/>
      <c r="C1672" s="104" t="e">
        <v>#REF!</v>
      </c>
      <c r="D1672" s="103"/>
      <c r="E1672" s="53"/>
      <c r="F1672" s="53"/>
      <c r="G1672" s="53"/>
      <c r="H1672" s="53"/>
      <c r="I1672" s="53"/>
      <c r="J1672" s="53"/>
      <c r="K1672" s="53"/>
      <c r="L1672" s="53"/>
      <c r="M1672" s="53"/>
      <c r="N1672" s="53"/>
      <c r="O1672" s="53"/>
      <c r="P1672" s="53"/>
      <c r="Q1672" s="53"/>
      <c r="R1672" s="53"/>
      <c r="S1672" s="53"/>
      <c r="T1672" s="53"/>
      <c r="U1672" s="53"/>
      <c r="V1672" s="53"/>
      <c r="W1672" s="53"/>
      <c r="X1672" s="53"/>
      <c r="Y1672" s="53"/>
      <c r="Z1672" s="53"/>
    </row>
    <row r="1673" spans="1:26" ht="15.75" customHeight="1">
      <c r="A1673" s="103"/>
      <c r="B1673" s="103"/>
      <c r="C1673" s="104" t="e">
        <v>#REF!</v>
      </c>
      <c r="D1673" s="103"/>
      <c r="E1673" s="53"/>
      <c r="F1673" s="53"/>
      <c r="G1673" s="53"/>
      <c r="H1673" s="53"/>
      <c r="I1673" s="53"/>
      <c r="J1673" s="53"/>
      <c r="K1673" s="53"/>
      <c r="L1673" s="53"/>
      <c r="M1673" s="53"/>
      <c r="N1673" s="53"/>
      <c r="O1673" s="53"/>
      <c r="P1673" s="53"/>
      <c r="Q1673" s="53"/>
      <c r="R1673" s="53"/>
      <c r="S1673" s="53"/>
      <c r="T1673" s="53"/>
      <c r="U1673" s="53"/>
      <c r="V1673" s="53"/>
      <c r="W1673" s="53"/>
      <c r="X1673" s="53"/>
      <c r="Y1673" s="53"/>
      <c r="Z1673" s="53"/>
    </row>
    <row r="1674" spans="1:26" ht="15.75" customHeight="1">
      <c r="A1674" s="103"/>
      <c r="B1674" s="103"/>
      <c r="C1674" s="104" t="e">
        <v>#REF!</v>
      </c>
      <c r="D1674" s="103"/>
      <c r="E1674" s="53"/>
      <c r="F1674" s="53"/>
      <c r="G1674" s="53"/>
      <c r="H1674" s="53"/>
      <c r="I1674" s="53"/>
      <c r="J1674" s="53"/>
      <c r="K1674" s="53"/>
      <c r="L1674" s="53"/>
      <c r="M1674" s="53"/>
      <c r="N1674" s="53"/>
      <c r="O1674" s="53"/>
      <c r="P1674" s="53"/>
      <c r="Q1674" s="53"/>
      <c r="R1674" s="53"/>
      <c r="S1674" s="53"/>
      <c r="T1674" s="53"/>
      <c r="U1674" s="53"/>
      <c r="V1674" s="53"/>
      <c r="W1674" s="53"/>
      <c r="X1674" s="53"/>
      <c r="Y1674" s="53"/>
      <c r="Z1674" s="53"/>
    </row>
    <row r="1675" spans="1:26" ht="15.75" customHeight="1">
      <c r="A1675" s="103"/>
      <c r="B1675" s="103"/>
      <c r="C1675" s="104" t="e">
        <v>#REF!</v>
      </c>
      <c r="D1675" s="103"/>
      <c r="E1675" s="53"/>
      <c r="F1675" s="53"/>
      <c r="G1675" s="53"/>
      <c r="H1675" s="53"/>
      <c r="I1675" s="53"/>
      <c r="J1675" s="53"/>
      <c r="K1675" s="53"/>
      <c r="L1675" s="53"/>
      <c r="M1675" s="53"/>
      <c r="N1675" s="53"/>
      <c r="O1675" s="53"/>
      <c r="P1675" s="53"/>
      <c r="Q1675" s="53"/>
      <c r="R1675" s="53"/>
      <c r="S1675" s="53"/>
      <c r="T1675" s="53"/>
      <c r="U1675" s="53"/>
      <c r="V1675" s="53"/>
      <c r="W1675" s="53"/>
      <c r="X1675" s="53"/>
      <c r="Y1675" s="53"/>
      <c r="Z1675" s="53"/>
    </row>
    <row r="1676" spans="1:26" ht="15.75" customHeight="1">
      <c r="A1676" s="103"/>
      <c r="B1676" s="103"/>
      <c r="C1676" s="104" t="e">
        <v>#REF!</v>
      </c>
      <c r="D1676" s="103"/>
      <c r="E1676" s="53"/>
      <c r="F1676" s="53"/>
      <c r="G1676" s="53"/>
      <c r="H1676" s="53"/>
      <c r="I1676" s="53"/>
      <c r="J1676" s="53"/>
      <c r="K1676" s="53"/>
      <c r="L1676" s="53"/>
      <c r="M1676" s="53"/>
      <c r="N1676" s="53"/>
      <c r="O1676" s="53"/>
      <c r="P1676" s="53"/>
      <c r="Q1676" s="53"/>
      <c r="R1676" s="53"/>
      <c r="S1676" s="53"/>
      <c r="T1676" s="53"/>
      <c r="U1676" s="53"/>
      <c r="V1676" s="53"/>
      <c r="W1676" s="53"/>
      <c r="X1676" s="53"/>
      <c r="Y1676" s="53"/>
      <c r="Z1676" s="53"/>
    </row>
    <row r="1677" spans="1:26" ht="15.75" customHeight="1">
      <c r="A1677" s="103"/>
      <c r="B1677" s="103"/>
      <c r="C1677" s="104" t="e">
        <v>#REF!</v>
      </c>
      <c r="D1677" s="103"/>
      <c r="E1677" s="53"/>
      <c r="F1677" s="53"/>
      <c r="G1677" s="53"/>
      <c r="H1677" s="53"/>
      <c r="I1677" s="53"/>
      <c r="J1677" s="53"/>
      <c r="K1677" s="53"/>
      <c r="L1677" s="53"/>
      <c r="M1677" s="53"/>
      <c r="N1677" s="53"/>
      <c r="O1677" s="53"/>
      <c r="P1677" s="53"/>
      <c r="Q1677" s="53"/>
      <c r="R1677" s="53"/>
      <c r="S1677" s="53"/>
      <c r="T1677" s="53"/>
      <c r="U1677" s="53"/>
      <c r="V1677" s="53"/>
      <c r="W1677" s="53"/>
      <c r="X1677" s="53"/>
      <c r="Y1677" s="53"/>
      <c r="Z1677" s="53"/>
    </row>
    <row r="1678" spans="1:26" ht="15.75" customHeight="1">
      <c r="A1678" s="103"/>
      <c r="B1678" s="103"/>
      <c r="C1678" s="104" t="e">
        <v>#REF!</v>
      </c>
      <c r="D1678" s="103"/>
      <c r="E1678" s="53"/>
      <c r="F1678" s="53"/>
      <c r="G1678" s="53"/>
      <c r="H1678" s="53"/>
      <c r="I1678" s="53"/>
      <c r="J1678" s="53"/>
      <c r="K1678" s="53"/>
      <c r="L1678" s="53"/>
      <c r="M1678" s="53"/>
      <c r="N1678" s="53"/>
      <c r="O1678" s="53"/>
      <c r="P1678" s="53"/>
      <c r="Q1678" s="53"/>
      <c r="R1678" s="53"/>
      <c r="S1678" s="53"/>
      <c r="T1678" s="53"/>
      <c r="U1678" s="53"/>
      <c r="V1678" s="53"/>
      <c r="W1678" s="53"/>
      <c r="X1678" s="53"/>
      <c r="Y1678" s="53"/>
      <c r="Z1678" s="53"/>
    </row>
    <row r="1679" spans="1:26" ht="15.75" customHeight="1">
      <c r="A1679" s="103"/>
      <c r="B1679" s="103"/>
      <c r="C1679" s="104" t="e">
        <v>#REF!</v>
      </c>
      <c r="D1679" s="10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</row>
    <row r="1680" spans="1:26" ht="15.75" customHeight="1">
      <c r="A1680" s="103"/>
      <c r="B1680" s="103"/>
      <c r="C1680" s="104" t="e">
        <v>#REF!</v>
      </c>
      <c r="D1680" s="103"/>
      <c r="E1680" s="53"/>
      <c r="F1680" s="53"/>
      <c r="G1680" s="53"/>
      <c r="H1680" s="53"/>
      <c r="I1680" s="53"/>
      <c r="J1680" s="53"/>
      <c r="K1680" s="53"/>
      <c r="L1680" s="53"/>
      <c r="M1680" s="53"/>
      <c r="N1680" s="53"/>
      <c r="O1680" s="53"/>
      <c r="P1680" s="53"/>
      <c r="Q1680" s="53"/>
      <c r="R1680" s="53"/>
      <c r="S1680" s="53"/>
      <c r="T1680" s="53"/>
      <c r="U1680" s="53"/>
      <c r="V1680" s="53"/>
      <c r="W1680" s="53"/>
      <c r="X1680" s="53"/>
      <c r="Y1680" s="53"/>
      <c r="Z1680" s="53"/>
    </row>
    <row r="1681" spans="1:26" ht="15.75" customHeight="1">
      <c r="A1681" s="103"/>
      <c r="B1681" s="103"/>
      <c r="C1681" s="104" t="e">
        <v>#REF!</v>
      </c>
      <c r="D1681" s="103"/>
      <c r="E1681" s="53"/>
      <c r="F1681" s="53"/>
      <c r="G1681" s="53"/>
      <c r="H1681" s="53"/>
      <c r="I1681" s="53"/>
      <c r="J1681" s="53"/>
      <c r="K1681" s="53"/>
      <c r="L1681" s="53"/>
      <c r="M1681" s="53"/>
      <c r="N1681" s="53"/>
      <c r="O1681" s="53"/>
      <c r="P1681" s="53"/>
      <c r="Q1681" s="53"/>
      <c r="R1681" s="53"/>
      <c r="S1681" s="53"/>
      <c r="T1681" s="53"/>
      <c r="U1681" s="53"/>
      <c r="V1681" s="53"/>
      <c r="W1681" s="53"/>
      <c r="X1681" s="53"/>
      <c r="Y1681" s="53"/>
      <c r="Z1681" s="53"/>
    </row>
    <row r="1682" spans="1:26" ht="15.75" customHeight="1">
      <c r="A1682" s="103"/>
      <c r="B1682" s="103"/>
      <c r="C1682" s="104" t="e">
        <v>#REF!</v>
      </c>
      <c r="D1682" s="103"/>
      <c r="E1682" s="53"/>
      <c r="F1682" s="53"/>
      <c r="G1682" s="53"/>
      <c r="H1682" s="53"/>
      <c r="I1682" s="53"/>
      <c r="J1682" s="53"/>
      <c r="K1682" s="53"/>
      <c r="L1682" s="53"/>
      <c r="M1682" s="53"/>
      <c r="N1682" s="53"/>
      <c r="O1682" s="53"/>
      <c r="P1682" s="53"/>
      <c r="Q1682" s="53"/>
      <c r="R1682" s="53"/>
      <c r="S1682" s="53"/>
      <c r="T1682" s="53"/>
      <c r="U1682" s="53"/>
      <c r="V1682" s="53"/>
      <c r="W1682" s="53"/>
      <c r="X1682" s="53"/>
      <c r="Y1682" s="53"/>
      <c r="Z1682" s="53"/>
    </row>
    <row r="1683" spans="1:26" ht="15.75" customHeight="1">
      <c r="A1683" s="103"/>
      <c r="B1683" s="103"/>
      <c r="C1683" s="104" t="e">
        <v>#REF!</v>
      </c>
      <c r="D1683" s="103"/>
      <c r="E1683" s="53"/>
      <c r="F1683" s="53"/>
      <c r="G1683" s="53"/>
      <c r="H1683" s="53"/>
      <c r="I1683" s="53"/>
      <c r="J1683" s="53"/>
      <c r="K1683" s="53"/>
      <c r="L1683" s="53"/>
      <c r="M1683" s="53"/>
      <c r="N1683" s="53"/>
      <c r="O1683" s="53"/>
      <c r="P1683" s="53"/>
      <c r="Q1683" s="53"/>
      <c r="R1683" s="53"/>
      <c r="S1683" s="53"/>
      <c r="T1683" s="53"/>
      <c r="U1683" s="53"/>
      <c r="V1683" s="53"/>
      <c r="W1683" s="53"/>
      <c r="X1683" s="53"/>
      <c r="Y1683" s="53"/>
      <c r="Z1683" s="53"/>
    </row>
    <row r="1684" spans="1:26" ht="15.75" customHeight="1">
      <c r="A1684" s="103"/>
      <c r="B1684" s="103"/>
      <c r="C1684" s="104" t="e">
        <v>#REF!</v>
      </c>
      <c r="D1684" s="10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53"/>
      <c r="T1684" s="53"/>
      <c r="U1684" s="53"/>
      <c r="V1684" s="53"/>
      <c r="W1684" s="53"/>
      <c r="X1684" s="53"/>
      <c r="Y1684" s="53"/>
      <c r="Z1684" s="53"/>
    </row>
    <row r="1685" spans="1:26" ht="15.75" customHeight="1">
      <c r="A1685" s="103"/>
      <c r="B1685" s="103"/>
      <c r="C1685" s="104" t="e">
        <v>#REF!</v>
      </c>
      <c r="D1685" s="103"/>
      <c r="E1685" s="53"/>
      <c r="F1685" s="53"/>
      <c r="G1685" s="53"/>
      <c r="H1685" s="53"/>
      <c r="I1685" s="53"/>
      <c r="J1685" s="53"/>
      <c r="K1685" s="53"/>
      <c r="L1685" s="53"/>
      <c r="M1685" s="53"/>
      <c r="N1685" s="53"/>
      <c r="O1685" s="53"/>
      <c r="P1685" s="53"/>
      <c r="Q1685" s="53"/>
      <c r="R1685" s="53"/>
      <c r="S1685" s="53"/>
      <c r="T1685" s="53"/>
      <c r="U1685" s="53"/>
      <c r="V1685" s="53"/>
      <c r="W1685" s="53"/>
      <c r="X1685" s="53"/>
      <c r="Y1685" s="53"/>
      <c r="Z1685" s="53"/>
    </row>
    <row r="1686" spans="1:26" ht="15.75" customHeight="1">
      <c r="A1686" s="103"/>
      <c r="B1686" s="103"/>
      <c r="C1686" s="104" t="e">
        <v>#REF!</v>
      </c>
      <c r="D1686" s="103"/>
      <c r="E1686" s="53"/>
      <c r="F1686" s="53"/>
      <c r="G1686" s="53"/>
      <c r="H1686" s="53"/>
      <c r="I1686" s="53"/>
      <c r="J1686" s="53"/>
      <c r="K1686" s="53"/>
      <c r="L1686" s="53"/>
      <c r="M1686" s="53"/>
      <c r="N1686" s="53"/>
      <c r="O1686" s="53"/>
      <c r="P1686" s="53"/>
      <c r="Q1686" s="53"/>
      <c r="R1686" s="53"/>
      <c r="S1686" s="53"/>
      <c r="T1686" s="53"/>
      <c r="U1686" s="53"/>
      <c r="V1686" s="53"/>
      <c r="W1686" s="53"/>
      <c r="X1686" s="53"/>
      <c r="Y1686" s="53"/>
      <c r="Z1686" s="53"/>
    </row>
    <row r="1687" spans="1:26" ht="15.75" customHeight="1">
      <c r="A1687" s="103"/>
      <c r="B1687" s="103"/>
      <c r="C1687" s="104" t="e">
        <v>#REF!</v>
      </c>
      <c r="D1687" s="103"/>
      <c r="E1687" s="53"/>
      <c r="F1687" s="53"/>
      <c r="G1687" s="53"/>
      <c r="H1687" s="53"/>
      <c r="I1687" s="53"/>
      <c r="J1687" s="53"/>
      <c r="K1687" s="53"/>
      <c r="L1687" s="53"/>
      <c r="M1687" s="53"/>
      <c r="N1687" s="53"/>
      <c r="O1687" s="53"/>
      <c r="P1687" s="53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</row>
    <row r="1688" spans="1:26" ht="15.75" customHeight="1">
      <c r="A1688" s="103"/>
      <c r="B1688" s="103"/>
      <c r="C1688" s="104" t="e">
        <v>#REF!</v>
      </c>
      <c r="D1688" s="103"/>
      <c r="E1688" s="53"/>
      <c r="F1688" s="53"/>
      <c r="G1688" s="53"/>
      <c r="H1688" s="53"/>
      <c r="I1688" s="53"/>
      <c r="J1688" s="53"/>
      <c r="K1688" s="53"/>
      <c r="L1688" s="53"/>
      <c r="M1688" s="53"/>
      <c r="N1688" s="53"/>
      <c r="O1688" s="53"/>
      <c r="P1688" s="53"/>
      <c r="Q1688" s="53"/>
      <c r="R1688" s="53"/>
      <c r="S1688" s="53"/>
      <c r="T1688" s="53"/>
      <c r="U1688" s="53"/>
      <c r="V1688" s="53"/>
      <c r="W1688" s="53"/>
      <c r="X1688" s="53"/>
      <c r="Y1688" s="53"/>
      <c r="Z1688" s="53"/>
    </row>
    <row r="1689" spans="1:26" ht="15.75" customHeight="1">
      <c r="A1689" s="103"/>
      <c r="B1689" s="103"/>
      <c r="C1689" s="104" t="e">
        <v>#REF!</v>
      </c>
      <c r="D1689" s="103"/>
      <c r="E1689" s="53"/>
      <c r="F1689" s="53"/>
      <c r="G1689" s="53"/>
      <c r="H1689" s="53"/>
      <c r="I1689" s="53"/>
      <c r="J1689" s="53"/>
      <c r="K1689" s="53"/>
      <c r="L1689" s="53"/>
      <c r="M1689" s="53"/>
      <c r="N1689" s="53"/>
      <c r="O1689" s="53"/>
      <c r="P1689" s="53"/>
      <c r="Q1689" s="53"/>
      <c r="R1689" s="53"/>
      <c r="S1689" s="53"/>
      <c r="T1689" s="53"/>
      <c r="U1689" s="53"/>
      <c r="V1689" s="53"/>
      <c r="W1689" s="53"/>
      <c r="X1689" s="53"/>
      <c r="Y1689" s="53"/>
      <c r="Z1689" s="53"/>
    </row>
    <row r="1690" spans="1:26" ht="15.75" customHeight="1">
      <c r="A1690" s="103"/>
      <c r="B1690" s="103"/>
      <c r="C1690" s="104" t="e">
        <v>#REF!</v>
      </c>
      <c r="D1690" s="103"/>
      <c r="E1690" s="53"/>
      <c r="F1690" s="53"/>
      <c r="G1690" s="53"/>
      <c r="H1690" s="53"/>
      <c r="I1690" s="53"/>
      <c r="J1690" s="53"/>
      <c r="K1690" s="53"/>
      <c r="L1690" s="53"/>
      <c r="M1690" s="53"/>
      <c r="N1690" s="53"/>
      <c r="O1690" s="53"/>
      <c r="P1690" s="53"/>
      <c r="Q1690" s="53"/>
      <c r="R1690" s="53"/>
      <c r="S1690" s="53"/>
      <c r="T1690" s="53"/>
      <c r="U1690" s="53"/>
      <c r="V1690" s="53"/>
      <c r="W1690" s="53"/>
      <c r="X1690" s="53"/>
      <c r="Y1690" s="53"/>
      <c r="Z1690" s="53"/>
    </row>
    <row r="1691" spans="1:26" ht="15.75" customHeight="1">
      <c r="A1691" s="103"/>
      <c r="B1691" s="103"/>
      <c r="C1691" s="104" t="e">
        <v>#REF!</v>
      </c>
      <c r="D1691" s="103"/>
      <c r="E1691" s="53"/>
      <c r="F1691" s="53"/>
      <c r="G1691" s="53"/>
      <c r="H1691" s="53"/>
      <c r="I1691" s="53"/>
      <c r="J1691" s="53"/>
      <c r="K1691" s="53"/>
      <c r="L1691" s="53"/>
      <c r="M1691" s="53"/>
      <c r="N1691" s="53"/>
      <c r="O1691" s="53"/>
      <c r="P1691" s="53"/>
      <c r="Q1691" s="53"/>
      <c r="R1691" s="53"/>
      <c r="S1691" s="53"/>
      <c r="T1691" s="53"/>
      <c r="U1691" s="53"/>
      <c r="V1691" s="53"/>
      <c r="W1691" s="53"/>
      <c r="X1691" s="53"/>
      <c r="Y1691" s="53"/>
      <c r="Z1691" s="53"/>
    </row>
    <row r="1692" spans="1:26" ht="15.75" customHeight="1">
      <c r="A1692" s="103"/>
      <c r="B1692" s="103"/>
      <c r="C1692" s="104" t="e">
        <v>#REF!</v>
      </c>
      <c r="D1692" s="103"/>
      <c r="E1692" s="53"/>
      <c r="F1692" s="53"/>
      <c r="G1692" s="53"/>
      <c r="H1692" s="53"/>
      <c r="I1692" s="53"/>
      <c r="J1692" s="53"/>
      <c r="K1692" s="53"/>
      <c r="L1692" s="53"/>
      <c r="M1692" s="53"/>
      <c r="N1692" s="53"/>
      <c r="O1692" s="53"/>
      <c r="P1692" s="53"/>
      <c r="Q1692" s="53"/>
      <c r="R1692" s="53"/>
      <c r="S1692" s="53"/>
      <c r="T1692" s="53"/>
      <c r="U1692" s="53"/>
      <c r="V1692" s="53"/>
      <c r="W1692" s="53"/>
      <c r="X1692" s="53"/>
      <c r="Y1692" s="53"/>
      <c r="Z1692" s="53"/>
    </row>
    <row r="1693" spans="1:26" ht="15.75" customHeight="1">
      <c r="A1693" s="103"/>
      <c r="B1693" s="103"/>
      <c r="C1693" s="104" t="e">
        <v>#REF!</v>
      </c>
      <c r="D1693" s="103"/>
      <c r="E1693" s="53"/>
      <c r="F1693" s="53"/>
      <c r="G1693" s="53"/>
      <c r="H1693" s="53"/>
      <c r="I1693" s="53"/>
      <c r="J1693" s="53"/>
      <c r="K1693" s="53"/>
      <c r="L1693" s="53"/>
      <c r="M1693" s="53"/>
      <c r="N1693" s="53"/>
      <c r="O1693" s="53"/>
      <c r="P1693" s="53"/>
      <c r="Q1693" s="53"/>
      <c r="R1693" s="53"/>
      <c r="S1693" s="53"/>
      <c r="T1693" s="53"/>
      <c r="U1693" s="53"/>
      <c r="V1693" s="53"/>
      <c r="W1693" s="53"/>
      <c r="X1693" s="53"/>
      <c r="Y1693" s="53"/>
      <c r="Z1693" s="53"/>
    </row>
    <row r="1694" spans="1:26" ht="15.75" customHeight="1">
      <c r="A1694" s="103"/>
      <c r="B1694" s="103"/>
      <c r="C1694" s="104" t="e">
        <v>#REF!</v>
      </c>
      <c r="D1694" s="103"/>
      <c r="E1694" s="53"/>
      <c r="F1694" s="53"/>
      <c r="G1694" s="53"/>
      <c r="H1694" s="53"/>
      <c r="I1694" s="53"/>
      <c r="J1694" s="53"/>
      <c r="K1694" s="53"/>
      <c r="L1694" s="53"/>
      <c r="M1694" s="53"/>
      <c r="N1694" s="53"/>
      <c r="O1694" s="53"/>
      <c r="P1694" s="53"/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</row>
    <row r="1695" spans="1:26" ht="15.75" customHeight="1">
      <c r="A1695" s="103"/>
      <c r="B1695" s="103"/>
      <c r="C1695" s="104" t="e">
        <v>#REF!</v>
      </c>
      <c r="D1695" s="103"/>
      <c r="E1695" s="53"/>
      <c r="F1695" s="53"/>
      <c r="G1695" s="53"/>
      <c r="H1695" s="53"/>
      <c r="I1695" s="53"/>
      <c r="J1695" s="53"/>
      <c r="K1695" s="53"/>
      <c r="L1695" s="53"/>
      <c r="M1695" s="53"/>
      <c r="N1695" s="53"/>
      <c r="O1695" s="53"/>
      <c r="P1695" s="53"/>
      <c r="Q1695" s="53"/>
      <c r="R1695" s="53"/>
      <c r="S1695" s="53"/>
      <c r="T1695" s="53"/>
      <c r="U1695" s="53"/>
      <c r="V1695" s="53"/>
      <c r="W1695" s="53"/>
      <c r="X1695" s="53"/>
      <c r="Y1695" s="53"/>
      <c r="Z1695" s="53"/>
    </row>
    <row r="1696" spans="1:26" ht="15.75" customHeight="1">
      <c r="A1696" s="103"/>
      <c r="B1696" s="103"/>
      <c r="C1696" s="104" t="e">
        <v>#REF!</v>
      </c>
      <c r="D1696" s="103"/>
      <c r="E1696" s="53"/>
      <c r="F1696" s="53"/>
      <c r="G1696" s="53"/>
      <c r="H1696" s="53"/>
      <c r="I1696" s="53"/>
      <c r="J1696" s="53"/>
      <c r="K1696" s="53"/>
      <c r="L1696" s="53"/>
      <c r="M1696" s="53"/>
      <c r="N1696" s="53"/>
      <c r="O1696" s="53"/>
      <c r="P1696" s="53"/>
      <c r="Q1696" s="53"/>
      <c r="R1696" s="53"/>
      <c r="S1696" s="53"/>
      <c r="T1696" s="53"/>
      <c r="U1696" s="53"/>
      <c r="V1696" s="53"/>
      <c r="W1696" s="53"/>
      <c r="X1696" s="53"/>
      <c r="Y1696" s="53"/>
      <c r="Z1696" s="53"/>
    </row>
    <row r="1697" spans="1:26" ht="15.75" customHeight="1">
      <c r="A1697" s="103"/>
      <c r="B1697" s="103"/>
      <c r="C1697" s="104" t="e">
        <v>#REF!</v>
      </c>
      <c r="D1697" s="103"/>
      <c r="E1697" s="53"/>
      <c r="F1697" s="53"/>
      <c r="G1697" s="53"/>
      <c r="H1697" s="53"/>
      <c r="I1697" s="53"/>
      <c r="J1697" s="53"/>
      <c r="K1697" s="53"/>
      <c r="L1697" s="53"/>
      <c r="M1697" s="53"/>
      <c r="N1697" s="53"/>
      <c r="O1697" s="53"/>
      <c r="P1697" s="53"/>
      <c r="Q1697" s="53"/>
      <c r="R1697" s="53"/>
      <c r="S1697" s="53"/>
      <c r="T1697" s="53"/>
      <c r="U1697" s="53"/>
      <c r="V1697" s="53"/>
      <c r="W1697" s="53"/>
      <c r="X1697" s="53"/>
      <c r="Y1697" s="53"/>
      <c r="Z1697" s="53"/>
    </row>
    <row r="1698" spans="1:26" ht="15.75" customHeight="1">
      <c r="A1698" s="103"/>
      <c r="B1698" s="103"/>
      <c r="C1698" s="104" t="e">
        <v>#REF!</v>
      </c>
      <c r="D1698" s="103"/>
      <c r="E1698" s="53"/>
      <c r="F1698" s="53"/>
      <c r="G1698" s="53"/>
      <c r="H1698" s="53"/>
      <c r="I1698" s="53"/>
      <c r="J1698" s="53"/>
      <c r="K1698" s="53"/>
      <c r="L1698" s="53"/>
      <c r="M1698" s="53"/>
      <c r="N1698" s="53"/>
      <c r="O1698" s="53"/>
      <c r="P1698" s="53"/>
      <c r="Q1698" s="53"/>
      <c r="R1698" s="53"/>
      <c r="S1698" s="53"/>
      <c r="T1698" s="53"/>
      <c r="U1698" s="53"/>
      <c r="V1698" s="53"/>
      <c r="W1698" s="53"/>
      <c r="X1698" s="53"/>
      <c r="Y1698" s="53"/>
      <c r="Z1698" s="53"/>
    </row>
    <row r="1699" spans="1:26" ht="15.75" customHeight="1">
      <c r="A1699" s="103"/>
      <c r="B1699" s="103"/>
      <c r="C1699" s="104" t="e">
        <v>#REF!</v>
      </c>
      <c r="D1699" s="103"/>
      <c r="E1699" s="53"/>
      <c r="F1699" s="53"/>
      <c r="G1699" s="53"/>
      <c r="H1699" s="53"/>
      <c r="I1699" s="53"/>
      <c r="J1699" s="53"/>
      <c r="K1699" s="53"/>
      <c r="L1699" s="53"/>
      <c r="M1699" s="53"/>
      <c r="N1699" s="53"/>
      <c r="O1699" s="53"/>
      <c r="P1699" s="53"/>
      <c r="Q1699" s="53"/>
      <c r="R1699" s="53"/>
      <c r="S1699" s="53"/>
      <c r="T1699" s="53"/>
      <c r="U1699" s="53"/>
      <c r="V1699" s="53"/>
      <c r="W1699" s="53"/>
      <c r="X1699" s="53"/>
      <c r="Y1699" s="53"/>
      <c r="Z1699" s="53"/>
    </row>
    <row r="1700" spans="1:26" ht="15.75" customHeight="1">
      <c r="A1700" s="103"/>
      <c r="B1700" s="103"/>
      <c r="C1700" s="104" t="e">
        <v>#REF!</v>
      </c>
      <c r="D1700" s="103"/>
      <c r="E1700" s="53"/>
      <c r="F1700" s="53"/>
      <c r="G1700" s="53"/>
      <c r="H1700" s="53"/>
      <c r="I1700" s="53"/>
      <c r="J1700" s="53"/>
      <c r="K1700" s="53"/>
      <c r="L1700" s="53"/>
      <c r="M1700" s="53"/>
      <c r="N1700" s="53"/>
      <c r="O1700" s="53"/>
      <c r="P1700" s="53"/>
      <c r="Q1700" s="53"/>
      <c r="R1700" s="53"/>
      <c r="S1700" s="53"/>
      <c r="T1700" s="53"/>
      <c r="U1700" s="53"/>
      <c r="V1700" s="53"/>
      <c r="W1700" s="53"/>
      <c r="X1700" s="53"/>
      <c r="Y1700" s="53"/>
      <c r="Z1700" s="53"/>
    </row>
    <row r="1701" spans="1:26" ht="15.75" customHeight="1">
      <c r="A1701" s="103"/>
      <c r="B1701" s="103"/>
      <c r="C1701" s="104" t="e">
        <v>#REF!</v>
      </c>
      <c r="D1701" s="103"/>
      <c r="E1701" s="53"/>
      <c r="F1701" s="53"/>
      <c r="G1701" s="53"/>
      <c r="H1701" s="53"/>
      <c r="I1701" s="53"/>
      <c r="J1701" s="53"/>
      <c r="K1701" s="53"/>
      <c r="L1701" s="53"/>
      <c r="M1701" s="53"/>
      <c r="N1701" s="53"/>
      <c r="O1701" s="53"/>
      <c r="P1701" s="53"/>
      <c r="Q1701" s="53"/>
      <c r="R1701" s="53"/>
      <c r="S1701" s="53"/>
      <c r="T1701" s="53"/>
      <c r="U1701" s="53"/>
      <c r="V1701" s="53"/>
      <c r="W1701" s="53"/>
      <c r="X1701" s="53"/>
      <c r="Y1701" s="53"/>
      <c r="Z1701" s="53"/>
    </row>
    <row r="1702" spans="1:26" ht="15.75" customHeight="1">
      <c r="A1702" s="103"/>
      <c r="B1702" s="103"/>
      <c r="C1702" s="104" t="e">
        <v>#REF!</v>
      </c>
      <c r="D1702" s="103"/>
      <c r="E1702" s="53"/>
      <c r="F1702" s="53"/>
      <c r="G1702" s="53"/>
      <c r="H1702" s="53"/>
      <c r="I1702" s="53"/>
      <c r="J1702" s="53"/>
      <c r="K1702" s="53"/>
      <c r="L1702" s="53"/>
      <c r="M1702" s="53"/>
      <c r="N1702" s="53"/>
      <c r="O1702" s="53"/>
      <c r="P1702" s="53"/>
      <c r="Q1702" s="53"/>
      <c r="R1702" s="53"/>
      <c r="S1702" s="53"/>
      <c r="T1702" s="53"/>
      <c r="U1702" s="53"/>
      <c r="V1702" s="53"/>
      <c r="W1702" s="53"/>
      <c r="X1702" s="53"/>
      <c r="Y1702" s="53"/>
      <c r="Z1702" s="53"/>
    </row>
    <row r="1703" spans="1:26" ht="15.75" customHeight="1">
      <c r="A1703" s="103"/>
      <c r="B1703" s="103"/>
      <c r="C1703" s="104" t="e">
        <v>#REF!</v>
      </c>
      <c r="D1703" s="103"/>
      <c r="E1703" s="53"/>
      <c r="F1703" s="53"/>
      <c r="G1703" s="53"/>
      <c r="H1703" s="53"/>
      <c r="I1703" s="53"/>
      <c r="J1703" s="53"/>
      <c r="K1703" s="53"/>
      <c r="L1703" s="53"/>
      <c r="M1703" s="53"/>
      <c r="N1703" s="53"/>
      <c r="O1703" s="53"/>
      <c r="P1703" s="53"/>
      <c r="Q1703" s="53"/>
      <c r="R1703" s="53"/>
      <c r="S1703" s="53"/>
      <c r="T1703" s="53"/>
      <c r="U1703" s="53"/>
      <c r="V1703" s="53"/>
      <c r="W1703" s="53"/>
      <c r="X1703" s="53"/>
      <c r="Y1703" s="53"/>
      <c r="Z1703" s="53"/>
    </row>
    <row r="1704" spans="1:26" ht="15.75" customHeight="1">
      <c r="A1704" s="103"/>
      <c r="B1704" s="103"/>
      <c r="C1704" s="104" t="e">
        <v>#REF!</v>
      </c>
      <c r="D1704" s="103"/>
      <c r="E1704" s="53"/>
      <c r="F1704" s="53"/>
      <c r="G1704" s="53"/>
      <c r="H1704" s="53"/>
      <c r="I1704" s="53"/>
      <c r="J1704" s="53"/>
      <c r="K1704" s="53"/>
      <c r="L1704" s="53"/>
      <c r="M1704" s="53"/>
      <c r="N1704" s="53"/>
      <c r="O1704" s="53"/>
      <c r="P1704" s="53"/>
      <c r="Q1704" s="53"/>
      <c r="R1704" s="53"/>
      <c r="S1704" s="53"/>
      <c r="T1704" s="53"/>
      <c r="U1704" s="53"/>
      <c r="V1704" s="53"/>
      <c r="W1704" s="53"/>
      <c r="X1704" s="53"/>
      <c r="Y1704" s="53"/>
      <c r="Z1704" s="53"/>
    </row>
    <row r="1705" spans="1:26" ht="15.75" customHeight="1">
      <c r="A1705" s="103"/>
      <c r="B1705" s="103"/>
      <c r="C1705" s="104" t="e">
        <v>#REF!</v>
      </c>
      <c r="D1705" s="103"/>
      <c r="E1705" s="53"/>
      <c r="F1705" s="53"/>
      <c r="G1705" s="53"/>
      <c r="H1705" s="53"/>
      <c r="I1705" s="53"/>
      <c r="J1705" s="53"/>
      <c r="K1705" s="53"/>
      <c r="L1705" s="53"/>
      <c r="M1705" s="53"/>
      <c r="N1705" s="53"/>
      <c r="O1705" s="53"/>
      <c r="P1705" s="53"/>
      <c r="Q1705" s="53"/>
      <c r="R1705" s="53"/>
      <c r="S1705" s="53"/>
      <c r="T1705" s="53"/>
      <c r="U1705" s="53"/>
      <c r="V1705" s="53"/>
      <c r="W1705" s="53"/>
      <c r="X1705" s="53"/>
      <c r="Y1705" s="53"/>
      <c r="Z1705" s="53"/>
    </row>
    <row r="1706" spans="1:26" ht="15.75" customHeight="1">
      <c r="A1706" s="103"/>
      <c r="B1706" s="103"/>
      <c r="C1706" s="104" t="e">
        <v>#REF!</v>
      </c>
      <c r="D1706" s="103"/>
      <c r="E1706" s="53"/>
      <c r="F1706" s="53"/>
      <c r="G1706" s="53"/>
      <c r="H1706" s="53"/>
      <c r="I1706" s="53"/>
      <c r="J1706" s="53"/>
      <c r="K1706" s="53"/>
      <c r="L1706" s="53"/>
      <c r="M1706" s="53"/>
      <c r="N1706" s="53"/>
      <c r="O1706" s="53"/>
      <c r="P1706" s="53"/>
      <c r="Q1706" s="53"/>
      <c r="R1706" s="53"/>
      <c r="S1706" s="53"/>
      <c r="T1706" s="53"/>
      <c r="U1706" s="53"/>
      <c r="V1706" s="53"/>
      <c r="W1706" s="53"/>
      <c r="X1706" s="53"/>
      <c r="Y1706" s="53"/>
      <c r="Z1706" s="53"/>
    </row>
    <row r="1707" spans="1:26" ht="15.75" customHeight="1">
      <c r="A1707" s="103"/>
      <c r="B1707" s="103"/>
      <c r="C1707" s="104" t="e">
        <v>#REF!</v>
      </c>
      <c r="D1707" s="103"/>
      <c r="E1707" s="53"/>
      <c r="F1707" s="53"/>
      <c r="G1707" s="53"/>
      <c r="H1707" s="53"/>
      <c r="I1707" s="53"/>
      <c r="J1707" s="53"/>
      <c r="K1707" s="53"/>
      <c r="L1707" s="53"/>
      <c r="M1707" s="53"/>
      <c r="N1707" s="53"/>
      <c r="O1707" s="53"/>
      <c r="P1707" s="53"/>
      <c r="Q1707" s="53"/>
      <c r="R1707" s="53"/>
      <c r="S1707" s="53"/>
      <c r="T1707" s="53"/>
      <c r="U1707" s="53"/>
      <c r="V1707" s="53"/>
      <c r="W1707" s="53"/>
      <c r="X1707" s="53"/>
      <c r="Y1707" s="53"/>
      <c r="Z1707" s="53"/>
    </row>
    <row r="1708" spans="1:26" ht="15.75" customHeight="1">
      <c r="A1708" s="103"/>
      <c r="B1708" s="103"/>
      <c r="C1708" s="104" t="e">
        <v>#REF!</v>
      </c>
      <c r="D1708" s="103"/>
      <c r="E1708" s="53"/>
      <c r="F1708" s="53"/>
      <c r="G1708" s="53"/>
      <c r="H1708" s="53"/>
      <c r="I1708" s="53"/>
      <c r="J1708" s="53"/>
      <c r="K1708" s="53"/>
      <c r="L1708" s="53"/>
      <c r="M1708" s="53"/>
      <c r="N1708" s="53"/>
      <c r="O1708" s="53"/>
      <c r="P1708" s="53"/>
      <c r="Q1708" s="53"/>
      <c r="R1708" s="53"/>
      <c r="S1708" s="53"/>
      <c r="T1708" s="53"/>
      <c r="U1708" s="53"/>
      <c r="V1708" s="53"/>
      <c r="W1708" s="53"/>
      <c r="X1708" s="53"/>
      <c r="Y1708" s="53"/>
      <c r="Z1708" s="53"/>
    </row>
    <row r="1709" spans="1:26" ht="15.75" customHeight="1">
      <c r="A1709" s="103"/>
      <c r="B1709" s="103"/>
      <c r="C1709" s="104" t="e">
        <v>#REF!</v>
      </c>
      <c r="D1709" s="103"/>
      <c r="E1709" s="53"/>
      <c r="F1709" s="53"/>
      <c r="G1709" s="53"/>
      <c r="H1709" s="53"/>
      <c r="I1709" s="53"/>
      <c r="J1709" s="53"/>
      <c r="K1709" s="53"/>
      <c r="L1709" s="53"/>
      <c r="M1709" s="53"/>
      <c r="N1709" s="53"/>
      <c r="O1709" s="53"/>
      <c r="P1709" s="53"/>
      <c r="Q1709" s="53"/>
      <c r="R1709" s="53"/>
      <c r="S1709" s="53"/>
      <c r="T1709" s="53"/>
      <c r="U1709" s="53"/>
      <c r="V1709" s="53"/>
      <c r="W1709" s="53"/>
      <c r="X1709" s="53"/>
      <c r="Y1709" s="53"/>
      <c r="Z1709" s="53"/>
    </row>
    <row r="1710" spans="1:26" ht="15.75" customHeight="1">
      <c r="A1710" s="103"/>
      <c r="B1710" s="103"/>
      <c r="C1710" s="104" t="e">
        <v>#REF!</v>
      </c>
      <c r="D1710" s="103"/>
      <c r="E1710" s="53"/>
      <c r="F1710" s="53"/>
      <c r="G1710" s="53"/>
      <c r="H1710" s="53"/>
      <c r="I1710" s="53"/>
      <c r="J1710" s="53"/>
      <c r="K1710" s="53"/>
      <c r="L1710" s="53"/>
      <c r="M1710" s="53"/>
      <c r="N1710" s="53"/>
      <c r="O1710" s="53"/>
      <c r="P1710" s="53"/>
      <c r="Q1710" s="53"/>
      <c r="R1710" s="53"/>
      <c r="S1710" s="53"/>
      <c r="T1710" s="53"/>
      <c r="U1710" s="53"/>
      <c r="V1710" s="53"/>
      <c r="W1710" s="53"/>
      <c r="X1710" s="53"/>
      <c r="Y1710" s="53"/>
      <c r="Z1710" s="53"/>
    </row>
    <row r="1711" spans="1:26" ht="15.75" customHeight="1">
      <c r="A1711" s="103"/>
      <c r="B1711" s="103"/>
      <c r="C1711" s="104" t="e">
        <v>#REF!</v>
      </c>
      <c r="D1711" s="103"/>
      <c r="E1711" s="53"/>
      <c r="F1711" s="53"/>
      <c r="G1711" s="53"/>
      <c r="H1711" s="53"/>
      <c r="I1711" s="53"/>
      <c r="J1711" s="53"/>
      <c r="K1711" s="53"/>
      <c r="L1711" s="53"/>
      <c r="M1711" s="53"/>
      <c r="N1711" s="53"/>
      <c r="O1711" s="53"/>
      <c r="P1711" s="53"/>
      <c r="Q1711" s="53"/>
      <c r="R1711" s="53"/>
      <c r="S1711" s="53"/>
      <c r="T1711" s="53"/>
      <c r="U1711" s="53"/>
      <c r="V1711" s="53"/>
      <c r="W1711" s="53"/>
      <c r="X1711" s="53"/>
      <c r="Y1711" s="53"/>
      <c r="Z1711" s="53"/>
    </row>
    <row r="1712" spans="1:26" ht="15.75" customHeight="1">
      <c r="A1712" s="103"/>
      <c r="B1712" s="103"/>
      <c r="C1712" s="104" t="e">
        <v>#REF!</v>
      </c>
      <c r="D1712" s="103"/>
      <c r="E1712" s="53"/>
      <c r="F1712" s="53"/>
      <c r="G1712" s="53"/>
      <c r="H1712" s="53"/>
      <c r="I1712" s="53"/>
      <c r="J1712" s="53"/>
      <c r="K1712" s="53"/>
      <c r="L1712" s="53"/>
      <c r="M1712" s="53"/>
      <c r="N1712" s="53"/>
      <c r="O1712" s="53"/>
      <c r="P1712" s="53"/>
      <c r="Q1712" s="53"/>
      <c r="R1712" s="53"/>
      <c r="S1712" s="53"/>
      <c r="T1712" s="53"/>
      <c r="U1712" s="53"/>
      <c r="V1712" s="53"/>
      <c r="W1712" s="53"/>
      <c r="X1712" s="53"/>
      <c r="Y1712" s="53"/>
      <c r="Z1712" s="53"/>
    </row>
    <row r="1713" spans="1:26" ht="15.75" customHeight="1">
      <c r="A1713" s="103"/>
      <c r="B1713" s="103"/>
      <c r="C1713" s="104" t="e">
        <v>#REF!</v>
      </c>
      <c r="D1713" s="103"/>
      <c r="E1713" s="53"/>
      <c r="F1713" s="53"/>
      <c r="G1713" s="53"/>
      <c r="H1713" s="53"/>
      <c r="I1713" s="53"/>
      <c r="J1713" s="53"/>
      <c r="K1713" s="53"/>
      <c r="L1713" s="53"/>
      <c r="M1713" s="53"/>
      <c r="N1713" s="53"/>
      <c r="O1713" s="53"/>
      <c r="P1713" s="53"/>
      <c r="Q1713" s="53"/>
      <c r="R1713" s="53"/>
      <c r="S1713" s="53"/>
      <c r="T1713" s="53"/>
      <c r="U1713" s="53"/>
      <c r="V1713" s="53"/>
      <c r="W1713" s="53"/>
      <c r="X1713" s="53"/>
      <c r="Y1713" s="53"/>
      <c r="Z1713" s="53"/>
    </row>
    <row r="1714" spans="1:26" ht="15.75" customHeight="1">
      <c r="A1714" s="103"/>
      <c r="B1714" s="103"/>
      <c r="C1714" s="104" t="e">
        <v>#REF!</v>
      </c>
      <c r="D1714" s="103"/>
      <c r="E1714" s="53"/>
      <c r="F1714" s="53"/>
      <c r="G1714" s="53"/>
      <c r="H1714" s="53"/>
      <c r="I1714" s="53"/>
      <c r="J1714" s="53"/>
      <c r="K1714" s="53"/>
      <c r="L1714" s="53"/>
      <c r="M1714" s="53"/>
      <c r="N1714" s="53"/>
      <c r="O1714" s="53"/>
      <c r="P1714" s="53"/>
      <c r="Q1714" s="53"/>
      <c r="R1714" s="53"/>
      <c r="S1714" s="53"/>
      <c r="T1714" s="53"/>
      <c r="U1714" s="53"/>
      <c r="V1714" s="53"/>
      <c r="W1714" s="53"/>
      <c r="X1714" s="53"/>
      <c r="Y1714" s="53"/>
      <c r="Z1714" s="53"/>
    </row>
    <row r="1715" spans="1:26" ht="15.75" customHeight="1">
      <c r="A1715" s="103"/>
      <c r="B1715" s="103"/>
      <c r="C1715" s="104" t="e">
        <v>#REF!</v>
      </c>
      <c r="D1715" s="103"/>
      <c r="E1715" s="53"/>
      <c r="F1715" s="53"/>
      <c r="G1715" s="53"/>
      <c r="H1715" s="53"/>
      <c r="I1715" s="53"/>
      <c r="J1715" s="53"/>
      <c r="K1715" s="53"/>
      <c r="L1715" s="53"/>
      <c r="M1715" s="53"/>
      <c r="N1715" s="53"/>
      <c r="O1715" s="53"/>
      <c r="P1715" s="53"/>
      <c r="Q1715" s="53"/>
      <c r="R1715" s="53"/>
      <c r="S1715" s="53"/>
      <c r="T1715" s="53"/>
      <c r="U1715" s="53"/>
      <c r="V1715" s="53"/>
      <c r="W1715" s="53"/>
      <c r="X1715" s="53"/>
      <c r="Y1715" s="53"/>
      <c r="Z1715" s="53"/>
    </row>
    <row r="1716" spans="1:26" ht="15.75" customHeight="1">
      <c r="A1716" s="103"/>
      <c r="B1716" s="103"/>
      <c r="C1716" s="104" t="e">
        <v>#REF!</v>
      </c>
      <c r="D1716" s="103"/>
      <c r="E1716" s="53"/>
      <c r="F1716" s="53"/>
      <c r="G1716" s="53"/>
      <c r="H1716" s="53"/>
      <c r="I1716" s="53"/>
      <c r="J1716" s="53"/>
      <c r="K1716" s="53"/>
      <c r="L1716" s="53"/>
      <c r="M1716" s="53"/>
      <c r="N1716" s="53"/>
      <c r="O1716" s="53"/>
      <c r="P1716" s="53"/>
      <c r="Q1716" s="53"/>
      <c r="R1716" s="53"/>
      <c r="S1716" s="53"/>
      <c r="T1716" s="53"/>
      <c r="U1716" s="53"/>
      <c r="V1716" s="53"/>
      <c r="W1716" s="53"/>
      <c r="X1716" s="53"/>
      <c r="Y1716" s="53"/>
      <c r="Z1716" s="53"/>
    </row>
    <row r="1717" spans="1:26" ht="15.75" customHeight="1">
      <c r="A1717" s="103"/>
      <c r="B1717" s="103"/>
      <c r="C1717" s="104" t="e">
        <v>#REF!</v>
      </c>
      <c r="D1717" s="103"/>
      <c r="E1717" s="53"/>
      <c r="F1717" s="53"/>
      <c r="G1717" s="53"/>
      <c r="H1717" s="53"/>
      <c r="I1717" s="53"/>
      <c r="J1717" s="53"/>
      <c r="K1717" s="53"/>
      <c r="L1717" s="53"/>
      <c r="M1717" s="53"/>
      <c r="N1717" s="53"/>
      <c r="O1717" s="53"/>
      <c r="P1717" s="53"/>
      <c r="Q1717" s="53"/>
      <c r="R1717" s="53"/>
      <c r="S1717" s="53"/>
      <c r="T1717" s="53"/>
      <c r="U1717" s="53"/>
      <c r="V1717" s="53"/>
      <c r="W1717" s="53"/>
      <c r="X1717" s="53"/>
      <c r="Y1717" s="53"/>
      <c r="Z1717" s="53"/>
    </row>
    <row r="1718" spans="1:26" ht="15.75" customHeight="1">
      <c r="A1718" s="103"/>
      <c r="B1718" s="103"/>
      <c r="C1718" s="104" t="e">
        <v>#REF!</v>
      </c>
      <c r="D1718" s="103"/>
      <c r="E1718" s="53"/>
      <c r="F1718" s="53"/>
      <c r="G1718" s="53"/>
      <c r="H1718" s="53"/>
      <c r="I1718" s="53"/>
      <c r="J1718" s="53"/>
      <c r="K1718" s="53"/>
      <c r="L1718" s="53"/>
      <c r="M1718" s="53"/>
      <c r="N1718" s="53"/>
      <c r="O1718" s="53"/>
      <c r="P1718" s="53"/>
      <c r="Q1718" s="53"/>
      <c r="R1718" s="53"/>
      <c r="S1718" s="53"/>
      <c r="T1718" s="53"/>
      <c r="U1718" s="53"/>
      <c r="V1718" s="53"/>
      <c r="W1718" s="53"/>
      <c r="X1718" s="53"/>
      <c r="Y1718" s="53"/>
      <c r="Z1718" s="53"/>
    </row>
    <row r="1719" spans="1:26" ht="15.75" customHeight="1">
      <c r="A1719" s="103"/>
      <c r="B1719" s="103"/>
      <c r="C1719" s="104" t="e">
        <v>#REF!</v>
      </c>
      <c r="D1719" s="103"/>
      <c r="E1719" s="53"/>
      <c r="F1719" s="53"/>
      <c r="G1719" s="53"/>
      <c r="H1719" s="53"/>
      <c r="I1719" s="53"/>
      <c r="J1719" s="53"/>
      <c r="K1719" s="53"/>
      <c r="L1719" s="53"/>
      <c r="M1719" s="53"/>
      <c r="N1719" s="53"/>
      <c r="O1719" s="53"/>
      <c r="P1719" s="53"/>
      <c r="Q1719" s="53"/>
      <c r="R1719" s="53"/>
      <c r="S1719" s="53"/>
      <c r="T1719" s="53"/>
      <c r="U1719" s="53"/>
      <c r="V1719" s="53"/>
      <c r="W1719" s="53"/>
      <c r="X1719" s="53"/>
      <c r="Y1719" s="53"/>
      <c r="Z1719" s="53"/>
    </row>
    <row r="1720" spans="1:26" ht="15.75" customHeight="1">
      <c r="A1720" s="103"/>
      <c r="B1720" s="103"/>
      <c r="C1720" s="104" t="e">
        <v>#REF!</v>
      </c>
      <c r="D1720" s="103"/>
      <c r="E1720" s="53"/>
      <c r="F1720" s="53"/>
      <c r="G1720" s="53"/>
      <c r="H1720" s="53"/>
      <c r="I1720" s="53"/>
      <c r="J1720" s="53"/>
      <c r="K1720" s="53"/>
      <c r="L1720" s="53"/>
      <c r="M1720" s="53"/>
      <c r="N1720" s="53"/>
      <c r="O1720" s="53"/>
      <c r="P1720" s="53"/>
      <c r="Q1720" s="53"/>
      <c r="R1720" s="53"/>
      <c r="S1720" s="53"/>
      <c r="T1720" s="53"/>
      <c r="U1720" s="53"/>
      <c r="V1720" s="53"/>
      <c r="W1720" s="53"/>
      <c r="X1720" s="53"/>
      <c r="Y1720" s="53"/>
      <c r="Z1720" s="53"/>
    </row>
    <row r="1721" spans="1:26" ht="15.75" customHeight="1">
      <c r="A1721" s="103"/>
      <c r="B1721" s="103"/>
      <c r="C1721" s="104" t="e">
        <v>#REF!</v>
      </c>
      <c r="D1721" s="103"/>
      <c r="E1721" s="53"/>
      <c r="F1721" s="53"/>
      <c r="G1721" s="53"/>
      <c r="H1721" s="53"/>
      <c r="I1721" s="53"/>
      <c r="J1721" s="53"/>
      <c r="K1721" s="53"/>
      <c r="L1721" s="53"/>
      <c r="M1721" s="53"/>
      <c r="N1721" s="53"/>
      <c r="O1721" s="53"/>
      <c r="P1721" s="53"/>
      <c r="Q1721" s="53"/>
      <c r="R1721" s="53"/>
      <c r="S1721" s="53"/>
      <c r="T1721" s="53"/>
      <c r="U1721" s="53"/>
      <c r="V1721" s="53"/>
      <c r="W1721" s="53"/>
      <c r="X1721" s="53"/>
      <c r="Y1721" s="53"/>
      <c r="Z1721" s="53"/>
    </row>
    <row r="1722" spans="1:26" ht="15.75" customHeight="1">
      <c r="A1722" s="103"/>
      <c r="B1722" s="103"/>
      <c r="C1722" s="104" t="e">
        <v>#REF!</v>
      </c>
      <c r="D1722" s="103"/>
      <c r="E1722" s="53"/>
      <c r="F1722" s="53"/>
      <c r="G1722" s="53"/>
      <c r="H1722" s="53"/>
      <c r="I1722" s="53"/>
      <c r="J1722" s="53"/>
      <c r="K1722" s="53"/>
      <c r="L1722" s="53"/>
      <c r="M1722" s="53"/>
      <c r="N1722" s="53"/>
      <c r="O1722" s="53"/>
      <c r="P1722" s="53"/>
      <c r="Q1722" s="53"/>
      <c r="R1722" s="53"/>
      <c r="S1722" s="53"/>
      <c r="T1722" s="53"/>
      <c r="U1722" s="53"/>
      <c r="V1722" s="53"/>
      <c r="W1722" s="53"/>
      <c r="X1722" s="53"/>
      <c r="Y1722" s="53"/>
      <c r="Z1722" s="53"/>
    </row>
    <row r="1723" spans="1:26" ht="15.75" customHeight="1">
      <c r="A1723" s="103"/>
      <c r="B1723" s="103"/>
      <c r="C1723" s="104" t="e">
        <v>#REF!</v>
      </c>
      <c r="D1723" s="103"/>
      <c r="E1723" s="53"/>
      <c r="F1723" s="53"/>
      <c r="G1723" s="53"/>
      <c r="H1723" s="53"/>
      <c r="I1723" s="53"/>
      <c r="J1723" s="53"/>
      <c r="K1723" s="53"/>
      <c r="L1723" s="53"/>
      <c r="M1723" s="53"/>
      <c r="N1723" s="53"/>
      <c r="O1723" s="53"/>
      <c r="P1723" s="53"/>
      <c r="Q1723" s="53"/>
      <c r="R1723" s="53"/>
      <c r="S1723" s="53"/>
      <c r="T1723" s="53"/>
      <c r="U1723" s="53"/>
      <c r="V1723" s="53"/>
      <c r="W1723" s="53"/>
      <c r="X1723" s="53"/>
      <c r="Y1723" s="53"/>
      <c r="Z1723" s="53"/>
    </row>
    <row r="1724" spans="1:26" ht="15.75" customHeight="1">
      <c r="A1724" s="103"/>
      <c r="B1724" s="103"/>
      <c r="C1724" s="104" t="e">
        <v>#REF!</v>
      </c>
      <c r="D1724" s="103"/>
      <c r="E1724" s="53"/>
      <c r="F1724" s="53"/>
      <c r="G1724" s="53"/>
      <c r="H1724" s="53"/>
      <c r="I1724" s="53"/>
      <c r="J1724" s="53"/>
      <c r="K1724" s="53"/>
      <c r="L1724" s="53"/>
      <c r="M1724" s="53"/>
      <c r="N1724" s="53"/>
      <c r="O1724" s="53"/>
      <c r="P1724" s="53"/>
      <c r="Q1724" s="53"/>
      <c r="R1724" s="53"/>
      <c r="S1724" s="53"/>
      <c r="T1724" s="53"/>
      <c r="U1724" s="53"/>
      <c r="V1724" s="53"/>
      <c r="W1724" s="53"/>
      <c r="X1724" s="53"/>
      <c r="Y1724" s="53"/>
      <c r="Z1724" s="53"/>
    </row>
    <row r="1725" spans="1:26" ht="15.75" customHeight="1">
      <c r="A1725" s="103"/>
      <c r="B1725" s="103"/>
      <c r="C1725" s="104" t="e">
        <v>#REF!</v>
      </c>
      <c r="D1725" s="103"/>
      <c r="E1725" s="53"/>
      <c r="F1725" s="53"/>
      <c r="G1725" s="53"/>
      <c r="H1725" s="53"/>
      <c r="I1725" s="53"/>
      <c r="J1725" s="53"/>
      <c r="K1725" s="53"/>
      <c r="L1725" s="53"/>
      <c r="M1725" s="53"/>
      <c r="N1725" s="53"/>
      <c r="O1725" s="53"/>
      <c r="P1725" s="53"/>
      <c r="Q1725" s="53"/>
      <c r="R1725" s="53"/>
      <c r="S1725" s="53"/>
      <c r="T1725" s="53"/>
      <c r="U1725" s="53"/>
      <c r="V1725" s="53"/>
      <c r="W1725" s="53"/>
      <c r="X1725" s="53"/>
      <c r="Y1725" s="53"/>
      <c r="Z1725" s="53"/>
    </row>
    <row r="1726" spans="1:26" ht="15.75" customHeight="1">
      <c r="A1726" s="103"/>
      <c r="B1726" s="103"/>
      <c r="C1726" s="104" t="e">
        <v>#REF!</v>
      </c>
      <c r="D1726" s="103"/>
      <c r="E1726" s="53"/>
      <c r="F1726" s="53"/>
      <c r="G1726" s="53"/>
      <c r="H1726" s="53"/>
      <c r="I1726" s="53"/>
      <c r="J1726" s="53"/>
      <c r="K1726" s="53"/>
      <c r="L1726" s="53"/>
      <c r="M1726" s="53"/>
      <c r="N1726" s="53"/>
      <c r="O1726" s="53"/>
      <c r="P1726" s="53"/>
      <c r="Q1726" s="53"/>
      <c r="R1726" s="53"/>
      <c r="S1726" s="53"/>
      <c r="T1726" s="53"/>
      <c r="U1726" s="53"/>
      <c r="V1726" s="53"/>
      <c r="W1726" s="53"/>
      <c r="X1726" s="53"/>
      <c r="Y1726" s="53"/>
      <c r="Z1726" s="53"/>
    </row>
    <row r="1727" spans="1:26" ht="15.75" customHeight="1">
      <c r="A1727" s="103"/>
      <c r="B1727" s="103"/>
      <c r="C1727" s="104" t="e">
        <v>#REF!</v>
      </c>
      <c r="D1727" s="103"/>
      <c r="E1727" s="53"/>
      <c r="F1727" s="53"/>
      <c r="G1727" s="53"/>
      <c r="H1727" s="53"/>
      <c r="I1727" s="53"/>
      <c r="J1727" s="53"/>
      <c r="K1727" s="53"/>
      <c r="L1727" s="53"/>
      <c r="M1727" s="53"/>
      <c r="N1727" s="53"/>
      <c r="O1727" s="53"/>
      <c r="P1727" s="53"/>
      <c r="Q1727" s="53"/>
      <c r="R1727" s="53"/>
      <c r="S1727" s="53"/>
      <c r="T1727" s="53"/>
      <c r="U1727" s="53"/>
      <c r="V1727" s="53"/>
      <c r="W1727" s="53"/>
      <c r="X1727" s="53"/>
      <c r="Y1727" s="53"/>
      <c r="Z1727" s="53"/>
    </row>
    <row r="1728" spans="1:26" ht="15.75" customHeight="1">
      <c r="A1728" s="103"/>
      <c r="B1728" s="103"/>
      <c r="C1728" s="104" t="e">
        <v>#REF!</v>
      </c>
      <c r="D1728" s="103"/>
      <c r="E1728" s="53"/>
      <c r="F1728" s="53"/>
      <c r="G1728" s="53"/>
      <c r="H1728" s="53"/>
      <c r="I1728" s="53"/>
      <c r="J1728" s="53"/>
      <c r="K1728" s="53"/>
      <c r="L1728" s="53"/>
      <c r="M1728" s="53"/>
      <c r="N1728" s="53"/>
      <c r="O1728" s="53"/>
      <c r="P1728" s="53"/>
      <c r="Q1728" s="53"/>
      <c r="R1728" s="53"/>
      <c r="S1728" s="53"/>
      <c r="T1728" s="53"/>
      <c r="U1728" s="53"/>
      <c r="V1728" s="53"/>
      <c r="W1728" s="53"/>
      <c r="X1728" s="53"/>
      <c r="Y1728" s="53"/>
      <c r="Z1728" s="53"/>
    </row>
    <row r="1729" spans="1:26" ht="15.75" customHeight="1">
      <c r="A1729" s="103"/>
      <c r="B1729" s="103"/>
      <c r="C1729" s="104" t="e">
        <v>#REF!</v>
      </c>
      <c r="D1729" s="103"/>
      <c r="E1729" s="53"/>
      <c r="F1729" s="53"/>
      <c r="G1729" s="53"/>
      <c r="H1729" s="53"/>
      <c r="I1729" s="53"/>
      <c r="J1729" s="53"/>
      <c r="K1729" s="53"/>
      <c r="L1729" s="53"/>
      <c r="M1729" s="53"/>
      <c r="N1729" s="53"/>
      <c r="O1729" s="53"/>
      <c r="P1729" s="53"/>
      <c r="Q1729" s="53"/>
      <c r="R1729" s="53"/>
      <c r="S1729" s="53"/>
      <c r="T1729" s="53"/>
      <c r="U1729" s="53"/>
      <c r="V1729" s="53"/>
      <c r="W1729" s="53"/>
      <c r="X1729" s="53"/>
      <c r="Y1729" s="53"/>
      <c r="Z1729" s="53"/>
    </row>
    <row r="1730" spans="1:26" ht="15.75" customHeight="1">
      <c r="A1730" s="103"/>
      <c r="B1730" s="103"/>
      <c r="C1730" s="104" t="e">
        <v>#REF!</v>
      </c>
      <c r="D1730" s="103"/>
      <c r="E1730" s="53"/>
      <c r="F1730" s="53"/>
      <c r="G1730" s="53"/>
      <c r="H1730" s="53"/>
      <c r="I1730" s="53"/>
      <c r="J1730" s="53"/>
      <c r="K1730" s="53"/>
      <c r="L1730" s="53"/>
      <c r="M1730" s="53"/>
      <c r="N1730" s="53"/>
      <c r="O1730" s="53"/>
      <c r="P1730" s="53"/>
      <c r="Q1730" s="53"/>
      <c r="R1730" s="53"/>
      <c r="S1730" s="53"/>
      <c r="T1730" s="53"/>
      <c r="U1730" s="53"/>
      <c r="V1730" s="53"/>
      <c r="W1730" s="53"/>
      <c r="X1730" s="53"/>
      <c r="Y1730" s="53"/>
      <c r="Z1730" s="53"/>
    </row>
    <row r="1731" spans="1:26" ht="15.75" customHeight="1">
      <c r="A1731" s="103"/>
      <c r="B1731" s="103"/>
      <c r="C1731" s="104" t="e">
        <v>#REF!</v>
      </c>
      <c r="D1731" s="103"/>
      <c r="E1731" s="53"/>
      <c r="F1731" s="53"/>
      <c r="G1731" s="53"/>
      <c r="H1731" s="53"/>
      <c r="I1731" s="53"/>
      <c r="J1731" s="53"/>
      <c r="K1731" s="53"/>
      <c r="L1731" s="53"/>
      <c r="M1731" s="53"/>
      <c r="N1731" s="53"/>
      <c r="O1731" s="53"/>
      <c r="P1731" s="53"/>
      <c r="Q1731" s="53"/>
      <c r="R1731" s="53"/>
      <c r="S1731" s="53"/>
      <c r="T1731" s="53"/>
      <c r="U1731" s="53"/>
      <c r="V1731" s="53"/>
      <c r="W1731" s="53"/>
      <c r="X1731" s="53"/>
      <c r="Y1731" s="53"/>
      <c r="Z1731" s="53"/>
    </row>
    <row r="1732" spans="1:26" ht="15.75" customHeight="1">
      <c r="A1732" s="103"/>
      <c r="B1732" s="103"/>
      <c r="C1732" s="104" t="e">
        <v>#REF!</v>
      </c>
      <c r="D1732" s="10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</row>
    <row r="1733" spans="1:26" ht="15.75" customHeight="1">
      <c r="A1733" s="103"/>
      <c r="B1733" s="103"/>
      <c r="C1733" s="104" t="e">
        <v>#REF!</v>
      </c>
      <c r="D1733" s="103"/>
      <c r="E1733" s="53"/>
      <c r="F1733" s="53"/>
      <c r="G1733" s="53"/>
      <c r="H1733" s="53"/>
      <c r="I1733" s="53"/>
      <c r="J1733" s="53"/>
      <c r="K1733" s="53"/>
      <c r="L1733" s="53"/>
      <c r="M1733" s="53"/>
      <c r="N1733" s="53"/>
      <c r="O1733" s="53"/>
      <c r="P1733" s="53"/>
      <c r="Q1733" s="53"/>
      <c r="R1733" s="53"/>
      <c r="S1733" s="53"/>
      <c r="T1733" s="53"/>
      <c r="U1733" s="53"/>
      <c r="V1733" s="53"/>
      <c r="W1733" s="53"/>
      <c r="X1733" s="53"/>
      <c r="Y1733" s="53"/>
      <c r="Z1733" s="53"/>
    </row>
    <row r="1734" spans="1:26" ht="15.75" customHeight="1">
      <c r="A1734" s="103"/>
      <c r="B1734" s="103"/>
      <c r="C1734" s="104" t="e">
        <v>#REF!</v>
      </c>
      <c r="D1734" s="103"/>
      <c r="E1734" s="53"/>
      <c r="F1734" s="53"/>
      <c r="G1734" s="53"/>
      <c r="H1734" s="53"/>
      <c r="I1734" s="53"/>
      <c r="J1734" s="53"/>
      <c r="K1734" s="53"/>
      <c r="L1734" s="53"/>
      <c r="M1734" s="53"/>
      <c r="N1734" s="53"/>
      <c r="O1734" s="53"/>
      <c r="P1734" s="53"/>
      <c r="Q1734" s="53"/>
      <c r="R1734" s="53"/>
      <c r="S1734" s="53"/>
      <c r="T1734" s="53"/>
      <c r="U1734" s="53"/>
      <c r="V1734" s="53"/>
      <c r="W1734" s="53"/>
      <c r="X1734" s="53"/>
      <c r="Y1734" s="53"/>
      <c r="Z1734" s="53"/>
    </row>
    <row r="1735" spans="1:26" ht="15.75" customHeight="1">
      <c r="A1735" s="103"/>
      <c r="B1735" s="103"/>
      <c r="C1735" s="104" t="e">
        <v>#REF!</v>
      </c>
      <c r="D1735" s="103"/>
      <c r="E1735" s="53"/>
      <c r="F1735" s="53"/>
      <c r="G1735" s="53"/>
      <c r="H1735" s="53"/>
      <c r="I1735" s="53"/>
      <c r="J1735" s="53"/>
      <c r="K1735" s="53"/>
      <c r="L1735" s="53"/>
      <c r="M1735" s="53"/>
      <c r="N1735" s="53"/>
      <c r="O1735" s="53"/>
      <c r="P1735" s="53"/>
      <c r="Q1735" s="53"/>
      <c r="R1735" s="53"/>
      <c r="S1735" s="53"/>
      <c r="T1735" s="53"/>
      <c r="U1735" s="53"/>
      <c r="V1735" s="53"/>
      <c r="W1735" s="53"/>
      <c r="X1735" s="53"/>
      <c r="Y1735" s="53"/>
      <c r="Z1735" s="53"/>
    </row>
    <row r="1736" spans="1:26" ht="15.75" customHeight="1">
      <c r="A1736" s="103"/>
      <c r="B1736" s="103"/>
      <c r="C1736" s="104" t="e">
        <v>#REF!</v>
      </c>
      <c r="D1736" s="103"/>
      <c r="E1736" s="53"/>
      <c r="F1736" s="53"/>
      <c r="G1736" s="53"/>
      <c r="H1736" s="53"/>
      <c r="I1736" s="53"/>
      <c r="J1736" s="53"/>
      <c r="K1736" s="53"/>
      <c r="L1736" s="53"/>
      <c r="M1736" s="53"/>
      <c r="N1736" s="53"/>
      <c r="O1736" s="53"/>
      <c r="P1736" s="53"/>
      <c r="Q1736" s="53"/>
      <c r="R1736" s="53"/>
      <c r="S1736" s="53"/>
      <c r="T1736" s="53"/>
      <c r="U1736" s="53"/>
      <c r="V1736" s="53"/>
      <c r="W1736" s="53"/>
      <c r="X1736" s="53"/>
      <c r="Y1736" s="53"/>
      <c r="Z1736" s="53"/>
    </row>
    <row r="1737" spans="1:26" ht="15.75" customHeight="1">
      <c r="A1737" s="103"/>
      <c r="B1737" s="103"/>
      <c r="C1737" s="104" t="e">
        <v>#REF!</v>
      </c>
      <c r="D1737" s="10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53"/>
      <c r="T1737" s="53"/>
      <c r="U1737" s="53"/>
      <c r="V1737" s="53"/>
      <c r="W1737" s="53"/>
      <c r="X1737" s="53"/>
      <c r="Y1737" s="53"/>
      <c r="Z1737" s="53"/>
    </row>
    <row r="1738" spans="1:26" ht="15.75" customHeight="1">
      <c r="A1738" s="103"/>
      <c r="B1738" s="103"/>
      <c r="C1738" s="104" t="e">
        <v>#REF!</v>
      </c>
      <c r="D1738" s="103"/>
      <c r="E1738" s="53"/>
      <c r="F1738" s="53"/>
      <c r="G1738" s="53"/>
      <c r="H1738" s="53"/>
      <c r="I1738" s="53"/>
      <c r="J1738" s="53"/>
      <c r="K1738" s="53"/>
      <c r="L1738" s="53"/>
      <c r="M1738" s="53"/>
      <c r="N1738" s="53"/>
      <c r="O1738" s="53"/>
      <c r="P1738" s="53"/>
      <c r="Q1738" s="53"/>
      <c r="R1738" s="53"/>
      <c r="S1738" s="53"/>
      <c r="T1738" s="53"/>
      <c r="U1738" s="53"/>
      <c r="V1738" s="53"/>
      <c r="W1738" s="53"/>
      <c r="X1738" s="53"/>
      <c r="Y1738" s="53"/>
      <c r="Z1738" s="53"/>
    </row>
    <row r="1739" spans="1:26" ht="15.75" customHeight="1">
      <c r="A1739" s="103"/>
      <c r="B1739" s="103"/>
      <c r="C1739" s="104" t="e">
        <v>#REF!</v>
      </c>
      <c r="D1739" s="103"/>
      <c r="E1739" s="53"/>
      <c r="F1739" s="53"/>
      <c r="G1739" s="53"/>
      <c r="H1739" s="53"/>
      <c r="I1739" s="53"/>
      <c r="J1739" s="53"/>
      <c r="K1739" s="53"/>
      <c r="L1739" s="53"/>
      <c r="M1739" s="53"/>
      <c r="N1739" s="53"/>
      <c r="O1739" s="53"/>
      <c r="P1739" s="53"/>
      <c r="Q1739" s="53"/>
      <c r="R1739" s="53"/>
      <c r="S1739" s="53"/>
      <c r="T1739" s="53"/>
      <c r="U1739" s="53"/>
      <c r="V1739" s="53"/>
      <c r="W1739" s="53"/>
      <c r="X1739" s="53"/>
      <c r="Y1739" s="53"/>
      <c r="Z1739" s="53"/>
    </row>
    <row r="1740" spans="1:26" ht="15.75" customHeight="1">
      <c r="A1740" s="103"/>
      <c r="B1740" s="103"/>
      <c r="C1740" s="104" t="e">
        <v>#REF!</v>
      </c>
      <c r="D1740" s="103"/>
      <c r="E1740" s="53"/>
      <c r="F1740" s="53"/>
      <c r="G1740" s="53"/>
      <c r="H1740" s="53"/>
      <c r="I1740" s="53"/>
      <c r="J1740" s="53"/>
      <c r="K1740" s="53"/>
      <c r="L1740" s="53"/>
      <c r="M1740" s="53"/>
      <c r="N1740" s="53"/>
      <c r="O1740" s="53"/>
      <c r="P1740" s="53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</row>
    <row r="1741" spans="1:26" ht="15.75" customHeight="1">
      <c r="A1741" s="103"/>
      <c r="B1741" s="103"/>
      <c r="C1741" s="104" t="e">
        <v>#REF!</v>
      </c>
      <c r="D1741" s="103"/>
      <c r="E1741" s="53"/>
      <c r="F1741" s="53"/>
      <c r="G1741" s="53"/>
      <c r="H1741" s="53"/>
      <c r="I1741" s="53"/>
      <c r="J1741" s="53"/>
      <c r="K1741" s="53"/>
      <c r="L1741" s="53"/>
      <c r="M1741" s="53"/>
      <c r="N1741" s="53"/>
      <c r="O1741" s="53"/>
      <c r="P1741" s="53"/>
      <c r="Q1741" s="53"/>
      <c r="R1741" s="53"/>
      <c r="S1741" s="53"/>
      <c r="T1741" s="53"/>
      <c r="U1741" s="53"/>
      <c r="V1741" s="53"/>
      <c r="W1741" s="53"/>
      <c r="X1741" s="53"/>
      <c r="Y1741" s="53"/>
      <c r="Z1741" s="53"/>
    </row>
    <row r="1742" spans="1:26" ht="15.75" customHeight="1">
      <c r="A1742" s="103"/>
      <c r="B1742" s="103"/>
      <c r="C1742" s="104" t="e">
        <v>#REF!</v>
      </c>
      <c r="D1742" s="103"/>
      <c r="E1742" s="53"/>
      <c r="F1742" s="53"/>
      <c r="G1742" s="53"/>
      <c r="H1742" s="53"/>
      <c r="I1742" s="53"/>
      <c r="J1742" s="53"/>
      <c r="K1742" s="53"/>
      <c r="L1742" s="53"/>
      <c r="M1742" s="53"/>
      <c r="N1742" s="53"/>
      <c r="O1742" s="53"/>
      <c r="P1742" s="53"/>
      <c r="Q1742" s="53"/>
      <c r="R1742" s="53"/>
      <c r="S1742" s="53"/>
      <c r="T1742" s="53"/>
      <c r="U1742" s="53"/>
      <c r="V1742" s="53"/>
      <c r="W1742" s="53"/>
      <c r="X1742" s="53"/>
      <c r="Y1742" s="53"/>
      <c r="Z1742" s="53"/>
    </row>
    <row r="1743" spans="1:26" ht="15.75" customHeight="1">
      <c r="A1743" s="103"/>
      <c r="B1743" s="103"/>
      <c r="C1743" s="104" t="e">
        <v>#REF!</v>
      </c>
      <c r="D1743" s="103"/>
      <c r="E1743" s="53"/>
      <c r="F1743" s="53"/>
      <c r="G1743" s="53"/>
      <c r="H1743" s="53"/>
      <c r="I1743" s="53"/>
      <c r="J1743" s="53"/>
      <c r="K1743" s="53"/>
      <c r="L1743" s="53"/>
      <c r="M1743" s="53"/>
      <c r="N1743" s="53"/>
      <c r="O1743" s="53"/>
      <c r="P1743" s="53"/>
      <c r="Q1743" s="53"/>
      <c r="R1743" s="53"/>
      <c r="S1743" s="53"/>
      <c r="T1743" s="53"/>
      <c r="U1743" s="53"/>
      <c r="V1743" s="53"/>
      <c r="W1743" s="53"/>
      <c r="X1743" s="53"/>
      <c r="Y1743" s="53"/>
      <c r="Z1743" s="53"/>
    </row>
    <row r="1744" spans="1:26" ht="15.75" customHeight="1">
      <c r="A1744" s="103"/>
      <c r="B1744" s="103"/>
      <c r="C1744" s="104" t="e">
        <v>#REF!</v>
      </c>
      <c r="D1744" s="103"/>
      <c r="E1744" s="53"/>
      <c r="F1744" s="53"/>
      <c r="G1744" s="53"/>
      <c r="H1744" s="53"/>
      <c r="I1744" s="53"/>
      <c r="J1744" s="53"/>
      <c r="K1744" s="53"/>
      <c r="L1744" s="53"/>
      <c r="M1744" s="53"/>
      <c r="N1744" s="53"/>
      <c r="O1744" s="53"/>
      <c r="P1744" s="53"/>
      <c r="Q1744" s="53"/>
      <c r="R1744" s="53"/>
      <c r="S1744" s="53"/>
      <c r="T1744" s="53"/>
      <c r="U1744" s="53"/>
      <c r="V1744" s="53"/>
      <c r="W1744" s="53"/>
      <c r="X1744" s="53"/>
      <c r="Y1744" s="53"/>
      <c r="Z1744" s="53"/>
    </row>
    <row r="1745" spans="1:26" ht="15.75" customHeight="1">
      <c r="A1745" s="103"/>
      <c r="B1745" s="103"/>
      <c r="C1745" s="104" t="e">
        <v>#REF!</v>
      </c>
      <c r="D1745" s="103"/>
      <c r="E1745" s="53"/>
      <c r="F1745" s="53"/>
      <c r="G1745" s="53"/>
      <c r="H1745" s="53"/>
      <c r="I1745" s="53"/>
      <c r="J1745" s="53"/>
      <c r="K1745" s="53"/>
      <c r="L1745" s="53"/>
      <c r="M1745" s="53"/>
      <c r="N1745" s="53"/>
      <c r="O1745" s="53"/>
      <c r="P1745" s="53"/>
      <c r="Q1745" s="53"/>
      <c r="R1745" s="53"/>
      <c r="S1745" s="53"/>
      <c r="T1745" s="53"/>
      <c r="U1745" s="53"/>
      <c r="V1745" s="53"/>
      <c r="W1745" s="53"/>
      <c r="X1745" s="53"/>
      <c r="Y1745" s="53"/>
      <c r="Z1745" s="53"/>
    </row>
    <row r="1746" spans="1:26" ht="15.75" customHeight="1">
      <c r="A1746" s="103"/>
      <c r="B1746" s="103"/>
      <c r="C1746" s="104" t="e">
        <v>#REF!</v>
      </c>
      <c r="D1746" s="103"/>
      <c r="E1746" s="53"/>
      <c r="F1746" s="53"/>
      <c r="G1746" s="53"/>
      <c r="H1746" s="53"/>
      <c r="I1746" s="53"/>
      <c r="J1746" s="53"/>
      <c r="K1746" s="53"/>
      <c r="L1746" s="53"/>
      <c r="M1746" s="53"/>
      <c r="N1746" s="53"/>
      <c r="O1746" s="53"/>
      <c r="P1746" s="53"/>
      <c r="Q1746" s="53"/>
      <c r="R1746" s="53"/>
      <c r="S1746" s="53"/>
      <c r="T1746" s="53"/>
      <c r="U1746" s="53"/>
      <c r="V1746" s="53"/>
      <c r="W1746" s="53"/>
      <c r="X1746" s="53"/>
      <c r="Y1746" s="53"/>
      <c r="Z1746" s="53"/>
    </row>
    <row r="1747" spans="1:26" ht="15.75" customHeight="1">
      <c r="A1747" s="103"/>
      <c r="B1747" s="103"/>
      <c r="C1747" s="104" t="e">
        <v>#REF!</v>
      </c>
      <c r="D1747" s="103"/>
      <c r="E1747" s="53"/>
      <c r="F1747" s="53"/>
      <c r="G1747" s="53"/>
      <c r="H1747" s="53"/>
      <c r="I1747" s="53"/>
      <c r="J1747" s="53"/>
      <c r="K1747" s="53"/>
      <c r="L1747" s="53"/>
      <c r="M1747" s="53"/>
      <c r="N1747" s="53"/>
      <c r="O1747" s="53"/>
      <c r="P1747" s="53"/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</row>
    <row r="1748" spans="1:26" ht="15.75" customHeight="1">
      <c r="A1748" s="103"/>
      <c r="B1748" s="103"/>
      <c r="C1748" s="104" t="e">
        <v>#REF!</v>
      </c>
      <c r="D1748" s="103"/>
      <c r="E1748" s="53"/>
      <c r="F1748" s="53"/>
      <c r="G1748" s="53"/>
      <c r="H1748" s="53"/>
      <c r="I1748" s="53"/>
      <c r="J1748" s="53"/>
      <c r="K1748" s="53"/>
      <c r="L1748" s="53"/>
      <c r="M1748" s="53"/>
      <c r="N1748" s="53"/>
      <c r="O1748" s="53"/>
      <c r="P1748" s="53"/>
      <c r="Q1748" s="53"/>
      <c r="R1748" s="53"/>
      <c r="S1748" s="53"/>
      <c r="T1748" s="53"/>
      <c r="U1748" s="53"/>
      <c r="V1748" s="53"/>
      <c r="W1748" s="53"/>
      <c r="X1748" s="53"/>
      <c r="Y1748" s="53"/>
      <c r="Z1748" s="53"/>
    </row>
    <row r="1749" spans="1:26" ht="15.75" customHeight="1">
      <c r="A1749" s="103"/>
      <c r="B1749" s="103"/>
      <c r="C1749" s="104" t="e">
        <v>#REF!</v>
      </c>
      <c r="D1749" s="103"/>
      <c r="E1749" s="53"/>
      <c r="F1749" s="53"/>
      <c r="G1749" s="53"/>
      <c r="H1749" s="53"/>
      <c r="I1749" s="53"/>
      <c r="J1749" s="53"/>
      <c r="K1749" s="53"/>
      <c r="L1749" s="53"/>
      <c r="M1749" s="53"/>
      <c r="N1749" s="53"/>
      <c r="O1749" s="53"/>
      <c r="P1749" s="53"/>
      <c r="Q1749" s="53"/>
      <c r="R1749" s="53"/>
      <c r="S1749" s="53"/>
      <c r="T1749" s="53"/>
      <c r="U1749" s="53"/>
      <c r="V1749" s="53"/>
      <c r="W1749" s="53"/>
      <c r="X1749" s="53"/>
      <c r="Y1749" s="53"/>
      <c r="Z1749" s="53"/>
    </row>
    <row r="1750" spans="1:26" ht="15.75" customHeight="1">
      <c r="A1750" s="103"/>
      <c r="B1750" s="103"/>
      <c r="C1750" s="104" t="e">
        <v>#REF!</v>
      </c>
      <c r="D1750" s="103"/>
      <c r="E1750" s="53"/>
      <c r="F1750" s="53"/>
      <c r="G1750" s="53"/>
      <c r="H1750" s="53"/>
      <c r="I1750" s="53"/>
      <c r="J1750" s="53"/>
      <c r="K1750" s="53"/>
      <c r="L1750" s="53"/>
      <c r="M1750" s="53"/>
      <c r="N1750" s="53"/>
      <c r="O1750" s="53"/>
      <c r="P1750" s="53"/>
      <c r="Q1750" s="53"/>
      <c r="R1750" s="53"/>
      <c r="S1750" s="53"/>
      <c r="T1750" s="53"/>
      <c r="U1750" s="53"/>
      <c r="V1750" s="53"/>
      <c r="W1750" s="53"/>
      <c r="X1750" s="53"/>
      <c r="Y1750" s="53"/>
      <c r="Z1750" s="53"/>
    </row>
    <row r="1751" spans="1:26" ht="15.75" customHeight="1">
      <c r="A1751" s="103"/>
      <c r="B1751" s="103"/>
      <c r="C1751" s="104" t="e">
        <v>#REF!</v>
      </c>
      <c r="D1751" s="103"/>
      <c r="E1751" s="53"/>
      <c r="F1751" s="53"/>
      <c r="G1751" s="53"/>
      <c r="H1751" s="53"/>
      <c r="I1751" s="53"/>
      <c r="J1751" s="53"/>
      <c r="K1751" s="53"/>
      <c r="L1751" s="53"/>
      <c r="M1751" s="53"/>
      <c r="N1751" s="53"/>
      <c r="O1751" s="53"/>
      <c r="P1751" s="53"/>
      <c r="Q1751" s="53"/>
      <c r="R1751" s="53"/>
      <c r="S1751" s="53"/>
      <c r="T1751" s="53"/>
      <c r="U1751" s="53"/>
      <c r="V1751" s="53"/>
      <c r="W1751" s="53"/>
      <c r="X1751" s="53"/>
      <c r="Y1751" s="53"/>
      <c r="Z1751" s="53"/>
    </row>
    <row r="1752" spans="1:26" ht="15.75" customHeight="1">
      <c r="A1752" s="103"/>
      <c r="B1752" s="103"/>
      <c r="C1752" s="104" t="e">
        <v>#REF!</v>
      </c>
      <c r="D1752" s="103"/>
      <c r="E1752" s="53"/>
      <c r="F1752" s="53"/>
      <c r="G1752" s="53"/>
      <c r="H1752" s="53"/>
      <c r="I1752" s="53"/>
      <c r="J1752" s="53"/>
      <c r="K1752" s="53"/>
      <c r="L1752" s="53"/>
      <c r="M1752" s="53"/>
      <c r="N1752" s="53"/>
      <c r="O1752" s="53"/>
      <c r="P1752" s="53"/>
      <c r="Q1752" s="53"/>
      <c r="R1752" s="53"/>
      <c r="S1752" s="53"/>
      <c r="T1752" s="53"/>
      <c r="U1752" s="53"/>
      <c r="V1752" s="53"/>
      <c r="W1752" s="53"/>
      <c r="X1752" s="53"/>
      <c r="Y1752" s="53"/>
      <c r="Z1752" s="53"/>
    </row>
    <row r="1753" spans="1:26" ht="15.75" customHeight="1">
      <c r="A1753" s="103"/>
      <c r="B1753" s="103"/>
      <c r="C1753" s="104" t="e">
        <v>#REF!</v>
      </c>
      <c r="D1753" s="103"/>
      <c r="E1753" s="53"/>
      <c r="F1753" s="53"/>
      <c r="G1753" s="53"/>
      <c r="H1753" s="53"/>
      <c r="I1753" s="53"/>
      <c r="J1753" s="53"/>
      <c r="K1753" s="53"/>
      <c r="L1753" s="53"/>
      <c r="M1753" s="53"/>
      <c r="N1753" s="53"/>
      <c r="O1753" s="53"/>
      <c r="P1753" s="53"/>
      <c r="Q1753" s="53"/>
      <c r="R1753" s="53"/>
      <c r="S1753" s="53"/>
      <c r="T1753" s="53"/>
      <c r="U1753" s="53"/>
      <c r="V1753" s="53"/>
      <c r="W1753" s="53"/>
      <c r="X1753" s="53"/>
      <c r="Y1753" s="53"/>
      <c r="Z1753" s="53"/>
    </row>
    <row r="1754" spans="1:26" ht="15.75" customHeight="1">
      <c r="A1754" s="103"/>
      <c r="B1754" s="103"/>
      <c r="C1754" s="104" t="e">
        <v>#REF!</v>
      </c>
      <c r="D1754" s="103"/>
      <c r="E1754" s="53"/>
      <c r="F1754" s="53"/>
      <c r="G1754" s="53"/>
      <c r="H1754" s="53"/>
      <c r="I1754" s="53"/>
      <c r="J1754" s="53"/>
      <c r="K1754" s="53"/>
      <c r="L1754" s="53"/>
      <c r="M1754" s="53"/>
      <c r="N1754" s="53"/>
      <c r="O1754" s="53"/>
      <c r="P1754" s="53"/>
      <c r="Q1754" s="53"/>
      <c r="R1754" s="53"/>
      <c r="S1754" s="53"/>
      <c r="T1754" s="53"/>
      <c r="U1754" s="53"/>
      <c r="V1754" s="53"/>
      <c r="W1754" s="53"/>
      <c r="X1754" s="53"/>
      <c r="Y1754" s="53"/>
      <c r="Z1754" s="53"/>
    </row>
    <row r="1755" spans="1:26" ht="15.75" customHeight="1">
      <c r="A1755" s="103"/>
      <c r="B1755" s="103"/>
      <c r="C1755" s="104" t="e">
        <v>#REF!</v>
      </c>
      <c r="D1755" s="103"/>
      <c r="E1755" s="53"/>
      <c r="F1755" s="53"/>
      <c r="G1755" s="53"/>
      <c r="H1755" s="53"/>
      <c r="I1755" s="53"/>
      <c r="J1755" s="53"/>
      <c r="K1755" s="53"/>
      <c r="L1755" s="53"/>
      <c r="M1755" s="53"/>
      <c r="N1755" s="53"/>
      <c r="O1755" s="53"/>
      <c r="P1755" s="53"/>
      <c r="Q1755" s="53"/>
      <c r="R1755" s="53"/>
      <c r="S1755" s="53"/>
      <c r="T1755" s="53"/>
      <c r="U1755" s="53"/>
      <c r="V1755" s="53"/>
      <c r="W1755" s="53"/>
      <c r="X1755" s="53"/>
      <c r="Y1755" s="53"/>
      <c r="Z1755" s="53"/>
    </row>
    <row r="1756" spans="1:26" ht="15.75" customHeight="1">
      <c r="A1756" s="103"/>
      <c r="B1756" s="103"/>
      <c r="C1756" s="104" t="e">
        <v>#REF!</v>
      </c>
      <c r="D1756" s="103"/>
      <c r="E1756" s="53"/>
      <c r="F1756" s="53"/>
      <c r="G1756" s="53"/>
      <c r="H1756" s="53"/>
      <c r="I1756" s="53"/>
      <c r="J1756" s="53"/>
      <c r="K1756" s="53"/>
      <c r="L1756" s="53"/>
      <c r="M1756" s="53"/>
      <c r="N1756" s="53"/>
      <c r="O1756" s="53"/>
      <c r="P1756" s="53"/>
      <c r="Q1756" s="53"/>
      <c r="R1756" s="53"/>
      <c r="S1756" s="53"/>
      <c r="T1756" s="53"/>
      <c r="U1756" s="53"/>
      <c r="V1756" s="53"/>
      <c r="W1756" s="53"/>
      <c r="X1756" s="53"/>
      <c r="Y1756" s="53"/>
      <c r="Z1756" s="53"/>
    </row>
    <row r="1757" spans="1:26" ht="15.75" customHeight="1">
      <c r="A1757" s="103"/>
      <c r="B1757" s="103"/>
      <c r="C1757" s="104" t="e">
        <v>#REF!</v>
      </c>
      <c r="D1757" s="103"/>
      <c r="E1757" s="53"/>
      <c r="F1757" s="53"/>
      <c r="G1757" s="53"/>
      <c r="H1757" s="53"/>
      <c r="I1757" s="53"/>
      <c r="J1757" s="53"/>
      <c r="K1757" s="53"/>
      <c r="L1757" s="53"/>
      <c r="M1757" s="53"/>
      <c r="N1757" s="53"/>
      <c r="O1757" s="53"/>
      <c r="P1757" s="53"/>
      <c r="Q1757" s="53"/>
      <c r="R1757" s="53"/>
      <c r="S1757" s="53"/>
      <c r="T1757" s="53"/>
      <c r="U1757" s="53"/>
      <c r="V1757" s="53"/>
      <c r="W1757" s="53"/>
      <c r="X1757" s="53"/>
      <c r="Y1757" s="53"/>
      <c r="Z1757" s="53"/>
    </row>
    <row r="1758" spans="1:26" ht="15.75" customHeight="1">
      <c r="A1758" s="103"/>
      <c r="B1758" s="103"/>
      <c r="C1758" s="104" t="e">
        <v>#REF!</v>
      </c>
      <c r="D1758" s="103"/>
      <c r="E1758" s="53"/>
      <c r="F1758" s="53"/>
      <c r="G1758" s="53"/>
      <c r="H1758" s="53"/>
      <c r="I1758" s="53"/>
      <c r="J1758" s="53"/>
      <c r="K1758" s="53"/>
      <c r="L1758" s="53"/>
      <c r="M1758" s="53"/>
      <c r="N1758" s="53"/>
      <c r="O1758" s="53"/>
      <c r="P1758" s="53"/>
      <c r="Q1758" s="53"/>
      <c r="R1758" s="53"/>
      <c r="S1758" s="53"/>
      <c r="T1758" s="53"/>
      <c r="U1758" s="53"/>
      <c r="V1758" s="53"/>
      <c r="W1758" s="53"/>
      <c r="X1758" s="53"/>
      <c r="Y1758" s="53"/>
      <c r="Z1758" s="53"/>
    </row>
    <row r="1759" spans="1:26" ht="15.75" customHeight="1">
      <c r="A1759" s="103"/>
      <c r="B1759" s="103"/>
      <c r="C1759" s="104" t="e">
        <v>#REF!</v>
      </c>
      <c r="D1759" s="103"/>
      <c r="E1759" s="53"/>
      <c r="F1759" s="53"/>
      <c r="G1759" s="53"/>
      <c r="H1759" s="53"/>
      <c r="I1759" s="53"/>
      <c r="J1759" s="53"/>
      <c r="K1759" s="53"/>
      <c r="L1759" s="53"/>
      <c r="M1759" s="53"/>
      <c r="N1759" s="53"/>
      <c r="O1759" s="53"/>
      <c r="P1759" s="53"/>
      <c r="Q1759" s="53"/>
      <c r="R1759" s="53"/>
      <c r="S1759" s="53"/>
      <c r="T1759" s="53"/>
      <c r="U1759" s="53"/>
      <c r="V1759" s="53"/>
      <c r="W1759" s="53"/>
      <c r="X1759" s="53"/>
      <c r="Y1759" s="53"/>
      <c r="Z1759" s="53"/>
    </row>
    <row r="1760" spans="1:26" ht="15.75" customHeight="1">
      <c r="A1760" s="103"/>
      <c r="B1760" s="103"/>
      <c r="C1760" s="104" t="e">
        <v>#REF!</v>
      </c>
      <c r="D1760" s="103"/>
      <c r="E1760" s="53"/>
      <c r="F1760" s="53"/>
      <c r="G1760" s="53"/>
      <c r="H1760" s="53"/>
      <c r="I1760" s="53"/>
      <c r="J1760" s="53"/>
      <c r="K1760" s="53"/>
      <c r="L1760" s="53"/>
      <c r="M1760" s="53"/>
      <c r="N1760" s="53"/>
      <c r="O1760" s="53"/>
      <c r="P1760" s="53"/>
      <c r="Q1760" s="53"/>
      <c r="R1760" s="53"/>
      <c r="S1760" s="53"/>
      <c r="T1760" s="53"/>
      <c r="U1760" s="53"/>
      <c r="V1760" s="53"/>
      <c r="W1760" s="53"/>
      <c r="X1760" s="53"/>
      <c r="Y1760" s="53"/>
      <c r="Z1760" s="53"/>
    </row>
    <row r="1761" spans="1:26" ht="15.75" customHeight="1">
      <c r="A1761" s="103"/>
      <c r="B1761" s="103"/>
      <c r="C1761" s="104" t="e">
        <v>#REF!</v>
      </c>
      <c r="D1761" s="103"/>
      <c r="E1761" s="53"/>
      <c r="F1761" s="53"/>
      <c r="G1761" s="53"/>
      <c r="H1761" s="53"/>
      <c r="I1761" s="53"/>
      <c r="J1761" s="53"/>
      <c r="K1761" s="53"/>
      <c r="L1761" s="53"/>
      <c r="M1761" s="53"/>
      <c r="N1761" s="53"/>
      <c r="O1761" s="53"/>
      <c r="P1761" s="53"/>
      <c r="Q1761" s="53"/>
      <c r="R1761" s="53"/>
      <c r="S1761" s="53"/>
      <c r="T1761" s="53"/>
      <c r="U1761" s="53"/>
      <c r="V1761" s="53"/>
      <c r="W1761" s="53"/>
      <c r="X1761" s="53"/>
      <c r="Y1761" s="53"/>
      <c r="Z1761" s="53"/>
    </row>
    <row r="1762" spans="1:26" ht="15.75" customHeight="1">
      <c r="A1762" s="103"/>
      <c r="B1762" s="103"/>
      <c r="C1762" s="104" t="e">
        <v>#REF!</v>
      </c>
      <c r="D1762" s="103"/>
      <c r="E1762" s="53"/>
      <c r="F1762" s="53"/>
      <c r="G1762" s="53"/>
      <c r="H1762" s="53"/>
      <c r="I1762" s="53"/>
      <c r="J1762" s="53"/>
      <c r="K1762" s="53"/>
      <c r="L1762" s="53"/>
      <c r="M1762" s="53"/>
      <c r="N1762" s="53"/>
      <c r="O1762" s="53"/>
      <c r="P1762" s="53"/>
      <c r="Q1762" s="53"/>
      <c r="R1762" s="53"/>
      <c r="S1762" s="53"/>
      <c r="T1762" s="53"/>
      <c r="U1762" s="53"/>
      <c r="V1762" s="53"/>
      <c r="W1762" s="53"/>
      <c r="X1762" s="53"/>
      <c r="Y1762" s="53"/>
      <c r="Z1762" s="53"/>
    </row>
    <row r="1763" spans="1:26" ht="15.75" customHeight="1">
      <c r="A1763" s="103"/>
      <c r="B1763" s="103"/>
      <c r="C1763" s="104" t="e">
        <v>#REF!</v>
      </c>
      <c r="D1763" s="103"/>
      <c r="E1763" s="53"/>
      <c r="F1763" s="53"/>
      <c r="G1763" s="53"/>
      <c r="H1763" s="53"/>
      <c r="I1763" s="53"/>
      <c r="J1763" s="53"/>
      <c r="K1763" s="53"/>
      <c r="L1763" s="53"/>
      <c r="M1763" s="53"/>
      <c r="N1763" s="53"/>
      <c r="O1763" s="53"/>
      <c r="P1763" s="53"/>
      <c r="Q1763" s="53"/>
      <c r="R1763" s="53"/>
      <c r="S1763" s="53"/>
      <c r="T1763" s="53"/>
      <c r="U1763" s="53"/>
      <c r="V1763" s="53"/>
      <c r="W1763" s="53"/>
      <c r="X1763" s="53"/>
      <c r="Y1763" s="53"/>
      <c r="Z1763" s="53"/>
    </row>
    <row r="1764" spans="1:26" ht="15.75" customHeight="1">
      <c r="A1764" s="103"/>
      <c r="B1764" s="103"/>
      <c r="C1764" s="104" t="e">
        <v>#REF!</v>
      </c>
      <c r="D1764" s="103"/>
      <c r="E1764" s="53"/>
      <c r="F1764" s="53"/>
      <c r="G1764" s="53"/>
      <c r="H1764" s="53"/>
      <c r="I1764" s="53"/>
      <c r="J1764" s="53"/>
      <c r="K1764" s="53"/>
      <c r="L1764" s="53"/>
      <c r="M1764" s="53"/>
      <c r="N1764" s="53"/>
      <c r="O1764" s="53"/>
      <c r="P1764" s="53"/>
      <c r="Q1764" s="53"/>
      <c r="R1764" s="53"/>
      <c r="S1764" s="53"/>
      <c r="T1764" s="53"/>
      <c r="U1764" s="53"/>
      <c r="V1764" s="53"/>
      <c r="W1764" s="53"/>
      <c r="X1764" s="53"/>
      <c r="Y1764" s="53"/>
      <c r="Z1764" s="53"/>
    </row>
    <row r="1765" spans="1:26" ht="15.75" customHeight="1">
      <c r="A1765" s="103"/>
      <c r="B1765" s="103"/>
      <c r="C1765" s="104" t="e">
        <v>#REF!</v>
      </c>
      <c r="D1765" s="103"/>
      <c r="E1765" s="53"/>
      <c r="F1765" s="53"/>
      <c r="G1765" s="53"/>
      <c r="H1765" s="53"/>
      <c r="I1765" s="53"/>
      <c r="J1765" s="53"/>
      <c r="K1765" s="53"/>
      <c r="L1765" s="53"/>
      <c r="M1765" s="53"/>
      <c r="N1765" s="53"/>
      <c r="O1765" s="53"/>
      <c r="P1765" s="53"/>
      <c r="Q1765" s="53"/>
      <c r="R1765" s="53"/>
      <c r="S1765" s="53"/>
      <c r="T1765" s="53"/>
      <c r="U1765" s="53"/>
      <c r="V1765" s="53"/>
      <c r="W1765" s="53"/>
      <c r="X1765" s="53"/>
      <c r="Y1765" s="53"/>
      <c r="Z1765" s="53"/>
    </row>
    <row r="1766" spans="1:26" ht="15.75" customHeight="1">
      <c r="A1766" s="103"/>
      <c r="B1766" s="103"/>
      <c r="C1766" s="104" t="e">
        <v>#REF!</v>
      </c>
      <c r="D1766" s="103"/>
      <c r="E1766" s="53"/>
      <c r="F1766" s="53"/>
      <c r="G1766" s="53"/>
      <c r="H1766" s="53"/>
      <c r="I1766" s="53"/>
      <c r="J1766" s="53"/>
      <c r="K1766" s="53"/>
      <c r="L1766" s="53"/>
      <c r="M1766" s="53"/>
      <c r="N1766" s="53"/>
      <c r="O1766" s="53"/>
      <c r="P1766" s="53"/>
      <c r="Q1766" s="53"/>
      <c r="R1766" s="53"/>
      <c r="S1766" s="53"/>
      <c r="T1766" s="53"/>
      <c r="U1766" s="53"/>
      <c r="V1766" s="53"/>
      <c r="W1766" s="53"/>
      <c r="X1766" s="53"/>
      <c r="Y1766" s="53"/>
      <c r="Z1766" s="53"/>
    </row>
    <row r="1767" spans="1:26" ht="15.75" customHeight="1">
      <c r="A1767" s="103"/>
      <c r="B1767" s="103"/>
      <c r="C1767" s="104" t="e">
        <v>#REF!</v>
      </c>
      <c r="D1767" s="103"/>
      <c r="E1767" s="53"/>
      <c r="F1767" s="53"/>
      <c r="G1767" s="53"/>
      <c r="H1767" s="53"/>
      <c r="I1767" s="53"/>
      <c r="J1767" s="53"/>
      <c r="K1767" s="53"/>
      <c r="L1767" s="53"/>
      <c r="M1767" s="53"/>
      <c r="N1767" s="53"/>
      <c r="O1767" s="53"/>
      <c r="P1767" s="53"/>
      <c r="Q1767" s="53"/>
      <c r="R1767" s="53"/>
      <c r="S1767" s="53"/>
      <c r="T1767" s="53"/>
      <c r="U1767" s="53"/>
      <c r="V1767" s="53"/>
      <c r="W1767" s="53"/>
      <c r="X1767" s="53"/>
      <c r="Y1767" s="53"/>
      <c r="Z1767" s="53"/>
    </row>
    <row r="1768" spans="1:26" ht="15.75" customHeight="1">
      <c r="A1768" s="103"/>
      <c r="B1768" s="103"/>
      <c r="C1768" s="104" t="e">
        <v>#REF!</v>
      </c>
      <c r="D1768" s="103"/>
      <c r="E1768" s="53"/>
      <c r="F1768" s="53"/>
      <c r="G1768" s="53"/>
      <c r="H1768" s="53"/>
      <c r="I1768" s="53"/>
      <c r="J1768" s="53"/>
      <c r="K1768" s="53"/>
      <c r="L1768" s="53"/>
      <c r="M1768" s="53"/>
      <c r="N1768" s="53"/>
      <c r="O1768" s="53"/>
      <c r="P1768" s="53"/>
      <c r="Q1768" s="53"/>
      <c r="R1768" s="53"/>
      <c r="S1768" s="53"/>
      <c r="T1768" s="53"/>
      <c r="U1768" s="53"/>
      <c r="V1768" s="53"/>
      <c r="W1768" s="53"/>
      <c r="X1768" s="53"/>
      <c r="Y1768" s="53"/>
      <c r="Z1768" s="53"/>
    </row>
    <row r="1769" spans="1:26" ht="15.75" customHeight="1">
      <c r="A1769" s="103"/>
      <c r="B1769" s="103"/>
      <c r="C1769" s="104" t="e">
        <v>#REF!</v>
      </c>
      <c r="D1769" s="103"/>
      <c r="E1769" s="53"/>
      <c r="F1769" s="53"/>
      <c r="G1769" s="53"/>
      <c r="H1769" s="53"/>
      <c r="I1769" s="53"/>
      <c r="J1769" s="53"/>
      <c r="K1769" s="53"/>
      <c r="L1769" s="53"/>
      <c r="M1769" s="53"/>
      <c r="N1769" s="53"/>
      <c r="O1769" s="53"/>
      <c r="P1769" s="53"/>
      <c r="Q1769" s="53"/>
      <c r="R1769" s="53"/>
      <c r="S1769" s="53"/>
      <c r="T1769" s="53"/>
      <c r="U1769" s="53"/>
      <c r="V1769" s="53"/>
      <c r="W1769" s="53"/>
      <c r="X1769" s="53"/>
      <c r="Y1769" s="53"/>
      <c r="Z1769" s="53"/>
    </row>
    <row r="1770" spans="1:26" ht="15.75" customHeight="1">
      <c r="A1770" s="103"/>
      <c r="B1770" s="103"/>
      <c r="C1770" s="104" t="e">
        <v>#REF!</v>
      </c>
      <c r="D1770" s="103"/>
      <c r="E1770" s="53"/>
      <c r="F1770" s="53"/>
      <c r="G1770" s="53"/>
      <c r="H1770" s="53"/>
      <c r="I1770" s="53"/>
      <c r="J1770" s="53"/>
      <c r="K1770" s="53"/>
      <c r="L1770" s="53"/>
      <c r="M1770" s="53"/>
      <c r="N1770" s="53"/>
      <c r="O1770" s="53"/>
      <c r="P1770" s="53"/>
      <c r="Q1770" s="53"/>
      <c r="R1770" s="53"/>
      <c r="S1770" s="53"/>
      <c r="T1770" s="53"/>
      <c r="U1770" s="53"/>
      <c r="V1770" s="53"/>
      <c r="W1770" s="53"/>
      <c r="X1770" s="53"/>
      <c r="Y1770" s="53"/>
      <c r="Z1770" s="53"/>
    </row>
    <row r="1771" spans="1:26" ht="15.75" customHeight="1">
      <c r="A1771" s="103"/>
      <c r="B1771" s="103"/>
      <c r="C1771" s="104" t="e">
        <v>#REF!</v>
      </c>
      <c r="D1771" s="103"/>
      <c r="E1771" s="53"/>
      <c r="F1771" s="53"/>
      <c r="G1771" s="53"/>
      <c r="H1771" s="53"/>
      <c r="I1771" s="53"/>
      <c r="J1771" s="53"/>
      <c r="K1771" s="53"/>
      <c r="L1771" s="53"/>
      <c r="M1771" s="53"/>
      <c r="N1771" s="53"/>
      <c r="O1771" s="53"/>
      <c r="P1771" s="53"/>
      <c r="Q1771" s="53"/>
      <c r="R1771" s="53"/>
      <c r="S1771" s="53"/>
      <c r="T1771" s="53"/>
      <c r="U1771" s="53"/>
      <c r="V1771" s="53"/>
      <c r="W1771" s="53"/>
      <c r="X1771" s="53"/>
      <c r="Y1771" s="53"/>
      <c r="Z1771" s="53"/>
    </row>
    <row r="1772" spans="1:26" ht="15.75" customHeight="1">
      <c r="A1772" s="103"/>
      <c r="B1772" s="103"/>
      <c r="C1772" s="104" t="e">
        <v>#REF!</v>
      </c>
      <c r="D1772" s="103"/>
      <c r="E1772" s="53"/>
      <c r="F1772" s="53"/>
      <c r="G1772" s="53"/>
      <c r="H1772" s="53"/>
      <c r="I1772" s="53"/>
      <c r="J1772" s="53"/>
      <c r="K1772" s="53"/>
      <c r="L1772" s="53"/>
      <c r="M1772" s="53"/>
      <c r="N1772" s="53"/>
      <c r="O1772" s="53"/>
      <c r="P1772" s="53"/>
      <c r="Q1772" s="53"/>
      <c r="R1772" s="53"/>
      <c r="S1772" s="53"/>
      <c r="T1772" s="53"/>
      <c r="U1772" s="53"/>
      <c r="V1772" s="53"/>
      <c r="W1772" s="53"/>
      <c r="X1772" s="53"/>
      <c r="Y1772" s="53"/>
      <c r="Z1772" s="53"/>
    </row>
    <row r="1773" spans="1:26" ht="15.75" customHeight="1">
      <c r="A1773" s="103"/>
      <c r="B1773" s="103"/>
      <c r="C1773" s="104" t="e">
        <v>#REF!</v>
      </c>
      <c r="D1773" s="103"/>
      <c r="E1773" s="53"/>
      <c r="F1773" s="53"/>
      <c r="G1773" s="53"/>
      <c r="H1773" s="53"/>
      <c r="I1773" s="53"/>
      <c r="J1773" s="53"/>
      <c r="K1773" s="53"/>
      <c r="L1773" s="53"/>
      <c r="M1773" s="53"/>
      <c r="N1773" s="53"/>
      <c r="O1773" s="53"/>
      <c r="P1773" s="53"/>
      <c r="Q1773" s="53"/>
      <c r="R1773" s="53"/>
      <c r="S1773" s="53"/>
      <c r="T1773" s="53"/>
      <c r="U1773" s="53"/>
      <c r="V1773" s="53"/>
      <c r="W1773" s="53"/>
      <c r="X1773" s="53"/>
      <c r="Y1773" s="53"/>
      <c r="Z1773" s="53"/>
    </row>
    <row r="1774" spans="1:26" ht="15.75" customHeight="1">
      <c r="A1774" s="103"/>
      <c r="B1774" s="103"/>
      <c r="C1774" s="104" t="e">
        <v>#REF!</v>
      </c>
      <c r="D1774" s="103"/>
      <c r="E1774" s="53"/>
      <c r="F1774" s="53"/>
      <c r="G1774" s="53"/>
      <c r="H1774" s="53"/>
      <c r="I1774" s="53"/>
      <c r="J1774" s="53"/>
      <c r="K1774" s="53"/>
      <c r="L1774" s="53"/>
      <c r="M1774" s="53"/>
      <c r="N1774" s="53"/>
      <c r="O1774" s="53"/>
      <c r="P1774" s="53"/>
      <c r="Q1774" s="53"/>
      <c r="R1774" s="53"/>
      <c r="S1774" s="53"/>
      <c r="T1774" s="53"/>
      <c r="U1774" s="53"/>
      <c r="V1774" s="53"/>
      <c r="W1774" s="53"/>
      <c r="X1774" s="53"/>
      <c r="Y1774" s="53"/>
      <c r="Z1774" s="53"/>
    </row>
    <row r="1775" spans="1:26" ht="15.75" customHeight="1">
      <c r="A1775" s="103"/>
      <c r="B1775" s="103"/>
      <c r="C1775" s="104" t="e">
        <v>#REF!</v>
      </c>
      <c r="D1775" s="103"/>
      <c r="E1775" s="53"/>
      <c r="F1775" s="53"/>
      <c r="G1775" s="53"/>
      <c r="H1775" s="53"/>
      <c r="I1775" s="53"/>
      <c r="J1775" s="53"/>
      <c r="K1775" s="53"/>
      <c r="L1775" s="53"/>
      <c r="M1775" s="53"/>
      <c r="N1775" s="53"/>
      <c r="O1775" s="53"/>
      <c r="P1775" s="53"/>
      <c r="Q1775" s="53"/>
      <c r="R1775" s="53"/>
      <c r="S1775" s="53"/>
      <c r="T1775" s="53"/>
      <c r="U1775" s="53"/>
      <c r="V1775" s="53"/>
      <c r="W1775" s="53"/>
      <c r="X1775" s="53"/>
      <c r="Y1775" s="53"/>
      <c r="Z1775" s="53"/>
    </row>
    <row r="1776" spans="1:26" ht="15.75" customHeight="1">
      <c r="A1776" s="103"/>
      <c r="B1776" s="103"/>
      <c r="C1776" s="104" t="e">
        <v>#REF!</v>
      </c>
      <c r="D1776" s="103"/>
      <c r="E1776" s="53"/>
      <c r="F1776" s="53"/>
      <c r="G1776" s="53"/>
      <c r="H1776" s="53"/>
      <c r="I1776" s="53"/>
      <c r="J1776" s="53"/>
      <c r="K1776" s="53"/>
      <c r="L1776" s="53"/>
      <c r="M1776" s="53"/>
      <c r="N1776" s="53"/>
      <c r="O1776" s="53"/>
      <c r="P1776" s="53"/>
      <c r="Q1776" s="53"/>
      <c r="R1776" s="53"/>
      <c r="S1776" s="53"/>
      <c r="T1776" s="53"/>
      <c r="U1776" s="53"/>
      <c r="V1776" s="53"/>
      <c r="W1776" s="53"/>
      <c r="X1776" s="53"/>
      <c r="Y1776" s="53"/>
      <c r="Z1776" s="53"/>
    </row>
    <row r="1777" spans="1:26" ht="15.75" customHeight="1">
      <c r="A1777" s="103"/>
      <c r="B1777" s="103"/>
      <c r="C1777" s="104" t="e">
        <v>#REF!</v>
      </c>
      <c r="D1777" s="103"/>
      <c r="E1777" s="53"/>
      <c r="F1777" s="53"/>
      <c r="G1777" s="53"/>
      <c r="H1777" s="53"/>
      <c r="I1777" s="53"/>
      <c r="J1777" s="53"/>
      <c r="K1777" s="53"/>
      <c r="L1777" s="53"/>
      <c r="M1777" s="53"/>
      <c r="N1777" s="53"/>
      <c r="O1777" s="53"/>
      <c r="P1777" s="53"/>
      <c r="Q1777" s="53"/>
      <c r="R1777" s="53"/>
      <c r="S1777" s="53"/>
      <c r="T1777" s="53"/>
      <c r="U1777" s="53"/>
      <c r="V1777" s="53"/>
      <c r="W1777" s="53"/>
      <c r="X1777" s="53"/>
      <c r="Y1777" s="53"/>
      <c r="Z1777" s="53"/>
    </row>
    <row r="1778" spans="1:26" ht="15.75" customHeight="1">
      <c r="A1778" s="103"/>
      <c r="B1778" s="103"/>
      <c r="C1778" s="104" t="e">
        <v>#REF!</v>
      </c>
      <c r="D1778" s="103"/>
      <c r="E1778" s="53"/>
      <c r="F1778" s="53"/>
      <c r="G1778" s="53"/>
      <c r="H1778" s="53"/>
      <c r="I1778" s="53"/>
      <c r="J1778" s="53"/>
      <c r="K1778" s="53"/>
      <c r="L1778" s="53"/>
      <c r="M1778" s="53"/>
      <c r="N1778" s="53"/>
      <c r="O1778" s="53"/>
      <c r="P1778" s="53"/>
      <c r="Q1778" s="53"/>
      <c r="R1778" s="53"/>
      <c r="S1778" s="53"/>
      <c r="T1778" s="53"/>
      <c r="U1778" s="53"/>
      <c r="V1778" s="53"/>
      <c r="W1778" s="53"/>
      <c r="X1778" s="53"/>
      <c r="Y1778" s="53"/>
      <c r="Z1778" s="53"/>
    </row>
    <row r="1779" spans="1:26" ht="15.75" customHeight="1">
      <c r="A1779" s="103"/>
      <c r="B1779" s="103"/>
      <c r="C1779" s="104" t="e">
        <v>#REF!</v>
      </c>
      <c r="D1779" s="103"/>
      <c r="E1779" s="53"/>
      <c r="F1779" s="53"/>
      <c r="G1779" s="53"/>
      <c r="H1779" s="53"/>
      <c r="I1779" s="53"/>
      <c r="J1779" s="53"/>
      <c r="K1779" s="53"/>
      <c r="L1779" s="53"/>
      <c r="M1779" s="53"/>
      <c r="N1779" s="53"/>
      <c r="O1779" s="53"/>
      <c r="P1779" s="53"/>
      <c r="Q1779" s="53"/>
      <c r="R1779" s="53"/>
      <c r="S1779" s="53"/>
      <c r="T1779" s="53"/>
      <c r="U1779" s="53"/>
      <c r="V1779" s="53"/>
      <c r="W1779" s="53"/>
      <c r="X1779" s="53"/>
      <c r="Y1779" s="53"/>
      <c r="Z1779" s="53"/>
    </row>
    <row r="1780" spans="1:26" ht="15.75" customHeight="1">
      <c r="A1780" s="103"/>
      <c r="B1780" s="103"/>
      <c r="C1780" s="104" t="e">
        <v>#REF!</v>
      </c>
      <c r="D1780" s="103"/>
      <c r="E1780" s="53"/>
      <c r="F1780" s="53"/>
      <c r="G1780" s="53"/>
      <c r="H1780" s="53"/>
      <c r="I1780" s="53"/>
      <c r="J1780" s="53"/>
      <c r="K1780" s="53"/>
      <c r="L1780" s="53"/>
      <c r="M1780" s="53"/>
      <c r="N1780" s="53"/>
      <c r="O1780" s="53"/>
      <c r="P1780" s="53"/>
      <c r="Q1780" s="53"/>
      <c r="R1780" s="53"/>
      <c r="S1780" s="53"/>
      <c r="T1780" s="53"/>
      <c r="U1780" s="53"/>
      <c r="V1780" s="53"/>
      <c r="W1780" s="53"/>
      <c r="X1780" s="53"/>
      <c r="Y1780" s="53"/>
      <c r="Z1780" s="53"/>
    </row>
    <row r="1781" spans="1:26" ht="15.75" customHeight="1">
      <c r="A1781" s="103"/>
      <c r="B1781" s="103"/>
      <c r="C1781" s="104" t="e">
        <v>#REF!</v>
      </c>
      <c r="D1781" s="103"/>
      <c r="E1781" s="53"/>
      <c r="F1781" s="53"/>
      <c r="G1781" s="53"/>
      <c r="H1781" s="53"/>
      <c r="I1781" s="53"/>
      <c r="J1781" s="53"/>
      <c r="K1781" s="53"/>
      <c r="L1781" s="53"/>
      <c r="M1781" s="53"/>
      <c r="N1781" s="53"/>
      <c r="O1781" s="53"/>
      <c r="P1781" s="53"/>
      <c r="Q1781" s="53"/>
      <c r="R1781" s="53"/>
      <c r="S1781" s="53"/>
      <c r="T1781" s="53"/>
      <c r="U1781" s="53"/>
      <c r="V1781" s="53"/>
      <c r="W1781" s="53"/>
      <c r="X1781" s="53"/>
      <c r="Y1781" s="53"/>
      <c r="Z1781" s="53"/>
    </row>
    <row r="1782" spans="1:26" ht="15.75" customHeight="1">
      <c r="A1782" s="103"/>
      <c r="B1782" s="103"/>
      <c r="C1782" s="104" t="e">
        <v>#REF!</v>
      </c>
      <c r="D1782" s="103"/>
      <c r="E1782" s="53"/>
      <c r="F1782" s="53"/>
      <c r="G1782" s="53"/>
      <c r="H1782" s="53"/>
      <c r="I1782" s="53"/>
      <c r="J1782" s="53"/>
      <c r="K1782" s="53"/>
      <c r="L1782" s="53"/>
      <c r="M1782" s="53"/>
      <c r="N1782" s="53"/>
      <c r="O1782" s="53"/>
      <c r="P1782" s="53"/>
      <c r="Q1782" s="53"/>
      <c r="R1782" s="53"/>
      <c r="S1782" s="53"/>
      <c r="T1782" s="53"/>
      <c r="U1782" s="53"/>
      <c r="V1782" s="53"/>
      <c r="W1782" s="53"/>
      <c r="X1782" s="53"/>
      <c r="Y1782" s="53"/>
      <c r="Z1782" s="53"/>
    </row>
    <row r="1783" spans="1:26" ht="15.75" customHeight="1">
      <c r="A1783" s="103"/>
      <c r="B1783" s="103"/>
      <c r="C1783" s="104" t="e">
        <v>#REF!</v>
      </c>
      <c r="D1783" s="103"/>
      <c r="E1783" s="53"/>
      <c r="F1783" s="53"/>
      <c r="G1783" s="53"/>
      <c r="H1783" s="53"/>
      <c r="I1783" s="53"/>
      <c r="J1783" s="53"/>
      <c r="K1783" s="53"/>
      <c r="L1783" s="53"/>
      <c r="M1783" s="53"/>
      <c r="N1783" s="53"/>
      <c r="O1783" s="53"/>
      <c r="P1783" s="53"/>
      <c r="Q1783" s="53"/>
      <c r="R1783" s="53"/>
      <c r="S1783" s="53"/>
      <c r="T1783" s="53"/>
      <c r="U1783" s="53"/>
      <c r="V1783" s="53"/>
      <c r="W1783" s="53"/>
      <c r="X1783" s="53"/>
      <c r="Y1783" s="53"/>
      <c r="Z1783" s="53"/>
    </row>
    <row r="1784" spans="1:26" ht="15.75" customHeight="1">
      <c r="A1784" s="103"/>
      <c r="B1784" s="103"/>
      <c r="C1784" s="104" t="e">
        <v>#REF!</v>
      </c>
      <c r="D1784" s="103"/>
      <c r="E1784" s="53"/>
      <c r="F1784" s="53"/>
      <c r="G1784" s="53"/>
      <c r="H1784" s="53"/>
      <c r="I1784" s="53"/>
      <c r="J1784" s="53"/>
      <c r="K1784" s="53"/>
      <c r="L1784" s="53"/>
      <c r="M1784" s="53"/>
      <c r="N1784" s="53"/>
      <c r="O1784" s="53"/>
      <c r="P1784" s="53"/>
      <c r="Q1784" s="53"/>
      <c r="R1784" s="53"/>
      <c r="S1784" s="53"/>
      <c r="T1784" s="53"/>
      <c r="U1784" s="53"/>
      <c r="V1784" s="53"/>
      <c r="W1784" s="53"/>
      <c r="X1784" s="53"/>
      <c r="Y1784" s="53"/>
      <c r="Z1784" s="53"/>
    </row>
    <row r="1785" spans="1:26" ht="15.75" customHeight="1">
      <c r="A1785" s="103"/>
      <c r="B1785" s="103"/>
      <c r="C1785" s="104" t="e">
        <v>#REF!</v>
      </c>
      <c r="D1785" s="10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</row>
    <row r="1786" spans="1:26" ht="15.75" customHeight="1">
      <c r="A1786" s="103"/>
      <c r="B1786" s="103"/>
      <c r="C1786" s="104" t="e">
        <v>#REF!</v>
      </c>
      <c r="D1786" s="103"/>
      <c r="E1786" s="53"/>
      <c r="F1786" s="53"/>
      <c r="G1786" s="53"/>
      <c r="H1786" s="53"/>
      <c r="I1786" s="53"/>
      <c r="J1786" s="53"/>
      <c r="K1786" s="53"/>
      <c r="L1786" s="53"/>
      <c r="M1786" s="53"/>
      <c r="N1786" s="53"/>
      <c r="O1786" s="53"/>
      <c r="P1786" s="53"/>
      <c r="Q1786" s="53"/>
      <c r="R1786" s="53"/>
      <c r="S1786" s="53"/>
      <c r="T1786" s="53"/>
      <c r="U1786" s="53"/>
      <c r="V1786" s="53"/>
      <c r="W1786" s="53"/>
      <c r="X1786" s="53"/>
      <c r="Y1786" s="53"/>
      <c r="Z1786" s="53"/>
    </row>
    <row r="1787" spans="1:26" ht="15.75" customHeight="1">
      <c r="A1787" s="103"/>
      <c r="B1787" s="103"/>
      <c r="C1787" s="104" t="e">
        <v>#REF!</v>
      </c>
      <c r="D1787" s="103"/>
      <c r="E1787" s="53"/>
      <c r="F1787" s="53"/>
      <c r="G1787" s="53"/>
      <c r="H1787" s="53"/>
      <c r="I1787" s="53"/>
      <c r="J1787" s="53"/>
      <c r="K1787" s="53"/>
      <c r="L1787" s="53"/>
      <c r="M1787" s="53"/>
      <c r="N1787" s="53"/>
      <c r="O1787" s="53"/>
      <c r="P1787" s="53"/>
      <c r="Q1787" s="53"/>
      <c r="R1787" s="53"/>
      <c r="S1787" s="53"/>
      <c r="T1787" s="53"/>
      <c r="U1787" s="53"/>
      <c r="V1787" s="53"/>
      <c r="W1787" s="53"/>
      <c r="X1787" s="53"/>
      <c r="Y1787" s="53"/>
      <c r="Z1787" s="53"/>
    </row>
    <row r="1788" spans="1:26" ht="15.75" customHeight="1">
      <c r="A1788" s="103"/>
      <c r="B1788" s="103"/>
      <c r="C1788" s="104" t="e">
        <v>#REF!</v>
      </c>
      <c r="D1788" s="103"/>
      <c r="E1788" s="53"/>
      <c r="F1788" s="53"/>
      <c r="G1788" s="53"/>
      <c r="H1788" s="53"/>
      <c r="I1788" s="53"/>
      <c r="J1788" s="53"/>
      <c r="K1788" s="53"/>
      <c r="L1788" s="53"/>
      <c r="M1788" s="53"/>
      <c r="N1788" s="53"/>
      <c r="O1788" s="53"/>
      <c r="P1788" s="53"/>
      <c r="Q1788" s="53"/>
      <c r="R1788" s="53"/>
      <c r="S1788" s="53"/>
      <c r="T1788" s="53"/>
      <c r="U1788" s="53"/>
      <c r="V1788" s="53"/>
      <c r="W1788" s="53"/>
      <c r="X1788" s="53"/>
      <c r="Y1788" s="53"/>
      <c r="Z1788" s="53"/>
    </row>
    <row r="1789" spans="1:26" ht="15.75" customHeight="1">
      <c r="A1789" s="103"/>
      <c r="B1789" s="103"/>
      <c r="C1789" s="104" t="e">
        <v>#REF!</v>
      </c>
      <c r="D1789" s="103"/>
      <c r="E1789" s="53"/>
      <c r="F1789" s="53"/>
      <c r="G1789" s="53"/>
      <c r="H1789" s="53"/>
      <c r="I1789" s="53"/>
      <c r="J1789" s="53"/>
      <c r="K1789" s="53"/>
      <c r="L1789" s="53"/>
      <c r="M1789" s="53"/>
      <c r="N1789" s="53"/>
      <c r="O1789" s="53"/>
      <c r="P1789" s="53"/>
      <c r="Q1789" s="53"/>
      <c r="R1789" s="53"/>
      <c r="S1789" s="53"/>
      <c r="T1789" s="53"/>
      <c r="U1789" s="53"/>
      <c r="V1789" s="53"/>
      <c r="W1789" s="53"/>
      <c r="X1789" s="53"/>
      <c r="Y1789" s="53"/>
      <c r="Z1789" s="53"/>
    </row>
    <row r="1790" spans="1:26" ht="15.75" customHeight="1">
      <c r="A1790" s="103"/>
      <c r="B1790" s="103"/>
      <c r="C1790" s="104" t="e">
        <v>#REF!</v>
      </c>
      <c r="D1790" s="10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53"/>
      <c r="T1790" s="53"/>
      <c r="U1790" s="53"/>
      <c r="V1790" s="53"/>
      <c r="W1790" s="53"/>
      <c r="X1790" s="53"/>
      <c r="Y1790" s="53"/>
      <c r="Z1790" s="53"/>
    </row>
    <row r="1791" spans="1:26" ht="15.75" customHeight="1">
      <c r="A1791" s="103"/>
      <c r="B1791" s="103"/>
      <c r="C1791" s="104" t="e">
        <v>#REF!</v>
      </c>
      <c r="D1791" s="103"/>
      <c r="E1791" s="53"/>
      <c r="F1791" s="53"/>
      <c r="G1791" s="53"/>
      <c r="H1791" s="53"/>
      <c r="I1791" s="53"/>
      <c r="J1791" s="53"/>
      <c r="K1791" s="53"/>
      <c r="L1791" s="53"/>
      <c r="M1791" s="53"/>
      <c r="N1791" s="53"/>
      <c r="O1791" s="53"/>
      <c r="P1791" s="53"/>
      <c r="Q1791" s="53"/>
      <c r="R1791" s="53"/>
      <c r="S1791" s="53"/>
      <c r="T1791" s="53"/>
      <c r="U1791" s="53"/>
      <c r="V1791" s="53"/>
      <c r="W1791" s="53"/>
      <c r="X1791" s="53"/>
      <c r="Y1791" s="53"/>
      <c r="Z1791" s="53"/>
    </row>
    <row r="1792" spans="1:26" ht="15.75" customHeight="1">
      <c r="A1792" s="103"/>
      <c r="B1792" s="103"/>
      <c r="C1792" s="104" t="e">
        <v>#REF!</v>
      </c>
      <c r="D1792" s="103"/>
      <c r="E1792" s="53"/>
      <c r="F1792" s="53"/>
      <c r="G1792" s="53"/>
      <c r="H1792" s="53"/>
      <c r="I1792" s="53"/>
      <c r="J1792" s="53"/>
      <c r="K1792" s="53"/>
      <c r="L1792" s="53"/>
      <c r="M1792" s="53"/>
      <c r="N1792" s="53"/>
      <c r="O1792" s="53"/>
      <c r="P1792" s="53"/>
      <c r="Q1792" s="53"/>
      <c r="R1792" s="53"/>
      <c r="S1792" s="53"/>
      <c r="T1792" s="53"/>
      <c r="U1792" s="53"/>
      <c r="V1792" s="53"/>
      <c r="W1792" s="53"/>
      <c r="X1792" s="53"/>
      <c r="Y1792" s="53"/>
      <c r="Z1792" s="53"/>
    </row>
    <row r="1793" spans="1:26" ht="15.75" customHeight="1">
      <c r="A1793" s="103"/>
      <c r="B1793" s="103"/>
      <c r="C1793" s="104" t="e">
        <v>#REF!</v>
      </c>
      <c r="D1793" s="103"/>
      <c r="E1793" s="53"/>
      <c r="F1793" s="53"/>
      <c r="G1793" s="53"/>
      <c r="H1793" s="53"/>
      <c r="I1793" s="53"/>
      <c r="J1793" s="53"/>
      <c r="K1793" s="53"/>
      <c r="L1793" s="53"/>
      <c r="M1793" s="53"/>
      <c r="N1793" s="53"/>
      <c r="O1793" s="53"/>
      <c r="P1793" s="53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</row>
    <row r="1794" spans="1:26" ht="15.75" customHeight="1">
      <c r="A1794" s="103"/>
      <c r="B1794" s="103"/>
      <c r="C1794" s="104" t="e">
        <v>#REF!</v>
      </c>
      <c r="D1794" s="103"/>
      <c r="E1794" s="53"/>
      <c r="F1794" s="53"/>
      <c r="G1794" s="53"/>
      <c r="H1794" s="53"/>
      <c r="I1794" s="53"/>
      <c r="J1794" s="53"/>
      <c r="K1794" s="53"/>
      <c r="L1794" s="53"/>
      <c r="M1794" s="53"/>
      <c r="N1794" s="53"/>
      <c r="O1794" s="53"/>
      <c r="P1794" s="53"/>
      <c r="Q1794" s="53"/>
      <c r="R1794" s="53"/>
      <c r="S1794" s="53"/>
      <c r="T1794" s="53"/>
      <c r="U1794" s="53"/>
      <c r="V1794" s="53"/>
      <c r="W1794" s="53"/>
      <c r="X1794" s="53"/>
      <c r="Y1794" s="53"/>
      <c r="Z1794" s="53"/>
    </row>
    <row r="1795" spans="1:26" ht="15.75" customHeight="1">
      <c r="A1795" s="103"/>
      <c r="B1795" s="103"/>
      <c r="C1795" s="104" t="e">
        <v>#REF!</v>
      </c>
      <c r="D1795" s="103"/>
      <c r="E1795" s="53"/>
      <c r="F1795" s="53"/>
      <c r="G1795" s="53"/>
      <c r="H1795" s="53"/>
      <c r="I1795" s="53"/>
      <c r="J1795" s="53"/>
      <c r="K1795" s="53"/>
      <c r="L1795" s="53"/>
      <c r="M1795" s="53"/>
      <c r="N1795" s="53"/>
      <c r="O1795" s="53"/>
      <c r="P1795" s="53"/>
      <c r="Q1795" s="53"/>
      <c r="R1795" s="53"/>
      <c r="S1795" s="53"/>
      <c r="T1795" s="53"/>
      <c r="U1795" s="53"/>
      <c r="V1795" s="53"/>
      <c r="W1795" s="53"/>
      <c r="X1795" s="53"/>
      <c r="Y1795" s="53"/>
      <c r="Z1795" s="53"/>
    </row>
    <row r="1796" spans="1:26" ht="15.75" customHeight="1">
      <c r="A1796" s="103"/>
      <c r="B1796" s="103"/>
      <c r="C1796" s="104" t="e">
        <v>#REF!</v>
      </c>
      <c r="D1796" s="103"/>
      <c r="E1796" s="53"/>
      <c r="F1796" s="53"/>
      <c r="G1796" s="53"/>
      <c r="H1796" s="53"/>
      <c r="I1796" s="53"/>
      <c r="J1796" s="53"/>
      <c r="K1796" s="53"/>
      <c r="L1796" s="53"/>
      <c r="M1796" s="53"/>
      <c r="N1796" s="53"/>
      <c r="O1796" s="53"/>
      <c r="P1796" s="53"/>
      <c r="Q1796" s="53"/>
      <c r="R1796" s="53"/>
      <c r="S1796" s="53"/>
      <c r="T1796" s="53"/>
      <c r="U1796" s="53"/>
      <c r="V1796" s="53"/>
      <c r="W1796" s="53"/>
      <c r="X1796" s="53"/>
      <c r="Y1796" s="53"/>
      <c r="Z1796" s="53"/>
    </row>
    <row r="1797" spans="1:26" ht="15.75" customHeight="1">
      <c r="A1797" s="103"/>
      <c r="B1797" s="103"/>
      <c r="C1797" s="104" t="e">
        <v>#REF!</v>
      </c>
      <c r="D1797" s="103"/>
      <c r="E1797" s="53"/>
      <c r="F1797" s="53"/>
      <c r="G1797" s="53"/>
      <c r="H1797" s="53"/>
      <c r="I1797" s="53"/>
      <c r="J1797" s="53"/>
      <c r="K1797" s="53"/>
      <c r="L1797" s="53"/>
      <c r="M1797" s="53"/>
      <c r="N1797" s="53"/>
      <c r="O1797" s="53"/>
      <c r="P1797" s="53"/>
      <c r="Q1797" s="53"/>
      <c r="R1797" s="53"/>
      <c r="S1797" s="53"/>
      <c r="T1797" s="53"/>
      <c r="U1797" s="53"/>
      <c r="V1797" s="53"/>
      <c r="W1797" s="53"/>
      <c r="X1797" s="53"/>
      <c r="Y1797" s="53"/>
      <c r="Z1797" s="53"/>
    </row>
    <row r="1798" spans="1:26" ht="15.75" customHeight="1">
      <c r="A1798" s="103"/>
      <c r="B1798" s="103"/>
      <c r="C1798" s="104" t="e">
        <v>#REF!</v>
      </c>
      <c r="D1798" s="103"/>
      <c r="E1798" s="53"/>
      <c r="F1798" s="53"/>
      <c r="G1798" s="53"/>
      <c r="H1798" s="53"/>
      <c r="I1798" s="53"/>
      <c r="J1798" s="53"/>
      <c r="K1798" s="53"/>
      <c r="L1798" s="53"/>
      <c r="M1798" s="53"/>
      <c r="N1798" s="53"/>
      <c r="O1798" s="53"/>
      <c r="P1798" s="53"/>
      <c r="Q1798" s="53"/>
      <c r="R1798" s="53"/>
      <c r="S1798" s="53"/>
      <c r="T1798" s="53"/>
      <c r="U1798" s="53"/>
      <c r="V1798" s="53"/>
      <c r="W1798" s="53"/>
      <c r="X1798" s="53"/>
      <c r="Y1798" s="53"/>
      <c r="Z1798" s="53"/>
    </row>
    <row r="1799" spans="1:26" ht="15.75" customHeight="1">
      <c r="A1799" s="103"/>
      <c r="B1799" s="103"/>
      <c r="C1799" s="104" t="e">
        <v>#REF!</v>
      </c>
      <c r="D1799" s="103"/>
      <c r="E1799" s="53"/>
      <c r="F1799" s="53"/>
      <c r="G1799" s="53"/>
      <c r="H1799" s="53"/>
      <c r="I1799" s="53"/>
      <c r="J1799" s="53"/>
      <c r="K1799" s="53"/>
      <c r="L1799" s="53"/>
      <c r="M1799" s="53"/>
      <c r="N1799" s="53"/>
      <c r="O1799" s="53"/>
      <c r="P1799" s="53"/>
      <c r="Q1799" s="53"/>
      <c r="R1799" s="53"/>
      <c r="S1799" s="53"/>
      <c r="T1799" s="53"/>
      <c r="U1799" s="53"/>
      <c r="V1799" s="53"/>
      <c r="W1799" s="53"/>
      <c r="X1799" s="53"/>
      <c r="Y1799" s="53"/>
      <c r="Z1799" s="53"/>
    </row>
    <row r="1800" spans="1:26" ht="15.75" customHeight="1">
      <c r="A1800" s="103"/>
      <c r="B1800" s="103"/>
      <c r="C1800" s="104" t="e">
        <v>#REF!</v>
      </c>
      <c r="D1800" s="103"/>
      <c r="E1800" s="53"/>
      <c r="F1800" s="53"/>
      <c r="G1800" s="53"/>
      <c r="H1800" s="53"/>
      <c r="I1800" s="53"/>
      <c r="J1800" s="53"/>
      <c r="K1800" s="53"/>
      <c r="L1800" s="53"/>
      <c r="M1800" s="53"/>
      <c r="N1800" s="53"/>
      <c r="O1800" s="53"/>
      <c r="P1800" s="53"/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</row>
    <row r="1801" spans="1:26" ht="15.75" customHeight="1">
      <c r="A1801" s="103"/>
      <c r="B1801" s="103"/>
      <c r="C1801" s="104" t="e">
        <v>#REF!</v>
      </c>
      <c r="D1801" s="103"/>
      <c r="E1801" s="53"/>
      <c r="F1801" s="53"/>
      <c r="G1801" s="53"/>
      <c r="H1801" s="53"/>
      <c r="I1801" s="53"/>
      <c r="J1801" s="53"/>
      <c r="K1801" s="53"/>
      <c r="L1801" s="53"/>
      <c r="M1801" s="53"/>
      <c r="N1801" s="53"/>
      <c r="O1801" s="53"/>
      <c r="P1801" s="53"/>
      <c r="Q1801" s="53"/>
      <c r="R1801" s="53"/>
      <c r="S1801" s="53"/>
      <c r="T1801" s="53"/>
      <c r="U1801" s="53"/>
      <c r="V1801" s="53"/>
      <c r="W1801" s="53"/>
      <c r="X1801" s="53"/>
      <c r="Y1801" s="53"/>
      <c r="Z1801" s="53"/>
    </row>
    <row r="1802" spans="1:26" ht="15.75" customHeight="1">
      <c r="A1802" s="103"/>
      <c r="B1802" s="103"/>
      <c r="C1802" s="104" t="e">
        <v>#REF!</v>
      </c>
      <c r="D1802" s="103"/>
      <c r="E1802" s="53"/>
      <c r="F1802" s="53"/>
      <c r="G1802" s="53"/>
      <c r="H1802" s="53"/>
      <c r="I1802" s="53"/>
      <c r="J1802" s="53"/>
      <c r="K1802" s="53"/>
      <c r="L1802" s="53"/>
      <c r="M1802" s="53"/>
      <c r="N1802" s="53"/>
      <c r="O1802" s="53"/>
      <c r="P1802" s="53"/>
      <c r="Q1802" s="53"/>
      <c r="R1802" s="53"/>
      <c r="S1802" s="53"/>
      <c r="T1802" s="53"/>
      <c r="U1802" s="53"/>
      <c r="V1802" s="53"/>
      <c r="W1802" s="53"/>
      <c r="X1802" s="53"/>
      <c r="Y1802" s="53"/>
      <c r="Z1802" s="53"/>
    </row>
    <row r="1803" spans="1:26" ht="15.75" customHeight="1">
      <c r="A1803" s="103"/>
      <c r="B1803" s="103"/>
      <c r="C1803" s="104" t="e">
        <v>#REF!</v>
      </c>
      <c r="D1803" s="103"/>
      <c r="E1803" s="53"/>
      <c r="F1803" s="53"/>
      <c r="G1803" s="53"/>
      <c r="H1803" s="53"/>
      <c r="I1803" s="53"/>
      <c r="J1803" s="53"/>
      <c r="K1803" s="53"/>
      <c r="L1803" s="53"/>
      <c r="M1803" s="53"/>
      <c r="N1803" s="53"/>
      <c r="O1803" s="53"/>
      <c r="P1803" s="53"/>
      <c r="Q1803" s="53"/>
      <c r="R1803" s="53"/>
      <c r="S1803" s="53"/>
      <c r="T1803" s="53"/>
      <c r="U1803" s="53"/>
      <c r="V1803" s="53"/>
      <c r="W1803" s="53"/>
      <c r="X1803" s="53"/>
      <c r="Y1803" s="53"/>
      <c r="Z1803" s="53"/>
    </row>
    <row r="1804" spans="1:26" ht="15.75" customHeight="1">
      <c r="A1804" s="103"/>
      <c r="B1804" s="103"/>
      <c r="C1804" s="104" t="e">
        <v>#REF!</v>
      </c>
      <c r="D1804" s="103"/>
      <c r="E1804" s="53"/>
      <c r="F1804" s="53"/>
      <c r="G1804" s="53"/>
      <c r="H1804" s="53"/>
      <c r="I1804" s="53"/>
      <c r="J1804" s="53"/>
      <c r="K1804" s="53"/>
      <c r="L1804" s="53"/>
      <c r="M1804" s="53"/>
      <c r="N1804" s="53"/>
      <c r="O1804" s="53"/>
      <c r="P1804" s="53"/>
      <c r="Q1804" s="53"/>
      <c r="R1804" s="53"/>
      <c r="S1804" s="53"/>
      <c r="T1804" s="53"/>
      <c r="U1804" s="53"/>
      <c r="V1804" s="53"/>
      <c r="W1804" s="53"/>
      <c r="X1804" s="53"/>
      <c r="Y1804" s="53"/>
      <c r="Z1804" s="53"/>
    </row>
    <row r="1805" spans="1:26" ht="15.75" customHeight="1">
      <c r="A1805" s="103"/>
      <c r="B1805" s="103"/>
      <c r="C1805" s="104" t="e">
        <v>#REF!</v>
      </c>
      <c r="D1805" s="103"/>
      <c r="E1805" s="53"/>
      <c r="F1805" s="53"/>
      <c r="G1805" s="53"/>
      <c r="H1805" s="53"/>
      <c r="I1805" s="53"/>
      <c r="J1805" s="53"/>
      <c r="K1805" s="53"/>
      <c r="L1805" s="53"/>
      <c r="M1805" s="53"/>
      <c r="N1805" s="53"/>
      <c r="O1805" s="53"/>
      <c r="P1805" s="53"/>
      <c r="Q1805" s="53"/>
      <c r="R1805" s="53"/>
      <c r="S1805" s="53"/>
      <c r="T1805" s="53"/>
      <c r="U1805" s="53"/>
      <c r="V1805" s="53"/>
      <c r="W1805" s="53"/>
      <c r="X1805" s="53"/>
      <c r="Y1805" s="53"/>
      <c r="Z1805" s="53"/>
    </row>
    <row r="1806" spans="1:26" ht="15.75" customHeight="1">
      <c r="A1806" s="103"/>
      <c r="B1806" s="103"/>
      <c r="C1806" s="104" t="e">
        <v>#REF!</v>
      </c>
      <c r="D1806" s="103"/>
      <c r="E1806" s="53"/>
      <c r="F1806" s="53"/>
      <c r="G1806" s="53"/>
      <c r="H1806" s="53"/>
      <c r="I1806" s="53"/>
      <c r="J1806" s="53"/>
      <c r="K1806" s="53"/>
      <c r="L1806" s="53"/>
      <c r="M1806" s="53"/>
      <c r="N1806" s="53"/>
      <c r="O1806" s="53"/>
      <c r="P1806" s="53"/>
      <c r="Q1806" s="53"/>
      <c r="R1806" s="53"/>
      <c r="S1806" s="53"/>
      <c r="T1806" s="53"/>
      <c r="U1806" s="53"/>
      <c r="V1806" s="53"/>
      <c r="W1806" s="53"/>
      <c r="X1806" s="53"/>
      <c r="Y1806" s="53"/>
      <c r="Z1806" s="53"/>
    </row>
    <row r="1807" spans="1:26" ht="15.75" customHeight="1">
      <c r="A1807" s="103"/>
      <c r="B1807" s="103"/>
      <c r="C1807" s="104" t="e">
        <v>#REF!</v>
      </c>
      <c r="D1807" s="103"/>
      <c r="E1807" s="53"/>
      <c r="F1807" s="53"/>
      <c r="G1807" s="53"/>
      <c r="H1807" s="53"/>
      <c r="I1807" s="53"/>
      <c r="J1807" s="53"/>
      <c r="K1807" s="53"/>
      <c r="L1807" s="53"/>
      <c r="M1807" s="53"/>
      <c r="N1807" s="53"/>
      <c r="O1807" s="53"/>
      <c r="P1807" s="53"/>
      <c r="Q1807" s="53"/>
      <c r="R1807" s="53"/>
      <c r="S1807" s="53"/>
      <c r="T1807" s="53"/>
      <c r="U1807" s="53"/>
      <c r="V1807" s="53"/>
      <c r="W1807" s="53"/>
      <c r="X1807" s="53"/>
      <c r="Y1807" s="53"/>
      <c r="Z1807" s="53"/>
    </row>
    <row r="1808" spans="1:26" ht="15.75" customHeight="1">
      <c r="A1808" s="103"/>
      <c r="B1808" s="103"/>
      <c r="C1808" s="104" t="e">
        <v>#REF!</v>
      </c>
      <c r="D1808" s="103"/>
      <c r="E1808" s="53"/>
      <c r="F1808" s="53"/>
      <c r="G1808" s="53"/>
      <c r="H1808" s="53"/>
      <c r="I1808" s="53"/>
      <c r="J1808" s="53"/>
      <c r="K1808" s="53"/>
      <c r="L1808" s="53"/>
      <c r="M1808" s="53"/>
      <c r="N1808" s="53"/>
      <c r="O1808" s="53"/>
      <c r="P1808" s="53"/>
      <c r="Q1808" s="53"/>
      <c r="R1808" s="53"/>
      <c r="S1808" s="53"/>
      <c r="T1808" s="53"/>
      <c r="U1808" s="53"/>
      <c r="V1808" s="53"/>
      <c r="W1808" s="53"/>
      <c r="X1808" s="53"/>
      <c r="Y1808" s="53"/>
      <c r="Z1808" s="53"/>
    </row>
    <row r="1809" spans="1:26" ht="15.75" customHeight="1">
      <c r="A1809" s="103"/>
      <c r="B1809" s="103"/>
      <c r="C1809" s="104" t="e">
        <v>#REF!</v>
      </c>
      <c r="D1809" s="103"/>
      <c r="E1809" s="53"/>
      <c r="F1809" s="53"/>
      <c r="G1809" s="53"/>
      <c r="H1809" s="53"/>
      <c r="I1809" s="53"/>
      <c r="J1809" s="53"/>
      <c r="K1809" s="53"/>
      <c r="L1809" s="53"/>
      <c r="M1809" s="53"/>
      <c r="N1809" s="53"/>
      <c r="O1809" s="53"/>
      <c r="P1809" s="53"/>
      <c r="Q1809" s="53"/>
      <c r="R1809" s="53"/>
      <c r="S1809" s="53"/>
      <c r="T1809" s="53"/>
      <c r="U1809" s="53"/>
      <c r="V1809" s="53"/>
      <c r="W1809" s="53"/>
      <c r="X1809" s="53"/>
      <c r="Y1809" s="53"/>
      <c r="Z1809" s="53"/>
    </row>
    <row r="1810" spans="1:26" ht="15.75" customHeight="1">
      <c r="A1810" s="103"/>
      <c r="B1810" s="103"/>
      <c r="C1810" s="104" t="e">
        <v>#REF!</v>
      </c>
      <c r="D1810" s="103"/>
      <c r="E1810" s="53"/>
      <c r="F1810" s="53"/>
      <c r="G1810" s="53"/>
      <c r="H1810" s="53"/>
      <c r="I1810" s="53"/>
      <c r="J1810" s="53"/>
      <c r="K1810" s="53"/>
      <c r="L1810" s="53"/>
      <c r="M1810" s="53"/>
      <c r="N1810" s="53"/>
      <c r="O1810" s="53"/>
      <c r="P1810" s="53"/>
      <c r="Q1810" s="53"/>
      <c r="R1810" s="53"/>
      <c r="S1810" s="53"/>
      <c r="T1810" s="53"/>
      <c r="U1810" s="53"/>
      <c r="V1810" s="53"/>
      <c r="W1810" s="53"/>
      <c r="X1810" s="53"/>
      <c r="Y1810" s="53"/>
      <c r="Z1810" s="53"/>
    </row>
    <row r="1811" spans="1:26" ht="15.75" customHeight="1">
      <c r="A1811" s="103"/>
      <c r="B1811" s="103"/>
      <c r="C1811" s="104" t="e">
        <v>#REF!</v>
      </c>
      <c r="D1811" s="103"/>
      <c r="E1811" s="53"/>
      <c r="F1811" s="53"/>
      <c r="G1811" s="53"/>
      <c r="H1811" s="53"/>
      <c r="I1811" s="53"/>
      <c r="J1811" s="53"/>
      <c r="K1811" s="53"/>
      <c r="L1811" s="53"/>
      <c r="M1811" s="53"/>
      <c r="N1811" s="53"/>
      <c r="O1811" s="53"/>
      <c r="P1811" s="53"/>
      <c r="Q1811" s="53"/>
      <c r="R1811" s="53"/>
      <c r="S1811" s="53"/>
      <c r="T1811" s="53"/>
      <c r="U1811" s="53"/>
      <c r="V1811" s="53"/>
      <c r="W1811" s="53"/>
      <c r="X1811" s="53"/>
      <c r="Y1811" s="53"/>
      <c r="Z1811" s="53"/>
    </row>
    <row r="1812" spans="1:26" ht="15.75" customHeight="1">
      <c r="A1812" s="103"/>
      <c r="B1812" s="103"/>
      <c r="C1812" s="104" t="e">
        <v>#REF!</v>
      </c>
      <c r="D1812" s="103"/>
      <c r="E1812" s="53"/>
      <c r="F1812" s="53"/>
      <c r="G1812" s="53"/>
      <c r="H1812" s="53"/>
      <c r="I1812" s="53"/>
      <c r="J1812" s="53"/>
      <c r="K1812" s="53"/>
      <c r="L1812" s="53"/>
      <c r="M1812" s="53"/>
      <c r="N1812" s="53"/>
      <c r="O1812" s="53"/>
      <c r="P1812" s="53"/>
      <c r="Q1812" s="53"/>
      <c r="R1812" s="53"/>
      <c r="S1812" s="53"/>
      <c r="T1812" s="53"/>
      <c r="U1812" s="53"/>
      <c r="V1812" s="53"/>
      <c r="W1812" s="53"/>
      <c r="X1812" s="53"/>
      <c r="Y1812" s="53"/>
      <c r="Z1812" s="53"/>
    </row>
    <row r="1813" spans="1:26" ht="15.75" customHeight="1">
      <c r="A1813" s="103"/>
      <c r="B1813" s="103"/>
      <c r="C1813" s="104" t="e">
        <v>#REF!</v>
      </c>
      <c r="D1813" s="103"/>
      <c r="E1813" s="53"/>
      <c r="F1813" s="53"/>
      <c r="G1813" s="53"/>
      <c r="H1813" s="53"/>
      <c r="I1813" s="53"/>
      <c r="J1813" s="53"/>
      <c r="K1813" s="53"/>
      <c r="L1813" s="53"/>
      <c r="M1813" s="53"/>
      <c r="N1813" s="53"/>
      <c r="O1813" s="53"/>
      <c r="P1813" s="53"/>
      <c r="Q1813" s="53"/>
      <c r="R1813" s="53"/>
      <c r="S1813" s="53"/>
      <c r="T1813" s="53"/>
      <c r="U1813" s="53"/>
      <c r="V1813" s="53"/>
      <c r="W1813" s="53"/>
      <c r="X1813" s="53"/>
      <c r="Y1813" s="53"/>
      <c r="Z1813" s="53"/>
    </row>
    <row r="1814" spans="1:26" ht="15.75" customHeight="1">
      <c r="A1814" s="103"/>
      <c r="B1814" s="103"/>
      <c r="C1814" s="104" t="e">
        <v>#REF!</v>
      </c>
      <c r="D1814" s="103"/>
      <c r="E1814" s="53"/>
      <c r="F1814" s="53"/>
      <c r="G1814" s="53"/>
      <c r="H1814" s="53"/>
      <c r="I1814" s="53"/>
      <c r="J1814" s="53"/>
      <c r="K1814" s="53"/>
      <c r="L1814" s="53"/>
      <c r="M1814" s="53"/>
      <c r="N1814" s="53"/>
      <c r="O1814" s="53"/>
      <c r="P1814" s="53"/>
      <c r="Q1814" s="53"/>
      <c r="R1814" s="53"/>
      <c r="S1814" s="53"/>
      <c r="T1814" s="53"/>
      <c r="U1814" s="53"/>
      <c r="V1814" s="53"/>
      <c r="W1814" s="53"/>
      <c r="X1814" s="53"/>
      <c r="Y1814" s="53"/>
      <c r="Z1814" s="53"/>
    </row>
    <row r="1815" spans="1:26" ht="15.75" customHeight="1">
      <c r="A1815" s="103"/>
      <c r="B1815" s="103"/>
      <c r="C1815" s="104" t="e">
        <v>#REF!</v>
      </c>
      <c r="D1815" s="103"/>
      <c r="E1815" s="53"/>
      <c r="F1815" s="53"/>
      <c r="G1815" s="53"/>
      <c r="H1815" s="53"/>
      <c r="I1815" s="53"/>
      <c r="J1815" s="53"/>
      <c r="K1815" s="53"/>
      <c r="L1815" s="53"/>
      <c r="M1815" s="53"/>
      <c r="N1815" s="53"/>
      <c r="O1815" s="53"/>
      <c r="P1815" s="53"/>
      <c r="Q1815" s="53"/>
      <c r="R1815" s="53"/>
      <c r="S1815" s="53"/>
      <c r="T1815" s="53"/>
      <c r="U1815" s="53"/>
      <c r="V1815" s="53"/>
      <c r="W1815" s="53"/>
      <c r="X1815" s="53"/>
      <c r="Y1815" s="53"/>
      <c r="Z1815" s="53"/>
    </row>
    <row r="1816" spans="1:26" ht="15.75" customHeight="1">
      <c r="A1816" s="103"/>
      <c r="B1816" s="103"/>
      <c r="C1816" s="104" t="e">
        <v>#REF!</v>
      </c>
      <c r="D1816" s="103"/>
      <c r="E1816" s="53"/>
      <c r="F1816" s="53"/>
      <c r="G1816" s="53"/>
      <c r="H1816" s="53"/>
      <c r="I1816" s="53"/>
      <c r="J1816" s="53"/>
      <c r="K1816" s="53"/>
      <c r="L1816" s="53"/>
      <c r="M1816" s="53"/>
      <c r="N1816" s="53"/>
      <c r="O1816" s="53"/>
      <c r="P1816" s="53"/>
      <c r="Q1816" s="53"/>
      <c r="R1816" s="53"/>
      <c r="S1816" s="53"/>
      <c r="T1816" s="53"/>
      <c r="U1816" s="53"/>
      <c r="V1816" s="53"/>
      <c r="W1816" s="53"/>
      <c r="X1816" s="53"/>
      <c r="Y1816" s="53"/>
      <c r="Z1816" s="53"/>
    </row>
    <row r="1817" spans="1:26" ht="15.75" customHeight="1">
      <c r="A1817" s="103"/>
      <c r="B1817" s="103"/>
      <c r="C1817" s="104" t="e">
        <v>#REF!</v>
      </c>
      <c r="D1817" s="103"/>
      <c r="E1817" s="53"/>
      <c r="F1817" s="53"/>
      <c r="G1817" s="53"/>
      <c r="H1817" s="53"/>
      <c r="I1817" s="53"/>
      <c r="J1817" s="53"/>
      <c r="K1817" s="53"/>
      <c r="L1817" s="53"/>
      <c r="M1817" s="53"/>
      <c r="N1817" s="53"/>
      <c r="O1817" s="53"/>
      <c r="P1817" s="53"/>
      <c r="Q1817" s="53"/>
      <c r="R1817" s="53"/>
      <c r="S1817" s="53"/>
      <c r="T1817" s="53"/>
      <c r="U1817" s="53"/>
      <c r="V1817" s="53"/>
      <c r="W1817" s="53"/>
      <c r="X1817" s="53"/>
      <c r="Y1817" s="53"/>
      <c r="Z1817" s="53"/>
    </row>
    <row r="1818" spans="1:26" ht="15.75" customHeight="1">
      <c r="A1818" s="103"/>
      <c r="B1818" s="103"/>
      <c r="C1818" s="104" t="e">
        <v>#REF!</v>
      </c>
      <c r="D1818" s="103"/>
      <c r="E1818" s="53"/>
      <c r="F1818" s="53"/>
      <c r="G1818" s="53"/>
      <c r="H1818" s="53"/>
      <c r="I1818" s="53"/>
      <c r="J1818" s="53"/>
      <c r="K1818" s="53"/>
      <c r="L1818" s="53"/>
      <c r="M1818" s="53"/>
      <c r="N1818" s="53"/>
      <c r="O1818" s="53"/>
      <c r="P1818" s="53"/>
      <c r="Q1818" s="53"/>
      <c r="R1818" s="53"/>
      <c r="S1818" s="53"/>
      <c r="T1818" s="53"/>
      <c r="U1818" s="53"/>
      <c r="V1818" s="53"/>
      <c r="W1818" s="53"/>
      <c r="X1818" s="53"/>
      <c r="Y1818" s="53"/>
      <c r="Z1818" s="53"/>
    </row>
    <row r="1819" spans="1:26" ht="15.75" customHeight="1">
      <c r="A1819" s="103"/>
      <c r="B1819" s="103"/>
      <c r="C1819" s="104" t="e">
        <v>#REF!</v>
      </c>
      <c r="D1819" s="103"/>
      <c r="E1819" s="53"/>
      <c r="F1819" s="53"/>
      <c r="G1819" s="53"/>
      <c r="H1819" s="53"/>
      <c r="I1819" s="53"/>
      <c r="J1819" s="53"/>
      <c r="K1819" s="53"/>
      <c r="L1819" s="53"/>
      <c r="M1819" s="53"/>
      <c r="N1819" s="53"/>
      <c r="O1819" s="53"/>
      <c r="P1819" s="53"/>
      <c r="Q1819" s="53"/>
      <c r="R1819" s="53"/>
      <c r="S1819" s="53"/>
      <c r="T1819" s="53"/>
      <c r="U1819" s="53"/>
      <c r="V1819" s="53"/>
      <c r="W1819" s="53"/>
      <c r="X1819" s="53"/>
      <c r="Y1819" s="53"/>
      <c r="Z1819" s="53"/>
    </row>
    <row r="1820" spans="1:26" ht="15.75" customHeight="1">
      <c r="A1820" s="103"/>
      <c r="B1820" s="103"/>
      <c r="C1820" s="104" t="e">
        <v>#REF!</v>
      </c>
      <c r="D1820" s="103"/>
      <c r="E1820" s="53"/>
      <c r="F1820" s="53"/>
      <c r="G1820" s="53"/>
      <c r="H1820" s="53"/>
      <c r="I1820" s="53"/>
      <c r="J1820" s="53"/>
      <c r="K1820" s="53"/>
      <c r="L1820" s="53"/>
      <c r="M1820" s="53"/>
      <c r="N1820" s="53"/>
      <c r="O1820" s="53"/>
      <c r="P1820" s="53"/>
      <c r="Q1820" s="53"/>
      <c r="R1820" s="53"/>
      <c r="S1820" s="53"/>
      <c r="T1820" s="53"/>
      <c r="U1820" s="53"/>
      <c r="V1820" s="53"/>
      <c r="W1820" s="53"/>
      <c r="X1820" s="53"/>
      <c r="Y1820" s="53"/>
      <c r="Z1820" s="53"/>
    </row>
    <row r="1821" spans="1:26" ht="15.75" customHeight="1">
      <c r="A1821" s="103"/>
      <c r="B1821" s="103"/>
      <c r="C1821" s="104" t="e">
        <v>#REF!</v>
      </c>
      <c r="D1821" s="103"/>
      <c r="E1821" s="53"/>
      <c r="F1821" s="53"/>
      <c r="G1821" s="53"/>
      <c r="H1821" s="53"/>
      <c r="I1821" s="53"/>
      <c r="J1821" s="53"/>
      <c r="K1821" s="53"/>
      <c r="L1821" s="53"/>
      <c r="M1821" s="53"/>
      <c r="N1821" s="53"/>
      <c r="O1821" s="53"/>
      <c r="P1821" s="53"/>
      <c r="Q1821" s="53"/>
      <c r="R1821" s="53"/>
      <c r="S1821" s="53"/>
      <c r="T1821" s="53"/>
      <c r="U1821" s="53"/>
      <c r="V1821" s="53"/>
      <c r="W1821" s="53"/>
      <c r="X1821" s="53"/>
      <c r="Y1821" s="53"/>
      <c r="Z1821" s="53"/>
    </row>
    <row r="1822" spans="1:26" ht="15.75" customHeight="1">
      <c r="A1822" s="103"/>
      <c r="B1822" s="103"/>
      <c r="C1822" s="104" t="e">
        <v>#REF!</v>
      </c>
      <c r="D1822" s="103"/>
      <c r="E1822" s="53"/>
      <c r="F1822" s="53"/>
      <c r="G1822" s="53"/>
      <c r="H1822" s="53"/>
      <c r="I1822" s="53"/>
      <c r="J1822" s="53"/>
      <c r="K1822" s="53"/>
      <c r="L1822" s="53"/>
      <c r="M1822" s="53"/>
      <c r="N1822" s="53"/>
      <c r="O1822" s="53"/>
      <c r="P1822" s="53"/>
      <c r="Q1822" s="53"/>
      <c r="R1822" s="53"/>
      <c r="S1822" s="53"/>
      <c r="T1822" s="53"/>
      <c r="U1822" s="53"/>
      <c r="V1822" s="53"/>
      <c r="W1822" s="53"/>
      <c r="X1822" s="53"/>
      <c r="Y1822" s="53"/>
      <c r="Z1822" s="53"/>
    </row>
    <row r="1823" spans="1:26" ht="15.75" customHeight="1">
      <c r="A1823" s="103"/>
      <c r="B1823" s="103"/>
      <c r="C1823" s="104" t="e">
        <v>#REF!</v>
      </c>
      <c r="D1823" s="103"/>
      <c r="E1823" s="53"/>
      <c r="F1823" s="53"/>
      <c r="G1823" s="53"/>
      <c r="H1823" s="53"/>
      <c r="I1823" s="53"/>
      <c r="J1823" s="53"/>
      <c r="K1823" s="53"/>
      <c r="L1823" s="53"/>
      <c r="M1823" s="53"/>
      <c r="N1823" s="53"/>
      <c r="O1823" s="53"/>
      <c r="P1823" s="53"/>
      <c r="Q1823" s="53"/>
      <c r="R1823" s="53"/>
      <c r="S1823" s="53"/>
      <c r="T1823" s="53"/>
      <c r="U1823" s="53"/>
      <c r="V1823" s="53"/>
      <c r="W1823" s="53"/>
      <c r="X1823" s="53"/>
      <c r="Y1823" s="53"/>
      <c r="Z1823" s="53"/>
    </row>
    <row r="1824" spans="1:26" ht="15.75" customHeight="1">
      <c r="A1824" s="103"/>
      <c r="B1824" s="103"/>
      <c r="C1824" s="104" t="e">
        <v>#REF!</v>
      </c>
      <c r="D1824" s="103"/>
      <c r="E1824" s="53"/>
      <c r="F1824" s="53"/>
      <c r="G1824" s="53"/>
      <c r="H1824" s="53"/>
      <c r="I1824" s="53"/>
      <c r="J1824" s="53"/>
      <c r="K1824" s="53"/>
      <c r="L1824" s="53"/>
      <c r="M1824" s="53"/>
      <c r="N1824" s="53"/>
      <c r="O1824" s="53"/>
      <c r="P1824" s="53"/>
      <c r="Q1824" s="53"/>
      <c r="R1824" s="53"/>
      <c r="S1824" s="53"/>
      <c r="T1824" s="53"/>
      <c r="U1824" s="53"/>
      <c r="V1824" s="53"/>
      <c r="W1824" s="53"/>
      <c r="X1824" s="53"/>
      <c r="Y1824" s="53"/>
      <c r="Z1824" s="53"/>
    </row>
    <row r="1825" spans="1:26" ht="15.75" customHeight="1">
      <c r="A1825" s="103"/>
      <c r="B1825" s="103"/>
      <c r="C1825" s="104" t="e">
        <v>#REF!</v>
      </c>
      <c r="D1825" s="103"/>
      <c r="E1825" s="53"/>
      <c r="F1825" s="53"/>
      <c r="G1825" s="53"/>
      <c r="H1825" s="53"/>
      <c r="I1825" s="53"/>
      <c r="J1825" s="53"/>
      <c r="K1825" s="53"/>
      <c r="L1825" s="53"/>
      <c r="M1825" s="53"/>
      <c r="N1825" s="53"/>
      <c r="O1825" s="53"/>
      <c r="P1825" s="53"/>
      <c r="Q1825" s="53"/>
      <c r="R1825" s="53"/>
      <c r="S1825" s="53"/>
      <c r="T1825" s="53"/>
      <c r="U1825" s="53"/>
      <c r="V1825" s="53"/>
      <c r="W1825" s="53"/>
      <c r="X1825" s="53"/>
      <c r="Y1825" s="53"/>
      <c r="Z1825" s="53"/>
    </row>
    <row r="1826" spans="1:26" ht="15.75" customHeight="1">
      <c r="A1826" s="103"/>
      <c r="B1826" s="103"/>
      <c r="C1826" s="104" t="e">
        <v>#REF!</v>
      </c>
      <c r="D1826" s="103"/>
      <c r="E1826" s="53"/>
      <c r="F1826" s="53"/>
      <c r="G1826" s="53"/>
      <c r="H1826" s="53"/>
      <c r="I1826" s="53"/>
      <c r="J1826" s="53"/>
      <c r="K1826" s="53"/>
      <c r="L1826" s="53"/>
      <c r="M1826" s="53"/>
      <c r="N1826" s="53"/>
      <c r="O1826" s="53"/>
      <c r="P1826" s="53"/>
      <c r="Q1826" s="53"/>
      <c r="R1826" s="53"/>
      <c r="S1826" s="53"/>
      <c r="T1826" s="53"/>
      <c r="U1826" s="53"/>
      <c r="V1826" s="53"/>
      <c r="W1826" s="53"/>
      <c r="X1826" s="53"/>
      <c r="Y1826" s="53"/>
      <c r="Z1826" s="53"/>
    </row>
    <row r="1827" spans="1:26" ht="15.75" customHeight="1">
      <c r="A1827" s="103"/>
      <c r="B1827" s="103"/>
      <c r="C1827" s="104" t="e">
        <v>#REF!</v>
      </c>
      <c r="D1827" s="103"/>
      <c r="E1827" s="53"/>
      <c r="F1827" s="53"/>
      <c r="G1827" s="53"/>
      <c r="H1827" s="53"/>
      <c r="I1827" s="53"/>
      <c r="J1827" s="53"/>
      <c r="K1827" s="53"/>
      <c r="L1827" s="53"/>
      <c r="M1827" s="53"/>
      <c r="N1827" s="53"/>
      <c r="O1827" s="53"/>
      <c r="P1827" s="53"/>
      <c r="Q1827" s="53"/>
      <c r="R1827" s="53"/>
      <c r="S1827" s="53"/>
      <c r="T1827" s="53"/>
      <c r="U1827" s="53"/>
      <c r="V1827" s="53"/>
      <c r="W1827" s="53"/>
      <c r="X1827" s="53"/>
      <c r="Y1827" s="53"/>
      <c r="Z1827" s="53"/>
    </row>
    <row r="1828" spans="1:26" ht="15.75" customHeight="1">
      <c r="A1828" s="103"/>
      <c r="B1828" s="103"/>
      <c r="C1828" s="104" t="e">
        <v>#REF!</v>
      </c>
      <c r="D1828" s="103"/>
      <c r="E1828" s="53"/>
      <c r="F1828" s="53"/>
      <c r="G1828" s="53"/>
      <c r="H1828" s="53"/>
      <c r="I1828" s="53"/>
      <c r="J1828" s="53"/>
      <c r="K1828" s="53"/>
      <c r="L1828" s="53"/>
      <c r="M1828" s="53"/>
      <c r="N1828" s="53"/>
      <c r="O1828" s="53"/>
      <c r="P1828" s="53"/>
      <c r="Q1828" s="53"/>
      <c r="R1828" s="53"/>
      <c r="S1828" s="53"/>
      <c r="T1828" s="53"/>
      <c r="U1828" s="53"/>
      <c r="V1828" s="53"/>
      <c r="W1828" s="53"/>
      <c r="X1828" s="53"/>
      <c r="Y1828" s="53"/>
      <c r="Z1828" s="53"/>
    </row>
    <row r="1829" spans="1:26" ht="15.75" customHeight="1">
      <c r="A1829" s="103"/>
      <c r="B1829" s="103"/>
      <c r="C1829" s="104" t="e">
        <v>#REF!</v>
      </c>
      <c r="D1829" s="103"/>
      <c r="E1829" s="53"/>
      <c r="F1829" s="53"/>
      <c r="G1829" s="53"/>
      <c r="H1829" s="53"/>
      <c r="I1829" s="53"/>
      <c r="J1829" s="53"/>
      <c r="K1829" s="53"/>
      <c r="L1829" s="53"/>
      <c r="M1829" s="53"/>
      <c r="N1829" s="53"/>
      <c r="O1829" s="53"/>
      <c r="P1829" s="53"/>
      <c r="Q1829" s="53"/>
      <c r="R1829" s="53"/>
      <c r="S1829" s="53"/>
      <c r="T1829" s="53"/>
      <c r="U1829" s="53"/>
      <c r="V1829" s="53"/>
      <c r="W1829" s="53"/>
      <c r="X1829" s="53"/>
      <c r="Y1829" s="53"/>
      <c r="Z1829" s="53"/>
    </row>
    <row r="1830" spans="1:26" ht="15.75" customHeight="1">
      <c r="A1830" s="103"/>
      <c r="B1830" s="103"/>
      <c r="C1830" s="104" t="e">
        <v>#REF!</v>
      </c>
      <c r="D1830" s="103"/>
      <c r="E1830" s="53"/>
      <c r="F1830" s="53"/>
      <c r="G1830" s="53"/>
      <c r="H1830" s="53"/>
      <c r="I1830" s="53"/>
      <c r="J1830" s="53"/>
      <c r="K1830" s="53"/>
      <c r="L1830" s="53"/>
      <c r="M1830" s="53"/>
      <c r="N1830" s="53"/>
      <c r="O1830" s="53"/>
      <c r="P1830" s="53"/>
      <c r="Q1830" s="53"/>
      <c r="R1830" s="53"/>
      <c r="S1830" s="53"/>
      <c r="T1830" s="53"/>
      <c r="U1830" s="53"/>
      <c r="V1830" s="53"/>
      <c r="W1830" s="53"/>
      <c r="X1830" s="53"/>
      <c r="Y1830" s="53"/>
      <c r="Z1830" s="53"/>
    </row>
    <row r="1831" spans="1:26" ht="15.75" customHeight="1">
      <c r="A1831" s="103"/>
      <c r="B1831" s="103"/>
      <c r="C1831" s="104" t="e">
        <v>#REF!</v>
      </c>
      <c r="D1831" s="103"/>
      <c r="E1831" s="53"/>
      <c r="F1831" s="53"/>
      <c r="G1831" s="53"/>
      <c r="H1831" s="53"/>
      <c r="I1831" s="53"/>
      <c r="J1831" s="53"/>
      <c r="K1831" s="53"/>
      <c r="L1831" s="53"/>
      <c r="M1831" s="53"/>
      <c r="N1831" s="53"/>
      <c r="O1831" s="53"/>
      <c r="P1831" s="53"/>
      <c r="Q1831" s="53"/>
      <c r="R1831" s="53"/>
      <c r="S1831" s="53"/>
      <c r="T1831" s="53"/>
      <c r="U1831" s="53"/>
      <c r="V1831" s="53"/>
      <c r="W1831" s="53"/>
      <c r="X1831" s="53"/>
      <c r="Y1831" s="53"/>
      <c r="Z1831" s="53"/>
    </row>
    <row r="1832" spans="1:26" ht="15.75" customHeight="1">
      <c r="A1832" s="103"/>
      <c r="B1832" s="103"/>
      <c r="C1832" s="104" t="e">
        <v>#REF!</v>
      </c>
      <c r="D1832" s="103"/>
      <c r="E1832" s="53"/>
      <c r="F1832" s="53"/>
      <c r="G1832" s="53"/>
      <c r="H1832" s="53"/>
      <c r="I1832" s="53"/>
      <c r="J1832" s="53"/>
      <c r="K1832" s="53"/>
      <c r="L1832" s="53"/>
      <c r="M1832" s="53"/>
      <c r="N1832" s="53"/>
      <c r="O1832" s="53"/>
      <c r="P1832" s="53"/>
      <c r="Q1832" s="53"/>
      <c r="R1832" s="53"/>
      <c r="S1832" s="53"/>
      <c r="T1832" s="53"/>
      <c r="U1832" s="53"/>
      <c r="V1832" s="53"/>
      <c r="W1832" s="53"/>
      <c r="X1832" s="53"/>
      <c r="Y1832" s="53"/>
      <c r="Z1832" s="53"/>
    </row>
    <row r="1833" spans="1:26" ht="15.75" customHeight="1">
      <c r="A1833" s="103"/>
      <c r="B1833" s="103"/>
      <c r="C1833" s="104" t="e">
        <v>#REF!</v>
      </c>
      <c r="D1833" s="103"/>
      <c r="E1833" s="53"/>
      <c r="F1833" s="53"/>
      <c r="G1833" s="53"/>
      <c r="H1833" s="53"/>
      <c r="I1833" s="53"/>
      <c r="J1833" s="53"/>
      <c r="K1833" s="53"/>
      <c r="L1833" s="53"/>
      <c r="M1833" s="53"/>
      <c r="N1833" s="53"/>
      <c r="O1833" s="53"/>
      <c r="P1833" s="53"/>
      <c r="Q1833" s="53"/>
      <c r="R1833" s="53"/>
      <c r="S1833" s="53"/>
      <c r="T1833" s="53"/>
      <c r="U1833" s="53"/>
      <c r="V1833" s="53"/>
      <c r="W1833" s="53"/>
      <c r="X1833" s="53"/>
      <c r="Y1833" s="53"/>
      <c r="Z1833" s="53"/>
    </row>
    <row r="1834" spans="1:26" ht="15.75" customHeight="1">
      <c r="A1834" s="103"/>
      <c r="B1834" s="103"/>
      <c r="C1834" s="104" t="e">
        <v>#REF!</v>
      </c>
      <c r="D1834" s="103"/>
      <c r="E1834" s="53"/>
      <c r="F1834" s="53"/>
      <c r="G1834" s="53"/>
      <c r="H1834" s="53"/>
      <c r="I1834" s="53"/>
      <c r="J1834" s="53"/>
      <c r="K1834" s="53"/>
      <c r="L1834" s="53"/>
      <c r="M1834" s="53"/>
      <c r="N1834" s="53"/>
      <c r="O1834" s="53"/>
      <c r="P1834" s="53"/>
      <c r="Q1834" s="53"/>
      <c r="R1834" s="53"/>
      <c r="S1834" s="53"/>
      <c r="T1834" s="53"/>
      <c r="U1834" s="53"/>
      <c r="V1834" s="53"/>
      <c r="W1834" s="53"/>
      <c r="X1834" s="53"/>
      <c r="Y1834" s="53"/>
      <c r="Z1834" s="53"/>
    </row>
    <row r="1835" spans="1:26" ht="15.75" customHeight="1">
      <c r="A1835" s="103"/>
      <c r="B1835" s="103"/>
      <c r="C1835" s="104" t="e">
        <v>#REF!</v>
      </c>
      <c r="D1835" s="103"/>
      <c r="E1835" s="53"/>
      <c r="F1835" s="53"/>
      <c r="G1835" s="53"/>
      <c r="H1835" s="53"/>
      <c r="I1835" s="53"/>
      <c r="J1835" s="53"/>
      <c r="K1835" s="53"/>
      <c r="L1835" s="53"/>
      <c r="M1835" s="53"/>
      <c r="N1835" s="53"/>
      <c r="O1835" s="53"/>
      <c r="P1835" s="53"/>
      <c r="Q1835" s="53"/>
      <c r="R1835" s="53"/>
      <c r="S1835" s="53"/>
      <c r="T1835" s="53"/>
      <c r="U1835" s="53"/>
      <c r="V1835" s="53"/>
      <c r="W1835" s="53"/>
      <c r="X1835" s="53"/>
      <c r="Y1835" s="53"/>
      <c r="Z1835" s="53"/>
    </row>
    <row r="1836" spans="1:26" ht="15.75" customHeight="1">
      <c r="A1836" s="103"/>
      <c r="B1836" s="103"/>
      <c r="C1836" s="104" t="e">
        <v>#REF!</v>
      </c>
      <c r="D1836" s="103"/>
      <c r="E1836" s="53"/>
      <c r="F1836" s="53"/>
      <c r="G1836" s="53"/>
      <c r="H1836" s="53"/>
      <c r="I1836" s="53"/>
      <c r="J1836" s="53"/>
      <c r="K1836" s="53"/>
      <c r="L1836" s="53"/>
      <c r="M1836" s="53"/>
      <c r="N1836" s="53"/>
      <c r="O1836" s="53"/>
      <c r="P1836" s="53"/>
      <c r="Q1836" s="53"/>
      <c r="R1836" s="53"/>
      <c r="S1836" s="53"/>
      <c r="T1836" s="53"/>
      <c r="U1836" s="53"/>
      <c r="V1836" s="53"/>
      <c r="W1836" s="53"/>
      <c r="X1836" s="53"/>
      <c r="Y1836" s="53"/>
      <c r="Z1836" s="53"/>
    </row>
    <row r="1837" spans="1:26" ht="15.75" customHeight="1">
      <c r="A1837" s="103"/>
      <c r="B1837" s="103"/>
      <c r="C1837" s="104" t="e">
        <v>#REF!</v>
      </c>
      <c r="D1837" s="103"/>
      <c r="E1837" s="53"/>
      <c r="F1837" s="53"/>
      <c r="G1837" s="53"/>
      <c r="H1837" s="53"/>
      <c r="I1837" s="53"/>
      <c r="J1837" s="53"/>
      <c r="K1837" s="53"/>
      <c r="L1837" s="53"/>
      <c r="M1837" s="53"/>
      <c r="N1837" s="53"/>
      <c r="O1837" s="53"/>
      <c r="P1837" s="53"/>
      <c r="Q1837" s="53"/>
      <c r="R1837" s="53"/>
      <c r="S1837" s="53"/>
      <c r="T1837" s="53"/>
      <c r="U1837" s="53"/>
      <c r="V1837" s="53"/>
      <c r="W1837" s="53"/>
      <c r="X1837" s="53"/>
      <c r="Y1837" s="53"/>
      <c r="Z1837" s="53"/>
    </row>
    <row r="1838" spans="1:26" ht="15.75" customHeight="1">
      <c r="A1838" s="103"/>
      <c r="B1838" s="103"/>
      <c r="C1838" s="104" t="e">
        <v>#REF!</v>
      </c>
      <c r="D1838" s="10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</row>
    <row r="1839" spans="1:26" ht="15.75" customHeight="1">
      <c r="A1839" s="103"/>
      <c r="B1839" s="103"/>
      <c r="C1839" s="104" t="e">
        <v>#REF!</v>
      </c>
      <c r="D1839" s="103"/>
      <c r="E1839" s="53"/>
      <c r="F1839" s="53"/>
      <c r="G1839" s="53"/>
      <c r="H1839" s="53"/>
      <c r="I1839" s="53"/>
      <c r="J1839" s="53"/>
      <c r="K1839" s="53"/>
      <c r="L1839" s="53"/>
      <c r="M1839" s="53"/>
      <c r="N1839" s="53"/>
      <c r="O1839" s="53"/>
      <c r="P1839" s="53"/>
      <c r="Q1839" s="53"/>
      <c r="R1839" s="53"/>
      <c r="S1839" s="53"/>
      <c r="T1839" s="53"/>
      <c r="U1839" s="53"/>
      <c r="V1839" s="53"/>
      <c r="W1839" s="53"/>
      <c r="X1839" s="53"/>
      <c r="Y1839" s="53"/>
      <c r="Z1839" s="53"/>
    </row>
    <row r="1840" spans="1:26" ht="15.75" customHeight="1">
      <c r="A1840" s="103"/>
      <c r="B1840" s="103"/>
      <c r="C1840" s="104" t="e">
        <v>#REF!</v>
      </c>
      <c r="D1840" s="103"/>
      <c r="E1840" s="53"/>
      <c r="F1840" s="53"/>
      <c r="G1840" s="53"/>
      <c r="H1840" s="53"/>
      <c r="I1840" s="53"/>
      <c r="J1840" s="53"/>
      <c r="K1840" s="53"/>
      <c r="L1840" s="53"/>
      <c r="M1840" s="53"/>
      <c r="N1840" s="53"/>
      <c r="O1840" s="53"/>
      <c r="P1840" s="53"/>
      <c r="Q1840" s="53"/>
      <c r="R1840" s="53"/>
      <c r="S1840" s="53"/>
      <c r="T1840" s="53"/>
      <c r="U1840" s="53"/>
      <c r="V1840" s="53"/>
      <c r="W1840" s="53"/>
      <c r="X1840" s="53"/>
      <c r="Y1840" s="53"/>
      <c r="Z1840" s="53"/>
    </row>
    <row r="1841" spans="1:26" ht="15.75" customHeight="1">
      <c r="A1841" s="103"/>
      <c r="B1841" s="103"/>
      <c r="C1841" s="104" t="e">
        <v>#REF!</v>
      </c>
      <c r="D1841" s="103"/>
      <c r="E1841" s="53"/>
      <c r="F1841" s="53"/>
      <c r="G1841" s="53"/>
      <c r="H1841" s="53"/>
      <c r="I1841" s="53"/>
      <c r="J1841" s="53"/>
      <c r="K1841" s="53"/>
      <c r="L1841" s="53"/>
      <c r="M1841" s="53"/>
      <c r="N1841" s="53"/>
      <c r="O1841" s="53"/>
      <c r="P1841" s="53"/>
      <c r="Q1841" s="53"/>
      <c r="R1841" s="53"/>
      <c r="S1841" s="53"/>
      <c r="T1841" s="53"/>
      <c r="U1841" s="53"/>
      <c r="V1841" s="53"/>
      <c r="W1841" s="53"/>
      <c r="X1841" s="53"/>
      <c r="Y1841" s="53"/>
      <c r="Z1841" s="53"/>
    </row>
    <row r="1842" spans="1:26" ht="15.75" customHeight="1">
      <c r="A1842" s="103"/>
      <c r="B1842" s="103"/>
      <c r="C1842" s="104" t="e">
        <v>#REF!</v>
      </c>
      <c r="D1842" s="103"/>
      <c r="E1842" s="53"/>
      <c r="F1842" s="53"/>
      <c r="G1842" s="53"/>
      <c r="H1842" s="53"/>
      <c r="I1842" s="53"/>
      <c r="J1842" s="53"/>
      <c r="K1842" s="53"/>
      <c r="L1842" s="53"/>
      <c r="M1842" s="53"/>
      <c r="N1842" s="53"/>
      <c r="O1842" s="53"/>
      <c r="P1842" s="53"/>
      <c r="Q1842" s="53"/>
      <c r="R1842" s="53"/>
      <c r="S1842" s="53"/>
      <c r="T1842" s="53"/>
      <c r="U1842" s="53"/>
      <c r="V1842" s="53"/>
      <c r="W1842" s="53"/>
      <c r="X1842" s="53"/>
      <c r="Y1842" s="53"/>
      <c r="Z1842" s="53"/>
    </row>
    <row r="1843" spans="1:26" ht="15.75" customHeight="1">
      <c r="A1843" s="103"/>
      <c r="B1843" s="103"/>
      <c r="C1843" s="104" t="e">
        <v>#REF!</v>
      </c>
      <c r="D1843" s="10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53"/>
      <c r="T1843" s="53"/>
      <c r="U1843" s="53"/>
      <c r="V1843" s="53"/>
      <c r="W1843" s="53"/>
      <c r="X1843" s="53"/>
      <c r="Y1843" s="53"/>
      <c r="Z1843" s="53"/>
    </row>
    <row r="1844" spans="1:26" ht="15.75" customHeight="1">
      <c r="A1844" s="103"/>
      <c r="B1844" s="103"/>
      <c r="C1844" s="104" t="e">
        <v>#REF!</v>
      </c>
      <c r="D1844" s="103"/>
      <c r="E1844" s="53"/>
      <c r="F1844" s="53"/>
      <c r="G1844" s="53"/>
      <c r="H1844" s="53"/>
      <c r="I1844" s="53"/>
      <c r="J1844" s="53"/>
      <c r="K1844" s="53"/>
      <c r="L1844" s="53"/>
      <c r="M1844" s="53"/>
      <c r="N1844" s="53"/>
      <c r="O1844" s="53"/>
      <c r="P1844" s="53"/>
      <c r="Q1844" s="53"/>
      <c r="R1844" s="53"/>
      <c r="S1844" s="53"/>
      <c r="T1844" s="53"/>
      <c r="U1844" s="53"/>
      <c r="V1844" s="53"/>
      <c r="W1844" s="53"/>
      <c r="X1844" s="53"/>
      <c r="Y1844" s="53"/>
      <c r="Z1844" s="53"/>
    </row>
    <row r="1845" spans="1:26" ht="15.75" customHeight="1">
      <c r="A1845" s="103"/>
      <c r="B1845" s="103"/>
      <c r="C1845" s="104" t="e">
        <v>#REF!</v>
      </c>
      <c r="D1845" s="103"/>
      <c r="E1845" s="53"/>
      <c r="F1845" s="53"/>
      <c r="G1845" s="53"/>
      <c r="H1845" s="53"/>
      <c r="I1845" s="53"/>
      <c r="J1845" s="53"/>
      <c r="K1845" s="53"/>
      <c r="L1845" s="53"/>
      <c r="M1845" s="53"/>
      <c r="N1845" s="53"/>
      <c r="O1845" s="53"/>
      <c r="P1845" s="53"/>
      <c r="Q1845" s="53"/>
      <c r="R1845" s="53"/>
      <c r="S1845" s="53"/>
      <c r="T1845" s="53"/>
      <c r="U1845" s="53"/>
      <c r="V1845" s="53"/>
      <c r="W1845" s="53"/>
      <c r="X1845" s="53"/>
      <c r="Y1845" s="53"/>
      <c r="Z1845" s="53"/>
    </row>
    <row r="1846" spans="1:26" ht="15.75" customHeight="1">
      <c r="A1846" s="103"/>
      <c r="B1846" s="103"/>
      <c r="C1846" s="104" t="e">
        <v>#REF!</v>
      </c>
      <c r="D1846" s="103"/>
      <c r="E1846" s="53"/>
      <c r="F1846" s="53"/>
      <c r="G1846" s="53"/>
      <c r="H1846" s="53"/>
      <c r="I1846" s="53"/>
      <c r="J1846" s="53"/>
      <c r="K1846" s="53"/>
      <c r="L1846" s="53"/>
      <c r="M1846" s="53"/>
      <c r="N1846" s="53"/>
      <c r="O1846" s="53"/>
      <c r="P1846" s="53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</row>
    <row r="1847" spans="1:26" ht="15.75" customHeight="1">
      <c r="A1847" s="103"/>
      <c r="B1847" s="103"/>
      <c r="C1847" s="104" t="e">
        <v>#REF!</v>
      </c>
      <c r="D1847" s="103"/>
      <c r="E1847" s="53"/>
      <c r="F1847" s="53"/>
      <c r="G1847" s="53"/>
      <c r="H1847" s="53"/>
      <c r="I1847" s="53"/>
      <c r="J1847" s="53"/>
      <c r="K1847" s="53"/>
      <c r="L1847" s="53"/>
      <c r="M1847" s="53"/>
      <c r="N1847" s="53"/>
      <c r="O1847" s="53"/>
      <c r="P1847" s="53"/>
      <c r="Q1847" s="53"/>
      <c r="R1847" s="53"/>
      <c r="S1847" s="53"/>
      <c r="T1847" s="53"/>
      <c r="U1847" s="53"/>
      <c r="V1847" s="53"/>
      <c r="W1847" s="53"/>
      <c r="X1847" s="53"/>
      <c r="Y1847" s="53"/>
      <c r="Z1847" s="53"/>
    </row>
    <row r="1848" spans="1:26" ht="15.75" customHeight="1">
      <c r="A1848" s="103"/>
      <c r="B1848" s="103"/>
      <c r="C1848" s="104" t="e">
        <v>#REF!</v>
      </c>
      <c r="D1848" s="103"/>
      <c r="E1848" s="53"/>
      <c r="F1848" s="53"/>
      <c r="G1848" s="53"/>
      <c r="H1848" s="53"/>
      <c r="I1848" s="53"/>
      <c r="J1848" s="53"/>
      <c r="K1848" s="53"/>
      <c r="L1848" s="53"/>
      <c r="M1848" s="53"/>
      <c r="N1848" s="53"/>
      <c r="O1848" s="53"/>
      <c r="P1848" s="53"/>
      <c r="Q1848" s="53"/>
      <c r="R1848" s="53"/>
      <c r="S1848" s="53"/>
      <c r="T1848" s="53"/>
      <c r="U1848" s="53"/>
      <c r="V1848" s="53"/>
      <c r="W1848" s="53"/>
      <c r="X1848" s="53"/>
      <c r="Y1848" s="53"/>
      <c r="Z1848" s="53"/>
    </row>
    <row r="1849" spans="1:26" ht="15.75" customHeight="1">
      <c r="A1849" s="103"/>
      <c r="B1849" s="103"/>
      <c r="C1849" s="104" t="e">
        <v>#REF!</v>
      </c>
      <c r="D1849" s="103"/>
      <c r="E1849" s="53"/>
      <c r="F1849" s="53"/>
      <c r="G1849" s="53"/>
      <c r="H1849" s="53"/>
      <c r="I1849" s="53"/>
      <c r="J1849" s="53"/>
      <c r="K1849" s="53"/>
      <c r="L1849" s="53"/>
      <c r="M1849" s="53"/>
      <c r="N1849" s="53"/>
      <c r="O1849" s="53"/>
      <c r="P1849" s="53"/>
      <c r="Q1849" s="53"/>
      <c r="R1849" s="53"/>
      <c r="S1849" s="53"/>
      <c r="T1849" s="53"/>
      <c r="U1849" s="53"/>
      <c r="V1849" s="53"/>
      <c r="W1849" s="53"/>
      <c r="X1849" s="53"/>
      <c r="Y1849" s="53"/>
      <c r="Z1849" s="53"/>
    </row>
    <row r="1850" spans="1:26" ht="15.75" customHeight="1">
      <c r="A1850" s="103"/>
      <c r="B1850" s="103"/>
      <c r="C1850" s="104" t="e">
        <v>#REF!</v>
      </c>
      <c r="D1850" s="103"/>
      <c r="E1850" s="53"/>
      <c r="F1850" s="53"/>
      <c r="G1850" s="53"/>
      <c r="H1850" s="53"/>
      <c r="I1850" s="53"/>
      <c r="J1850" s="53"/>
      <c r="K1850" s="53"/>
      <c r="L1850" s="53"/>
      <c r="M1850" s="53"/>
      <c r="N1850" s="53"/>
      <c r="O1850" s="53"/>
      <c r="P1850" s="53"/>
      <c r="Q1850" s="53"/>
      <c r="R1850" s="53"/>
      <c r="S1850" s="53"/>
      <c r="T1850" s="53"/>
      <c r="U1850" s="53"/>
      <c r="V1850" s="53"/>
      <c r="W1850" s="53"/>
      <c r="X1850" s="53"/>
      <c r="Y1850" s="53"/>
      <c r="Z1850" s="53"/>
    </row>
    <row r="1851" spans="1:26" ht="15.75" customHeight="1">
      <c r="A1851" s="103"/>
      <c r="B1851" s="103"/>
      <c r="C1851" s="104" t="e">
        <v>#REF!</v>
      </c>
      <c r="D1851" s="103"/>
      <c r="E1851" s="53"/>
      <c r="F1851" s="53"/>
      <c r="G1851" s="53"/>
      <c r="H1851" s="53"/>
      <c r="I1851" s="53"/>
      <c r="J1851" s="53"/>
      <c r="K1851" s="53"/>
      <c r="L1851" s="53"/>
      <c r="M1851" s="53"/>
      <c r="N1851" s="53"/>
      <c r="O1851" s="53"/>
      <c r="P1851" s="53"/>
      <c r="Q1851" s="53"/>
      <c r="R1851" s="53"/>
      <c r="S1851" s="53"/>
      <c r="T1851" s="53"/>
      <c r="U1851" s="53"/>
      <c r="V1851" s="53"/>
      <c r="W1851" s="53"/>
      <c r="X1851" s="53"/>
      <c r="Y1851" s="53"/>
      <c r="Z1851" s="53"/>
    </row>
    <row r="1852" spans="1:26" ht="15.75" customHeight="1">
      <c r="A1852" s="103"/>
      <c r="B1852" s="103"/>
      <c r="C1852" s="104" t="e">
        <v>#REF!</v>
      </c>
      <c r="D1852" s="103"/>
      <c r="E1852" s="53"/>
      <c r="F1852" s="53"/>
      <c r="G1852" s="53"/>
      <c r="H1852" s="53"/>
      <c r="I1852" s="53"/>
      <c r="J1852" s="53"/>
      <c r="K1852" s="53"/>
      <c r="L1852" s="53"/>
      <c r="M1852" s="53"/>
      <c r="N1852" s="53"/>
      <c r="O1852" s="53"/>
      <c r="P1852" s="53"/>
      <c r="Q1852" s="53"/>
      <c r="R1852" s="53"/>
      <c r="S1852" s="53"/>
      <c r="T1852" s="53"/>
      <c r="U1852" s="53"/>
      <c r="V1852" s="53"/>
      <c r="W1852" s="53"/>
      <c r="X1852" s="53"/>
      <c r="Y1852" s="53"/>
      <c r="Z1852" s="53"/>
    </row>
    <row r="1853" spans="1:26" ht="15.75" customHeight="1">
      <c r="A1853" s="103"/>
      <c r="B1853" s="103"/>
      <c r="C1853" s="104" t="e">
        <v>#REF!</v>
      </c>
      <c r="D1853" s="103"/>
      <c r="E1853" s="53"/>
      <c r="F1853" s="53"/>
      <c r="G1853" s="53"/>
      <c r="H1853" s="53"/>
      <c r="I1853" s="53"/>
      <c r="J1853" s="53"/>
      <c r="K1853" s="53"/>
      <c r="L1853" s="53"/>
      <c r="M1853" s="53"/>
      <c r="N1853" s="53"/>
      <c r="O1853" s="53"/>
      <c r="P1853" s="53"/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</row>
    <row r="1854" spans="1:26" ht="15.75" customHeight="1">
      <c r="A1854" s="103"/>
      <c r="B1854" s="103"/>
      <c r="C1854" s="104" t="e">
        <v>#REF!</v>
      </c>
      <c r="D1854" s="103"/>
      <c r="E1854" s="53"/>
      <c r="F1854" s="53"/>
      <c r="G1854" s="53"/>
      <c r="H1854" s="53"/>
      <c r="I1854" s="53"/>
      <c r="J1854" s="53"/>
      <c r="K1854" s="53"/>
      <c r="L1854" s="53"/>
      <c r="M1854" s="53"/>
      <c r="N1854" s="53"/>
      <c r="O1854" s="53"/>
      <c r="P1854" s="53"/>
      <c r="Q1854" s="53"/>
      <c r="R1854" s="53"/>
      <c r="S1854" s="53"/>
      <c r="T1854" s="53"/>
      <c r="U1854" s="53"/>
      <c r="V1854" s="53"/>
      <c r="W1854" s="53"/>
      <c r="X1854" s="53"/>
      <c r="Y1854" s="53"/>
      <c r="Z1854" s="53"/>
    </row>
    <row r="1855" spans="1:26" ht="15.75" customHeight="1">
      <c r="A1855" s="103"/>
      <c r="B1855" s="103"/>
      <c r="C1855" s="104" t="e">
        <v>#REF!</v>
      </c>
      <c r="D1855" s="103"/>
      <c r="E1855" s="53"/>
      <c r="F1855" s="53"/>
      <c r="G1855" s="53"/>
      <c r="H1855" s="53"/>
      <c r="I1855" s="53"/>
      <c r="J1855" s="53"/>
      <c r="K1855" s="53"/>
      <c r="L1855" s="53"/>
      <c r="M1855" s="53"/>
      <c r="N1855" s="53"/>
      <c r="O1855" s="53"/>
      <c r="P1855" s="53"/>
      <c r="Q1855" s="53"/>
      <c r="R1855" s="53"/>
      <c r="S1855" s="53"/>
      <c r="T1855" s="53"/>
      <c r="U1855" s="53"/>
      <c r="V1855" s="53"/>
      <c r="W1855" s="53"/>
      <c r="X1855" s="53"/>
      <c r="Y1855" s="53"/>
      <c r="Z1855" s="53"/>
    </row>
    <row r="1856" spans="1:26" ht="15.75" customHeight="1">
      <c r="A1856" s="103"/>
      <c r="B1856" s="103"/>
      <c r="C1856" s="104" t="e">
        <v>#REF!</v>
      </c>
      <c r="D1856" s="103"/>
      <c r="E1856" s="53"/>
      <c r="F1856" s="53"/>
      <c r="G1856" s="53"/>
      <c r="H1856" s="53"/>
      <c r="I1856" s="53"/>
      <c r="J1856" s="53"/>
      <c r="K1856" s="53"/>
      <c r="L1856" s="53"/>
      <c r="M1856" s="53"/>
      <c r="N1856" s="53"/>
      <c r="O1856" s="53"/>
      <c r="P1856" s="53"/>
      <c r="Q1856" s="53"/>
      <c r="R1856" s="53"/>
      <c r="S1856" s="53"/>
      <c r="T1856" s="53"/>
      <c r="U1856" s="53"/>
      <c r="V1856" s="53"/>
      <c r="W1856" s="53"/>
      <c r="X1856" s="53"/>
      <c r="Y1856" s="53"/>
      <c r="Z1856" s="53"/>
    </row>
    <row r="1857" spans="1:26" ht="15.75" customHeight="1">
      <c r="A1857" s="103"/>
      <c r="B1857" s="103"/>
      <c r="C1857" s="104" t="e">
        <v>#REF!</v>
      </c>
      <c r="D1857" s="103"/>
      <c r="E1857" s="53"/>
      <c r="F1857" s="53"/>
      <c r="G1857" s="53"/>
      <c r="H1857" s="53"/>
      <c r="I1857" s="53"/>
      <c r="J1857" s="53"/>
      <c r="K1857" s="53"/>
      <c r="L1857" s="53"/>
      <c r="M1857" s="53"/>
      <c r="N1857" s="53"/>
      <c r="O1857" s="53"/>
      <c r="P1857" s="53"/>
      <c r="Q1857" s="53"/>
      <c r="R1857" s="53"/>
      <c r="S1857" s="53"/>
      <c r="T1857" s="53"/>
      <c r="U1857" s="53"/>
      <c r="V1857" s="53"/>
      <c r="W1857" s="53"/>
      <c r="X1857" s="53"/>
      <c r="Y1857" s="53"/>
      <c r="Z1857" s="53"/>
    </row>
    <row r="1858" spans="1:26" ht="15.75" customHeight="1">
      <c r="A1858" s="103"/>
      <c r="B1858" s="103"/>
      <c r="C1858" s="104" t="e">
        <v>#REF!</v>
      </c>
      <c r="D1858" s="103"/>
      <c r="E1858" s="53"/>
      <c r="F1858" s="53"/>
      <c r="G1858" s="53"/>
      <c r="H1858" s="53"/>
      <c r="I1858" s="53"/>
      <c r="J1858" s="53"/>
      <c r="K1858" s="53"/>
      <c r="L1858" s="53"/>
      <c r="M1858" s="53"/>
      <c r="N1858" s="53"/>
      <c r="O1858" s="53"/>
      <c r="P1858" s="53"/>
      <c r="Q1858" s="53"/>
      <c r="R1858" s="53"/>
      <c r="S1858" s="53"/>
      <c r="T1858" s="53"/>
      <c r="U1858" s="53"/>
      <c r="V1858" s="53"/>
      <c r="W1858" s="53"/>
      <c r="X1858" s="53"/>
      <c r="Y1858" s="53"/>
      <c r="Z1858" s="53"/>
    </row>
    <row r="1859" spans="1:26" ht="15.75" customHeight="1">
      <c r="A1859" s="103"/>
      <c r="B1859" s="103"/>
      <c r="C1859" s="104" t="e">
        <v>#REF!</v>
      </c>
      <c r="D1859" s="103"/>
      <c r="E1859" s="53"/>
      <c r="F1859" s="53"/>
      <c r="G1859" s="53"/>
      <c r="H1859" s="53"/>
      <c r="I1859" s="53"/>
      <c r="J1859" s="53"/>
      <c r="K1859" s="53"/>
      <c r="L1859" s="53"/>
      <c r="M1859" s="53"/>
      <c r="N1859" s="53"/>
      <c r="O1859" s="53"/>
      <c r="P1859" s="53"/>
      <c r="Q1859" s="53"/>
      <c r="R1859" s="53"/>
      <c r="S1859" s="53"/>
      <c r="T1859" s="53"/>
      <c r="U1859" s="53"/>
      <c r="V1859" s="53"/>
      <c r="W1859" s="53"/>
      <c r="X1859" s="53"/>
      <c r="Y1859" s="53"/>
      <c r="Z1859" s="53"/>
    </row>
    <row r="1860" spans="1:26" ht="15.75" customHeight="1">
      <c r="A1860" s="103"/>
      <c r="B1860" s="103"/>
      <c r="C1860" s="104" t="e">
        <v>#REF!</v>
      </c>
      <c r="D1860" s="103"/>
      <c r="E1860" s="53"/>
      <c r="F1860" s="53"/>
      <c r="G1860" s="53"/>
      <c r="H1860" s="53"/>
      <c r="I1860" s="53"/>
      <c r="J1860" s="53"/>
      <c r="K1860" s="53"/>
      <c r="L1860" s="53"/>
      <c r="M1860" s="53"/>
      <c r="N1860" s="53"/>
      <c r="O1860" s="53"/>
      <c r="P1860" s="53"/>
      <c r="Q1860" s="53"/>
      <c r="R1860" s="53"/>
      <c r="S1860" s="53"/>
      <c r="T1860" s="53"/>
      <c r="U1860" s="53"/>
      <c r="V1860" s="53"/>
      <c r="W1860" s="53"/>
      <c r="X1860" s="53"/>
      <c r="Y1860" s="53"/>
      <c r="Z1860" s="53"/>
    </row>
    <row r="1861" spans="1:26" ht="15.75" customHeight="1">
      <c r="A1861" s="103"/>
      <c r="B1861" s="103"/>
      <c r="C1861" s="104" t="e">
        <v>#REF!</v>
      </c>
      <c r="D1861" s="103"/>
      <c r="E1861" s="53"/>
      <c r="F1861" s="53"/>
      <c r="G1861" s="53"/>
      <c r="H1861" s="53"/>
      <c r="I1861" s="53"/>
      <c r="J1861" s="53"/>
      <c r="K1861" s="53"/>
      <c r="L1861" s="53"/>
      <c r="M1861" s="53"/>
      <c r="N1861" s="53"/>
      <c r="O1861" s="53"/>
      <c r="P1861" s="53"/>
      <c r="Q1861" s="53"/>
      <c r="R1861" s="53"/>
      <c r="S1861" s="53"/>
      <c r="T1861" s="53"/>
      <c r="U1861" s="53"/>
      <c r="V1861" s="53"/>
      <c r="W1861" s="53"/>
      <c r="X1861" s="53"/>
      <c r="Y1861" s="53"/>
      <c r="Z1861" s="53"/>
    </row>
    <row r="1862" spans="1:26" ht="15.75" customHeight="1">
      <c r="A1862" s="103"/>
      <c r="B1862" s="103"/>
      <c r="C1862" s="104" t="e">
        <v>#REF!</v>
      </c>
      <c r="D1862" s="103"/>
      <c r="E1862" s="53"/>
      <c r="F1862" s="53"/>
      <c r="G1862" s="53"/>
      <c r="H1862" s="53"/>
      <c r="I1862" s="53"/>
      <c r="J1862" s="53"/>
      <c r="K1862" s="53"/>
      <c r="L1862" s="53"/>
      <c r="M1862" s="53"/>
      <c r="N1862" s="53"/>
      <c r="O1862" s="53"/>
      <c r="P1862" s="53"/>
      <c r="Q1862" s="53"/>
      <c r="R1862" s="53"/>
      <c r="S1862" s="53"/>
      <c r="T1862" s="53"/>
      <c r="U1862" s="53"/>
      <c r="V1862" s="53"/>
      <c r="W1862" s="53"/>
      <c r="X1862" s="53"/>
      <c r="Y1862" s="53"/>
      <c r="Z1862" s="53"/>
    </row>
    <row r="1863" spans="1:26" ht="15.75" customHeight="1">
      <c r="A1863" s="103"/>
      <c r="B1863" s="103"/>
      <c r="C1863" s="104" t="e">
        <v>#REF!</v>
      </c>
      <c r="D1863" s="103"/>
      <c r="E1863" s="53"/>
      <c r="F1863" s="53"/>
      <c r="G1863" s="53"/>
      <c r="H1863" s="53"/>
      <c r="I1863" s="53"/>
      <c r="J1863" s="53"/>
      <c r="K1863" s="53"/>
      <c r="L1863" s="53"/>
      <c r="M1863" s="53"/>
      <c r="N1863" s="53"/>
      <c r="O1863" s="53"/>
      <c r="P1863" s="53"/>
      <c r="Q1863" s="53"/>
      <c r="R1863" s="53"/>
      <c r="S1863" s="53"/>
      <c r="T1863" s="53"/>
      <c r="U1863" s="53"/>
      <c r="V1863" s="53"/>
      <c r="W1863" s="53"/>
      <c r="X1863" s="53"/>
      <c r="Y1863" s="53"/>
      <c r="Z1863" s="53"/>
    </row>
    <row r="1864" spans="1:26" ht="15.75" customHeight="1">
      <c r="A1864" s="103"/>
      <c r="B1864" s="103"/>
      <c r="C1864" s="104" t="e">
        <v>#REF!</v>
      </c>
      <c r="D1864" s="103"/>
      <c r="E1864" s="53"/>
      <c r="F1864" s="53"/>
      <c r="G1864" s="53"/>
      <c r="H1864" s="53"/>
      <c r="I1864" s="53"/>
      <c r="J1864" s="53"/>
      <c r="K1864" s="53"/>
      <c r="L1864" s="53"/>
      <c r="M1864" s="53"/>
      <c r="N1864" s="53"/>
      <c r="O1864" s="53"/>
      <c r="P1864" s="53"/>
      <c r="Q1864" s="53"/>
      <c r="R1864" s="53"/>
      <c r="S1864" s="53"/>
      <c r="T1864" s="53"/>
      <c r="U1864" s="53"/>
      <c r="V1864" s="53"/>
      <c r="W1864" s="53"/>
      <c r="X1864" s="53"/>
      <c r="Y1864" s="53"/>
      <c r="Z1864" s="53"/>
    </row>
    <row r="1865" spans="1:26" ht="15.75" customHeight="1">
      <c r="A1865" s="103"/>
      <c r="B1865" s="103"/>
      <c r="C1865" s="104" t="e">
        <v>#REF!</v>
      </c>
      <c r="D1865" s="103"/>
      <c r="E1865" s="53"/>
      <c r="F1865" s="53"/>
      <c r="G1865" s="53"/>
      <c r="H1865" s="53"/>
      <c r="I1865" s="53"/>
      <c r="J1865" s="53"/>
      <c r="K1865" s="53"/>
      <c r="L1865" s="53"/>
      <c r="M1865" s="53"/>
      <c r="N1865" s="53"/>
      <c r="O1865" s="53"/>
      <c r="P1865" s="53"/>
      <c r="Q1865" s="53"/>
      <c r="R1865" s="53"/>
      <c r="S1865" s="53"/>
      <c r="T1865" s="53"/>
      <c r="U1865" s="53"/>
      <c r="V1865" s="53"/>
      <c r="W1865" s="53"/>
      <c r="X1865" s="53"/>
      <c r="Y1865" s="53"/>
      <c r="Z1865" s="53"/>
    </row>
    <row r="1866" spans="1:26" ht="15.75" customHeight="1">
      <c r="A1866" s="103"/>
      <c r="B1866" s="103"/>
      <c r="C1866" s="104" t="e">
        <v>#REF!</v>
      </c>
      <c r="D1866" s="103"/>
      <c r="E1866" s="53"/>
      <c r="F1866" s="53"/>
      <c r="G1866" s="53"/>
      <c r="H1866" s="53"/>
      <c r="I1866" s="53"/>
      <c r="J1866" s="53"/>
      <c r="K1866" s="53"/>
      <c r="L1866" s="53"/>
      <c r="M1866" s="53"/>
      <c r="N1866" s="53"/>
      <c r="O1866" s="53"/>
      <c r="P1866" s="53"/>
      <c r="Q1866" s="53"/>
      <c r="R1866" s="53"/>
      <c r="S1866" s="53"/>
      <c r="T1866" s="53"/>
      <c r="U1866" s="53"/>
      <c r="V1866" s="53"/>
      <c r="W1866" s="53"/>
      <c r="X1866" s="53"/>
      <c r="Y1866" s="53"/>
      <c r="Z1866" s="53"/>
    </row>
    <row r="1867" spans="1:26" ht="15.75" customHeight="1">
      <c r="A1867" s="103"/>
      <c r="B1867" s="103"/>
      <c r="C1867" s="104" t="e">
        <v>#REF!</v>
      </c>
      <c r="D1867" s="103"/>
      <c r="E1867" s="53"/>
      <c r="F1867" s="53"/>
      <c r="G1867" s="53"/>
      <c r="H1867" s="53"/>
      <c r="I1867" s="53"/>
      <c r="J1867" s="53"/>
      <c r="K1867" s="53"/>
      <c r="L1867" s="53"/>
      <c r="M1867" s="53"/>
      <c r="N1867" s="53"/>
      <c r="O1867" s="53"/>
      <c r="P1867" s="53"/>
      <c r="Q1867" s="53"/>
      <c r="R1867" s="53"/>
      <c r="S1867" s="53"/>
      <c r="T1867" s="53"/>
      <c r="U1867" s="53"/>
      <c r="V1867" s="53"/>
      <c r="W1867" s="53"/>
      <c r="X1867" s="53"/>
      <c r="Y1867" s="53"/>
      <c r="Z1867" s="53"/>
    </row>
    <row r="1868" spans="1:26" ht="15.75" customHeight="1">
      <c r="A1868" s="103"/>
      <c r="B1868" s="103"/>
      <c r="C1868" s="104" t="e">
        <v>#REF!</v>
      </c>
      <c r="D1868" s="103"/>
      <c r="E1868" s="53"/>
      <c r="F1868" s="53"/>
      <c r="G1868" s="53"/>
      <c r="H1868" s="53"/>
      <c r="I1868" s="53"/>
      <c r="J1868" s="53"/>
      <c r="K1868" s="53"/>
      <c r="L1868" s="53"/>
      <c r="M1868" s="53"/>
      <c r="N1868" s="53"/>
      <c r="O1868" s="53"/>
      <c r="P1868" s="53"/>
      <c r="Q1868" s="53"/>
      <c r="R1868" s="53"/>
      <c r="S1868" s="53"/>
      <c r="T1868" s="53"/>
      <c r="U1868" s="53"/>
      <c r="V1868" s="53"/>
      <c r="W1868" s="53"/>
      <c r="X1868" s="53"/>
      <c r="Y1868" s="53"/>
      <c r="Z1868" s="53"/>
    </row>
    <row r="1869" spans="1:26" ht="15.75" customHeight="1">
      <c r="A1869" s="103"/>
      <c r="B1869" s="103"/>
      <c r="C1869" s="104" t="e">
        <v>#REF!</v>
      </c>
      <c r="D1869" s="103"/>
      <c r="E1869" s="53"/>
      <c r="F1869" s="53"/>
      <c r="G1869" s="53"/>
      <c r="H1869" s="53"/>
      <c r="I1869" s="53"/>
      <c r="J1869" s="53"/>
      <c r="K1869" s="53"/>
      <c r="L1869" s="53"/>
      <c r="M1869" s="53"/>
      <c r="N1869" s="53"/>
      <c r="O1869" s="53"/>
      <c r="P1869" s="53"/>
      <c r="Q1869" s="53"/>
      <c r="R1869" s="53"/>
      <c r="S1869" s="53"/>
      <c r="T1869" s="53"/>
      <c r="U1869" s="53"/>
      <c r="V1869" s="53"/>
      <c r="W1869" s="53"/>
      <c r="X1869" s="53"/>
      <c r="Y1869" s="53"/>
      <c r="Z1869" s="53"/>
    </row>
    <row r="1870" spans="1:26" ht="15.75" customHeight="1">
      <c r="A1870" s="103"/>
      <c r="B1870" s="103"/>
      <c r="C1870" s="104" t="e">
        <v>#REF!</v>
      </c>
      <c r="D1870" s="103"/>
      <c r="E1870" s="53"/>
      <c r="F1870" s="53"/>
      <c r="G1870" s="53"/>
      <c r="H1870" s="53"/>
      <c r="I1870" s="53"/>
      <c r="J1870" s="53"/>
      <c r="K1870" s="53"/>
      <c r="L1870" s="53"/>
      <c r="M1870" s="53"/>
      <c r="N1870" s="53"/>
      <c r="O1870" s="53"/>
      <c r="P1870" s="53"/>
      <c r="Q1870" s="53"/>
      <c r="R1870" s="53"/>
      <c r="S1870" s="53"/>
      <c r="T1870" s="53"/>
      <c r="U1870" s="53"/>
      <c r="V1870" s="53"/>
      <c r="W1870" s="53"/>
      <c r="X1870" s="53"/>
      <c r="Y1870" s="53"/>
      <c r="Z1870" s="53"/>
    </row>
    <row r="1871" spans="1:26" ht="15.75" customHeight="1">
      <c r="A1871" s="103"/>
      <c r="B1871" s="103"/>
      <c r="C1871" s="104" t="e">
        <v>#REF!</v>
      </c>
      <c r="D1871" s="103"/>
      <c r="E1871" s="53"/>
      <c r="F1871" s="53"/>
      <c r="G1871" s="53"/>
      <c r="H1871" s="53"/>
      <c r="I1871" s="53"/>
      <c r="J1871" s="53"/>
      <c r="K1871" s="53"/>
      <c r="L1871" s="53"/>
      <c r="M1871" s="53"/>
      <c r="N1871" s="53"/>
      <c r="O1871" s="53"/>
      <c r="P1871" s="53"/>
      <c r="Q1871" s="53"/>
      <c r="R1871" s="53"/>
      <c r="S1871" s="53"/>
      <c r="T1871" s="53"/>
      <c r="U1871" s="53"/>
      <c r="V1871" s="53"/>
      <c r="W1871" s="53"/>
      <c r="X1871" s="53"/>
      <c r="Y1871" s="53"/>
      <c r="Z1871" s="53"/>
    </row>
    <row r="1872" spans="1:26" ht="15.75" customHeight="1">
      <c r="A1872" s="103"/>
      <c r="B1872" s="103"/>
      <c r="C1872" s="104" t="e">
        <v>#REF!</v>
      </c>
      <c r="D1872" s="103"/>
      <c r="E1872" s="53"/>
      <c r="F1872" s="53"/>
      <c r="G1872" s="53"/>
      <c r="H1872" s="53"/>
      <c r="I1872" s="53"/>
      <c r="J1872" s="53"/>
      <c r="K1872" s="53"/>
      <c r="L1872" s="53"/>
      <c r="M1872" s="53"/>
      <c r="N1872" s="53"/>
      <c r="O1872" s="53"/>
      <c r="P1872" s="53"/>
      <c r="Q1872" s="53"/>
      <c r="R1872" s="53"/>
      <c r="S1872" s="53"/>
      <c r="T1872" s="53"/>
      <c r="U1872" s="53"/>
      <c r="V1872" s="53"/>
      <c r="W1872" s="53"/>
      <c r="X1872" s="53"/>
      <c r="Y1872" s="53"/>
      <c r="Z1872" s="53"/>
    </row>
    <row r="1873" spans="1:26" ht="15.75" customHeight="1">
      <c r="A1873" s="103"/>
      <c r="B1873" s="103"/>
      <c r="C1873" s="104" t="e">
        <v>#REF!</v>
      </c>
      <c r="D1873" s="103"/>
      <c r="E1873" s="53"/>
      <c r="F1873" s="53"/>
      <c r="G1873" s="53"/>
      <c r="H1873" s="53"/>
      <c r="I1873" s="53"/>
      <c r="J1873" s="53"/>
      <c r="K1873" s="53"/>
      <c r="L1873" s="53"/>
      <c r="M1873" s="53"/>
      <c r="N1873" s="53"/>
      <c r="O1873" s="53"/>
      <c r="P1873" s="53"/>
      <c r="Q1873" s="53"/>
      <c r="R1873" s="53"/>
      <c r="S1873" s="53"/>
      <c r="T1873" s="53"/>
      <c r="U1873" s="53"/>
      <c r="V1873" s="53"/>
      <c r="W1873" s="53"/>
      <c r="X1873" s="53"/>
      <c r="Y1873" s="53"/>
      <c r="Z1873" s="53"/>
    </row>
    <row r="1874" spans="1:26" ht="15.75" customHeight="1">
      <c r="A1874" s="103"/>
      <c r="B1874" s="103"/>
      <c r="C1874" s="104" t="e">
        <v>#REF!</v>
      </c>
      <c r="D1874" s="103"/>
      <c r="E1874" s="53"/>
      <c r="F1874" s="53"/>
      <c r="G1874" s="53"/>
      <c r="H1874" s="53"/>
      <c r="I1874" s="53"/>
      <c r="J1874" s="53"/>
      <c r="K1874" s="53"/>
      <c r="L1874" s="53"/>
      <c r="M1874" s="53"/>
      <c r="N1874" s="53"/>
      <c r="O1874" s="53"/>
      <c r="P1874" s="53"/>
      <c r="Q1874" s="53"/>
      <c r="R1874" s="53"/>
      <c r="S1874" s="53"/>
      <c r="T1874" s="53"/>
      <c r="U1874" s="53"/>
      <c r="V1874" s="53"/>
      <c r="W1874" s="53"/>
      <c r="X1874" s="53"/>
      <c r="Y1874" s="53"/>
      <c r="Z1874" s="53"/>
    </row>
    <row r="1875" spans="1:26" ht="15.75" customHeight="1">
      <c r="A1875" s="103"/>
      <c r="B1875" s="103"/>
      <c r="C1875" s="104" t="e">
        <v>#REF!</v>
      </c>
      <c r="D1875" s="103"/>
      <c r="E1875" s="53"/>
      <c r="F1875" s="53"/>
      <c r="G1875" s="53"/>
      <c r="H1875" s="53"/>
      <c r="I1875" s="53"/>
      <c r="J1875" s="53"/>
      <c r="K1875" s="53"/>
      <c r="L1875" s="53"/>
      <c r="M1875" s="53"/>
      <c r="N1875" s="53"/>
      <c r="O1875" s="53"/>
      <c r="P1875" s="53"/>
      <c r="Q1875" s="53"/>
      <c r="R1875" s="53"/>
      <c r="S1875" s="53"/>
      <c r="T1875" s="53"/>
      <c r="U1875" s="53"/>
      <c r="V1875" s="53"/>
      <c r="W1875" s="53"/>
      <c r="X1875" s="53"/>
      <c r="Y1875" s="53"/>
      <c r="Z1875" s="53"/>
    </row>
    <row r="1876" spans="1:26" ht="15.75" customHeight="1">
      <c r="A1876" s="103"/>
      <c r="B1876" s="103"/>
      <c r="C1876" s="104" t="e">
        <v>#REF!</v>
      </c>
      <c r="D1876" s="103"/>
      <c r="E1876" s="53"/>
      <c r="F1876" s="53"/>
      <c r="G1876" s="53"/>
      <c r="H1876" s="53"/>
      <c r="I1876" s="53"/>
      <c r="J1876" s="53"/>
      <c r="K1876" s="53"/>
      <c r="L1876" s="53"/>
      <c r="M1876" s="53"/>
      <c r="N1876" s="53"/>
      <c r="O1876" s="53"/>
      <c r="P1876" s="53"/>
      <c r="Q1876" s="53"/>
      <c r="R1876" s="53"/>
      <c r="S1876" s="53"/>
      <c r="T1876" s="53"/>
      <c r="U1876" s="53"/>
      <c r="V1876" s="53"/>
      <c r="W1876" s="53"/>
      <c r="X1876" s="53"/>
      <c r="Y1876" s="53"/>
      <c r="Z1876" s="53"/>
    </row>
    <row r="1877" spans="1:26" ht="15.75" customHeight="1">
      <c r="A1877" s="103"/>
      <c r="B1877" s="103"/>
      <c r="C1877" s="104" t="e">
        <v>#REF!</v>
      </c>
      <c r="D1877" s="103"/>
      <c r="E1877" s="53"/>
      <c r="F1877" s="53"/>
      <c r="G1877" s="53"/>
      <c r="H1877" s="53"/>
      <c r="I1877" s="53"/>
      <c r="J1877" s="53"/>
      <c r="K1877" s="53"/>
      <c r="L1877" s="53"/>
      <c r="M1877" s="53"/>
      <c r="N1877" s="53"/>
      <c r="O1877" s="53"/>
      <c r="P1877" s="53"/>
      <c r="Q1877" s="53"/>
      <c r="R1877" s="53"/>
      <c r="S1877" s="53"/>
      <c r="T1877" s="53"/>
      <c r="U1877" s="53"/>
      <c r="V1877" s="53"/>
      <c r="W1877" s="53"/>
      <c r="X1877" s="53"/>
      <c r="Y1877" s="53"/>
      <c r="Z1877" s="53"/>
    </row>
    <row r="1878" spans="1:26" ht="15.75" customHeight="1">
      <c r="A1878" s="103"/>
      <c r="B1878" s="103"/>
      <c r="C1878" s="104" t="e">
        <v>#REF!</v>
      </c>
      <c r="D1878" s="103"/>
      <c r="E1878" s="53"/>
      <c r="F1878" s="53"/>
      <c r="G1878" s="53"/>
      <c r="H1878" s="53"/>
      <c r="I1878" s="53"/>
      <c r="J1878" s="53"/>
      <c r="K1878" s="53"/>
      <c r="L1878" s="53"/>
      <c r="M1878" s="53"/>
      <c r="N1878" s="53"/>
      <c r="O1878" s="53"/>
      <c r="P1878" s="53"/>
      <c r="Q1878" s="53"/>
      <c r="R1878" s="53"/>
      <c r="S1878" s="53"/>
      <c r="T1878" s="53"/>
      <c r="U1878" s="53"/>
      <c r="V1878" s="53"/>
      <c r="W1878" s="53"/>
      <c r="X1878" s="53"/>
      <c r="Y1878" s="53"/>
      <c r="Z1878" s="53"/>
    </row>
    <row r="1879" spans="1:26" ht="15.75" customHeight="1">
      <c r="A1879" s="103"/>
      <c r="B1879" s="103"/>
      <c r="C1879" s="104" t="e">
        <v>#REF!</v>
      </c>
      <c r="D1879" s="103"/>
      <c r="E1879" s="53"/>
      <c r="F1879" s="53"/>
      <c r="G1879" s="53"/>
      <c r="H1879" s="53"/>
      <c r="I1879" s="53"/>
      <c r="J1879" s="53"/>
      <c r="K1879" s="53"/>
      <c r="L1879" s="53"/>
      <c r="M1879" s="53"/>
      <c r="N1879" s="53"/>
      <c r="O1879" s="53"/>
      <c r="P1879" s="53"/>
      <c r="Q1879" s="53"/>
      <c r="R1879" s="53"/>
      <c r="S1879" s="53"/>
      <c r="T1879" s="53"/>
      <c r="U1879" s="53"/>
      <c r="V1879" s="53"/>
      <c r="W1879" s="53"/>
      <c r="X1879" s="53"/>
      <c r="Y1879" s="53"/>
      <c r="Z1879" s="53"/>
    </row>
    <row r="1880" spans="1:26" ht="15.75" customHeight="1">
      <c r="A1880" s="103"/>
      <c r="B1880" s="103"/>
      <c r="C1880" s="104" t="e">
        <v>#REF!</v>
      </c>
      <c r="D1880" s="103"/>
      <c r="E1880" s="53"/>
      <c r="F1880" s="53"/>
      <c r="G1880" s="53"/>
      <c r="H1880" s="53"/>
      <c r="I1880" s="53"/>
      <c r="J1880" s="53"/>
      <c r="K1880" s="53"/>
      <c r="L1880" s="53"/>
      <c r="M1880" s="53"/>
      <c r="N1880" s="53"/>
      <c r="O1880" s="53"/>
      <c r="P1880" s="53"/>
      <c r="Q1880" s="53"/>
      <c r="R1880" s="53"/>
      <c r="S1880" s="53"/>
      <c r="T1880" s="53"/>
      <c r="U1880" s="53"/>
      <c r="V1880" s="53"/>
      <c r="W1880" s="53"/>
      <c r="X1880" s="53"/>
      <c r="Y1880" s="53"/>
      <c r="Z1880" s="53"/>
    </row>
    <row r="1881" spans="1:26" ht="15.75" customHeight="1">
      <c r="A1881" s="103"/>
      <c r="B1881" s="103"/>
      <c r="C1881" s="104" t="e">
        <v>#REF!</v>
      </c>
      <c r="D1881" s="103"/>
      <c r="E1881" s="53"/>
      <c r="F1881" s="53"/>
      <c r="G1881" s="53"/>
      <c r="H1881" s="53"/>
      <c r="I1881" s="53"/>
      <c r="J1881" s="53"/>
      <c r="K1881" s="53"/>
      <c r="L1881" s="53"/>
      <c r="M1881" s="53"/>
      <c r="N1881" s="53"/>
      <c r="O1881" s="53"/>
      <c r="P1881" s="53"/>
      <c r="Q1881" s="53"/>
      <c r="R1881" s="53"/>
      <c r="S1881" s="53"/>
      <c r="T1881" s="53"/>
      <c r="U1881" s="53"/>
      <c r="V1881" s="53"/>
      <c r="W1881" s="53"/>
      <c r="X1881" s="53"/>
      <c r="Y1881" s="53"/>
      <c r="Z1881" s="53"/>
    </row>
    <row r="1882" spans="1:26" ht="15.75" customHeight="1">
      <c r="A1882" s="103"/>
      <c r="B1882" s="103"/>
      <c r="C1882" s="104" t="e">
        <v>#REF!</v>
      </c>
      <c r="D1882" s="103"/>
      <c r="E1882" s="53"/>
      <c r="F1882" s="53"/>
      <c r="G1882" s="53"/>
      <c r="H1882" s="53"/>
      <c r="I1882" s="53"/>
      <c r="J1882" s="53"/>
      <c r="K1882" s="53"/>
      <c r="L1882" s="53"/>
      <c r="M1882" s="53"/>
      <c r="N1882" s="53"/>
      <c r="O1882" s="53"/>
      <c r="P1882" s="53"/>
      <c r="Q1882" s="53"/>
      <c r="R1882" s="53"/>
      <c r="S1882" s="53"/>
      <c r="T1882" s="53"/>
      <c r="U1882" s="53"/>
      <c r="V1882" s="53"/>
      <c r="W1882" s="53"/>
      <c r="X1882" s="53"/>
      <c r="Y1882" s="53"/>
      <c r="Z1882" s="53"/>
    </row>
    <row r="1883" spans="1:26" ht="15.75" customHeight="1">
      <c r="A1883" s="103"/>
      <c r="B1883" s="103"/>
      <c r="C1883" s="104" t="e">
        <v>#REF!</v>
      </c>
      <c r="D1883" s="103"/>
      <c r="E1883" s="53"/>
      <c r="F1883" s="53"/>
      <c r="G1883" s="53"/>
      <c r="H1883" s="53"/>
      <c r="I1883" s="53"/>
      <c r="J1883" s="53"/>
      <c r="K1883" s="53"/>
      <c r="L1883" s="53"/>
      <c r="M1883" s="53"/>
      <c r="N1883" s="53"/>
      <c r="O1883" s="53"/>
      <c r="P1883" s="53"/>
      <c r="Q1883" s="53"/>
      <c r="R1883" s="53"/>
      <c r="S1883" s="53"/>
      <c r="T1883" s="53"/>
      <c r="U1883" s="53"/>
      <c r="V1883" s="53"/>
      <c r="W1883" s="53"/>
      <c r="X1883" s="53"/>
      <c r="Y1883" s="53"/>
      <c r="Z1883" s="53"/>
    </row>
    <row r="1884" spans="1:26" ht="15.75" customHeight="1">
      <c r="A1884" s="103"/>
      <c r="B1884" s="103"/>
      <c r="C1884" s="104" t="e">
        <v>#REF!</v>
      </c>
      <c r="D1884" s="103"/>
      <c r="E1884" s="53"/>
      <c r="F1884" s="53"/>
      <c r="G1884" s="53"/>
      <c r="H1884" s="53"/>
      <c r="I1884" s="53"/>
      <c r="J1884" s="53"/>
      <c r="K1884" s="53"/>
      <c r="L1884" s="53"/>
      <c r="M1884" s="53"/>
      <c r="N1884" s="53"/>
      <c r="O1884" s="53"/>
      <c r="P1884" s="53"/>
      <c r="Q1884" s="53"/>
      <c r="R1884" s="53"/>
      <c r="S1884" s="53"/>
      <c r="T1884" s="53"/>
      <c r="U1884" s="53"/>
      <c r="V1884" s="53"/>
      <c r="W1884" s="53"/>
      <c r="X1884" s="53"/>
      <c r="Y1884" s="53"/>
      <c r="Z1884" s="53"/>
    </row>
    <row r="1885" spans="1:26" ht="15.75" customHeight="1">
      <c r="A1885" s="103"/>
      <c r="B1885" s="103"/>
      <c r="C1885" s="104" t="e">
        <v>#REF!</v>
      </c>
      <c r="D1885" s="103"/>
      <c r="E1885" s="53"/>
      <c r="F1885" s="53"/>
      <c r="G1885" s="53"/>
      <c r="H1885" s="53"/>
      <c r="I1885" s="53"/>
      <c r="J1885" s="53"/>
      <c r="K1885" s="53"/>
      <c r="L1885" s="53"/>
      <c r="M1885" s="53"/>
      <c r="N1885" s="53"/>
      <c r="O1885" s="53"/>
      <c r="P1885" s="53"/>
      <c r="Q1885" s="53"/>
      <c r="R1885" s="53"/>
      <c r="S1885" s="53"/>
      <c r="T1885" s="53"/>
      <c r="U1885" s="53"/>
      <c r="V1885" s="53"/>
      <c r="W1885" s="53"/>
      <c r="X1885" s="53"/>
      <c r="Y1885" s="53"/>
      <c r="Z1885" s="53"/>
    </row>
    <row r="1886" spans="1:26" ht="15.75" customHeight="1">
      <c r="A1886" s="103"/>
      <c r="B1886" s="103"/>
      <c r="C1886" s="104" t="e">
        <v>#REF!</v>
      </c>
      <c r="D1886" s="103"/>
      <c r="E1886" s="53"/>
      <c r="F1886" s="53"/>
      <c r="G1886" s="53"/>
      <c r="H1886" s="53"/>
      <c r="I1886" s="53"/>
      <c r="J1886" s="53"/>
      <c r="K1886" s="53"/>
      <c r="L1886" s="53"/>
      <c r="M1886" s="53"/>
      <c r="N1886" s="53"/>
      <c r="O1886" s="53"/>
      <c r="P1886" s="53"/>
      <c r="Q1886" s="53"/>
      <c r="R1886" s="53"/>
      <c r="S1886" s="53"/>
      <c r="T1886" s="53"/>
      <c r="U1886" s="53"/>
      <c r="V1886" s="53"/>
      <c r="W1886" s="53"/>
      <c r="X1886" s="53"/>
      <c r="Y1886" s="53"/>
      <c r="Z1886" s="53"/>
    </row>
    <row r="1887" spans="1:26" ht="15.75" customHeight="1">
      <c r="A1887" s="103"/>
      <c r="B1887" s="103"/>
      <c r="C1887" s="104" t="e">
        <v>#REF!</v>
      </c>
      <c r="D1887" s="103"/>
      <c r="E1887" s="53"/>
      <c r="F1887" s="53"/>
      <c r="G1887" s="53"/>
      <c r="H1887" s="53"/>
      <c r="I1887" s="53"/>
      <c r="J1887" s="53"/>
      <c r="K1887" s="53"/>
      <c r="L1887" s="53"/>
      <c r="M1887" s="53"/>
      <c r="N1887" s="53"/>
      <c r="O1887" s="53"/>
      <c r="P1887" s="53"/>
      <c r="Q1887" s="53"/>
      <c r="R1887" s="53"/>
      <c r="S1887" s="53"/>
      <c r="T1887" s="53"/>
      <c r="U1887" s="53"/>
      <c r="V1887" s="53"/>
      <c r="W1887" s="53"/>
      <c r="X1887" s="53"/>
      <c r="Y1887" s="53"/>
      <c r="Z1887" s="53"/>
    </row>
    <row r="1888" spans="1:26" ht="15.75" customHeight="1">
      <c r="A1888" s="103"/>
      <c r="B1888" s="103"/>
      <c r="C1888" s="104" t="e">
        <v>#REF!</v>
      </c>
      <c r="D1888" s="103"/>
      <c r="E1888" s="53"/>
      <c r="F1888" s="53"/>
      <c r="G1888" s="53"/>
      <c r="H1888" s="53"/>
      <c r="I1888" s="53"/>
      <c r="J1888" s="53"/>
      <c r="K1888" s="53"/>
      <c r="L1888" s="53"/>
      <c r="M1888" s="53"/>
      <c r="N1888" s="53"/>
      <c r="O1888" s="53"/>
      <c r="P1888" s="53"/>
      <c r="Q1888" s="53"/>
      <c r="R1888" s="53"/>
      <c r="S1888" s="53"/>
      <c r="T1888" s="53"/>
      <c r="U1888" s="53"/>
      <c r="V1888" s="53"/>
      <c r="W1888" s="53"/>
      <c r="X1888" s="53"/>
      <c r="Y1888" s="53"/>
      <c r="Z1888" s="53"/>
    </row>
    <row r="1889" spans="1:26" ht="15.75" customHeight="1">
      <c r="A1889" s="103"/>
      <c r="B1889" s="103"/>
      <c r="C1889" s="104" t="e">
        <v>#REF!</v>
      </c>
      <c r="D1889" s="103"/>
      <c r="E1889" s="53"/>
      <c r="F1889" s="53"/>
      <c r="G1889" s="53"/>
      <c r="H1889" s="53"/>
      <c r="I1889" s="53"/>
      <c r="J1889" s="53"/>
      <c r="K1889" s="53"/>
      <c r="L1889" s="53"/>
      <c r="M1889" s="53"/>
      <c r="N1889" s="53"/>
      <c r="O1889" s="53"/>
      <c r="P1889" s="53"/>
      <c r="Q1889" s="53"/>
      <c r="R1889" s="53"/>
      <c r="S1889" s="53"/>
      <c r="T1889" s="53"/>
      <c r="U1889" s="53"/>
      <c r="V1889" s="53"/>
      <c r="W1889" s="53"/>
      <c r="X1889" s="53"/>
      <c r="Y1889" s="53"/>
      <c r="Z1889" s="53"/>
    </row>
    <row r="1890" spans="1:26" ht="15.75" customHeight="1">
      <c r="A1890" s="103"/>
      <c r="B1890" s="103"/>
      <c r="C1890" s="104" t="e">
        <v>#REF!</v>
      </c>
      <c r="D1890" s="103"/>
      <c r="E1890" s="53"/>
      <c r="F1890" s="53"/>
      <c r="G1890" s="53"/>
      <c r="H1890" s="53"/>
      <c r="I1890" s="53"/>
      <c r="J1890" s="53"/>
      <c r="K1890" s="53"/>
      <c r="L1890" s="53"/>
      <c r="M1890" s="53"/>
      <c r="N1890" s="53"/>
      <c r="O1890" s="53"/>
      <c r="P1890" s="53"/>
      <c r="Q1890" s="53"/>
      <c r="R1890" s="53"/>
      <c r="S1890" s="53"/>
      <c r="T1890" s="53"/>
      <c r="U1890" s="53"/>
      <c r="V1890" s="53"/>
      <c r="W1890" s="53"/>
      <c r="X1890" s="53"/>
      <c r="Y1890" s="53"/>
      <c r="Z1890" s="53"/>
    </row>
    <row r="1891" spans="1:26" ht="15.75" customHeight="1">
      <c r="A1891" s="103"/>
      <c r="B1891" s="103"/>
      <c r="C1891" s="104" t="e">
        <v>#REF!</v>
      </c>
      <c r="D1891" s="10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</row>
    <row r="1892" spans="1:26" ht="15.75" customHeight="1">
      <c r="A1892" s="103"/>
      <c r="B1892" s="103"/>
      <c r="C1892" s="104" t="e">
        <v>#REF!</v>
      </c>
      <c r="D1892" s="103"/>
      <c r="E1892" s="53"/>
      <c r="F1892" s="53"/>
      <c r="G1892" s="53"/>
      <c r="H1892" s="53"/>
      <c r="I1892" s="53"/>
      <c r="J1892" s="53"/>
      <c r="K1892" s="53"/>
      <c r="L1892" s="53"/>
      <c r="M1892" s="53"/>
      <c r="N1892" s="53"/>
      <c r="O1892" s="53"/>
      <c r="P1892" s="53"/>
      <c r="Q1892" s="53"/>
      <c r="R1892" s="53"/>
      <c r="S1892" s="53"/>
      <c r="T1892" s="53"/>
      <c r="U1892" s="53"/>
      <c r="V1892" s="53"/>
      <c r="W1892" s="53"/>
      <c r="X1892" s="53"/>
      <c r="Y1892" s="53"/>
      <c r="Z1892" s="53"/>
    </row>
    <row r="1893" spans="1:26" ht="15.75" customHeight="1">
      <c r="A1893" s="103"/>
      <c r="B1893" s="103"/>
      <c r="C1893" s="104" t="e">
        <v>#REF!</v>
      </c>
      <c r="D1893" s="103"/>
      <c r="E1893" s="53"/>
      <c r="F1893" s="53"/>
      <c r="G1893" s="53"/>
      <c r="H1893" s="53"/>
      <c r="I1893" s="53"/>
      <c r="J1893" s="53"/>
      <c r="K1893" s="53"/>
      <c r="L1893" s="53"/>
      <c r="M1893" s="53"/>
      <c r="N1893" s="53"/>
      <c r="O1893" s="53"/>
      <c r="P1893" s="53"/>
      <c r="Q1893" s="53"/>
      <c r="R1893" s="53"/>
      <c r="S1893" s="53"/>
      <c r="T1893" s="53"/>
      <c r="U1893" s="53"/>
      <c r="V1893" s="53"/>
      <c r="W1893" s="53"/>
      <c r="X1893" s="53"/>
      <c r="Y1893" s="53"/>
      <c r="Z1893" s="53"/>
    </row>
    <row r="1894" spans="1:26" ht="15.75" customHeight="1">
      <c r="A1894" s="103"/>
      <c r="B1894" s="103"/>
      <c r="C1894" s="104" t="e">
        <v>#REF!</v>
      </c>
      <c r="D1894" s="103"/>
      <c r="E1894" s="53"/>
      <c r="F1894" s="53"/>
      <c r="G1894" s="53"/>
      <c r="H1894" s="53"/>
      <c r="I1894" s="53"/>
      <c r="J1894" s="53"/>
      <c r="K1894" s="53"/>
      <c r="L1894" s="53"/>
      <c r="M1894" s="53"/>
      <c r="N1894" s="53"/>
      <c r="O1894" s="53"/>
      <c r="P1894" s="53"/>
      <c r="Q1894" s="53"/>
      <c r="R1894" s="53"/>
      <c r="S1894" s="53"/>
      <c r="T1894" s="53"/>
      <c r="U1894" s="53"/>
      <c r="V1894" s="53"/>
      <c r="W1894" s="53"/>
      <c r="X1894" s="53"/>
      <c r="Y1894" s="53"/>
      <c r="Z1894" s="53"/>
    </row>
    <row r="1895" spans="1:26" ht="15.75" customHeight="1">
      <c r="A1895" s="103"/>
      <c r="B1895" s="103"/>
      <c r="C1895" s="104" t="e">
        <v>#REF!</v>
      </c>
      <c r="D1895" s="103"/>
      <c r="E1895" s="53"/>
      <c r="F1895" s="53"/>
      <c r="G1895" s="53"/>
      <c r="H1895" s="53"/>
      <c r="I1895" s="53"/>
      <c r="J1895" s="53"/>
      <c r="K1895" s="53"/>
      <c r="L1895" s="53"/>
      <c r="M1895" s="53"/>
      <c r="N1895" s="53"/>
      <c r="O1895" s="53"/>
      <c r="P1895" s="53"/>
      <c r="Q1895" s="53"/>
      <c r="R1895" s="53"/>
      <c r="S1895" s="53"/>
      <c r="T1895" s="53"/>
      <c r="U1895" s="53"/>
      <c r="V1895" s="53"/>
      <c r="W1895" s="53"/>
      <c r="X1895" s="53"/>
      <c r="Y1895" s="53"/>
      <c r="Z1895" s="53"/>
    </row>
    <row r="1896" spans="1:26" ht="15.75" customHeight="1">
      <c r="A1896" s="103"/>
      <c r="B1896" s="103"/>
      <c r="C1896" s="104" t="e">
        <v>#REF!</v>
      </c>
      <c r="D1896" s="10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53"/>
      <c r="T1896" s="53"/>
      <c r="U1896" s="53"/>
      <c r="V1896" s="53"/>
      <c r="W1896" s="53"/>
      <c r="X1896" s="53"/>
      <c r="Y1896" s="53"/>
      <c r="Z1896" s="53"/>
    </row>
    <row r="1897" spans="1:26" ht="15.75" customHeight="1">
      <c r="A1897" s="103"/>
      <c r="B1897" s="103"/>
      <c r="C1897" s="104" t="e">
        <v>#REF!</v>
      </c>
      <c r="D1897" s="103"/>
      <c r="E1897" s="53"/>
      <c r="F1897" s="53"/>
      <c r="G1897" s="53"/>
      <c r="H1897" s="53"/>
      <c r="I1897" s="53"/>
      <c r="J1897" s="53"/>
      <c r="K1897" s="53"/>
      <c r="L1897" s="53"/>
      <c r="M1897" s="53"/>
      <c r="N1897" s="53"/>
      <c r="O1897" s="53"/>
      <c r="P1897" s="53"/>
      <c r="Q1897" s="53"/>
      <c r="R1897" s="53"/>
      <c r="S1897" s="53"/>
      <c r="T1897" s="53"/>
      <c r="U1897" s="53"/>
      <c r="V1897" s="53"/>
      <c r="W1897" s="53"/>
      <c r="X1897" s="53"/>
      <c r="Y1897" s="53"/>
      <c r="Z1897" s="53"/>
    </row>
    <row r="1898" spans="1:26" ht="15.75" customHeight="1">
      <c r="A1898" s="103"/>
      <c r="B1898" s="103"/>
      <c r="C1898" s="104" t="e">
        <v>#REF!</v>
      </c>
      <c r="D1898" s="103"/>
      <c r="E1898" s="53"/>
      <c r="F1898" s="53"/>
      <c r="G1898" s="53"/>
      <c r="H1898" s="53"/>
      <c r="I1898" s="53"/>
      <c r="J1898" s="53"/>
      <c r="K1898" s="53"/>
      <c r="L1898" s="53"/>
      <c r="M1898" s="53"/>
      <c r="N1898" s="53"/>
      <c r="O1898" s="53"/>
      <c r="P1898" s="53"/>
      <c r="Q1898" s="53"/>
      <c r="R1898" s="53"/>
      <c r="S1898" s="53"/>
      <c r="T1898" s="53"/>
      <c r="U1898" s="53"/>
      <c r="V1898" s="53"/>
      <c r="W1898" s="53"/>
      <c r="X1898" s="53"/>
      <c r="Y1898" s="53"/>
      <c r="Z1898" s="53"/>
    </row>
    <row r="1899" spans="1:26" ht="15.75" customHeight="1">
      <c r="A1899" s="103"/>
      <c r="B1899" s="103"/>
      <c r="C1899" s="104" t="e">
        <v>#REF!</v>
      </c>
      <c r="D1899" s="103"/>
      <c r="E1899" s="53"/>
      <c r="F1899" s="53"/>
      <c r="G1899" s="53"/>
      <c r="H1899" s="53"/>
      <c r="I1899" s="53"/>
      <c r="J1899" s="53"/>
      <c r="K1899" s="53"/>
      <c r="L1899" s="53"/>
      <c r="M1899" s="53"/>
      <c r="N1899" s="53"/>
      <c r="O1899" s="53"/>
      <c r="P1899" s="53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</row>
    <row r="1900" spans="1:26" ht="15.75" customHeight="1">
      <c r="A1900" s="103"/>
      <c r="B1900" s="103"/>
      <c r="C1900" s="104" t="e">
        <v>#REF!</v>
      </c>
      <c r="D1900" s="103"/>
      <c r="E1900" s="53"/>
      <c r="F1900" s="53"/>
      <c r="G1900" s="53"/>
      <c r="H1900" s="53"/>
      <c r="I1900" s="53"/>
      <c r="J1900" s="53"/>
      <c r="K1900" s="53"/>
      <c r="L1900" s="53"/>
      <c r="M1900" s="53"/>
      <c r="N1900" s="53"/>
      <c r="O1900" s="53"/>
      <c r="P1900" s="53"/>
      <c r="Q1900" s="53"/>
      <c r="R1900" s="53"/>
      <c r="S1900" s="53"/>
      <c r="T1900" s="53"/>
      <c r="U1900" s="53"/>
      <c r="V1900" s="53"/>
      <c r="W1900" s="53"/>
      <c r="X1900" s="53"/>
      <c r="Y1900" s="53"/>
      <c r="Z1900" s="53"/>
    </row>
    <row r="1901" spans="1:26" ht="15.75" customHeight="1">
      <c r="A1901" s="103"/>
      <c r="B1901" s="103"/>
      <c r="C1901" s="104" t="e">
        <v>#REF!</v>
      </c>
      <c r="D1901" s="103"/>
      <c r="E1901" s="53"/>
      <c r="F1901" s="53"/>
      <c r="G1901" s="53"/>
      <c r="H1901" s="53"/>
      <c r="I1901" s="53"/>
      <c r="J1901" s="53"/>
      <c r="K1901" s="53"/>
      <c r="L1901" s="53"/>
      <c r="M1901" s="53"/>
      <c r="N1901" s="53"/>
      <c r="O1901" s="53"/>
      <c r="P1901" s="53"/>
      <c r="Q1901" s="53"/>
      <c r="R1901" s="53"/>
      <c r="S1901" s="53"/>
      <c r="T1901" s="53"/>
      <c r="U1901" s="53"/>
      <c r="V1901" s="53"/>
      <c r="W1901" s="53"/>
      <c r="X1901" s="53"/>
      <c r="Y1901" s="53"/>
      <c r="Z1901" s="53"/>
    </row>
    <row r="1902" spans="1:26" ht="15.75" customHeight="1">
      <c r="A1902" s="103"/>
      <c r="B1902" s="103"/>
      <c r="C1902" s="104" t="e">
        <v>#REF!</v>
      </c>
      <c r="D1902" s="103"/>
      <c r="E1902" s="53"/>
      <c r="F1902" s="53"/>
      <c r="G1902" s="53"/>
      <c r="H1902" s="53"/>
      <c r="I1902" s="53"/>
      <c r="J1902" s="53"/>
      <c r="K1902" s="53"/>
      <c r="L1902" s="53"/>
      <c r="M1902" s="53"/>
      <c r="N1902" s="53"/>
      <c r="O1902" s="53"/>
      <c r="P1902" s="53"/>
      <c r="Q1902" s="53"/>
      <c r="R1902" s="53"/>
      <c r="S1902" s="53"/>
      <c r="T1902" s="53"/>
      <c r="U1902" s="53"/>
      <c r="V1902" s="53"/>
      <c r="W1902" s="53"/>
      <c r="X1902" s="53"/>
      <c r="Y1902" s="53"/>
      <c r="Z1902" s="53"/>
    </row>
    <row r="1903" spans="1:26" ht="15.75" customHeight="1">
      <c r="A1903" s="103"/>
      <c r="B1903" s="103"/>
      <c r="C1903" s="104" t="e">
        <v>#REF!</v>
      </c>
      <c r="D1903" s="103"/>
      <c r="E1903" s="53"/>
      <c r="F1903" s="53"/>
      <c r="G1903" s="53"/>
      <c r="H1903" s="53"/>
      <c r="I1903" s="53"/>
      <c r="J1903" s="53"/>
      <c r="K1903" s="53"/>
      <c r="L1903" s="53"/>
      <c r="M1903" s="53"/>
      <c r="N1903" s="53"/>
      <c r="O1903" s="53"/>
      <c r="P1903" s="53"/>
      <c r="Q1903" s="53"/>
      <c r="R1903" s="53"/>
      <c r="S1903" s="53"/>
      <c r="T1903" s="53"/>
      <c r="U1903" s="53"/>
      <c r="V1903" s="53"/>
      <c r="W1903" s="53"/>
      <c r="X1903" s="53"/>
      <c r="Y1903" s="53"/>
      <c r="Z1903" s="53"/>
    </row>
    <row r="1904" spans="1:26" ht="15.75" customHeight="1">
      <c r="A1904" s="103"/>
      <c r="B1904" s="103"/>
      <c r="C1904" s="104" t="e">
        <v>#REF!</v>
      </c>
      <c r="D1904" s="103"/>
      <c r="E1904" s="53"/>
      <c r="F1904" s="53"/>
      <c r="G1904" s="53"/>
      <c r="H1904" s="53"/>
      <c r="I1904" s="53"/>
      <c r="J1904" s="53"/>
      <c r="K1904" s="53"/>
      <c r="L1904" s="53"/>
      <c r="M1904" s="53"/>
      <c r="N1904" s="53"/>
      <c r="O1904" s="53"/>
      <c r="P1904" s="53"/>
      <c r="Q1904" s="53"/>
      <c r="R1904" s="53"/>
      <c r="S1904" s="53"/>
      <c r="T1904" s="53"/>
      <c r="U1904" s="53"/>
      <c r="V1904" s="53"/>
      <c r="W1904" s="53"/>
      <c r="X1904" s="53"/>
      <c r="Y1904" s="53"/>
      <c r="Z1904" s="53"/>
    </row>
    <row r="1905" spans="1:26" ht="15.75" customHeight="1">
      <c r="A1905" s="103"/>
      <c r="B1905" s="103"/>
      <c r="C1905" s="104" t="e">
        <v>#REF!</v>
      </c>
      <c r="D1905" s="103"/>
      <c r="E1905" s="53"/>
      <c r="F1905" s="53"/>
      <c r="G1905" s="53"/>
      <c r="H1905" s="53"/>
      <c r="I1905" s="53"/>
      <c r="J1905" s="53"/>
      <c r="K1905" s="53"/>
      <c r="L1905" s="53"/>
      <c r="M1905" s="53"/>
      <c r="N1905" s="53"/>
      <c r="O1905" s="53"/>
      <c r="P1905" s="53"/>
      <c r="Q1905" s="53"/>
      <c r="R1905" s="53"/>
      <c r="S1905" s="53"/>
      <c r="T1905" s="53"/>
      <c r="U1905" s="53"/>
      <c r="V1905" s="53"/>
      <c r="W1905" s="53"/>
      <c r="X1905" s="53"/>
      <c r="Y1905" s="53"/>
      <c r="Z1905" s="53"/>
    </row>
    <row r="1906" spans="1:26" ht="15.75" customHeight="1">
      <c r="A1906" s="103"/>
      <c r="B1906" s="103"/>
      <c r="C1906" s="104" t="e">
        <v>#REF!</v>
      </c>
      <c r="D1906" s="103"/>
      <c r="E1906" s="53"/>
      <c r="F1906" s="53"/>
      <c r="G1906" s="53"/>
      <c r="H1906" s="53"/>
      <c r="I1906" s="53"/>
      <c r="J1906" s="53"/>
      <c r="K1906" s="53"/>
      <c r="L1906" s="53"/>
      <c r="M1906" s="53"/>
      <c r="N1906" s="53"/>
      <c r="O1906" s="53"/>
      <c r="P1906" s="53"/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</row>
    <row r="1907" spans="1:26" ht="15.75" customHeight="1">
      <c r="A1907" s="103"/>
      <c r="B1907" s="103"/>
      <c r="C1907" s="104" t="e">
        <v>#REF!</v>
      </c>
      <c r="D1907" s="103"/>
      <c r="E1907" s="53"/>
      <c r="F1907" s="53"/>
      <c r="G1907" s="53"/>
      <c r="H1907" s="53"/>
      <c r="I1907" s="53"/>
      <c r="J1907" s="53"/>
      <c r="K1907" s="53"/>
      <c r="L1907" s="53"/>
      <c r="M1907" s="53"/>
      <c r="N1907" s="53"/>
      <c r="O1907" s="53"/>
      <c r="P1907" s="53"/>
      <c r="Q1907" s="53"/>
      <c r="R1907" s="53"/>
      <c r="S1907" s="53"/>
      <c r="T1907" s="53"/>
      <c r="U1907" s="53"/>
      <c r="V1907" s="53"/>
      <c r="W1907" s="53"/>
      <c r="X1907" s="53"/>
      <c r="Y1907" s="53"/>
      <c r="Z1907" s="53"/>
    </row>
    <row r="1908" spans="1:26" ht="15.75" customHeight="1">
      <c r="A1908" s="103"/>
      <c r="B1908" s="103"/>
      <c r="C1908" s="104" t="e">
        <v>#REF!</v>
      </c>
      <c r="D1908" s="103"/>
      <c r="E1908" s="53"/>
      <c r="F1908" s="53"/>
      <c r="G1908" s="53"/>
      <c r="H1908" s="53"/>
      <c r="I1908" s="53"/>
      <c r="J1908" s="53"/>
      <c r="K1908" s="53"/>
      <c r="L1908" s="53"/>
      <c r="M1908" s="53"/>
      <c r="N1908" s="53"/>
      <c r="O1908" s="53"/>
      <c r="P1908" s="53"/>
      <c r="Q1908" s="53"/>
      <c r="R1908" s="53"/>
      <c r="S1908" s="53"/>
      <c r="T1908" s="53"/>
      <c r="U1908" s="53"/>
      <c r="V1908" s="53"/>
      <c r="W1908" s="53"/>
      <c r="X1908" s="53"/>
      <c r="Y1908" s="53"/>
      <c r="Z1908" s="53"/>
    </row>
    <row r="1909" spans="1:26" ht="15.75" customHeight="1">
      <c r="A1909" s="103"/>
      <c r="B1909" s="103"/>
      <c r="C1909" s="104" t="e">
        <v>#REF!</v>
      </c>
      <c r="D1909" s="103"/>
      <c r="E1909" s="53"/>
      <c r="F1909" s="53"/>
      <c r="G1909" s="53"/>
      <c r="H1909" s="53"/>
      <c r="I1909" s="53"/>
      <c r="J1909" s="53"/>
      <c r="K1909" s="53"/>
      <c r="L1909" s="53"/>
      <c r="M1909" s="53"/>
      <c r="N1909" s="53"/>
      <c r="O1909" s="53"/>
      <c r="P1909" s="53"/>
      <c r="Q1909" s="53"/>
      <c r="R1909" s="53"/>
      <c r="S1909" s="53"/>
      <c r="T1909" s="53"/>
      <c r="U1909" s="53"/>
      <c r="V1909" s="53"/>
      <c r="W1909" s="53"/>
      <c r="X1909" s="53"/>
      <c r="Y1909" s="53"/>
      <c r="Z1909" s="53"/>
    </row>
    <row r="1910" spans="1:26" ht="15.75" customHeight="1">
      <c r="A1910" s="103"/>
      <c r="B1910" s="103"/>
      <c r="C1910" s="104" t="e">
        <v>#REF!</v>
      </c>
      <c r="D1910" s="103"/>
      <c r="E1910" s="53"/>
      <c r="F1910" s="53"/>
      <c r="G1910" s="53"/>
      <c r="H1910" s="53"/>
      <c r="I1910" s="53"/>
      <c r="J1910" s="53"/>
      <c r="K1910" s="53"/>
      <c r="L1910" s="53"/>
      <c r="M1910" s="53"/>
      <c r="N1910" s="53"/>
      <c r="O1910" s="53"/>
      <c r="P1910" s="53"/>
      <c r="Q1910" s="53"/>
      <c r="R1910" s="53"/>
      <c r="S1910" s="53"/>
      <c r="T1910" s="53"/>
      <c r="U1910" s="53"/>
      <c r="V1910" s="53"/>
      <c r="W1910" s="53"/>
      <c r="X1910" s="53"/>
      <c r="Y1910" s="53"/>
      <c r="Z1910" s="53"/>
    </row>
    <row r="1911" spans="1:26" ht="15.75" customHeight="1">
      <c r="A1911" s="103"/>
      <c r="B1911" s="103"/>
      <c r="C1911" s="104" t="e">
        <v>#REF!</v>
      </c>
      <c r="D1911" s="103"/>
      <c r="E1911" s="53"/>
      <c r="F1911" s="53"/>
      <c r="G1911" s="53"/>
      <c r="H1911" s="53"/>
      <c r="I1911" s="53"/>
      <c r="J1911" s="53"/>
      <c r="K1911" s="53"/>
      <c r="L1911" s="53"/>
      <c r="M1911" s="53"/>
      <c r="N1911" s="53"/>
      <c r="O1911" s="53"/>
      <c r="P1911" s="53"/>
      <c r="Q1911" s="53"/>
      <c r="R1911" s="53"/>
      <c r="S1911" s="53"/>
      <c r="T1911" s="53"/>
      <c r="U1911" s="53"/>
      <c r="V1911" s="53"/>
      <c r="W1911" s="53"/>
      <c r="X1911" s="53"/>
      <c r="Y1911" s="53"/>
      <c r="Z1911" s="53"/>
    </row>
    <row r="1912" spans="1:26" ht="15.75" customHeight="1">
      <c r="A1912" s="103"/>
      <c r="B1912" s="103"/>
      <c r="C1912" s="104" t="e">
        <v>#REF!</v>
      </c>
      <c r="D1912" s="103"/>
      <c r="E1912" s="53"/>
      <c r="F1912" s="53"/>
      <c r="G1912" s="53"/>
      <c r="H1912" s="53"/>
      <c r="I1912" s="53"/>
      <c r="J1912" s="53"/>
      <c r="K1912" s="53"/>
      <c r="L1912" s="53"/>
      <c r="M1912" s="53"/>
      <c r="N1912" s="53"/>
      <c r="O1912" s="53"/>
      <c r="P1912" s="53"/>
      <c r="Q1912" s="53"/>
      <c r="R1912" s="53"/>
      <c r="S1912" s="53"/>
      <c r="T1912" s="53"/>
      <c r="U1912" s="53"/>
      <c r="V1912" s="53"/>
      <c r="W1912" s="53"/>
      <c r="X1912" s="53"/>
      <c r="Y1912" s="53"/>
      <c r="Z1912" s="53"/>
    </row>
    <row r="1913" spans="1:26" ht="15.75" customHeight="1">
      <c r="A1913" s="103"/>
      <c r="B1913" s="103"/>
      <c r="C1913" s="104" t="e">
        <v>#REF!</v>
      </c>
      <c r="D1913" s="103"/>
      <c r="E1913" s="53"/>
      <c r="F1913" s="53"/>
      <c r="G1913" s="53"/>
      <c r="H1913" s="53"/>
      <c r="I1913" s="53"/>
      <c r="J1913" s="53"/>
      <c r="K1913" s="53"/>
      <c r="L1913" s="53"/>
      <c r="M1913" s="53"/>
      <c r="N1913" s="53"/>
      <c r="O1913" s="53"/>
      <c r="P1913" s="53"/>
      <c r="Q1913" s="53"/>
      <c r="R1913" s="53"/>
      <c r="S1913" s="53"/>
      <c r="T1913" s="53"/>
      <c r="U1913" s="53"/>
      <c r="V1913" s="53"/>
      <c r="W1913" s="53"/>
      <c r="X1913" s="53"/>
      <c r="Y1913" s="53"/>
      <c r="Z1913" s="53"/>
    </row>
    <row r="1914" spans="1:26" ht="15.75" customHeight="1">
      <c r="A1914" s="103"/>
      <c r="B1914" s="103"/>
      <c r="C1914" s="104" t="e">
        <v>#REF!</v>
      </c>
      <c r="D1914" s="103"/>
      <c r="E1914" s="53"/>
      <c r="F1914" s="53"/>
      <c r="G1914" s="53"/>
      <c r="H1914" s="53"/>
      <c r="I1914" s="53"/>
      <c r="J1914" s="53"/>
      <c r="K1914" s="53"/>
      <c r="L1914" s="53"/>
      <c r="M1914" s="53"/>
      <c r="N1914" s="53"/>
      <c r="O1914" s="53"/>
      <c r="P1914" s="53"/>
      <c r="Q1914" s="53"/>
      <c r="R1914" s="53"/>
      <c r="S1914" s="53"/>
      <c r="T1914" s="53"/>
      <c r="U1914" s="53"/>
      <c r="V1914" s="53"/>
      <c r="W1914" s="53"/>
      <c r="X1914" s="53"/>
      <c r="Y1914" s="53"/>
      <c r="Z1914" s="53"/>
    </row>
    <row r="1915" spans="1:26" ht="15.75" customHeight="1">
      <c r="A1915" s="103"/>
      <c r="B1915" s="103"/>
      <c r="C1915" s="104" t="e">
        <v>#REF!</v>
      </c>
      <c r="D1915" s="103"/>
      <c r="E1915" s="53"/>
      <c r="F1915" s="53"/>
      <c r="G1915" s="53"/>
      <c r="H1915" s="53"/>
      <c r="I1915" s="53"/>
      <c r="J1915" s="53"/>
      <c r="K1915" s="53"/>
      <c r="L1915" s="53"/>
      <c r="M1915" s="53"/>
      <c r="N1915" s="53"/>
      <c r="O1915" s="53"/>
      <c r="P1915" s="53"/>
      <c r="Q1915" s="53"/>
      <c r="R1915" s="53"/>
      <c r="S1915" s="53"/>
      <c r="T1915" s="53"/>
      <c r="U1915" s="53"/>
      <c r="V1915" s="53"/>
      <c r="W1915" s="53"/>
      <c r="X1915" s="53"/>
      <c r="Y1915" s="53"/>
      <c r="Z1915" s="53"/>
    </row>
    <row r="1916" spans="1:26" ht="15.75" customHeight="1">
      <c r="A1916" s="103"/>
      <c r="B1916" s="103"/>
      <c r="C1916" s="104" t="e">
        <v>#REF!</v>
      </c>
      <c r="D1916" s="103"/>
      <c r="E1916" s="53"/>
      <c r="F1916" s="53"/>
      <c r="G1916" s="53"/>
      <c r="H1916" s="53"/>
      <c r="I1916" s="53"/>
      <c r="J1916" s="53"/>
      <c r="K1916" s="53"/>
      <c r="L1916" s="53"/>
      <c r="M1916" s="53"/>
      <c r="N1916" s="53"/>
      <c r="O1916" s="53"/>
      <c r="P1916" s="53"/>
      <c r="Q1916" s="53"/>
      <c r="R1916" s="53"/>
      <c r="S1916" s="53"/>
      <c r="T1916" s="53"/>
      <c r="U1916" s="53"/>
      <c r="V1916" s="53"/>
      <c r="W1916" s="53"/>
      <c r="X1916" s="53"/>
      <c r="Y1916" s="53"/>
      <c r="Z1916" s="53"/>
    </row>
    <row r="1917" spans="1:26" ht="15.75" customHeight="1">
      <c r="A1917" s="103"/>
      <c r="B1917" s="103"/>
      <c r="C1917" s="104" t="e">
        <v>#REF!</v>
      </c>
      <c r="D1917" s="103"/>
      <c r="E1917" s="53"/>
      <c r="F1917" s="53"/>
      <c r="G1917" s="53"/>
      <c r="H1917" s="53"/>
      <c r="I1917" s="53"/>
      <c r="J1917" s="53"/>
      <c r="K1917" s="53"/>
      <c r="L1917" s="53"/>
      <c r="M1917" s="53"/>
      <c r="N1917" s="53"/>
      <c r="O1917" s="53"/>
      <c r="P1917" s="53"/>
      <c r="Q1917" s="53"/>
      <c r="R1917" s="53"/>
      <c r="S1917" s="53"/>
      <c r="T1917" s="53"/>
      <c r="U1917" s="53"/>
      <c r="V1917" s="53"/>
      <c r="W1917" s="53"/>
      <c r="X1917" s="53"/>
      <c r="Y1917" s="53"/>
      <c r="Z1917" s="53"/>
    </row>
    <row r="1918" spans="1:26" ht="15.75" customHeight="1">
      <c r="A1918" s="103"/>
      <c r="B1918" s="103"/>
      <c r="C1918" s="104" t="e">
        <v>#REF!</v>
      </c>
      <c r="D1918" s="103"/>
      <c r="E1918" s="53"/>
      <c r="F1918" s="53"/>
      <c r="G1918" s="53"/>
      <c r="H1918" s="53"/>
      <c r="I1918" s="53"/>
      <c r="J1918" s="53"/>
      <c r="K1918" s="53"/>
      <c r="L1918" s="53"/>
      <c r="M1918" s="53"/>
      <c r="N1918" s="53"/>
      <c r="O1918" s="53"/>
      <c r="P1918" s="53"/>
      <c r="Q1918" s="53"/>
      <c r="R1918" s="53"/>
      <c r="S1918" s="53"/>
      <c r="T1918" s="53"/>
      <c r="U1918" s="53"/>
      <c r="V1918" s="53"/>
      <c r="W1918" s="53"/>
      <c r="X1918" s="53"/>
      <c r="Y1918" s="53"/>
      <c r="Z1918" s="53"/>
    </row>
    <row r="1919" spans="1:26" ht="15.75" customHeight="1">
      <c r="A1919" s="103"/>
      <c r="B1919" s="103"/>
      <c r="C1919" s="104" t="e">
        <v>#REF!</v>
      </c>
      <c r="D1919" s="103"/>
      <c r="E1919" s="53"/>
      <c r="F1919" s="53"/>
      <c r="G1919" s="53"/>
      <c r="H1919" s="53"/>
      <c r="I1919" s="53"/>
      <c r="J1919" s="53"/>
      <c r="K1919" s="53"/>
      <c r="L1919" s="53"/>
      <c r="M1919" s="53"/>
      <c r="N1919" s="53"/>
      <c r="O1919" s="53"/>
      <c r="P1919" s="53"/>
      <c r="Q1919" s="53"/>
      <c r="R1919" s="53"/>
      <c r="S1919" s="53"/>
      <c r="T1919" s="53"/>
      <c r="U1919" s="53"/>
      <c r="V1919" s="53"/>
      <c r="W1919" s="53"/>
      <c r="X1919" s="53"/>
      <c r="Y1919" s="53"/>
      <c r="Z1919" s="53"/>
    </row>
    <row r="1920" spans="1:26" ht="15.75" customHeight="1">
      <c r="A1920" s="103"/>
      <c r="B1920" s="103"/>
      <c r="C1920" s="104" t="e">
        <v>#REF!</v>
      </c>
      <c r="D1920" s="103"/>
      <c r="E1920" s="53"/>
      <c r="F1920" s="53"/>
      <c r="G1920" s="53"/>
      <c r="H1920" s="53"/>
      <c r="I1920" s="53"/>
      <c r="J1920" s="53"/>
      <c r="K1920" s="53"/>
      <c r="L1920" s="53"/>
      <c r="M1920" s="53"/>
      <c r="N1920" s="53"/>
      <c r="O1920" s="53"/>
      <c r="P1920" s="53"/>
      <c r="Q1920" s="53"/>
      <c r="R1920" s="53"/>
      <c r="S1920" s="53"/>
      <c r="T1920" s="53"/>
      <c r="U1920" s="53"/>
      <c r="V1920" s="53"/>
      <c r="W1920" s="53"/>
      <c r="X1920" s="53"/>
      <c r="Y1920" s="53"/>
      <c r="Z1920" s="53"/>
    </row>
    <row r="1921" spans="1:26" ht="15.75" customHeight="1">
      <c r="A1921" s="103"/>
      <c r="B1921" s="103"/>
      <c r="C1921" s="104" t="e">
        <v>#REF!</v>
      </c>
      <c r="D1921" s="103"/>
      <c r="E1921" s="53"/>
      <c r="F1921" s="53"/>
      <c r="G1921" s="53"/>
      <c r="H1921" s="53"/>
      <c r="I1921" s="53"/>
      <c r="J1921" s="53"/>
      <c r="K1921" s="53"/>
      <c r="L1921" s="53"/>
      <c r="M1921" s="53"/>
      <c r="N1921" s="53"/>
      <c r="O1921" s="53"/>
      <c r="P1921" s="53"/>
      <c r="Q1921" s="53"/>
      <c r="R1921" s="53"/>
      <c r="S1921" s="53"/>
      <c r="T1921" s="53"/>
      <c r="U1921" s="53"/>
      <c r="V1921" s="53"/>
      <c r="W1921" s="53"/>
      <c r="X1921" s="53"/>
      <c r="Y1921" s="53"/>
      <c r="Z1921" s="53"/>
    </row>
    <row r="1922" spans="1:26" ht="15.75" customHeight="1">
      <c r="A1922" s="103"/>
      <c r="B1922" s="103"/>
      <c r="C1922" s="104" t="e">
        <v>#REF!</v>
      </c>
      <c r="D1922" s="103"/>
      <c r="E1922" s="53"/>
      <c r="F1922" s="53"/>
      <c r="G1922" s="53"/>
      <c r="H1922" s="53"/>
      <c r="I1922" s="53"/>
      <c r="J1922" s="53"/>
      <c r="K1922" s="53"/>
      <c r="L1922" s="53"/>
      <c r="M1922" s="53"/>
      <c r="N1922" s="53"/>
      <c r="O1922" s="53"/>
      <c r="P1922" s="53"/>
      <c r="Q1922" s="53"/>
      <c r="R1922" s="53"/>
      <c r="S1922" s="53"/>
      <c r="T1922" s="53"/>
      <c r="U1922" s="53"/>
      <c r="V1922" s="53"/>
      <c r="W1922" s="53"/>
      <c r="X1922" s="53"/>
      <c r="Y1922" s="53"/>
      <c r="Z1922" s="53"/>
    </row>
    <row r="1923" spans="1:26" ht="15.75" customHeight="1">
      <c r="A1923" s="103"/>
      <c r="B1923" s="103"/>
      <c r="C1923" s="104" t="e">
        <v>#REF!</v>
      </c>
      <c r="D1923" s="103"/>
      <c r="E1923" s="53"/>
      <c r="F1923" s="53"/>
      <c r="G1923" s="53"/>
      <c r="H1923" s="53"/>
      <c r="I1923" s="53"/>
      <c r="J1923" s="53"/>
      <c r="K1923" s="53"/>
      <c r="L1923" s="53"/>
      <c r="M1923" s="53"/>
      <c r="N1923" s="53"/>
      <c r="O1923" s="53"/>
      <c r="P1923" s="53"/>
      <c r="Q1923" s="53"/>
      <c r="R1923" s="53"/>
      <c r="S1923" s="53"/>
      <c r="T1923" s="53"/>
      <c r="U1923" s="53"/>
      <c r="V1923" s="53"/>
      <c r="W1923" s="53"/>
      <c r="X1923" s="53"/>
      <c r="Y1923" s="53"/>
      <c r="Z1923" s="53"/>
    </row>
    <row r="1924" spans="1:26" ht="15.75" customHeight="1">
      <c r="A1924" s="103"/>
      <c r="B1924" s="103"/>
      <c r="C1924" s="104" t="e">
        <v>#REF!</v>
      </c>
      <c r="D1924" s="103"/>
      <c r="E1924" s="53"/>
      <c r="F1924" s="53"/>
      <c r="G1924" s="53"/>
      <c r="H1924" s="53"/>
      <c r="I1924" s="53"/>
      <c r="J1924" s="53"/>
      <c r="K1924" s="53"/>
      <c r="L1924" s="53"/>
      <c r="M1924" s="53"/>
      <c r="N1924" s="53"/>
      <c r="O1924" s="53"/>
      <c r="P1924" s="53"/>
      <c r="Q1924" s="53"/>
      <c r="R1924" s="53"/>
      <c r="S1924" s="53"/>
      <c r="T1924" s="53"/>
      <c r="U1924" s="53"/>
      <c r="V1924" s="53"/>
      <c r="W1924" s="53"/>
      <c r="X1924" s="53"/>
      <c r="Y1924" s="53"/>
      <c r="Z1924" s="53"/>
    </row>
    <row r="1925" spans="1:26" ht="15.75" customHeight="1">
      <c r="A1925" s="103"/>
      <c r="B1925" s="103"/>
      <c r="C1925" s="104" t="e">
        <v>#REF!</v>
      </c>
      <c r="D1925" s="103"/>
      <c r="E1925" s="53"/>
      <c r="F1925" s="53"/>
      <c r="G1925" s="53"/>
      <c r="H1925" s="53"/>
      <c r="I1925" s="53"/>
      <c r="J1925" s="53"/>
      <c r="K1925" s="53"/>
      <c r="L1925" s="53"/>
      <c r="M1925" s="53"/>
      <c r="N1925" s="53"/>
      <c r="O1925" s="53"/>
      <c r="P1925" s="53"/>
      <c r="Q1925" s="53"/>
      <c r="R1925" s="53"/>
      <c r="S1925" s="53"/>
      <c r="T1925" s="53"/>
      <c r="U1925" s="53"/>
      <c r="V1925" s="53"/>
      <c r="W1925" s="53"/>
      <c r="X1925" s="53"/>
      <c r="Y1925" s="53"/>
      <c r="Z1925" s="53"/>
    </row>
    <row r="1926" spans="1:26" ht="15.75" customHeight="1">
      <c r="A1926" s="103"/>
      <c r="B1926" s="103"/>
      <c r="C1926" s="104" t="e">
        <v>#REF!</v>
      </c>
      <c r="D1926" s="103"/>
      <c r="E1926" s="53"/>
      <c r="F1926" s="53"/>
      <c r="G1926" s="53"/>
      <c r="H1926" s="53"/>
      <c r="I1926" s="53"/>
      <c r="J1926" s="53"/>
      <c r="K1926" s="53"/>
      <c r="L1926" s="53"/>
      <c r="M1926" s="53"/>
      <c r="N1926" s="53"/>
      <c r="O1926" s="53"/>
      <c r="P1926" s="53"/>
      <c r="Q1926" s="53"/>
      <c r="R1926" s="53"/>
      <c r="S1926" s="53"/>
      <c r="T1926" s="53"/>
      <c r="U1926" s="53"/>
      <c r="V1926" s="53"/>
      <c r="W1926" s="53"/>
      <c r="X1926" s="53"/>
      <c r="Y1926" s="53"/>
      <c r="Z1926" s="53"/>
    </row>
    <row r="1927" spans="1:26" ht="15.75" customHeight="1">
      <c r="A1927" s="103"/>
      <c r="B1927" s="103"/>
      <c r="C1927" s="104" t="e">
        <v>#REF!</v>
      </c>
      <c r="D1927" s="103"/>
      <c r="E1927" s="53"/>
      <c r="F1927" s="53"/>
      <c r="G1927" s="53"/>
      <c r="H1927" s="53"/>
      <c r="I1927" s="53"/>
      <c r="J1927" s="53"/>
      <c r="K1927" s="53"/>
      <c r="L1927" s="53"/>
      <c r="M1927" s="53"/>
      <c r="N1927" s="53"/>
      <c r="O1927" s="53"/>
      <c r="P1927" s="53"/>
      <c r="Q1927" s="53"/>
      <c r="R1927" s="53"/>
      <c r="S1927" s="53"/>
      <c r="T1927" s="53"/>
      <c r="U1927" s="53"/>
      <c r="V1927" s="53"/>
      <c r="W1927" s="53"/>
      <c r="X1927" s="53"/>
      <c r="Y1927" s="53"/>
      <c r="Z1927" s="53"/>
    </row>
    <row r="1928" spans="1:26" ht="15.75" customHeight="1">
      <c r="A1928" s="103"/>
      <c r="B1928" s="103"/>
      <c r="C1928" s="104" t="e">
        <v>#REF!</v>
      </c>
      <c r="D1928" s="103"/>
      <c r="E1928" s="53"/>
      <c r="F1928" s="53"/>
      <c r="G1928" s="53"/>
      <c r="H1928" s="53"/>
      <c r="I1928" s="53"/>
      <c r="J1928" s="53"/>
      <c r="K1928" s="53"/>
      <c r="L1928" s="53"/>
      <c r="M1928" s="53"/>
      <c r="N1928" s="53"/>
      <c r="O1928" s="53"/>
      <c r="P1928" s="53"/>
      <c r="Q1928" s="53"/>
      <c r="R1928" s="53"/>
      <c r="S1928" s="53"/>
      <c r="T1928" s="53"/>
      <c r="U1928" s="53"/>
      <c r="V1928" s="53"/>
      <c r="W1928" s="53"/>
      <c r="X1928" s="53"/>
      <c r="Y1928" s="53"/>
      <c r="Z1928" s="53"/>
    </row>
    <row r="1929" spans="1:26" ht="15.75" customHeight="1">
      <c r="A1929" s="103"/>
      <c r="B1929" s="103"/>
      <c r="C1929" s="104" t="e">
        <v>#REF!</v>
      </c>
      <c r="D1929" s="103"/>
      <c r="E1929" s="53"/>
      <c r="F1929" s="53"/>
      <c r="G1929" s="53"/>
      <c r="H1929" s="53"/>
      <c r="I1929" s="53"/>
      <c r="J1929" s="53"/>
      <c r="K1929" s="53"/>
      <c r="L1929" s="53"/>
      <c r="M1929" s="53"/>
      <c r="N1929" s="53"/>
      <c r="O1929" s="53"/>
      <c r="P1929" s="53"/>
      <c r="Q1929" s="53"/>
      <c r="R1929" s="53"/>
      <c r="S1929" s="53"/>
      <c r="T1929" s="53"/>
      <c r="U1929" s="53"/>
      <c r="V1929" s="53"/>
      <c r="W1929" s="53"/>
      <c r="X1929" s="53"/>
      <c r="Y1929" s="53"/>
      <c r="Z1929" s="53"/>
    </row>
    <row r="1930" spans="1:26" ht="15.75" customHeight="1">
      <c r="A1930" s="103"/>
      <c r="B1930" s="103"/>
      <c r="C1930" s="104" t="e">
        <v>#REF!</v>
      </c>
      <c r="D1930" s="103"/>
      <c r="E1930" s="53"/>
      <c r="F1930" s="53"/>
      <c r="G1930" s="53"/>
      <c r="H1930" s="53"/>
      <c r="I1930" s="53"/>
      <c r="J1930" s="53"/>
      <c r="K1930" s="53"/>
      <c r="L1930" s="53"/>
      <c r="M1930" s="53"/>
      <c r="N1930" s="53"/>
      <c r="O1930" s="53"/>
      <c r="P1930" s="53"/>
      <c r="Q1930" s="53"/>
      <c r="R1930" s="53"/>
      <c r="S1930" s="53"/>
      <c r="T1930" s="53"/>
      <c r="U1930" s="53"/>
      <c r="V1930" s="53"/>
      <c r="W1930" s="53"/>
      <c r="X1930" s="53"/>
      <c r="Y1930" s="53"/>
      <c r="Z1930" s="53"/>
    </row>
    <row r="1931" spans="1:26" ht="15.75" customHeight="1">
      <c r="A1931" s="103"/>
      <c r="B1931" s="103"/>
      <c r="C1931" s="104" t="e">
        <v>#REF!</v>
      </c>
      <c r="D1931" s="103"/>
      <c r="E1931" s="53"/>
      <c r="F1931" s="53"/>
      <c r="G1931" s="53"/>
      <c r="H1931" s="53"/>
      <c r="I1931" s="53"/>
      <c r="J1931" s="53"/>
      <c r="K1931" s="53"/>
      <c r="L1931" s="53"/>
      <c r="M1931" s="53"/>
      <c r="N1931" s="53"/>
      <c r="O1931" s="53"/>
      <c r="P1931" s="53"/>
      <c r="Q1931" s="53"/>
      <c r="R1931" s="53"/>
      <c r="S1931" s="53"/>
      <c r="T1931" s="53"/>
      <c r="U1931" s="53"/>
      <c r="V1931" s="53"/>
      <c r="W1931" s="53"/>
      <c r="X1931" s="53"/>
      <c r="Y1931" s="53"/>
      <c r="Z1931" s="53"/>
    </row>
    <row r="1932" spans="1:26" ht="15.75" customHeight="1">
      <c r="A1932" s="103"/>
      <c r="B1932" s="103"/>
      <c r="C1932" s="104" t="e">
        <v>#REF!</v>
      </c>
      <c r="D1932" s="103"/>
      <c r="E1932" s="53"/>
      <c r="F1932" s="53"/>
      <c r="G1932" s="53"/>
      <c r="H1932" s="53"/>
      <c r="I1932" s="53"/>
      <c r="J1932" s="53"/>
      <c r="K1932" s="53"/>
      <c r="L1932" s="53"/>
      <c r="M1932" s="53"/>
      <c r="N1932" s="53"/>
      <c r="O1932" s="53"/>
      <c r="P1932" s="53"/>
      <c r="Q1932" s="53"/>
      <c r="R1932" s="53"/>
      <c r="S1932" s="53"/>
      <c r="T1932" s="53"/>
      <c r="U1932" s="53"/>
      <c r="V1932" s="53"/>
      <c r="W1932" s="53"/>
      <c r="X1932" s="53"/>
      <c r="Y1932" s="53"/>
      <c r="Z1932" s="53"/>
    </row>
    <row r="1933" spans="1:26" ht="15.75" customHeight="1">
      <c r="A1933" s="103"/>
      <c r="B1933" s="103"/>
      <c r="C1933" s="104" t="e">
        <v>#REF!</v>
      </c>
      <c r="D1933" s="103"/>
      <c r="E1933" s="53"/>
      <c r="F1933" s="53"/>
      <c r="G1933" s="53"/>
      <c r="H1933" s="53"/>
      <c r="I1933" s="53"/>
      <c r="J1933" s="53"/>
      <c r="K1933" s="53"/>
      <c r="L1933" s="53"/>
      <c r="M1933" s="53"/>
      <c r="N1933" s="53"/>
      <c r="O1933" s="53"/>
      <c r="P1933" s="53"/>
      <c r="Q1933" s="53"/>
      <c r="R1933" s="53"/>
      <c r="S1933" s="53"/>
      <c r="T1933" s="53"/>
      <c r="U1933" s="53"/>
      <c r="V1933" s="53"/>
      <c r="W1933" s="53"/>
      <c r="X1933" s="53"/>
      <c r="Y1933" s="53"/>
      <c r="Z1933" s="53"/>
    </row>
    <row r="1934" spans="1:26" ht="15.75" customHeight="1">
      <c r="A1934" s="103"/>
      <c r="B1934" s="103"/>
      <c r="C1934" s="104" t="e">
        <v>#REF!</v>
      </c>
      <c r="D1934" s="103"/>
      <c r="E1934" s="53"/>
      <c r="F1934" s="53"/>
      <c r="G1934" s="53"/>
      <c r="H1934" s="53"/>
      <c r="I1934" s="53"/>
      <c r="J1934" s="53"/>
      <c r="K1934" s="53"/>
      <c r="L1934" s="53"/>
      <c r="M1934" s="53"/>
      <c r="N1934" s="53"/>
      <c r="O1934" s="53"/>
      <c r="P1934" s="53"/>
      <c r="Q1934" s="53"/>
      <c r="R1934" s="53"/>
      <c r="S1934" s="53"/>
      <c r="T1934" s="53"/>
      <c r="U1934" s="53"/>
      <c r="V1934" s="53"/>
      <c r="W1934" s="53"/>
      <c r="X1934" s="53"/>
      <c r="Y1934" s="53"/>
      <c r="Z1934" s="53"/>
    </row>
    <row r="1935" spans="1:26" ht="15.75" customHeight="1">
      <c r="A1935" s="103"/>
      <c r="B1935" s="103"/>
      <c r="C1935" s="104" t="e">
        <v>#REF!</v>
      </c>
      <c r="D1935" s="103"/>
      <c r="E1935" s="53"/>
      <c r="F1935" s="53"/>
      <c r="G1935" s="53"/>
      <c r="H1935" s="53"/>
      <c r="I1935" s="53"/>
      <c r="J1935" s="53"/>
      <c r="K1935" s="53"/>
      <c r="L1935" s="53"/>
      <c r="M1935" s="53"/>
      <c r="N1935" s="53"/>
      <c r="O1935" s="53"/>
      <c r="P1935" s="53"/>
      <c r="Q1935" s="53"/>
      <c r="R1935" s="53"/>
      <c r="S1935" s="53"/>
      <c r="T1935" s="53"/>
      <c r="U1935" s="53"/>
      <c r="V1935" s="53"/>
      <c r="W1935" s="53"/>
      <c r="X1935" s="53"/>
      <c r="Y1935" s="53"/>
      <c r="Z1935" s="53"/>
    </row>
    <row r="1936" spans="1:26" ht="15.75" customHeight="1">
      <c r="A1936" s="103"/>
      <c r="B1936" s="103"/>
      <c r="C1936" s="104" t="e">
        <v>#REF!</v>
      </c>
      <c r="D1936" s="103"/>
      <c r="E1936" s="53"/>
      <c r="F1936" s="53"/>
      <c r="G1936" s="53"/>
      <c r="H1936" s="53"/>
      <c r="I1936" s="53"/>
      <c r="J1936" s="53"/>
      <c r="K1936" s="53"/>
      <c r="L1936" s="53"/>
      <c r="M1936" s="53"/>
      <c r="N1936" s="53"/>
      <c r="O1936" s="53"/>
      <c r="P1936" s="53"/>
      <c r="Q1936" s="53"/>
      <c r="R1936" s="53"/>
      <c r="S1936" s="53"/>
      <c r="T1936" s="53"/>
      <c r="U1936" s="53"/>
      <c r="V1936" s="53"/>
      <c r="W1936" s="53"/>
      <c r="X1936" s="53"/>
      <c r="Y1936" s="53"/>
      <c r="Z1936" s="53"/>
    </row>
    <row r="1937" spans="1:26" ht="15.75" customHeight="1">
      <c r="A1937" s="103"/>
      <c r="B1937" s="103"/>
      <c r="C1937" s="104" t="e">
        <v>#REF!</v>
      </c>
      <c r="D1937" s="103"/>
      <c r="E1937" s="53"/>
      <c r="F1937" s="53"/>
      <c r="G1937" s="53"/>
      <c r="H1937" s="53"/>
      <c r="I1937" s="53"/>
      <c r="J1937" s="53"/>
      <c r="K1937" s="53"/>
      <c r="L1937" s="53"/>
      <c r="M1937" s="53"/>
      <c r="N1937" s="53"/>
      <c r="O1937" s="53"/>
      <c r="P1937" s="53"/>
      <c r="Q1937" s="53"/>
      <c r="R1937" s="53"/>
      <c r="S1937" s="53"/>
      <c r="T1937" s="53"/>
      <c r="U1937" s="53"/>
      <c r="V1937" s="53"/>
      <c r="W1937" s="53"/>
      <c r="X1937" s="53"/>
      <c r="Y1937" s="53"/>
      <c r="Z1937" s="53"/>
    </row>
    <row r="1938" spans="1:26" ht="15.75" customHeight="1">
      <c r="A1938" s="103"/>
      <c r="B1938" s="103"/>
      <c r="C1938" s="104" t="e">
        <v>#REF!</v>
      </c>
      <c r="D1938" s="103"/>
      <c r="E1938" s="53"/>
      <c r="F1938" s="53"/>
      <c r="G1938" s="53"/>
      <c r="H1938" s="53"/>
      <c r="I1938" s="53"/>
      <c r="J1938" s="53"/>
      <c r="K1938" s="53"/>
      <c r="L1938" s="53"/>
      <c r="M1938" s="53"/>
      <c r="N1938" s="53"/>
      <c r="O1938" s="53"/>
      <c r="P1938" s="53"/>
      <c r="Q1938" s="53"/>
      <c r="R1938" s="53"/>
      <c r="S1938" s="53"/>
      <c r="T1938" s="53"/>
      <c r="U1938" s="53"/>
      <c r="V1938" s="53"/>
      <c r="W1938" s="53"/>
      <c r="X1938" s="53"/>
      <c r="Y1938" s="53"/>
      <c r="Z1938" s="53"/>
    </row>
    <row r="1939" spans="1:26" ht="15.75" customHeight="1">
      <c r="A1939" s="103"/>
      <c r="B1939" s="103"/>
      <c r="C1939" s="104" t="e">
        <v>#REF!</v>
      </c>
      <c r="D1939" s="103"/>
      <c r="E1939" s="53"/>
      <c r="F1939" s="53"/>
      <c r="G1939" s="53"/>
      <c r="H1939" s="53"/>
      <c r="I1939" s="53"/>
      <c r="J1939" s="53"/>
      <c r="K1939" s="53"/>
      <c r="L1939" s="53"/>
      <c r="M1939" s="53"/>
      <c r="N1939" s="53"/>
      <c r="O1939" s="53"/>
      <c r="P1939" s="53"/>
      <c r="Q1939" s="53"/>
      <c r="R1939" s="53"/>
      <c r="S1939" s="53"/>
      <c r="T1939" s="53"/>
      <c r="U1939" s="53"/>
      <c r="V1939" s="53"/>
      <c r="W1939" s="53"/>
      <c r="X1939" s="53"/>
      <c r="Y1939" s="53"/>
      <c r="Z1939" s="53"/>
    </row>
    <row r="1940" spans="1:26" ht="15.75" customHeight="1">
      <c r="A1940" s="103"/>
      <c r="B1940" s="103"/>
      <c r="C1940" s="104" t="e">
        <v>#REF!</v>
      </c>
      <c r="D1940" s="103"/>
      <c r="E1940" s="53"/>
      <c r="F1940" s="53"/>
      <c r="G1940" s="53"/>
      <c r="H1940" s="53"/>
      <c r="I1940" s="53"/>
      <c r="J1940" s="53"/>
      <c r="K1940" s="53"/>
      <c r="L1940" s="53"/>
      <c r="M1940" s="53"/>
      <c r="N1940" s="53"/>
      <c r="O1940" s="53"/>
      <c r="P1940" s="53"/>
      <c r="Q1940" s="53"/>
      <c r="R1940" s="53"/>
      <c r="S1940" s="53"/>
      <c r="T1940" s="53"/>
      <c r="U1940" s="53"/>
      <c r="V1940" s="53"/>
      <c r="W1940" s="53"/>
      <c r="X1940" s="53"/>
      <c r="Y1940" s="53"/>
      <c r="Z1940" s="53"/>
    </row>
    <row r="1941" spans="1:26" ht="15.75" customHeight="1">
      <c r="A1941" s="103"/>
      <c r="B1941" s="103"/>
      <c r="C1941" s="104" t="e">
        <v>#REF!</v>
      </c>
      <c r="D1941" s="103"/>
      <c r="E1941" s="53"/>
      <c r="F1941" s="53"/>
      <c r="G1941" s="53"/>
      <c r="H1941" s="53"/>
      <c r="I1941" s="53"/>
      <c r="J1941" s="53"/>
      <c r="K1941" s="53"/>
      <c r="L1941" s="53"/>
      <c r="M1941" s="53"/>
      <c r="N1941" s="53"/>
      <c r="O1941" s="53"/>
      <c r="P1941" s="53"/>
      <c r="Q1941" s="53"/>
      <c r="R1941" s="53"/>
      <c r="S1941" s="53"/>
      <c r="T1941" s="53"/>
      <c r="U1941" s="53"/>
      <c r="V1941" s="53"/>
      <c r="W1941" s="53"/>
      <c r="X1941" s="53"/>
      <c r="Y1941" s="53"/>
      <c r="Z1941" s="53"/>
    </row>
    <row r="1942" spans="1:26" ht="15.75" customHeight="1">
      <c r="A1942" s="103"/>
      <c r="B1942" s="103"/>
      <c r="C1942" s="104" t="e">
        <v>#REF!</v>
      </c>
      <c r="D1942" s="103"/>
      <c r="E1942" s="53"/>
      <c r="F1942" s="53"/>
      <c r="G1942" s="53"/>
      <c r="H1942" s="53"/>
      <c r="I1942" s="53"/>
      <c r="J1942" s="53"/>
      <c r="K1942" s="53"/>
      <c r="L1942" s="53"/>
      <c r="M1942" s="53"/>
      <c r="N1942" s="53"/>
      <c r="O1942" s="53"/>
      <c r="P1942" s="53"/>
      <c r="Q1942" s="53"/>
      <c r="R1942" s="53"/>
      <c r="S1942" s="53"/>
      <c r="T1942" s="53"/>
      <c r="U1942" s="53"/>
      <c r="V1942" s="53"/>
      <c r="W1942" s="53"/>
      <c r="X1942" s="53"/>
      <c r="Y1942" s="53"/>
      <c r="Z1942" s="53"/>
    </row>
    <row r="1943" spans="1:26" ht="15.75" customHeight="1">
      <c r="A1943" s="103"/>
      <c r="B1943" s="103"/>
      <c r="C1943" s="104" t="e">
        <v>#REF!</v>
      </c>
      <c r="D1943" s="103"/>
      <c r="E1943" s="53"/>
      <c r="F1943" s="53"/>
      <c r="G1943" s="53"/>
      <c r="H1943" s="53"/>
      <c r="I1943" s="53"/>
      <c r="J1943" s="53"/>
      <c r="K1943" s="53"/>
      <c r="L1943" s="53"/>
      <c r="M1943" s="53"/>
      <c r="N1943" s="53"/>
      <c r="O1943" s="53"/>
      <c r="P1943" s="53"/>
      <c r="Q1943" s="53"/>
      <c r="R1943" s="53"/>
      <c r="S1943" s="53"/>
      <c r="T1943" s="53"/>
      <c r="U1943" s="53"/>
      <c r="V1943" s="53"/>
      <c r="W1943" s="53"/>
      <c r="X1943" s="53"/>
      <c r="Y1943" s="53"/>
      <c r="Z1943" s="53"/>
    </row>
    <row r="1944" spans="1:26" ht="15.75" customHeight="1">
      <c r="A1944" s="103"/>
      <c r="B1944" s="103"/>
      <c r="C1944" s="104" t="e">
        <v>#REF!</v>
      </c>
      <c r="D1944" s="10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</row>
    <row r="1945" spans="1:26" ht="15.75" customHeight="1">
      <c r="A1945" s="103"/>
      <c r="B1945" s="103"/>
      <c r="C1945" s="104" t="e">
        <v>#REF!</v>
      </c>
      <c r="D1945" s="103"/>
      <c r="E1945" s="53"/>
      <c r="F1945" s="53"/>
      <c r="G1945" s="53"/>
      <c r="H1945" s="53"/>
      <c r="I1945" s="53"/>
      <c r="J1945" s="53"/>
      <c r="K1945" s="53"/>
      <c r="L1945" s="53"/>
      <c r="M1945" s="53"/>
      <c r="N1945" s="53"/>
      <c r="O1945" s="53"/>
      <c r="P1945" s="53"/>
      <c r="Q1945" s="53"/>
      <c r="R1945" s="53"/>
      <c r="S1945" s="53"/>
      <c r="T1945" s="53"/>
      <c r="U1945" s="53"/>
      <c r="V1945" s="53"/>
      <c r="W1945" s="53"/>
      <c r="X1945" s="53"/>
      <c r="Y1945" s="53"/>
      <c r="Z1945" s="53"/>
    </row>
    <row r="1946" spans="1:26" ht="15.75" customHeight="1">
      <c r="A1946" s="103"/>
      <c r="B1946" s="103"/>
      <c r="C1946" s="104" t="e">
        <v>#REF!</v>
      </c>
      <c r="D1946" s="103"/>
      <c r="E1946" s="53"/>
      <c r="F1946" s="53"/>
      <c r="G1946" s="53"/>
      <c r="H1946" s="53"/>
      <c r="I1946" s="53"/>
      <c r="J1946" s="53"/>
      <c r="K1946" s="53"/>
      <c r="L1946" s="53"/>
      <c r="M1946" s="53"/>
      <c r="N1946" s="53"/>
      <c r="O1946" s="53"/>
      <c r="P1946" s="53"/>
      <c r="Q1946" s="53"/>
      <c r="R1946" s="53"/>
      <c r="S1946" s="53"/>
      <c r="T1946" s="53"/>
      <c r="U1946" s="53"/>
      <c r="V1946" s="53"/>
      <c r="W1946" s="53"/>
      <c r="X1946" s="53"/>
      <c r="Y1946" s="53"/>
      <c r="Z1946" s="53"/>
    </row>
    <row r="1947" spans="1:26" ht="15.75" customHeight="1">
      <c r="A1947" s="103"/>
      <c r="B1947" s="103"/>
      <c r="C1947" s="104" t="e">
        <v>#REF!</v>
      </c>
      <c r="D1947" s="103"/>
      <c r="E1947" s="53"/>
      <c r="F1947" s="53"/>
      <c r="G1947" s="53"/>
      <c r="H1947" s="53"/>
      <c r="I1947" s="53"/>
      <c r="J1947" s="53"/>
      <c r="K1947" s="53"/>
      <c r="L1947" s="53"/>
      <c r="M1947" s="53"/>
      <c r="N1947" s="53"/>
      <c r="O1947" s="53"/>
      <c r="P1947" s="53"/>
      <c r="Q1947" s="53"/>
      <c r="R1947" s="53"/>
      <c r="S1947" s="53"/>
      <c r="T1947" s="53"/>
      <c r="U1947" s="53"/>
      <c r="V1947" s="53"/>
      <c r="W1947" s="53"/>
      <c r="X1947" s="53"/>
      <c r="Y1947" s="53"/>
      <c r="Z1947" s="53"/>
    </row>
    <row r="1948" spans="1:26" ht="15.75" customHeight="1">
      <c r="A1948" s="103"/>
      <c r="B1948" s="103"/>
      <c r="C1948" s="104" t="e">
        <v>#REF!</v>
      </c>
      <c r="D1948" s="103"/>
      <c r="E1948" s="53"/>
      <c r="F1948" s="53"/>
      <c r="G1948" s="53"/>
      <c r="H1948" s="53"/>
      <c r="I1948" s="53"/>
      <c r="J1948" s="53"/>
      <c r="K1948" s="53"/>
      <c r="L1948" s="53"/>
      <c r="M1948" s="53"/>
      <c r="N1948" s="53"/>
      <c r="O1948" s="53"/>
      <c r="P1948" s="53"/>
      <c r="Q1948" s="53"/>
      <c r="R1948" s="53"/>
      <c r="S1948" s="53"/>
      <c r="T1948" s="53"/>
      <c r="U1948" s="53"/>
      <c r="V1948" s="53"/>
      <c r="W1948" s="53"/>
      <c r="X1948" s="53"/>
      <c r="Y1948" s="53"/>
      <c r="Z1948" s="53"/>
    </row>
    <row r="1949" spans="1:26" ht="15.75" customHeight="1">
      <c r="A1949" s="103"/>
      <c r="B1949" s="103"/>
      <c r="C1949" s="104" t="e">
        <v>#REF!</v>
      </c>
      <c r="D1949" s="10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53"/>
      <c r="T1949" s="53"/>
      <c r="U1949" s="53"/>
      <c r="V1949" s="53"/>
      <c r="W1949" s="53"/>
      <c r="X1949" s="53"/>
      <c r="Y1949" s="53"/>
      <c r="Z1949" s="53"/>
    </row>
    <row r="1950" spans="1:26" ht="15.75" customHeight="1">
      <c r="A1950" s="103"/>
      <c r="B1950" s="103"/>
      <c r="C1950" s="104" t="e">
        <v>#REF!</v>
      </c>
      <c r="D1950" s="103"/>
      <c r="E1950" s="53"/>
      <c r="F1950" s="53"/>
      <c r="G1950" s="53"/>
      <c r="H1950" s="53"/>
      <c r="I1950" s="53"/>
      <c r="J1950" s="53"/>
      <c r="K1950" s="53"/>
      <c r="L1950" s="53"/>
      <c r="M1950" s="53"/>
      <c r="N1950" s="53"/>
      <c r="O1950" s="53"/>
      <c r="P1950" s="53"/>
      <c r="Q1950" s="53"/>
      <c r="R1950" s="53"/>
      <c r="S1950" s="53"/>
      <c r="T1950" s="53"/>
      <c r="U1950" s="53"/>
      <c r="V1950" s="53"/>
      <c r="W1950" s="53"/>
      <c r="X1950" s="53"/>
      <c r="Y1950" s="53"/>
      <c r="Z1950" s="53"/>
    </row>
    <row r="1951" spans="1:26" ht="15.75" customHeight="1">
      <c r="A1951" s="103"/>
      <c r="B1951" s="103"/>
      <c r="C1951" s="104" t="e">
        <v>#REF!</v>
      </c>
      <c r="D1951" s="103"/>
      <c r="E1951" s="53"/>
      <c r="F1951" s="53"/>
      <c r="G1951" s="53"/>
      <c r="H1951" s="53"/>
      <c r="I1951" s="53"/>
      <c r="J1951" s="53"/>
      <c r="K1951" s="53"/>
      <c r="L1951" s="53"/>
      <c r="M1951" s="53"/>
      <c r="N1951" s="53"/>
      <c r="O1951" s="53"/>
      <c r="P1951" s="53"/>
      <c r="Q1951" s="53"/>
      <c r="R1951" s="53"/>
      <c r="S1951" s="53"/>
      <c r="T1951" s="53"/>
      <c r="U1951" s="53"/>
      <c r="V1951" s="53"/>
      <c r="W1951" s="53"/>
      <c r="X1951" s="53"/>
      <c r="Y1951" s="53"/>
      <c r="Z1951" s="53"/>
    </row>
    <row r="1952" spans="1:26" ht="15.75" customHeight="1">
      <c r="A1952" s="103"/>
      <c r="B1952" s="103"/>
      <c r="C1952" s="104" t="e">
        <v>#REF!</v>
      </c>
      <c r="D1952" s="103"/>
      <c r="E1952" s="53"/>
      <c r="F1952" s="53"/>
      <c r="G1952" s="53"/>
      <c r="H1952" s="53"/>
      <c r="I1952" s="53"/>
      <c r="J1952" s="53"/>
      <c r="K1952" s="53"/>
      <c r="L1952" s="53"/>
      <c r="M1952" s="53"/>
      <c r="N1952" s="53"/>
      <c r="O1952" s="53"/>
      <c r="P1952" s="53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</row>
    <row r="1953" spans="1:26" ht="15.75" customHeight="1">
      <c r="A1953" s="103"/>
      <c r="B1953" s="103"/>
      <c r="C1953" s="104" t="e">
        <v>#REF!</v>
      </c>
      <c r="D1953" s="103"/>
      <c r="E1953" s="53"/>
      <c r="F1953" s="53"/>
      <c r="G1953" s="53"/>
      <c r="H1953" s="53"/>
      <c r="I1953" s="53"/>
      <c r="J1953" s="53"/>
      <c r="K1953" s="53"/>
      <c r="L1953" s="53"/>
      <c r="M1953" s="53"/>
      <c r="N1953" s="53"/>
      <c r="O1953" s="53"/>
      <c r="P1953" s="53"/>
      <c r="Q1953" s="53"/>
      <c r="R1953" s="53"/>
      <c r="S1953" s="53"/>
      <c r="T1953" s="53"/>
      <c r="U1953" s="53"/>
      <c r="V1953" s="53"/>
      <c r="W1953" s="53"/>
      <c r="X1953" s="53"/>
      <c r="Y1953" s="53"/>
      <c r="Z1953" s="53"/>
    </row>
    <row r="1954" spans="1:26" ht="15.75" customHeight="1">
      <c r="A1954" s="103"/>
      <c r="B1954" s="103"/>
      <c r="C1954" s="104" t="e">
        <v>#REF!</v>
      </c>
      <c r="D1954" s="103"/>
      <c r="E1954" s="53"/>
      <c r="F1954" s="53"/>
      <c r="G1954" s="53"/>
      <c r="H1954" s="53"/>
      <c r="I1954" s="53"/>
      <c r="J1954" s="53"/>
      <c r="K1954" s="53"/>
      <c r="L1954" s="53"/>
      <c r="M1954" s="53"/>
      <c r="N1954" s="53"/>
      <c r="O1954" s="53"/>
      <c r="P1954" s="53"/>
      <c r="Q1954" s="53"/>
      <c r="R1954" s="53"/>
      <c r="S1954" s="53"/>
      <c r="T1954" s="53"/>
      <c r="U1954" s="53"/>
      <c r="V1954" s="53"/>
      <c r="W1954" s="53"/>
      <c r="X1954" s="53"/>
      <c r="Y1954" s="53"/>
      <c r="Z1954" s="53"/>
    </row>
    <row r="1955" spans="1:26" ht="15.75" customHeight="1">
      <c r="A1955" s="103"/>
      <c r="B1955" s="103"/>
      <c r="C1955" s="104" t="e">
        <v>#REF!</v>
      </c>
      <c r="D1955" s="103"/>
      <c r="E1955" s="53"/>
      <c r="F1955" s="53"/>
      <c r="G1955" s="53"/>
      <c r="H1955" s="53"/>
      <c r="I1955" s="53"/>
      <c r="J1955" s="53"/>
      <c r="K1955" s="53"/>
      <c r="L1955" s="53"/>
      <c r="M1955" s="53"/>
      <c r="N1955" s="53"/>
      <c r="O1955" s="53"/>
      <c r="P1955" s="53"/>
      <c r="Q1955" s="53"/>
      <c r="R1955" s="53"/>
      <c r="S1955" s="53"/>
      <c r="T1955" s="53"/>
      <c r="U1955" s="53"/>
      <c r="V1955" s="53"/>
      <c r="W1955" s="53"/>
      <c r="X1955" s="53"/>
      <c r="Y1955" s="53"/>
      <c r="Z1955" s="53"/>
    </row>
    <row r="1956" spans="1:26" ht="15.75" customHeight="1">
      <c r="A1956" s="103"/>
      <c r="B1956" s="103"/>
      <c r="C1956" s="104" t="e">
        <v>#REF!</v>
      </c>
      <c r="D1956" s="103"/>
      <c r="E1956" s="53"/>
      <c r="F1956" s="53"/>
      <c r="G1956" s="53"/>
      <c r="H1956" s="53"/>
      <c r="I1956" s="53"/>
      <c r="J1956" s="53"/>
      <c r="K1956" s="53"/>
      <c r="L1956" s="53"/>
      <c r="M1956" s="53"/>
      <c r="N1956" s="53"/>
      <c r="O1956" s="53"/>
      <c r="P1956" s="53"/>
      <c r="Q1956" s="53"/>
      <c r="R1956" s="53"/>
      <c r="S1956" s="53"/>
      <c r="T1956" s="53"/>
      <c r="U1956" s="53"/>
      <c r="V1956" s="53"/>
      <c r="W1956" s="53"/>
      <c r="X1956" s="53"/>
      <c r="Y1956" s="53"/>
      <c r="Z1956" s="53"/>
    </row>
    <row r="1957" spans="1:26" ht="15.75" customHeight="1">
      <c r="A1957" s="103"/>
      <c r="B1957" s="103"/>
      <c r="C1957" s="104" t="e">
        <v>#REF!</v>
      </c>
      <c r="D1957" s="103"/>
      <c r="E1957" s="53"/>
      <c r="F1957" s="53"/>
      <c r="G1957" s="53"/>
      <c r="H1957" s="53"/>
      <c r="I1957" s="53"/>
      <c r="J1957" s="53"/>
      <c r="K1957" s="53"/>
      <c r="L1957" s="53"/>
      <c r="M1957" s="53"/>
      <c r="N1957" s="53"/>
      <c r="O1957" s="53"/>
      <c r="P1957" s="53"/>
      <c r="Q1957" s="53"/>
      <c r="R1957" s="53"/>
      <c r="S1957" s="53"/>
      <c r="T1957" s="53"/>
      <c r="U1957" s="53"/>
      <c r="V1957" s="53"/>
      <c r="W1957" s="53"/>
      <c r="X1957" s="53"/>
      <c r="Y1957" s="53"/>
      <c r="Z1957" s="53"/>
    </row>
    <row r="1958" spans="1:26" ht="15.75" customHeight="1">
      <c r="A1958" s="103"/>
      <c r="B1958" s="103"/>
      <c r="C1958" s="104" t="e">
        <v>#REF!</v>
      </c>
      <c r="D1958" s="103"/>
      <c r="E1958" s="53"/>
      <c r="F1958" s="53"/>
      <c r="G1958" s="53"/>
      <c r="H1958" s="53"/>
      <c r="I1958" s="53"/>
      <c r="J1958" s="53"/>
      <c r="K1958" s="53"/>
      <c r="L1958" s="53"/>
      <c r="M1958" s="53"/>
      <c r="N1958" s="53"/>
      <c r="O1958" s="53"/>
      <c r="P1958" s="53"/>
      <c r="Q1958" s="53"/>
      <c r="R1958" s="53"/>
      <c r="S1958" s="53"/>
      <c r="T1958" s="53"/>
      <c r="U1958" s="53"/>
      <c r="V1958" s="53"/>
      <c r="W1958" s="53"/>
      <c r="X1958" s="53"/>
      <c r="Y1958" s="53"/>
      <c r="Z1958" s="53"/>
    </row>
    <row r="1959" spans="1:26" ht="15.75" customHeight="1">
      <c r="A1959" s="103"/>
      <c r="B1959" s="103"/>
      <c r="C1959" s="104" t="e">
        <v>#REF!</v>
      </c>
      <c r="D1959" s="103"/>
      <c r="E1959" s="53"/>
      <c r="F1959" s="53"/>
      <c r="G1959" s="53"/>
      <c r="H1959" s="53"/>
      <c r="I1959" s="53"/>
      <c r="J1959" s="53"/>
      <c r="K1959" s="53"/>
      <c r="L1959" s="53"/>
      <c r="M1959" s="53"/>
      <c r="N1959" s="53"/>
      <c r="O1959" s="53"/>
      <c r="P1959" s="53"/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</row>
    <row r="1960" spans="1:26" ht="15.75" customHeight="1">
      <c r="A1960" s="103"/>
      <c r="B1960" s="103"/>
      <c r="C1960" s="104" t="e">
        <v>#REF!</v>
      </c>
      <c r="D1960" s="103"/>
      <c r="E1960" s="53"/>
      <c r="F1960" s="53"/>
      <c r="G1960" s="53"/>
      <c r="H1960" s="53"/>
      <c r="I1960" s="53"/>
      <c r="J1960" s="53"/>
      <c r="K1960" s="53"/>
      <c r="L1960" s="53"/>
      <c r="M1960" s="53"/>
      <c r="N1960" s="53"/>
      <c r="O1960" s="53"/>
      <c r="P1960" s="53"/>
      <c r="Q1960" s="53"/>
      <c r="R1960" s="53"/>
      <c r="S1960" s="53"/>
      <c r="T1960" s="53"/>
      <c r="U1960" s="53"/>
      <c r="V1960" s="53"/>
      <c r="W1960" s="53"/>
      <c r="X1960" s="53"/>
      <c r="Y1960" s="53"/>
      <c r="Z1960" s="53"/>
    </row>
    <row r="1961" spans="1:26" ht="15.75" customHeight="1">
      <c r="A1961" s="103"/>
      <c r="B1961" s="103"/>
      <c r="C1961" s="104" t="e">
        <v>#REF!</v>
      </c>
      <c r="D1961" s="103"/>
      <c r="E1961" s="53"/>
      <c r="F1961" s="53"/>
      <c r="G1961" s="53"/>
      <c r="H1961" s="53"/>
      <c r="I1961" s="53"/>
      <c r="J1961" s="53"/>
      <c r="K1961" s="53"/>
      <c r="L1961" s="53"/>
      <c r="M1961" s="53"/>
      <c r="N1961" s="53"/>
      <c r="O1961" s="53"/>
      <c r="P1961" s="53"/>
      <c r="Q1961" s="53"/>
      <c r="R1961" s="53"/>
      <c r="S1961" s="53"/>
      <c r="T1961" s="53"/>
      <c r="U1961" s="53"/>
      <c r="V1961" s="53"/>
      <c r="W1961" s="53"/>
      <c r="X1961" s="53"/>
      <c r="Y1961" s="53"/>
      <c r="Z1961" s="53"/>
    </row>
    <row r="1962" spans="1:26" ht="15.75" customHeight="1">
      <c r="A1962" s="103"/>
      <c r="B1962" s="103"/>
      <c r="C1962" s="104" t="e">
        <v>#REF!</v>
      </c>
      <c r="D1962" s="103"/>
      <c r="E1962" s="53"/>
      <c r="F1962" s="53"/>
      <c r="G1962" s="53"/>
      <c r="H1962" s="53"/>
      <c r="I1962" s="53"/>
      <c r="J1962" s="53"/>
      <c r="K1962" s="53"/>
      <c r="L1962" s="53"/>
      <c r="M1962" s="53"/>
      <c r="N1962" s="53"/>
      <c r="O1962" s="53"/>
      <c r="P1962" s="53"/>
      <c r="Q1962" s="53"/>
      <c r="R1962" s="53"/>
      <c r="S1962" s="53"/>
      <c r="T1962" s="53"/>
      <c r="U1962" s="53"/>
      <c r="V1962" s="53"/>
      <c r="W1962" s="53"/>
      <c r="X1962" s="53"/>
      <c r="Y1962" s="53"/>
      <c r="Z1962" s="53"/>
    </row>
    <row r="1963" spans="1:26" ht="15.75" customHeight="1">
      <c r="A1963" s="103"/>
      <c r="B1963" s="103"/>
      <c r="C1963" s="104" t="e">
        <v>#REF!</v>
      </c>
      <c r="D1963" s="103"/>
      <c r="E1963" s="53"/>
      <c r="F1963" s="53"/>
      <c r="G1963" s="53"/>
      <c r="H1963" s="53"/>
      <c r="I1963" s="53"/>
      <c r="J1963" s="53"/>
      <c r="K1963" s="53"/>
      <c r="L1963" s="53"/>
      <c r="M1963" s="53"/>
      <c r="N1963" s="53"/>
      <c r="O1963" s="53"/>
      <c r="P1963" s="53"/>
      <c r="Q1963" s="53"/>
      <c r="R1963" s="53"/>
      <c r="S1963" s="53"/>
      <c r="T1963" s="53"/>
      <c r="U1963" s="53"/>
      <c r="V1963" s="53"/>
      <c r="W1963" s="53"/>
      <c r="X1963" s="53"/>
      <c r="Y1963" s="53"/>
      <c r="Z1963" s="53"/>
    </row>
    <row r="1964" spans="1:26" ht="15.75" customHeight="1">
      <c r="A1964" s="103"/>
      <c r="B1964" s="103"/>
      <c r="C1964" s="104" t="e">
        <v>#REF!</v>
      </c>
      <c r="D1964" s="103"/>
      <c r="E1964" s="53"/>
      <c r="F1964" s="53"/>
      <c r="G1964" s="53"/>
      <c r="H1964" s="53"/>
      <c r="I1964" s="53"/>
      <c r="J1964" s="53"/>
      <c r="K1964" s="53"/>
      <c r="L1964" s="53"/>
      <c r="M1964" s="53"/>
      <c r="N1964" s="53"/>
      <c r="O1964" s="53"/>
      <c r="P1964" s="53"/>
      <c r="Q1964" s="53"/>
      <c r="R1964" s="53"/>
      <c r="S1964" s="53"/>
      <c r="T1964" s="53"/>
      <c r="U1964" s="53"/>
      <c r="V1964" s="53"/>
      <c r="W1964" s="53"/>
      <c r="X1964" s="53"/>
      <c r="Y1964" s="53"/>
      <c r="Z1964" s="53"/>
    </row>
    <row r="1965" spans="1:26" ht="15.75" customHeight="1">
      <c r="A1965" s="103"/>
      <c r="B1965" s="103"/>
      <c r="C1965" s="104" t="e">
        <v>#REF!</v>
      </c>
      <c r="D1965" s="103"/>
      <c r="E1965" s="53"/>
      <c r="F1965" s="53"/>
      <c r="G1965" s="53"/>
      <c r="H1965" s="53"/>
      <c r="I1965" s="53"/>
      <c r="J1965" s="53"/>
      <c r="K1965" s="53"/>
      <c r="L1965" s="53"/>
      <c r="M1965" s="53"/>
      <c r="N1965" s="53"/>
      <c r="O1965" s="53"/>
      <c r="P1965" s="53"/>
      <c r="Q1965" s="53"/>
      <c r="R1965" s="53"/>
      <c r="S1965" s="53"/>
      <c r="T1965" s="53"/>
      <c r="U1965" s="53"/>
      <c r="V1965" s="53"/>
      <c r="W1965" s="53"/>
      <c r="X1965" s="53"/>
      <c r="Y1965" s="53"/>
      <c r="Z1965" s="53"/>
    </row>
    <row r="1966" spans="1:26" ht="15.75" customHeight="1">
      <c r="A1966" s="103"/>
      <c r="B1966" s="103"/>
      <c r="C1966" s="104" t="e">
        <v>#REF!</v>
      </c>
      <c r="D1966" s="103"/>
      <c r="E1966" s="53"/>
      <c r="F1966" s="53"/>
      <c r="G1966" s="53"/>
      <c r="H1966" s="53"/>
      <c r="I1966" s="53"/>
      <c r="J1966" s="53"/>
      <c r="K1966" s="53"/>
      <c r="L1966" s="53"/>
      <c r="M1966" s="53"/>
      <c r="N1966" s="53"/>
      <c r="O1966" s="53"/>
      <c r="P1966" s="53"/>
      <c r="Q1966" s="53"/>
      <c r="R1966" s="53"/>
      <c r="S1966" s="53"/>
      <c r="T1966" s="53"/>
      <c r="U1966" s="53"/>
      <c r="V1966" s="53"/>
      <c r="W1966" s="53"/>
      <c r="X1966" s="53"/>
      <c r="Y1966" s="53"/>
      <c r="Z1966" s="53"/>
    </row>
    <row r="1967" spans="1:26" ht="15.75" customHeight="1">
      <c r="A1967" s="103"/>
      <c r="B1967" s="103"/>
      <c r="C1967" s="104" t="e">
        <v>#REF!</v>
      </c>
      <c r="D1967" s="103"/>
      <c r="E1967" s="53"/>
      <c r="F1967" s="53"/>
      <c r="G1967" s="53"/>
      <c r="H1967" s="53"/>
      <c r="I1967" s="53"/>
      <c r="J1967" s="53"/>
      <c r="K1967" s="53"/>
      <c r="L1967" s="53"/>
      <c r="M1967" s="53"/>
      <c r="N1967" s="53"/>
      <c r="O1967" s="53"/>
      <c r="P1967" s="53"/>
      <c r="Q1967" s="53"/>
      <c r="R1967" s="53"/>
      <c r="S1967" s="53"/>
      <c r="T1967" s="53"/>
      <c r="U1967" s="53"/>
      <c r="V1967" s="53"/>
      <c r="W1967" s="53"/>
      <c r="X1967" s="53"/>
      <c r="Y1967" s="53"/>
      <c r="Z1967" s="53"/>
    </row>
    <row r="1968" spans="1:26" ht="15.75" customHeight="1">
      <c r="A1968" s="103"/>
      <c r="B1968" s="103"/>
      <c r="C1968" s="104" t="e">
        <v>#REF!</v>
      </c>
      <c r="D1968" s="103"/>
      <c r="E1968" s="53"/>
      <c r="F1968" s="53"/>
      <c r="G1968" s="53"/>
      <c r="H1968" s="53"/>
      <c r="I1968" s="53"/>
      <c r="J1968" s="53"/>
      <c r="K1968" s="53"/>
      <c r="L1968" s="53"/>
      <c r="M1968" s="53"/>
      <c r="N1968" s="53"/>
      <c r="O1968" s="53"/>
      <c r="P1968" s="53"/>
      <c r="Q1968" s="53"/>
      <c r="R1968" s="53"/>
      <c r="S1968" s="53"/>
      <c r="T1968" s="53"/>
      <c r="U1968" s="53"/>
      <c r="V1968" s="53"/>
      <c r="W1968" s="53"/>
      <c r="X1968" s="53"/>
      <c r="Y1968" s="53"/>
      <c r="Z1968" s="53"/>
    </row>
    <row r="1969" spans="1:26" ht="15.75" customHeight="1">
      <c r="A1969" s="103"/>
      <c r="B1969" s="103"/>
      <c r="C1969" s="104" t="e">
        <v>#REF!</v>
      </c>
      <c r="D1969" s="103"/>
      <c r="E1969" s="53"/>
      <c r="F1969" s="53"/>
      <c r="G1969" s="53"/>
      <c r="H1969" s="53"/>
      <c r="I1969" s="53"/>
      <c r="J1969" s="53"/>
      <c r="K1969" s="53"/>
      <c r="L1969" s="53"/>
      <c r="M1969" s="53"/>
      <c r="N1969" s="53"/>
      <c r="O1969" s="53"/>
      <c r="P1969" s="53"/>
      <c r="Q1969" s="53"/>
      <c r="R1969" s="53"/>
      <c r="S1969" s="53"/>
      <c r="T1969" s="53"/>
      <c r="U1969" s="53"/>
      <c r="V1969" s="53"/>
      <c r="W1969" s="53"/>
      <c r="X1969" s="53"/>
      <c r="Y1969" s="53"/>
      <c r="Z1969" s="53"/>
    </row>
    <row r="1970" spans="1:26" ht="15.75" customHeight="1">
      <c r="A1970" s="103"/>
      <c r="B1970" s="103"/>
      <c r="C1970" s="104" t="e">
        <v>#REF!</v>
      </c>
      <c r="D1970" s="103"/>
      <c r="E1970" s="53"/>
      <c r="F1970" s="53"/>
      <c r="G1970" s="53"/>
      <c r="H1970" s="53"/>
      <c r="I1970" s="53"/>
      <c r="J1970" s="53"/>
      <c r="K1970" s="53"/>
      <c r="L1970" s="53"/>
      <c r="M1970" s="53"/>
      <c r="N1970" s="53"/>
      <c r="O1970" s="53"/>
      <c r="P1970" s="53"/>
      <c r="Q1970" s="53"/>
      <c r="R1970" s="53"/>
      <c r="S1970" s="53"/>
      <c r="T1970" s="53"/>
      <c r="U1970" s="53"/>
      <c r="V1970" s="53"/>
      <c r="W1970" s="53"/>
      <c r="X1970" s="53"/>
      <c r="Y1970" s="53"/>
      <c r="Z1970" s="53"/>
    </row>
    <row r="1971" spans="1:26" ht="15.75" customHeight="1">
      <c r="A1971" s="103"/>
      <c r="B1971" s="103"/>
      <c r="C1971" s="104" t="e">
        <v>#REF!</v>
      </c>
      <c r="D1971" s="103"/>
      <c r="E1971" s="53"/>
      <c r="F1971" s="53"/>
      <c r="G1971" s="53"/>
      <c r="H1971" s="53"/>
      <c r="I1971" s="53"/>
      <c r="J1971" s="53"/>
      <c r="K1971" s="53"/>
      <c r="L1971" s="53"/>
      <c r="M1971" s="53"/>
      <c r="N1971" s="53"/>
      <c r="O1971" s="53"/>
      <c r="P1971" s="53"/>
      <c r="Q1971" s="53"/>
      <c r="R1971" s="53"/>
      <c r="S1971" s="53"/>
      <c r="T1971" s="53"/>
      <c r="U1971" s="53"/>
      <c r="V1971" s="53"/>
      <c r="W1971" s="53"/>
      <c r="X1971" s="53"/>
      <c r="Y1971" s="53"/>
      <c r="Z1971" s="53"/>
    </row>
    <row r="1972" spans="1:26" ht="15.75" customHeight="1">
      <c r="A1972" s="103"/>
      <c r="B1972" s="103"/>
      <c r="C1972" s="104" t="e">
        <v>#REF!</v>
      </c>
      <c r="D1972" s="103"/>
      <c r="E1972" s="53"/>
      <c r="F1972" s="53"/>
      <c r="G1972" s="53"/>
      <c r="H1972" s="53"/>
      <c r="I1972" s="53"/>
      <c r="J1972" s="53"/>
      <c r="K1972" s="53"/>
      <c r="L1972" s="53"/>
      <c r="M1972" s="53"/>
      <c r="N1972" s="53"/>
      <c r="O1972" s="53"/>
      <c r="P1972" s="53"/>
      <c r="Q1972" s="53"/>
      <c r="R1972" s="53"/>
      <c r="S1972" s="53"/>
      <c r="T1972" s="53"/>
      <c r="U1972" s="53"/>
      <c r="V1972" s="53"/>
      <c r="W1972" s="53"/>
      <c r="X1972" s="53"/>
      <c r="Y1972" s="53"/>
      <c r="Z1972" s="53"/>
    </row>
    <row r="1973" spans="1:26" ht="15.75" customHeight="1">
      <c r="A1973" s="103"/>
      <c r="B1973" s="103"/>
      <c r="C1973" s="104" t="e">
        <v>#REF!</v>
      </c>
      <c r="D1973" s="103"/>
      <c r="E1973" s="53"/>
      <c r="F1973" s="53"/>
      <c r="G1973" s="53"/>
      <c r="H1973" s="53"/>
      <c r="I1973" s="53"/>
      <c r="J1973" s="53"/>
      <c r="K1973" s="53"/>
      <c r="L1973" s="53"/>
      <c r="M1973" s="53"/>
      <c r="N1973" s="53"/>
      <c r="O1973" s="53"/>
      <c r="P1973" s="53"/>
      <c r="Q1973" s="53"/>
      <c r="R1973" s="53"/>
      <c r="S1973" s="53"/>
      <c r="T1973" s="53"/>
      <c r="U1973" s="53"/>
      <c r="V1973" s="53"/>
      <c r="W1973" s="53"/>
      <c r="X1973" s="53"/>
      <c r="Y1973" s="53"/>
      <c r="Z1973" s="53"/>
    </row>
    <row r="1974" spans="1:26" ht="15.75" customHeight="1">
      <c r="A1974" s="103"/>
      <c r="B1974" s="103"/>
      <c r="C1974" s="104" t="e">
        <v>#REF!</v>
      </c>
      <c r="D1974" s="103"/>
      <c r="E1974" s="53"/>
      <c r="F1974" s="53"/>
      <c r="G1974" s="53"/>
      <c r="H1974" s="53"/>
      <c r="I1974" s="53"/>
      <c r="J1974" s="53"/>
      <c r="K1974" s="53"/>
      <c r="L1974" s="53"/>
      <c r="M1974" s="53"/>
      <c r="N1974" s="53"/>
      <c r="O1974" s="53"/>
      <c r="P1974" s="53"/>
      <c r="Q1974" s="53"/>
      <c r="R1974" s="53"/>
      <c r="S1974" s="53"/>
      <c r="T1974" s="53"/>
      <c r="U1974" s="53"/>
      <c r="V1974" s="53"/>
      <c r="W1974" s="53"/>
      <c r="X1974" s="53"/>
      <c r="Y1974" s="53"/>
      <c r="Z1974" s="53"/>
    </row>
    <row r="1975" spans="1:26" ht="15.75" customHeight="1">
      <c r="A1975" s="103"/>
      <c r="B1975" s="103"/>
      <c r="C1975" s="104" t="e">
        <v>#REF!</v>
      </c>
      <c r="D1975" s="103"/>
      <c r="E1975" s="53"/>
      <c r="F1975" s="53"/>
      <c r="G1975" s="53"/>
      <c r="H1975" s="53"/>
      <c r="I1975" s="53"/>
      <c r="J1975" s="53"/>
      <c r="K1975" s="53"/>
      <c r="L1975" s="53"/>
      <c r="M1975" s="53"/>
      <c r="N1975" s="53"/>
      <c r="O1975" s="53"/>
      <c r="P1975" s="53"/>
      <c r="Q1975" s="53"/>
      <c r="R1975" s="53"/>
      <c r="S1975" s="53"/>
      <c r="T1975" s="53"/>
      <c r="U1975" s="53"/>
      <c r="V1975" s="53"/>
      <c r="W1975" s="53"/>
      <c r="X1975" s="53"/>
      <c r="Y1975" s="53"/>
      <c r="Z1975" s="53"/>
    </row>
    <row r="1976" spans="1:26" ht="15.75" customHeight="1">
      <c r="A1976" s="103"/>
      <c r="B1976" s="103"/>
      <c r="C1976" s="104" t="e">
        <v>#REF!</v>
      </c>
      <c r="D1976" s="103"/>
      <c r="E1976" s="53"/>
      <c r="F1976" s="53"/>
      <c r="G1976" s="53"/>
      <c r="H1976" s="53"/>
      <c r="I1976" s="53"/>
      <c r="J1976" s="53"/>
      <c r="K1976" s="53"/>
      <c r="L1976" s="53"/>
      <c r="M1976" s="53"/>
      <c r="N1976" s="53"/>
      <c r="O1976" s="53"/>
      <c r="P1976" s="53"/>
      <c r="Q1976" s="53"/>
      <c r="R1976" s="53"/>
      <c r="S1976" s="53"/>
      <c r="T1976" s="53"/>
      <c r="U1976" s="53"/>
      <c r="V1976" s="53"/>
      <c r="W1976" s="53"/>
      <c r="X1976" s="53"/>
      <c r="Y1976" s="53"/>
      <c r="Z1976" s="53"/>
    </row>
    <row r="1977" spans="1:26" ht="15.75" customHeight="1">
      <c r="A1977" s="103"/>
      <c r="B1977" s="103"/>
      <c r="C1977" s="104" t="e">
        <v>#REF!</v>
      </c>
      <c r="D1977" s="103"/>
      <c r="E1977" s="53"/>
      <c r="F1977" s="53"/>
      <c r="G1977" s="53"/>
      <c r="H1977" s="53"/>
      <c r="I1977" s="53"/>
      <c r="J1977" s="53"/>
      <c r="K1977" s="53"/>
      <c r="L1977" s="53"/>
      <c r="M1977" s="53"/>
      <c r="N1977" s="53"/>
      <c r="O1977" s="53"/>
      <c r="P1977" s="53"/>
      <c r="Q1977" s="53"/>
      <c r="R1977" s="53"/>
      <c r="S1977" s="53"/>
      <c r="T1977" s="53"/>
      <c r="U1977" s="53"/>
      <c r="V1977" s="53"/>
      <c r="W1977" s="53"/>
      <c r="X1977" s="53"/>
      <c r="Y1977" s="53"/>
      <c r="Z1977" s="53"/>
    </row>
    <row r="1978" spans="1:26" ht="15.75" customHeight="1">
      <c r="A1978" s="103"/>
      <c r="B1978" s="103"/>
      <c r="C1978" s="104" t="e">
        <v>#REF!</v>
      </c>
      <c r="D1978" s="103"/>
      <c r="E1978" s="53"/>
      <c r="F1978" s="53"/>
      <c r="G1978" s="53"/>
      <c r="H1978" s="53"/>
      <c r="I1978" s="53"/>
      <c r="J1978" s="53"/>
      <c r="K1978" s="53"/>
      <c r="L1978" s="53"/>
      <c r="M1978" s="53"/>
      <c r="N1978" s="53"/>
      <c r="O1978" s="53"/>
      <c r="P1978" s="53"/>
      <c r="Q1978" s="53"/>
      <c r="R1978" s="53"/>
      <c r="S1978" s="53"/>
      <c r="T1978" s="53"/>
      <c r="U1978" s="53"/>
      <c r="V1978" s="53"/>
      <c r="W1978" s="53"/>
      <c r="X1978" s="53"/>
      <c r="Y1978" s="53"/>
      <c r="Z1978" s="53"/>
    </row>
    <row r="1979" spans="1:26" ht="15.75" customHeight="1">
      <c r="A1979" s="103"/>
      <c r="B1979" s="103"/>
      <c r="C1979" s="104" t="e">
        <v>#REF!</v>
      </c>
      <c r="D1979" s="103"/>
      <c r="E1979" s="53"/>
      <c r="F1979" s="53"/>
      <c r="G1979" s="53"/>
      <c r="H1979" s="53"/>
      <c r="I1979" s="53"/>
      <c r="J1979" s="53"/>
      <c r="K1979" s="53"/>
      <c r="L1979" s="53"/>
      <c r="M1979" s="53"/>
      <c r="N1979" s="53"/>
      <c r="O1979" s="53"/>
      <c r="P1979" s="53"/>
      <c r="Q1979" s="53"/>
      <c r="R1979" s="53"/>
      <c r="S1979" s="53"/>
      <c r="T1979" s="53"/>
      <c r="U1979" s="53"/>
      <c r="V1979" s="53"/>
      <c r="W1979" s="53"/>
      <c r="X1979" s="53"/>
      <c r="Y1979" s="53"/>
      <c r="Z1979" s="53"/>
    </row>
    <row r="1980" spans="1:26" ht="15.75" customHeight="1">
      <c r="A1980" s="103"/>
      <c r="B1980" s="103"/>
      <c r="C1980" s="104" t="e">
        <v>#REF!</v>
      </c>
      <c r="D1980" s="103"/>
      <c r="E1980" s="53"/>
      <c r="F1980" s="53"/>
      <c r="G1980" s="53"/>
      <c r="H1980" s="53"/>
      <c r="I1980" s="53"/>
      <c r="J1980" s="53"/>
      <c r="K1980" s="53"/>
      <c r="L1980" s="53"/>
      <c r="M1980" s="53"/>
      <c r="N1980" s="53"/>
      <c r="O1980" s="53"/>
      <c r="P1980" s="53"/>
      <c r="Q1980" s="53"/>
      <c r="R1980" s="53"/>
      <c r="S1980" s="53"/>
      <c r="T1980" s="53"/>
      <c r="U1980" s="53"/>
      <c r="V1980" s="53"/>
      <c r="W1980" s="53"/>
      <c r="X1980" s="53"/>
      <c r="Y1980" s="53"/>
      <c r="Z1980" s="53"/>
    </row>
    <row r="1981" spans="1:26" ht="15.75" customHeight="1">
      <c r="A1981" s="103"/>
      <c r="B1981" s="103"/>
      <c r="C1981" s="104" t="e">
        <v>#REF!</v>
      </c>
      <c r="D1981" s="103"/>
      <c r="E1981" s="53"/>
      <c r="F1981" s="53"/>
      <c r="G1981" s="53"/>
      <c r="H1981" s="53"/>
      <c r="I1981" s="53"/>
      <c r="J1981" s="53"/>
      <c r="K1981" s="53"/>
      <c r="L1981" s="53"/>
      <c r="M1981" s="53"/>
      <c r="N1981" s="53"/>
      <c r="O1981" s="53"/>
      <c r="P1981" s="53"/>
      <c r="Q1981" s="53"/>
      <c r="R1981" s="53"/>
      <c r="S1981" s="53"/>
      <c r="T1981" s="53"/>
      <c r="U1981" s="53"/>
      <c r="V1981" s="53"/>
      <c r="W1981" s="53"/>
      <c r="X1981" s="53"/>
      <c r="Y1981" s="53"/>
      <c r="Z1981" s="53"/>
    </row>
    <row r="1982" spans="1:26" ht="15.75" customHeight="1">
      <c r="A1982" s="103"/>
      <c r="B1982" s="103"/>
      <c r="C1982" s="104" t="e">
        <v>#REF!</v>
      </c>
      <c r="D1982" s="103"/>
      <c r="E1982" s="53"/>
      <c r="F1982" s="53"/>
      <c r="G1982" s="53"/>
      <c r="H1982" s="53"/>
      <c r="I1982" s="53"/>
      <c r="J1982" s="53"/>
      <c r="K1982" s="53"/>
      <c r="L1982" s="53"/>
      <c r="M1982" s="53"/>
      <c r="N1982" s="53"/>
      <c r="O1982" s="53"/>
      <c r="P1982" s="53"/>
      <c r="Q1982" s="53"/>
      <c r="R1982" s="53"/>
      <c r="S1982" s="53"/>
      <c r="T1982" s="53"/>
      <c r="U1982" s="53"/>
      <c r="V1982" s="53"/>
      <c r="W1982" s="53"/>
      <c r="X1982" s="53"/>
      <c r="Y1982" s="53"/>
      <c r="Z1982" s="53"/>
    </row>
    <row r="1983" spans="1:26" ht="15.75" customHeight="1">
      <c r="A1983" s="103"/>
      <c r="B1983" s="103"/>
      <c r="C1983" s="104" t="e">
        <v>#REF!</v>
      </c>
      <c r="D1983" s="103"/>
      <c r="E1983" s="53"/>
      <c r="F1983" s="53"/>
      <c r="G1983" s="53"/>
      <c r="H1983" s="53"/>
      <c r="I1983" s="53"/>
      <c r="J1983" s="53"/>
      <c r="K1983" s="53"/>
      <c r="L1983" s="53"/>
      <c r="M1983" s="53"/>
      <c r="N1983" s="53"/>
      <c r="O1983" s="53"/>
      <c r="P1983" s="53"/>
      <c r="Q1983" s="53"/>
      <c r="R1983" s="53"/>
      <c r="S1983" s="53"/>
      <c r="T1983" s="53"/>
      <c r="U1983" s="53"/>
      <c r="V1983" s="53"/>
      <c r="W1983" s="53"/>
      <c r="X1983" s="53"/>
      <c r="Y1983" s="53"/>
      <c r="Z1983" s="53"/>
    </row>
    <row r="1984" spans="1:26" ht="15.75" customHeight="1">
      <c r="A1984" s="103"/>
      <c r="B1984" s="103"/>
      <c r="C1984" s="104" t="e">
        <v>#REF!</v>
      </c>
      <c r="D1984" s="103"/>
      <c r="E1984" s="53"/>
      <c r="F1984" s="53"/>
      <c r="G1984" s="53"/>
      <c r="H1984" s="53"/>
      <c r="I1984" s="53"/>
      <c r="J1984" s="53"/>
      <c r="K1984" s="53"/>
      <c r="L1984" s="53"/>
      <c r="M1984" s="53"/>
      <c r="N1984" s="53"/>
      <c r="O1984" s="53"/>
      <c r="P1984" s="53"/>
      <c r="Q1984" s="53"/>
      <c r="R1984" s="53"/>
      <c r="S1984" s="53"/>
      <c r="T1984" s="53"/>
      <c r="U1984" s="53"/>
      <c r="V1984" s="53"/>
      <c r="W1984" s="53"/>
      <c r="X1984" s="53"/>
      <c r="Y1984" s="53"/>
      <c r="Z1984" s="53"/>
    </row>
    <row r="1985" spans="1:26" ht="15.75" customHeight="1">
      <c r="A1985" s="103"/>
      <c r="B1985" s="103"/>
      <c r="C1985" s="104" t="e">
        <v>#REF!</v>
      </c>
      <c r="D1985" s="103"/>
      <c r="E1985" s="53"/>
      <c r="F1985" s="53"/>
      <c r="G1985" s="53"/>
      <c r="H1985" s="53"/>
      <c r="I1985" s="53"/>
      <c r="J1985" s="53"/>
      <c r="K1985" s="53"/>
      <c r="L1985" s="53"/>
      <c r="M1985" s="53"/>
      <c r="N1985" s="53"/>
      <c r="O1985" s="53"/>
      <c r="P1985" s="53"/>
      <c r="Q1985" s="53"/>
      <c r="R1985" s="53"/>
      <c r="S1985" s="53"/>
      <c r="T1985" s="53"/>
      <c r="U1985" s="53"/>
      <c r="V1985" s="53"/>
      <c r="W1985" s="53"/>
      <c r="X1985" s="53"/>
      <c r="Y1985" s="53"/>
      <c r="Z1985" s="53"/>
    </row>
    <row r="1986" spans="1:26" ht="15.75" customHeight="1">
      <c r="A1986" s="103"/>
      <c r="B1986" s="103"/>
      <c r="C1986" s="104" t="e">
        <v>#REF!</v>
      </c>
      <c r="D1986" s="103"/>
      <c r="E1986" s="53"/>
      <c r="F1986" s="53"/>
      <c r="G1986" s="53"/>
      <c r="H1986" s="53"/>
      <c r="I1986" s="53"/>
      <c r="J1986" s="53"/>
      <c r="K1986" s="53"/>
      <c r="L1986" s="53"/>
      <c r="M1986" s="53"/>
      <c r="N1986" s="53"/>
      <c r="O1986" s="53"/>
      <c r="P1986" s="53"/>
      <c r="Q1986" s="53"/>
      <c r="R1986" s="53"/>
      <c r="S1986" s="53"/>
      <c r="T1986" s="53"/>
      <c r="U1986" s="53"/>
      <c r="V1986" s="53"/>
      <c r="W1986" s="53"/>
      <c r="X1986" s="53"/>
      <c r="Y1986" s="53"/>
      <c r="Z1986" s="53"/>
    </row>
    <row r="1987" spans="1:26" ht="15.75" customHeight="1">
      <c r="A1987" s="103"/>
      <c r="B1987" s="103"/>
      <c r="C1987" s="104" t="e">
        <v>#REF!</v>
      </c>
      <c r="D1987" s="103"/>
      <c r="E1987" s="53"/>
      <c r="F1987" s="53"/>
      <c r="G1987" s="53"/>
      <c r="H1987" s="53"/>
      <c r="I1987" s="53"/>
      <c r="J1987" s="53"/>
      <c r="K1987" s="53"/>
      <c r="L1987" s="53"/>
      <c r="M1987" s="53"/>
      <c r="N1987" s="53"/>
      <c r="O1987" s="53"/>
      <c r="P1987" s="53"/>
      <c r="Q1987" s="53"/>
      <c r="R1987" s="53"/>
      <c r="S1987" s="53"/>
      <c r="T1987" s="53"/>
      <c r="U1987" s="53"/>
      <c r="V1987" s="53"/>
      <c r="W1987" s="53"/>
      <c r="X1987" s="53"/>
      <c r="Y1987" s="53"/>
      <c r="Z1987" s="53"/>
    </row>
    <row r="1988" spans="1:26" ht="15.75" customHeight="1">
      <c r="A1988" s="103"/>
      <c r="B1988" s="103"/>
      <c r="C1988" s="104" t="e">
        <v>#REF!</v>
      </c>
      <c r="D1988" s="103"/>
      <c r="E1988" s="53"/>
      <c r="F1988" s="53"/>
      <c r="G1988" s="53"/>
      <c r="H1988" s="53"/>
      <c r="I1988" s="53"/>
      <c r="J1988" s="53"/>
      <c r="K1988" s="53"/>
      <c r="L1988" s="53"/>
      <c r="M1988" s="53"/>
      <c r="N1988" s="53"/>
      <c r="O1988" s="53"/>
      <c r="P1988" s="53"/>
      <c r="Q1988" s="53"/>
      <c r="R1988" s="53"/>
      <c r="S1988" s="53"/>
      <c r="T1988" s="53"/>
      <c r="U1988" s="53"/>
      <c r="V1988" s="53"/>
      <c r="W1988" s="53"/>
      <c r="X1988" s="53"/>
      <c r="Y1988" s="53"/>
      <c r="Z1988" s="53"/>
    </row>
    <row r="1989" spans="1:26" ht="15.75" customHeight="1">
      <c r="A1989" s="103"/>
      <c r="B1989" s="103"/>
      <c r="C1989" s="104" t="e">
        <v>#REF!</v>
      </c>
      <c r="D1989" s="103"/>
      <c r="E1989" s="53"/>
      <c r="F1989" s="53"/>
      <c r="G1989" s="53"/>
      <c r="H1989" s="53"/>
      <c r="I1989" s="53"/>
      <c r="J1989" s="53"/>
      <c r="K1989" s="53"/>
      <c r="L1989" s="53"/>
      <c r="M1989" s="53"/>
      <c r="N1989" s="53"/>
      <c r="O1989" s="53"/>
      <c r="P1989" s="53"/>
      <c r="Q1989" s="53"/>
      <c r="R1989" s="53"/>
      <c r="S1989" s="53"/>
      <c r="T1989" s="53"/>
      <c r="U1989" s="53"/>
      <c r="V1989" s="53"/>
      <c r="W1989" s="53"/>
      <c r="X1989" s="53"/>
      <c r="Y1989" s="53"/>
      <c r="Z1989" s="53"/>
    </row>
    <row r="1990" spans="1:26" ht="15.75" customHeight="1">
      <c r="A1990" s="103"/>
      <c r="B1990" s="103"/>
      <c r="C1990" s="104" t="e">
        <v>#REF!</v>
      </c>
      <c r="D1990" s="103"/>
      <c r="E1990" s="53"/>
      <c r="F1990" s="53"/>
      <c r="G1990" s="53"/>
      <c r="H1990" s="53"/>
      <c r="I1990" s="53"/>
      <c r="J1990" s="53"/>
      <c r="K1990" s="53"/>
      <c r="L1990" s="53"/>
      <c r="M1990" s="53"/>
      <c r="N1990" s="53"/>
      <c r="O1990" s="53"/>
      <c r="P1990" s="53"/>
      <c r="Q1990" s="53"/>
      <c r="R1990" s="53"/>
      <c r="S1990" s="53"/>
      <c r="T1990" s="53"/>
      <c r="U1990" s="53"/>
      <c r="V1990" s="53"/>
      <c r="W1990" s="53"/>
      <c r="X1990" s="53"/>
      <c r="Y1990" s="53"/>
      <c r="Z1990" s="53"/>
    </row>
    <row r="1991" spans="1:26" ht="15.75" customHeight="1">
      <c r="A1991" s="103"/>
      <c r="B1991" s="103"/>
      <c r="C1991" s="104" t="e">
        <v>#REF!</v>
      </c>
      <c r="D1991" s="103"/>
      <c r="E1991" s="53"/>
      <c r="F1991" s="53"/>
      <c r="G1991" s="53"/>
      <c r="H1991" s="53"/>
      <c r="I1991" s="53"/>
      <c r="J1991" s="53"/>
      <c r="K1991" s="53"/>
      <c r="L1991" s="53"/>
      <c r="M1991" s="53"/>
      <c r="N1991" s="53"/>
      <c r="O1991" s="53"/>
      <c r="P1991" s="53"/>
      <c r="Q1991" s="53"/>
      <c r="R1991" s="53"/>
      <c r="S1991" s="53"/>
      <c r="T1991" s="53"/>
      <c r="U1991" s="53"/>
      <c r="V1991" s="53"/>
      <c r="W1991" s="53"/>
      <c r="X1991" s="53"/>
      <c r="Y1991" s="53"/>
      <c r="Z1991" s="53"/>
    </row>
    <row r="1992" spans="1:26" ht="15.75" customHeight="1">
      <c r="A1992" s="103"/>
      <c r="B1992" s="103"/>
      <c r="C1992" s="104" t="e">
        <v>#REF!</v>
      </c>
      <c r="D1992" s="103"/>
      <c r="E1992" s="53"/>
      <c r="F1992" s="53"/>
      <c r="G1992" s="53"/>
      <c r="H1992" s="53"/>
      <c r="I1992" s="53"/>
      <c r="J1992" s="53"/>
      <c r="K1992" s="53"/>
      <c r="L1992" s="53"/>
      <c r="M1992" s="53"/>
      <c r="N1992" s="53"/>
      <c r="O1992" s="53"/>
      <c r="P1992" s="53"/>
      <c r="Q1992" s="53"/>
      <c r="R1992" s="53"/>
      <c r="S1992" s="53"/>
      <c r="T1992" s="53"/>
      <c r="U1992" s="53"/>
      <c r="V1992" s="53"/>
      <c r="W1992" s="53"/>
      <c r="X1992" s="53"/>
      <c r="Y1992" s="53"/>
      <c r="Z1992" s="53"/>
    </row>
    <row r="1993" spans="1:26" ht="15.75" customHeight="1">
      <c r="A1993" s="103"/>
      <c r="B1993" s="103"/>
      <c r="C1993" s="104" t="e">
        <v>#REF!</v>
      </c>
      <c r="D1993" s="103"/>
      <c r="E1993" s="53"/>
      <c r="F1993" s="53"/>
      <c r="G1993" s="53"/>
      <c r="H1993" s="53"/>
      <c r="I1993" s="53"/>
      <c r="J1993" s="53"/>
      <c r="K1993" s="53"/>
      <c r="L1993" s="53"/>
      <c r="M1993" s="53"/>
      <c r="N1993" s="53"/>
      <c r="O1993" s="53"/>
      <c r="P1993" s="53"/>
      <c r="Q1993" s="53"/>
      <c r="R1993" s="53"/>
      <c r="S1993" s="53"/>
      <c r="T1993" s="53"/>
      <c r="U1993" s="53"/>
      <c r="V1993" s="53"/>
      <c r="W1993" s="53"/>
      <c r="X1993" s="53"/>
      <c r="Y1993" s="53"/>
      <c r="Z1993" s="53"/>
    </row>
    <row r="1994" spans="1:26" ht="15.75" customHeight="1">
      <c r="A1994" s="103"/>
      <c r="B1994" s="103"/>
      <c r="C1994" s="104" t="e">
        <v>#REF!</v>
      </c>
      <c r="D1994" s="103"/>
      <c r="E1994" s="53"/>
      <c r="F1994" s="53"/>
      <c r="G1994" s="53"/>
      <c r="H1994" s="53"/>
      <c r="I1994" s="53"/>
      <c r="J1994" s="53"/>
      <c r="K1994" s="53"/>
      <c r="L1994" s="53"/>
      <c r="M1994" s="53"/>
      <c r="N1994" s="53"/>
      <c r="O1994" s="53"/>
      <c r="P1994" s="53"/>
      <c r="Q1994" s="53"/>
      <c r="R1994" s="53"/>
      <c r="S1994" s="53"/>
      <c r="T1994" s="53"/>
      <c r="U1994" s="53"/>
      <c r="V1994" s="53"/>
      <c r="W1994" s="53"/>
      <c r="X1994" s="53"/>
      <c r="Y1994" s="53"/>
      <c r="Z1994" s="53"/>
    </row>
    <row r="1995" spans="1:26" ht="15.75" customHeight="1">
      <c r="A1995" s="103"/>
      <c r="B1995" s="103"/>
      <c r="C1995" s="104" t="e">
        <v>#REF!</v>
      </c>
      <c r="D1995" s="103"/>
      <c r="E1995" s="53"/>
      <c r="F1995" s="53"/>
      <c r="G1995" s="53"/>
      <c r="H1995" s="53"/>
      <c r="I1995" s="53"/>
      <c r="J1995" s="53"/>
      <c r="K1995" s="53"/>
      <c r="L1995" s="53"/>
      <c r="M1995" s="53"/>
      <c r="N1995" s="53"/>
      <c r="O1995" s="53"/>
      <c r="P1995" s="53"/>
      <c r="Q1995" s="53"/>
      <c r="R1995" s="53"/>
      <c r="S1995" s="53"/>
      <c r="T1995" s="53"/>
      <c r="U1995" s="53"/>
      <c r="V1995" s="53"/>
      <c r="W1995" s="53"/>
      <c r="X1995" s="53"/>
      <c r="Y1995" s="53"/>
      <c r="Z1995" s="53"/>
    </row>
    <row r="1996" spans="1:26" ht="15.75" customHeight="1">
      <c r="A1996" s="103"/>
      <c r="B1996" s="103"/>
      <c r="C1996" s="104" t="e">
        <v>#REF!</v>
      </c>
      <c r="D1996" s="103"/>
      <c r="E1996" s="53"/>
      <c r="F1996" s="53"/>
      <c r="G1996" s="53"/>
      <c r="H1996" s="53"/>
      <c r="I1996" s="53"/>
      <c r="J1996" s="53"/>
      <c r="K1996" s="53"/>
      <c r="L1996" s="53"/>
      <c r="M1996" s="53"/>
      <c r="N1996" s="53"/>
      <c r="O1996" s="53"/>
      <c r="P1996" s="53"/>
      <c r="Q1996" s="53"/>
      <c r="R1996" s="53"/>
      <c r="S1996" s="53"/>
      <c r="T1996" s="53"/>
      <c r="U1996" s="53"/>
      <c r="V1996" s="53"/>
      <c r="W1996" s="53"/>
      <c r="X1996" s="53"/>
      <c r="Y1996" s="53"/>
      <c r="Z1996" s="53"/>
    </row>
    <row r="1997" spans="1:26" ht="15.75" customHeight="1">
      <c r="A1997" s="103"/>
      <c r="B1997" s="103"/>
      <c r="C1997" s="104" t="e">
        <v>#REF!</v>
      </c>
      <c r="D1997" s="10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</row>
    <row r="1998" spans="1:26" ht="15.75" customHeight="1">
      <c r="A1998" s="103"/>
      <c r="B1998" s="103"/>
      <c r="C1998" s="104" t="e">
        <v>#REF!</v>
      </c>
      <c r="D1998" s="103"/>
      <c r="E1998" s="53"/>
      <c r="F1998" s="53"/>
      <c r="G1998" s="53"/>
      <c r="H1998" s="53"/>
      <c r="I1998" s="53"/>
      <c r="J1998" s="53"/>
      <c r="K1998" s="53"/>
      <c r="L1998" s="53"/>
      <c r="M1998" s="53"/>
      <c r="N1998" s="53"/>
      <c r="O1998" s="53"/>
      <c r="P1998" s="53"/>
      <c r="Q1998" s="53"/>
      <c r="R1998" s="53"/>
      <c r="S1998" s="53"/>
      <c r="T1998" s="53"/>
      <c r="U1998" s="53"/>
      <c r="V1998" s="53"/>
      <c r="W1998" s="53"/>
      <c r="X1998" s="53"/>
      <c r="Y1998" s="53"/>
      <c r="Z1998" s="53"/>
    </row>
    <row r="1999" spans="1:26" ht="15.75" customHeight="1">
      <c r="A1999" s="103"/>
      <c r="B1999" s="103"/>
      <c r="C1999" s="104" t="e">
        <v>#REF!</v>
      </c>
      <c r="D1999" s="103"/>
      <c r="E1999" s="53"/>
      <c r="F1999" s="53"/>
      <c r="G1999" s="53"/>
      <c r="H1999" s="53"/>
      <c r="I1999" s="53"/>
      <c r="J1999" s="53"/>
      <c r="K1999" s="53"/>
      <c r="L1999" s="53"/>
      <c r="M1999" s="53"/>
      <c r="N1999" s="53"/>
      <c r="O1999" s="53"/>
      <c r="P1999" s="53"/>
      <c r="Q1999" s="53"/>
      <c r="R1999" s="53"/>
      <c r="S1999" s="53"/>
      <c r="T1999" s="53"/>
      <c r="U1999" s="53"/>
      <c r="V1999" s="53"/>
      <c r="W1999" s="53"/>
      <c r="X1999" s="53"/>
      <c r="Y1999" s="53"/>
      <c r="Z1999" s="53"/>
    </row>
    <row r="2000" spans="1:26" ht="15.75" customHeight="1">
      <c r="A2000" s="103"/>
      <c r="B2000" s="103"/>
      <c r="C2000" s="104" t="e">
        <v>#REF!</v>
      </c>
      <c r="D2000" s="103"/>
      <c r="E2000" s="53"/>
      <c r="F2000" s="53"/>
      <c r="G2000" s="53"/>
      <c r="H2000" s="53"/>
      <c r="I2000" s="53"/>
      <c r="J2000" s="53"/>
      <c r="K2000" s="53"/>
      <c r="L2000" s="53"/>
      <c r="M2000" s="53"/>
      <c r="N2000" s="53"/>
      <c r="O2000" s="53"/>
      <c r="P2000" s="53"/>
      <c r="Q2000" s="53"/>
      <c r="R2000" s="53"/>
      <c r="S2000" s="53"/>
      <c r="T2000" s="53"/>
      <c r="U2000" s="53"/>
      <c r="V2000" s="53"/>
      <c r="W2000" s="53"/>
      <c r="X2000" s="53"/>
      <c r="Y2000" s="53"/>
      <c r="Z2000" s="53"/>
    </row>
    <row r="2001" spans="1:26" ht="15.75" customHeight="1">
      <c r="A2001" s="103"/>
      <c r="B2001" s="103"/>
      <c r="C2001" s="104" t="e">
        <v>#REF!</v>
      </c>
      <c r="D2001" s="103"/>
      <c r="E2001" s="53"/>
      <c r="F2001" s="53"/>
      <c r="G2001" s="53"/>
      <c r="H2001" s="53"/>
      <c r="I2001" s="53"/>
      <c r="J2001" s="53"/>
      <c r="K2001" s="53"/>
      <c r="L2001" s="53"/>
      <c r="M2001" s="53"/>
      <c r="N2001" s="53"/>
      <c r="O2001" s="53"/>
      <c r="P2001" s="53"/>
      <c r="Q2001" s="53"/>
      <c r="R2001" s="53"/>
      <c r="S2001" s="53"/>
      <c r="T2001" s="53"/>
      <c r="U2001" s="53"/>
      <c r="V2001" s="53"/>
      <c r="W2001" s="53"/>
      <c r="X2001" s="53"/>
      <c r="Y2001" s="53"/>
      <c r="Z2001" s="53"/>
    </row>
    <row r="2002" spans="1:26" ht="15.75" customHeight="1">
      <c r="A2002" s="103"/>
      <c r="B2002" s="103"/>
      <c r="C2002" s="104" t="e">
        <v>#REF!</v>
      </c>
      <c r="D2002" s="10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53"/>
      <c r="T2002" s="53"/>
      <c r="U2002" s="53"/>
      <c r="V2002" s="53"/>
      <c r="W2002" s="53"/>
      <c r="X2002" s="53"/>
      <c r="Y2002" s="53"/>
      <c r="Z2002" s="53"/>
    </row>
    <row r="2003" spans="1:26" ht="15.75" customHeight="1">
      <c r="A2003" s="103"/>
      <c r="B2003" s="103"/>
      <c r="C2003" s="104" t="e">
        <v>#REF!</v>
      </c>
      <c r="D2003" s="103"/>
      <c r="E2003" s="53"/>
      <c r="F2003" s="53"/>
      <c r="G2003" s="53"/>
      <c r="H2003" s="53"/>
      <c r="I2003" s="53"/>
      <c r="J2003" s="53"/>
      <c r="K2003" s="53"/>
      <c r="L2003" s="53"/>
      <c r="M2003" s="53"/>
      <c r="N2003" s="53"/>
      <c r="O2003" s="53"/>
      <c r="P2003" s="53"/>
      <c r="Q2003" s="53"/>
      <c r="R2003" s="53"/>
      <c r="S2003" s="53"/>
      <c r="T2003" s="53"/>
      <c r="U2003" s="53"/>
      <c r="V2003" s="53"/>
      <c r="W2003" s="53"/>
      <c r="X2003" s="53"/>
      <c r="Y2003" s="53"/>
      <c r="Z2003" s="53"/>
    </row>
    <row r="2004" spans="1:26" ht="15.75" customHeight="1">
      <c r="A2004" s="103"/>
      <c r="B2004" s="103"/>
      <c r="C2004" s="104" t="e">
        <v>#REF!</v>
      </c>
      <c r="D2004" s="103"/>
      <c r="E2004" s="53"/>
      <c r="F2004" s="53"/>
      <c r="G2004" s="53"/>
      <c r="H2004" s="53"/>
      <c r="I2004" s="53"/>
      <c r="J2004" s="53"/>
      <c r="K2004" s="53"/>
      <c r="L2004" s="53"/>
      <c r="M2004" s="53"/>
      <c r="N2004" s="53"/>
      <c r="O2004" s="53"/>
      <c r="P2004" s="53"/>
      <c r="Q2004" s="53"/>
      <c r="R2004" s="53"/>
      <c r="S2004" s="53"/>
      <c r="T2004" s="53"/>
      <c r="U2004" s="53"/>
      <c r="V2004" s="53"/>
      <c r="W2004" s="53"/>
      <c r="X2004" s="53"/>
      <c r="Y2004" s="53"/>
      <c r="Z2004" s="53"/>
    </row>
    <row r="2005" spans="1:26" ht="15.75" customHeight="1">
      <c r="A2005" s="103"/>
      <c r="B2005" s="103"/>
      <c r="C2005" s="104" t="e">
        <v>#REF!</v>
      </c>
      <c r="D2005" s="103"/>
      <c r="E2005" s="53"/>
      <c r="F2005" s="53"/>
      <c r="G2005" s="53"/>
      <c r="H2005" s="53"/>
      <c r="I2005" s="53"/>
      <c r="J2005" s="53"/>
      <c r="K2005" s="53"/>
      <c r="L2005" s="53"/>
      <c r="M2005" s="53"/>
      <c r="N2005" s="53"/>
      <c r="O2005" s="53"/>
      <c r="P2005" s="53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</row>
    <row r="2006" spans="1:26" ht="15.75" customHeight="1">
      <c r="A2006" s="103"/>
      <c r="B2006" s="103"/>
      <c r="C2006" s="104" t="e">
        <v>#REF!</v>
      </c>
      <c r="D2006" s="103"/>
      <c r="E2006" s="53"/>
      <c r="F2006" s="53"/>
      <c r="G2006" s="53"/>
      <c r="H2006" s="53"/>
      <c r="I2006" s="53"/>
      <c r="J2006" s="53"/>
      <c r="K2006" s="53"/>
      <c r="L2006" s="53"/>
      <c r="M2006" s="53"/>
      <c r="N2006" s="53"/>
      <c r="O2006" s="53"/>
      <c r="P2006" s="53"/>
      <c r="Q2006" s="53"/>
      <c r="R2006" s="53"/>
      <c r="S2006" s="53"/>
      <c r="T2006" s="53"/>
      <c r="U2006" s="53"/>
      <c r="V2006" s="53"/>
      <c r="W2006" s="53"/>
      <c r="X2006" s="53"/>
      <c r="Y2006" s="53"/>
      <c r="Z2006" s="53"/>
    </row>
    <row r="2007" spans="1:26" ht="15.75" customHeight="1">
      <c r="A2007" s="103"/>
      <c r="B2007" s="103"/>
      <c r="C2007" s="104" t="e">
        <v>#REF!</v>
      </c>
      <c r="D2007" s="103"/>
      <c r="E2007" s="53"/>
      <c r="F2007" s="53"/>
      <c r="G2007" s="53"/>
      <c r="H2007" s="53"/>
      <c r="I2007" s="53"/>
      <c r="J2007" s="53"/>
      <c r="K2007" s="53"/>
      <c r="L2007" s="53"/>
      <c r="M2007" s="53"/>
      <c r="N2007" s="53"/>
      <c r="O2007" s="53"/>
      <c r="P2007" s="53"/>
      <c r="Q2007" s="53"/>
      <c r="R2007" s="53"/>
      <c r="S2007" s="53"/>
      <c r="T2007" s="53"/>
      <c r="U2007" s="53"/>
      <c r="V2007" s="53"/>
      <c r="W2007" s="53"/>
      <c r="X2007" s="53"/>
      <c r="Y2007" s="53"/>
      <c r="Z2007" s="53"/>
    </row>
    <row r="2008" spans="1:26" ht="15.75" customHeight="1">
      <c r="A2008" s="103"/>
      <c r="B2008" s="103"/>
      <c r="C2008" s="104" t="e">
        <v>#REF!</v>
      </c>
      <c r="D2008" s="103"/>
      <c r="E2008" s="53"/>
      <c r="F2008" s="53"/>
      <c r="G2008" s="53"/>
      <c r="H2008" s="53"/>
      <c r="I2008" s="53"/>
      <c r="J2008" s="53"/>
      <c r="K2008" s="53"/>
      <c r="L2008" s="53"/>
      <c r="M2008" s="53"/>
      <c r="N2008" s="53"/>
      <c r="O2008" s="53"/>
      <c r="P2008" s="53"/>
      <c r="Q2008" s="53"/>
      <c r="R2008" s="53"/>
      <c r="S2008" s="53"/>
      <c r="T2008" s="53"/>
      <c r="U2008" s="53"/>
      <c r="V2008" s="53"/>
      <c r="W2008" s="53"/>
      <c r="X2008" s="53"/>
      <c r="Y2008" s="53"/>
      <c r="Z2008" s="53"/>
    </row>
    <row r="2009" spans="1:26" ht="15.75" customHeight="1">
      <c r="A2009" s="103"/>
      <c r="B2009" s="103"/>
      <c r="C2009" s="104" t="e">
        <v>#REF!</v>
      </c>
      <c r="D2009" s="103"/>
      <c r="E2009" s="53"/>
      <c r="F2009" s="53"/>
      <c r="G2009" s="53"/>
      <c r="H2009" s="53"/>
      <c r="I2009" s="53"/>
      <c r="J2009" s="53"/>
      <c r="K2009" s="53"/>
      <c r="L2009" s="53"/>
      <c r="M2009" s="53"/>
      <c r="N2009" s="53"/>
      <c r="O2009" s="53"/>
      <c r="P2009" s="53"/>
      <c r="Q2009" s="53"/>
      <c r="R2009" s="53"/>
      <c r="S2009" s="53"/>
      <c r="T2009" s="53"/>
      <c r="U2009" s="53"/>
      <c r="V2009" s="53"/>
      <c r="W2009" s="53"/>
      <c r="X2009" s="53"/>
      <c r="Y2009" s="53"/>
      <c r="Z2009" s="53"/>
    </row>
    <row r="2010" spans="1:26" ht="15.75" customHeight="1">
      <c r="A2010" s="103"/>
      <c r="B2010" s="103"/>
      <c r="C2010" s="104" t="e">
        <v>#REF!</v>
      </c>
      <c r="D2010" s="103"/>
      <c r="E2010" s="53"/>
      <c r="F2010" s="53"/>
      <c r="G2010" s="53"/>
      <c r="H2010" s="53"/>
      <c r="I2010" s="53"/>
      <c r="J2010" s="53"/>
      <c r="K2010" s="53"/>
      <c r="L2010" s="53"/>
      <c r="M2010" s="53"/>
      <c r="N2010" s="53"/>
      <c r="O2010" s="53"/>
      <c r="P2010" s="53"/>
      <c r="Q2010" s="53"/>
      <c r="R2010" s="53"/>
      <c r="S2010" s="53"/>
      <c r="T2010" s="53"/>
      <c r="U2010" s="53"/>
      <c r="V2010" s="53"/>
      <c r="W2010" s="53"/>
      <c r="X2010" s="53"/>
      <c r="Y2010" s="53"/>
      <c r="Z2010" s="53"/>
    </row>
    <row r="2011" spans="1:26" ht="15.75" customHeight="1">
      <c r="A2011" s="103"/>
      <c r="B2011" s="103"/>
      <c r="C2011" s="104" t="e">
        <v>#REF!</v>
      </c>
      <c r="D2011" s="103"/>
      <c r="E2011" s="53"/>
      <c r="F2011" s="53"/>
      <c r="G2011" s="53"/>
      <c r="H2011" s="53"/>
      <c r="I2011" s="53"/>
      <c r="J2011" s="53"/>
      <c r="K2011" s="53"/>
      <c r="L2011" s="53"/>
      <c r="M2011" s="53"/>
      <c r="N2011" s="53"/>
      <c r="O2011" s="53"/>
      <c r="P2011" s="53"/>
      <c r="Q2011" s="53"/>
      <c r="R2011" s="53"/>
      <c r="S2011" s="53"/>
      <c r="T2011" s="53"/>
      <c r="U2011" s="53"/>
      <c r="V2011" s="53"/>
      <c r="W2011" s="53"/>
      <c r="X2011" s="53"/>
      <c r="Y2011" s="53"/>
      <c r="Z2011" s="53"/>
    </row>
    <row r="2012" spans="1:26" ht="15.75" customHeight="1">
      <c r="A2012" s="103"/>
      <c r="B2012" s="103"/>
      <c r="C2012" s="104" t="e">
        <v>#REF!</v>
      </c>
      <c r="D2012" s="103"/>
      <c r="E2012" s="53"/>
      <c r="F2012" s="53"/>
      <c r="G2012" s="53"/>
      <c r="H2012" s="53"/>
      <c r="I2012" s="53"/>
      <c r="J2012" s="53"/>
      <c r="K2012" s="53"/>
      <c r="L2012" s="53"/>
      <c r="M2012" s="53"/>
      <c r="N2012" s="53"/>
      <c r="O2012" s="53"/>
      <c r="P2012" s="53"/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</row>
    <row r="2013" spans="1:26" ht="15.75" customHeight="1">
      <c r="A2013" s="103"/>
      <c r="B2013" s="103"/>
      <c r="C2013" s="104" t="e">
        <v>#REF!</v>
      </c>
      <c r="D2013" s="103"/>
      <c r="E2013" s="53"/>
      <c r="F2013" s="53"/>
      <c r="G2013" s="53"/>
      <c r="H2013" s="53"/>
      <c r="I2013" s="53"/>
      <c r="J2013" s="53"/>
      <c r="K2013" s="53"/>
      <c r="L2013" s="53"/>
      <c r="M2013" s="53"/>
      <c r="N2013" s="53"/>
      <c r="O2013" s="53"/>
      <c r="P2013" s="53"/>
      <c r="Q2013" s="53"/>
      <c r="R2013" s="53"/>
      <c r="S2013" s="53"/>
      <c r="T2013" s="53"/>
      <c r="U2013" s="53"/>
      <c r="V2013" s="53"/>
      <c r="W2013" s="53"/>
      <c r="X2013" s="53"/>
      <c r="Y2013" s="53"/>
      <c r="Z2013" s="53"/>
    </row>
    <row r="2014" spans="1:26" ht="15.75" customHeight="1">
      <c r="A2014" s="103"/>
      <c r="B2014" s="103"/>
      <c r="C2014" s="104" t="e">
        <v>#REF!</v>
      </c>
      <c r="D2014" s="103"/>
      <c r="E2014" s="53"/>
      <c r="F2014" s="53"/>
      <c r="G2014" s="53"/>
      <c r="H2014" s="53"/>
      <c r="I2014" s="53"/>
      <c r="J2014" s="53"/>
      <c r="K2014" s="53"/>
      <c r="L2014" s="53"/>
      <c r="M2014" s="53"/>
      <c r="N2014" s="53"/>
      <c r="O2014" s="53"/>
      <c r="P2014" s="53"/>
      <c r="Q2014" s="53"/>
      <c r="R2014" s="53"/>
      <c r="S2014" s="53"/>
      <c r="T2014" s="53"/>
      <c r="U2014" s="53"/>
      <c r="V2014" s="53"/>
      <c r="W2014" s="53"/>
      <c r="X2014" s="53"/>
      <c r="Y2014" s="53"/>
      <c r="Z2014" s="53"/>
    </row>
    <row r="2015" spans="1:26" ht="15.75" customHeight="1">
      <c r="A2015" s="103"/>
      <c r="B2015" s="103"/>
      <c r="C2015" s="104" t="e">
        <v>#REF!</v>
      </c>
      <c r="D2015" s="103"/>
      <c r="E2015" s="53"/>
      <c r="F2015" s="53"/>
      <c r="G2015" s="53"/>
      <c r="H2015" s="53"/>
      <c r="I2015" s="53"/>
      <c r="J2015" s="53"/>
      <c r="K2015" s="53"/>
      <c r="L2015" s="53"/>
      <c r="M2015" s="53"/>
      <c r="N2015" s="53"/>
      <c r="O2015" s="53"/>
      <c r="P2015" s="53"/>
      <c r="Q2015" s="53"/>
      <c r="R2015" s="53"/>
      <c r="S2015" s="53"/>
      <c r="T2015" s="53"/>
      <c r="U2015" s="53"/>
      <c r="V2015" s="53"/>
      <c r="W2015" s="53"/>
      <c r="X2015" s="53"/>
      <c r="Y2015" s="53"/>
      <c r="Z2015" s="53"/>
    </row>
    <row r="2016" spans="1:26" ht="15.75" customHeight="1">
      <c r="A2016" s="103"/>
      <c r="B2016" s="103"/>
      <c r="C2016" s="104" t="e">
        <v>#REF!</v>
      </c>
      <c r="D2016" s="103"/>
      <c r="E2016" s="53"/>
      <c r="F2016" s="53"/>
      <c r="G2016" s="53"/>
      <c r="H2016" s="53"/>
      <c r="I2016" s="53"/>
      <c r="J2016" s="53"/>
      <c r="K2016" s="53"/>
      <c r="L2016" s="53"/>
      <c r="M2016" s="53"/>
      <c r="N2016" s="53"/>
      <c r="O2016" s="53"/>
      <c r="P2016" s="53"/>
      <c r="Q2016" s="53"/>
      <c r="R2016" s="53"/>
      <c r="S2016" s="53"/>
      <c r="T2016" s="53"/>
      <c r="U2016" s="53"/>
      <c r="V2016" s="53"/>
      <c r="W2016" s="53"/>
      <c r="X2016" s="53"/>
      <c r="Y2016" s="53"/>
      <c r="Z2016" s="53"/>
    </row>
    <row r="2017" spans="1:26" ht="15.75" customHeight="1">
      <c r="A2017" s="103"/>
      <c r="B2017" s="103"/>
      <c r="C2017" s="104" t="e">
        <v>#REF!</v>
      </c>
      <c r="D2017" s="103"/>
      <c r="E2017" s="53"/>
      <c r="F2017" s="53"/>
      <c r="G2017" s="53"/>
      <c r="H2017" s="53"/>
      <c r="I2017" s="53"/>
      <c r="J2017" s="53"/>
      <c r="K2017" s="53"/>
      <c r="L2017" s="53"/>
      <c r="M2017" s="53"/>
      <c r="N2017" s="53"/>
      <c r="O2017" s="53"/>
      <c r="P2017" s="53"/>
      <c r="Q2017" s="53"/>
      <c r="R2017" s="53"/>
      <c r="S2017" s="53"/>
      <c r="T2017" s="53"/>
      <c r="U2017" s="53"/>
      <c r="V2017" s="53"/>
      <c r="W2017" s="53"/>
      <c r="X2017" s="53"/>
      <c r="Y2017" s="53"/>
      <c r="Z2017" s="53"/>
    </row>
    <row r="2018" spans="1:26" ht="15.75" customHeight="1">
      <c r="A2018" s="103"/>
      <c r="B2018" s="103"/>
      <c r="C2018" s="104" t="e">
        <v>#REF!</v>
      </c>
      <c r="D2018" s="103"/>
      <c r="E2018" s="53"/>
      <c r="F2018" s="53"/>
      <c r="G2018" s="53"/>
      <c r="H2018" s="53"/>
      <c r="I2018" s="53"/>
      <c r="J2018" s="53"/>
      <c r="K2018" s="53"/>
      <c r="L2018" s="53"/>
      <c r="M2018" s="53"/>
      <c r="N2018" s="53"/>
      <c r="O2018" s="53"/>
      <c r="P2018" s="53"/>
      <c r="Q2018" s="53"/>
      <c r="R2018" s="53"/>
      <c r="S2018" s="53"/>
      <c r="T2018" s="53"/>
      <c r="U2018" s="53"/>
      <c r="V2018" s="53"/>
      <c r="W2018" s="53"/>
      <c r="X2018" s="53"/>
      <c r="Y2018" s="53"/>
      <c r="Z2018" s="53"/>
    </row>
    <row r="2019" spans="1:26" ht="15.75" customHeight="1">
      <c r="A2019" s="103"/>
      <c r="B2019" s="103"/>
      <c r="C2019" s="104" t="e">
        <v>#REF!</v>
      </c>
      <c r="D2019" s="103"/>
      <c r="E2019" s="53"/>
      <c r="F2019" s="53"/>
      <c r="G2019" s="53"/>
      <c r="H2019" s="53"/>
      <c r="I2019" s="53"/>
      <c r="J2019" s="53"/>
      <c r="K2019" s="53"/>
      <c r="L2019" s="53"/>
      <c r="M2019" s="53"/>
      <c r="N2019" s="53"/>
      <c r="O2019" s="53"/>
      <c r="P2019" s="53"/>
      <c r="Q2019" s="53"/>
      <c r="R2019" s="53"/>
      <c r="S2019" s="53"/>
      <c r="T2019" s="53"/>
      <c r="U2019" s="53"/>
      <c r="V2019" s="53"/>
      <c r="W2019" s="53"/>
      <c r="X2019" s="53"/>
      <c r="Y2019" s="53"/>
      <c r="Z2019" s="53"/>
    </row>
    <row r="2020" spans="1:26" ht="15.75" customHeight="1">
      <c r="A2020" s="103"/>
      <c r="B2020" s="103"/>
      <c r="C2020" s="104" t="e">
        <v>#REF!</v>
      </c>
      <c r="D2020" s="103"/>
      <c r="E2020" s="53"/>
      <c r="F2020" s="53"/>
      <c r="G2020" s="53"/>
      <c r="H2020" s="53"/>
      <c r="I2020" s="53"/>
      <c r="J2020" s="53"/>
      <c r="K2020" s="53"/>
      <c r="L2020" s="53"/>
      <c r="M2020" s="53"/>
      <c r="N2020" s="53"/>
      <c r="O2020" s="53"/>
      <c r="P2020" s="53"/>
      <c r="Q2020" s="53"/>
      <c r="R2020" s="53"/>
      <c r="S2020" s="53"/>
      <c r="T2020" s="53"/>
      <c r="U2020" s="53"/>
      <c r="V2020" s="53"/>
      <c r="W2020" s="53"/>
      <c r="X2020" s="53"/>
      <c r="Y2020" s="53"/>
      <c r="Z2020" s="53"/>
    </row>
    <row r="2021" spans="1:26" ht="15.75" customHeight="1">
      <c r="A2021" s="103"/>
      <c r="B2021" s="103"/>
      <c r="C2021" s="104" t="e">
        <v>#REF!</v>
      </c>
      <c r="D2021" s="103"/>
      <c r="E2021" s="53"/>
      <c r="F2021" s="53"/>
      <c r="G2021" s="53"/>
      <c r="H2021" s="53"/>
      <c r="I2021" s="53"/>
      <c r="J2021" s="53"/>
      <c r="K2021" s="53"/>
      <c r="L2021" s="53"/>
      <c r="M2021" s="53"/>
      <c r="N2021" s="53"/>
      <c r="O2021" s="53"/>
      <c r="P2021" s="53"/>
      <c r="Q2021" s="53"/>
      <c r="R2021" s="53"/>
      <c r="S2021" s="53"/>
      <c r="T2021" s="53"/>
      <c r="U2021" s="53"/>
      <c r="V2021" s="53"/>
      <c r="W2021" s="53"/>
      <c r="X2021" s="53"/>
      <c r="Y2021" s="53"/>
      <c r="Z2021" s="53"/>
    </row>
    <row r="2022" spans="1:26" ht="15.75" customHeight="1">
      <c r="A2022" s="103"/>
      <c r="B2022" s="103"/>
      <c r="C2022" s="104" t="e">
        <v>#REF!</v>
      </c>
      <c r="D2022" s="103"/>
      <c r="E2022" s="53"/>
      <c r="F2022" s="53"/>
      <c r="G2022" s="53"/>
      <c r="H2022" s="53"/>
      <c r="I2022" s="53"/>
      <c r="J2022" s="53"/>
      <c r="K2022" s="53"/>
      <c r="L2022" s="53"/>
      <c r="M2022" s="53"/>
      <c r="N2022" s="53"/>
      <c r="O2022" s="53"/>
      <c r="P2022" s="53"/>
      <c r="Q2022" s="53"/>
      <c r="R2022" s="53"/>
      <c r="S2022" s="53"/>
      <c r="T2022" s="53"/>
      <c r="U2022" s="53"/>
      <c r="V2022" s="53"/>
      <c r="W2022" s="53"/>
      <c r="X2022" s="53"/>
      <c r="Y2022" s="53"/>
      <c r="Z2022" s="53"/>
    </row>
    <row r="2023" spans="1:26" ht="15.75" customHeight="1">
      <c r="A2023" s="103"/>
      <c r="B2023" s="103"/>
      <c r="C2023" s="104" t="e">
        <v>#REF!</v>
      </c>
      <c r="D2023" s="103"/>
      <c r="E2023" s="53"/>
      <c r="F2023" s="53"/>
      <c r="G2023" s="53"/>
      <c r="H2023" s="53"/>
      <c r="I2023" s="53"/>
      <c r="J2023" s="53"/>
      <c r="K2023" s="53"/>
      <c r="L2023" s="53"/>
      <c r="M2023" s="53"/>
      <c r="N2023" s="53"/>
      <c r="O2023" s="53"/>
      <c r="P2023" s="53"/>
      <c r="Q2023" s="53"/>
      <c r="R2023" s="53"/>
      <c r="S2023" s="53"/>
      <c r="T2023" s="53"/>
      <c r="U2023" s="53"/>
      <c r="V2023" s="53"/>
      <c r="W2023" s="53"/>
      <c r="X2023" s="53"/>
      <c r="Y2023" s="53"/>
      <c r="Z2023" s="53"/>
    </row>
    <row r="2024" spans="1:26" ht="15.75" customHeight="1">
      <c r="A2024" s="103"/>
      <c r="B2024" s="103"/>
      <c r="C2024" s="104" t="e">
        <v>#REF!</v>
      </c>
      <c r="D2024" s="103"/>
      <c r="E2024" s="53"/>
      <c r="F2024" s="53"/>
      <c r="G2024" s="53"/>
      <c r="H2024" s="53"/>
      <c r="I2024" s="53"/>
      <c r="J2024" s="53"/>
      <c r="K2024" s="53"/>
      <c r="L2024" s="53"/>
      <c r="M2024" s="53"/>
      <c r="N2024" s="53"/>
      <c r="O2024" s="53"/>
      <c r="P2024" s="53"/>
      <c r="Q2024" s="53"/>
      <c r="R2024" s="53"/>
      <c r="S2024" s="53"/>
      <c r="T2024" s="53"/>
      <c r="U2024" s="53"/>
      <c r="V2024" s="53"/>
      <c r="W2024" s="53"/>
      <c r="X2024" s="53"/>
      <c r="Y2024" s="53"/>
      <c r="Z2024" s="53"/>
    </row>
    <row r="2025" spans="1:26" ht="15.75" customHeight="1">
      <c r="A2025" s="103"/>
      <c r="B2025" s="103"/>
      <c r="C2025" s="104" t="e">
        <v>#REF!</v>
      </c>
      <c r="D2025" s="103"/>
      <c r="E2025" s="53"/>
      <c r="F2025" s="53"/>
      <c r="G2025" s="53"/>
      <c r="H2025" s="53"/>
      <c r="I2025" s="53"/>
      <c r="J2025" s="53"/>
      <c r="K2025" s="53"/>
      <c r="L2025" s="53"/>
      <c r="M2025" s="53"/>
      <c r="N2025" s="53"/>
      <c r="O2025" s="53"/>
      <c r="P2025" s="53"/>
      <c r="Q2025" s="53"/>
      <c r="R2025" s="53"/>
      <c r="S2025" s="53"/>
      <c r="T2025" s="53"/>
      <c r="U2025" s="53"/>
      <c r="V2025" s="53"/>
      <c r="W2025" s="53"/>
      <c r="X2025" s="53"/>
      <c r="Y2025" s="53"/>
      <c r="Z2025" s="53"/>
    </row>
    <row r="2026" spans="1:26" ht="15.75" customHeight="1">
      <c r="A2026" s="103"/>
      <c r="B2026" s="103"/>
      <c r="C2026" s="104" t="e">
        <v>#REF!</v>
      </c>
      <c r="D2026" s="103"/>
      <c r="E2026" s="53"/>
      <c r="F2026" s="53"/>
      <c r="G2026" s="53"/>
      <c r="H2026" s="53"/>
      <c r="I2026" s="53"/>
      <c r="J2026" s="53"/>
      <c r="K2026" s="53"/>
      <c r="L2026" s="53"/>
      <c r="M2026" s="53"/>
      <c r="N2026" s="53"/>
      <c r="O2026" s="53"/>
      <c r="P2026" s="53"/>
      <c r="Q2026" s="53"/>
      <c r="R2026" s="53"/>
      <c r="S2026" s="53"/>
      <c r="T2026" s="53"/>
      <c r="U2026" s="53"/>
      <c r="V2026" s="53"/>
      <c r="W2026" s="53"/>
      <c r="X2026" s="53"/>
      <c r="Y2026" s="53"/>
      <c r="Z2026" s="53"/>
    </row>
    <row r="2027" spans="1:26" ht="15.75" customHeight="1">
      <c r="A2027" s="103"/>
      <c r="B2027" s="103"/>
      <c r="C2027" s="104" t="e">
        <v>#REF!</v>
      </c>
      <c r="D2027" s="103"/>
      <c r="E2027" s="53"/>
      <c r="F2027" s="53"/>
      <c r="G2027" s="53"/>
      <c r="H2027" s="53"/>
      <c r="I2027" s="53"/>
      <c r="J2027" s="53"/>
      <c r="K2027" s="53"/>
      <c r="L2027" s="53"/>
      <c r="M2027" s="53"/>
      <c r="N2027" s="53"/>
      <c r="O2027" s="53"/>
      <c r="P2027" s="53"/>
      <c r="Q2027" s="53"/>
      <c r="R2027" s="53"/>
      <c r="S2027" s="53"/>
      <c r="T2027" s="53"/>
      <c r="U2027" s="53"/>
      <c r="V2027" s="53"/>
      <c r="W2027" s="53"/>
      <c r="X2027" s="53"/>
      <c r="Y2027" s="53"/>
      <c r="Z2027" s="53"/>
    </row>
    <row r="2028" spans="1:26" ht="15.75" customHeight="1">
      <c r="A2028" s="103"/>
      <c r="B2028" s="103"/>
      <c r="C2028" s="104" t="e">
        <v>#REF!</v>
      </c>
      <c r="D2028" s="103"/>
      <c r="E2028" s="53"/>
      <c r="F2028" s="53"/>
      <c r="G2028" s="53"/>
      <c r="H2028" s="53"/>
      <c r="I2028" s="53"/>
      <c r="J2028" s="53"/>
      <c r="K2028" s="53"/>
      <c r="L2028" s="53"/>
      <c r="M2028" s="53"/>
      <c r="N2028" s="53"/>
      <c r="O2028" s="53"/>
      <c r="P2028" s="53"/>
      <c r="Q2028" s="53"/>
      <c r="R2028" s="53"/>
      <c r="S2028" s="53"/>
      <c r="T2028" s="53"/>
      <c r="U2028" s="53"/>
      <c r="V2028" s="53"/>
      <c r="W2028" s="53"/>
      <c r="X2028" s="53"/>
      <c r="Y2028" s="53"/>
      <c r="Z2028" s="53"/>
    </row>
    <row r="2029" spans="1:26" ht="15.75" customHeight="1">
      <c r="A2029" s="103"/>
      <c r="B2029" s="103"/>
      <c r="C2029" s="104" t="e">
        <v>#REF!</v>
      </c>
      <c r="D2029" s="103"/>
      <c r="E2029" s="53"/>
      <c r="F2029" s="53"/>
      <c r="G2029" s="53"/>
      <c r="H2029" s="53"/>
      <c r="I2029" s="53"/>
      <c r="J2029" s="53"/>
      <c r="K2029" s="53"/>
      <c r="L2029" s="53"/>
      <c r="M2029" s="53"/>
      <c r="N2029" s="53"/>
      <c r="O2029" s="53"/>
      <c r="P2029" s="53"/>
      <c r="Q2029" s="53"/>
      <c r="R2029" s="53"/>
      <c r="S2029" s="53"/>
      <c r="T2029" s="53"/>
      <c r="U2029" s="53"/>
      <c r="V2029" s="53"/>
      <c r="W2029" s="53"/>
      <c r="X2029" s="53"/>
      <c r="Y2029" s="53"/>
      <c r="Z2029" s="53"/>
    </row>
    <row r="2030" spans="1:26" ht="15.75" customHeight="1">
      <c r="A2030" s="103"/>
      <c r="B2030" s="103"/>
      <c r="C2030" s="104" t="e">
        <v>#REF!</v>
      </c>
      <c r="D2030" s="103"/>
      <c r="E2030" s="53"/>
      <c r="F2030" s="53"/>
      <c r="G2030" s="53"/>
      <c r="H2030" s="53"/>
      <c r="I2030" s="53"/>
      <c r="J2030" s="53"/>
      <c r="K2030" s="53"/>
      <c r="L2030" s="53"/>
      <c r="M2030" s="53"/>
      <c r="N2030" s="53"/>
      <c r="O2030" s="53"/>
      <c r="P2030" s="53"/>
      <c r="Q2030" s="53"/>
      <c r="R2030" s="53"/>
      <c r="S2030" s="53"/>
      <c r="T2030" s="53"/>
      <c r="U2030" s="53"/>
      <c r="V2030" s="53"/>
      <c r="W2030" s="53"/>
      <c r="X2030" s="53"/>
      <c r="Y2030" s="53"/>
      <c r="Z2030" s="53"/>
    </row>
    <row r="2031" spans="1:26" ht="15.75" customHeight="1">
      <c r="A2031" s="103"/>
      <c r="B2031" s="103"/>
      <c r="C2031" s="104" t="e">
        <v>#REF!</v>
      </c>
      <c r="D2031" s="103"/>
      <c r="E2031" s="53"/>
      <c r="F2031" s="53"/>
      <c r="G2031" s="53"/>
      <c r="H2031" s="53"/>
      <c r="I2031" s="53"/>
      <c r="J2031" s="53"/>
      <c r="K2031" s="53"/>
      <c r="L2031" s="53"/>
      <c r="M2031" s="53"/>
      <c r="N2031" s="53"/>
      <c r="O2031" s="53"/>
      <c r="P2031" s="53"/>
      <c r="Q2031" s="53"/>
      <c r="R2031" s="53"/>
      <c r="S2031" s="53"/>
      <c r="T2031" s="53"/>
      <c r="U2031" s="53"/>
      <c r="V2031" s="53"/>
      <c r="W2031" s="53"/>
      <c r="X2031" s="53"/>
      <c r="Y2031" s="53"/>
      <c r="Z2031" s="53"/>
    </row>
    <row r="2032" spans="1:26" ht="15.75" customHeight="1">
      <c r="A2032" s="103"/>
      <c r="B2032" s="103"/>
      <c r="C2032" s="104" t="e">
        <v>#REF!</v>
      </c>
      <c r="D2032" s="103"/>
      <c r="E2032" s="53"/>
      <c r="F2032" s="53"/>
      <c r="G2032" s="53"/>
      <c r="H2032" s="53"/>
      <c r="I2032" s="53"/>
      <c r="J2032" s="53"/>
      <c r="K2032" s="53"/>
      <c r="L2032" s="53"/>
      <c r="M2032" s="53"/>
      <c r="N2032" s="53"/>
      <c r="O2032" s="53"/>
      <c r="P2032" s="53"/>
      <c r="Q2032" s="53"/>
      <c r="R2032" s="53"/>
      <c r="S2032" s="53"/>
      <c r="T2032" s="53"/>
      <c r="U2032" s="53"/>
      <c r="V2032" s="53"/>
      <c r="W2032" s="53"/>
      <c r="X2032" s="53"/>
      <c r="Y2032" s="53"/>
      <c r="Z2032" s="53"/>
    </row>
    <row r="2033" spans="1:26" ht="15.75" customHeight="1">
      <c r="A2033" s="103"/>
      <c r="B2033" s="103"/>
      <c r="C2033" s="104" t="e">
        <v>#REF!</v>
      </c>
      <c r="D2033" s="103"/>
      <c r="E2033" s="53"/>
      <c r="F2033" s="53"/>
      <c r="G2033" s="53"/>
      <c r="H2033" s="53"/>
      <c r="I2033" s="53"/>
      <c r="J2033" s="53"/>
      <c r="K2033" s="53"/>
      <c r="L2033" s="53"/>
      <c r="M2033" s="53"/>
      <c r="N2033" s="53"/>
      <c r="O2033" s="53"/>
      <c r="P2033" s="53"/>
      <c r="Q2033" s="53"/>
      <c r="R2033" s="53"/>
      <c r="S2033" s="53"/>
      <c r="T2033" s="53"/>
      <c r="U2033" s="53"/>
      <c r="V2033" s="53"/>
      <c r="W2033" s="53"/>
      <c r="X2033" s="53"/>
      <c r="Y2033" s="53"/>
      <c r="Z2033" s="53"/>
    </row>
    <row r="2034" spans="1:26" ht="15.75" customHeight="1">
      <c r="A2034" s="103"/>
      <c r="B2034" s="103"/>
      <c r="C2034" s="104" t="e">
        <v>#REF!</v>
      </c>
      <c r="D2034" s="103"/>
      <c r="E2034" s="53"/>
      <c r="F2034" s="53"/>
      <c r="G2034" s="53"/>
      <c r="H2034" s="53"/>
      <c r="I2034" s="53"/>
      <c r="J2034" s="53"/>
      <c r="K2034" s="53"/>
      <c r="L2034" s="53"/>
      <c r="M2034" s="53"/>
      <c r="N2034" s="53"/>
      <c r="O2034" s="53"/>
      <c r="P2034" s="53"/>
      <c r="Q2034" s="53"/>
      <c r="R2034" s="53"/>
      <c r="S2034" s="53"/>
      <c r="T2034" s="53"/>
      <c r="U2034" s="53"/>
      <c r="V2034" s="53"/>
      <c r="W2034" s="53"/>
      <c r="X2034" s="53"/>
      <c r="Y2034" s="53"/>
      <c r="Z2034" s="53"/>
    </row>
    <row r="2035" spans="1:26" ht="15.75" customHeight="1">
      <c r="A2035" s="103"/>
      <c r="B2035" s="103"/>
      <c r="C2035" s="104" t="e">
        <v>#REF!</v>
      </c>
      <c r="D2035" s="103"/>
      <c r="E2035" s="53"/>
      <c r="F2035" s="53"/>
      <c r="G2035" s="53"/>
      <c r="H2035" s="53"/>
      <c r="I2035" s="53"/>
      <c r="J2035" s="53"/>
      <c r="K2035" s="53"/>
      <c r="L2035" s="53"/>
      <c r="M2035" s="53"/>
      <c r="N2035" s="53"/>
      <c r="O2035" s="53"/>
      <c r="P2035" s="53"/>
      <c r="Q2035" s="53"/>
      <c r="R2035" s="53"/>
      <c r="S2035" s="53"/>
      <c r="T2035" s="53"/>
      <c r="U2035" s="53"/>
      <c r="V2035" s="53"/>
      <c r="W2035" s="53"/>
      <c r="X2035" s="53"/>
      <c r="Y2035" s="53"/>
      <c r="Z2035" s="53"/>
    </row>
    <row r="2036" spans="1:26" ht="15.75" customHeight="1">
      <c r="A2036" s="103"/>
      <c r="B2036" s="103"/>
      <c r="C2036" s="104" t="e">
        <v>#REF!</v>
      </c>
      <c r="D2036" s="103"/>
      <c r="E2036" s="53"/>
      <c r="F2036" s="53"/>
      <c r="G2036" s="53"/>
      <c r="H2036" s="53"/>
      <c r="I2036" s="53"/>
      <c r="J2036" s="53"/>
      <c r="K2036" s="53"/>
      <c r="L2036" s="53"/>
      <c r="M2036" s="53"/>
      <c r="N2036" s="53"/>
      <c r="O2036" s="53"/>
      <c r="P2036" s="53"/>
      <c r="Q2036" s="53"/>
      <c r="R2036" s="53"/>
      <c r="S2036" s="53"/>
      <c r="T2036" s="53"/>
      <c r="U2036" s="53"/>
      <c r="V2036" s="53"/>
      <c r="W2036" s="53"/>
      <c r="X2036" s="53"/>
      <c r="Y2036" s="53"/>
      <c r="Z2036" s="53"/>
    </row>
    <row r="2037" spans="1:26" ht="15.75" customHeight="1">
      <c r="A2037" s="103"/>
      <c r="B2037" s="103"/>
      <c r="C2037" s="104" t="e">
        <v>#REF!</v>
      </c>
      <c r="D2037" s="103"/>
      <c r="E2037" s="53"/>
      <c r="F2037" s="53"/>
      <c r="G2037" s="53"/>
      <c r="H2037" s="53"/>
      <c r="I2037" s="53"/>
      <c r="J2037" s="53"/>
      <c r="K2037" s="53"/>
      <c r="L2037" s="53"/>
      <c r="M2037" s="53"/>
      <c r="N2037" s="53"/>
      <c r="O2037" s="53"/>
      <c r="P2037" s="53"/>
      <c r="Q2037" s="53"/>
      <c r="R2037" s="53"/>
      <c r="S2037" s="53"/>
      <c r="T2037" s="53"/>
      <c r="U2037" s="53"/>
      <c r="V2037" s="53"/>
      <c r="W2037" s="53"/>
      <c r="X2037" s="53"/>
      <c r="Y2037" s="53"/>
      <c r="Z2037" s="53"/>
    </row>
    <row r="2038" spans="1:26" ht="15.75" customHeight="1">
      <c r="A2038" s="103"/>
      <c r="B2038" s="103"/>
      <c r="C2038" s="104" t="e">
        <v>#REF!</v>
      </c>
      <c r="D2038" s="103"/>
      <c r="E2038" s="53"/>
      <c r="F2038" s="53"/>
      <c r="G2038" s="53"/>
      <c r="H2038" s="53"/>
      <c r="I2038" s="53"/>
      <c r="J2038" s="53"/>
      <c r="K2038" s="53"/>
      <c r="L2038" s="53"/>
      <c r="M2038" s="53"/>
      <c r="N2038" s="53"/>
      <c r="O2038" s="53"/>
      <c r="P2038" s="53"/>
      <c r="Q2038" s="53"/>
      <c r="R2038" s="53"/>
      <c r="S2038" s="53"/>
      <c r="T2038" s="53"/>
      <c r="U2038" s="53"/>
      <c r="V2038" s="53"/>
      <c r="W2038" s="53"/>
      <c r="X2038" s="53"/>
      <c r="Y2038" s="53"/>
      <c r="Z2038" s="53"/>
    </row>
    <row r="2039" spans="1:26" ht="15.75" customHeight="1">
      <c r="A2039" s="103"/>
      <c r="B2039" s="103"/>
      <c r="C2039" s="104" t="e">
        <v>#REF!</v>
      </c>
      <c r="D2039" s="103"/>
      <c r="E2039" s="53"/>
      <c r="F2039" s="53"/>
      <c r="G2039" s="53"/>
      <c r="H2039" s="53"/>
      <c r="I2039" s="53"/>
      <c r="J2039" s="53"/>
      <c r="K2039" s="53"/>
      <c r="L2039" s="53"/>
      <c r="M2039" s="53"/>
      <c r="N2039" s="53"/>
      <c r="O2039" s="53"/>
      <c r="P2039" s="53"/>
      <c r="Q2039" s="53"/>
      <c r="R2039" s="53"/>
      <c r="S2039" s="53"/>
      <c r="T2039" s="53"/>
      <c r="U2039" s="53"/>
      <c r="V2039" s="53"/>
      <c r="W2039" s="53"/>
      <c r="X2039" s="53"/>
      <c r="Y2039" s="53"/>
      <c r="Z2039" s="53"/>
    </row>
    <row r="2040" spans="1:26" ht="15.75" customHeight="1">
      <c r="A2040" s="103"/>
      <c r="B2040" s="103"/>
      <c r="C2040" s="104" t="e">
        <v>#REF!</v>
      </c>
      <c r="D2040" s="103"/>
      <c r="E2040" s="53"/>
      <c r="F2040" s="53"/>
      <c r="G2040" s="53"/>
      <c r="H2040" s="53"/>
      <c r="I2040" s="53"/>
      <c r="J2040" s="53"/>
      <c r="K2040" s="53"/>
      <c r="L2040" s="53"/>
      <c r="M2040" s="53"/>
      <c r="N2040" s="53"/>
      <c r="O2040" s="53"/>
      <c r="P2040" s="53"/>
      <c r="Q2040" s="53"/>
      <c r="R2040" s="53"/>
      <c r="S2040" s="53"/>
      <c r="T2040" s="53"/>
      <c r="U2040" s="53"/>
      <c r="V2040" s="53"/>
      <c r="W2040" s="53"/>
      <c r="X2040" s="53"/>
      <c r="Y2040" s="53"/>
      <c r="Z2040" s="53"/>
    </row>
    <row r="2041" spans="1:26" ht="15.75" customHeight="1">
      <c r="A2041" s="103"/>
      <c r="B2041" s="103"/>
      <c r="C2041" s="104" t="e">
        <v>#REF!</v>
      </c>
      <c r="D2041" s="103"/>
      <c r="E2041" s="53"/>
      <c r="F2041" s="53"/>
      <c r="G2041" s="53"/>
      <c r="H2041" s="53"/>
      <c r="I2041" s="53"/>
      <c r="J2041" s="53"/>
      <c r="K2041" s="53"/>
      <c r="L2041" s="53"/>
      <c r="M2041" s="53"/>
      <c r="N2041" s="53"/>
      <c r="O2041" s="53"/>
      <c r="P2041" s="53"/>
      <c r="Q2041" s="53"/>
      <c r="R2041" s="53"/>
      <c r="S2041" s="53"/>
      <c r="T2041" s="53"/>
      <c r="U2041" s="53"/>
      <c r="V2041" s="53"/>
      <c r="W2041" s="53"/>
      <c r="X2041" s="53"/>
      <c r="Y2041" s="53"/>
      <c r="Z2041" s="53"/>
    </row>
    <row r="2042" spans="1:26" ht="15.75" customHeight="1">
      <c r="A2042" s="103"/>
      <c r="B2042" s="103"/>
      <c r="C2042" s="104" t="e">
        <v>#REF!</v>
      </c>
      <c r="D2042" s="103"/>
      <c r="E2042" s="53"/>
      <c r="F2042" s="53"/>
      <c r="G2042" s="53"/>
      <c r="H2042" s="53"/>
      <c r="I2042" s="53"/>
      <c r="J2042" s="53"/>
      <c r="K2042" s="53"/>
      <c r="L2042" s="53"/>
      <c r="M2042" s="53"/>
      <c r="N2042" s="53"/>
      <c r="O2042" s="53"/>
      <c r="P2042" s="53"/>
      <c r="Q2042" s="53"/>
      <c r="R2042" s="53"/>
      <c r="S2042" s="53"/>
      <c r="T2042" s="53"/>
      <c r="U2042" s="53"/>
      <c r="V2042" s="53"/>
      <c r="W2042" s="53"/>
      <c r="X2042" s="53"/>
      <c r="Y2042" s="53"/>
      <c r="Z2042" s="53"/>
    </row>
    <row r="2043" spans="1:26" ht="15.75" customHeight="1">
      <c r="A2043" s="103"/>
      <c r="B2043" s="103"/>
      <c r="C2043" s="104" t="e">
        <v>#REF!</v>
      </c>
      <c r="D2043" s="103"/>
      <c r="E2043" s="53"/>
      <c r="F2043" s="53"/>
      <c r="G2043" s="53"/>
      <c r="H2043" s="53"/>
      <c r="I2043" s="53"/>
      <c r="J2043" s="53"/>
      <c r="K2043" s="53"/>
      <c r="L2043" s="53"/>
      <c r="M2043" s="53"/>
      <c r="N2043" s="53"/>
      <c r="O2043" s="53"/>
      <c r="P2043" s="53"/>
      <c r="Q2043" s="53"/>
      <c r="R2043" s="53"/>
      <c r="S2043" s="53"/>
      <c r="T2043" s="53"/>
      <c r="U2043" s="53"/>
      <c r="V2043" s="53"/>
      <c r="W2043" s="53"/>
      <c r="X2043" s="53"/>
      <c r="Y2043" s="53"/>
      <c r="Z2043" s="53"/>
    </row>
    <row r="2044" spans="1:26" ht="15.75" customHeight="1">
      <c r="A2044" s="103"/>
      <c r="B2044" s="103"/>
      <c r="C2044" s="104" t="e">
        <v>#REF!</v>
      </c>
      <c r="D2044" s="103"/>
      <c r="E2044" s="53"/>
      <c r="F2044" s="53"/>
      <c r="G2044" s="53"/>
      <c r="H2044" s="53"/>
      <c r="I2044" s="53"/>
      <c r="J2044" s="53"/>
      <c r="K2044" s="53"/>
      <c r="L2044" s="53"/>
      <c r="M2044" s="53"/>
      <c r="N2044" s="53"/>
      <c r="O2044" s="53"/>
      <c r="P2044" s="53"/>
      <c r="Q2044" s="53"/>
      <c r="R2044" s="53"/>
      <c r="S2044" s="53"/>
      <c r="T2044" s="53"/>
      <c r="U2044" s="53"/>
      <c r="V2044" s="53"/>
      <c r="W2044" s="53"/>
      <c r="X2044" s="53"/>
      <c r="Y2044" s="53"/>
      <c r="Z2044" s="53"/>
    </row>
    <row r="2045" spans="1:26" ht="15.75" customHeight="1">
      <c r="A2045" s="103"/>
      <c r="B2045" s="103"/>
      <c r="C2045" s="104" t="e">
        <v>#REF!</v>
      </c>
      <c r="D2045" s="103"/>
      <c r="E2045" s="53"/>
      <c r="F2045" s="53"/>
      <c r="G2045" s="53"/>
      <c r="H2045" s="53"/>
      <c r="I2045" s="53"/>
      <c r="J2045" s="53"/>
      <c r="K2045" s="53"/>
      <c r="L2045" s="53"/>
      <c r="M2045" s="53"/>
      <c r="N2045" s="53"/>
      <c r="O2045" s="53"/>
      <c r="P2045" s="53"/>
      <c r="Q2045" s="53"/>
      <c r="R2045" s="53"/>
      <c r="S2045" s="53"/>
      <c r="T2045" s="53"/>
      <c r="U2045" s="53"/>
      <c r="V2045" s="53"/>
      <c r="W2045" s="53"/>
      <c r="X2045" s="53"/>
      <c r="Y2045" s="53"/>
      <c r="Z2045" s="53"/>
    </row>
    <row r="2046" spans="1:26" ht="15.75" customHeight="1">
      <c r="A2046" s="103"/>
      <c r="B2046" s="103"/>
      <c r="C2046" s="104" t="e">
        <v>#REF!</v>
      </c>
      <c r="D2046" s="103"/>
      <c r="E2046" s="53"/>
      <c r="F2046" s="53"/>
      <c r="G2046" s="53"/>
      <c r="H2046" s="53"/>
      <c r="I2046" s="53"/>
      <c r="J2046" s="53"/>
      <c r="K2046" s="53"/>
      <c r="L2046" s="53"/>
      <c r="M2046" s="53"/>
      <c r="N2046" s="53"/>
      <c r="O2046" s="53"/>
      <c r="P2046" s="53"/>
      <c r="Q2046" s="53"/>
      <c r="R2046" s="53"/>
      <c r="S2046" s="53"/>
      <c r="T2046" s="53"/>
      <c r="U2046" s="53"/>
      <c r="V2046" s="53"/>
      <c r="W2046" s="53"/>
      <c r="X2046" s="53"/>
      <c r="Y2046" s="53"/>
      <c r="Z2046" s="53"/>
    </row>
    <row r="2047" spans="1:26" ht="15.75" customHeight="1">
      <c r="A2047" s="103"/>
      <c r="B2047" s="103"/>
      <c r="C2047" s="104" t="e">
        <v>#REF!</v>
      </c>
      <c r="D2047" s="103"/>
      <c r="E2047" s="53"/>
      <c r="F2047" s="53"/>
      <c r="G2047" s="53"/>
      <c r="H2047" s="53"/>
      <c r="I2047" s="53"/>
      <c r="J2047" s="53"/>
      <c r="K2047" s="53"/>
      <c r="L2047" s="53"/>
      <c r="M2047" s="53"/>
      <c r="N2047" s="53"/>
      <c r="O2047" s="53"/>
      <c r="P2047" s="53"/>
      <c r="Q2047" s="53"/>
      <c r="R2047" s="53"/>
      <c r="S2047" s="53"/>
      <c r="T2047" s="53"/>
      <c r="U2047" s="53"/>
      <c r="V2047" s="53"/>
      <c r="W2047" s="53"/>
      <c r="X2047" s="53"/>
      <c r="Y2047" s="53"/>
      <c r="Z2047" s="53"/>
    </row>
    <row r="2048" spans="1:26" ht="15.75" customHeight="1">
      <c r="A2048" s="103"/>
      <c r="B2048" s="103"/>
      <c r="C2048" s="104" t="e">
        <v>#REF!</v>
      </c>
      <c r="D2048" s="103"/>
      <c r="E2048" s="53"/>
      <c r="F2048" s="53"/>
      <c r="G2048" s="53"/>
      <c r="H2048" s="53"/>
      <c r="I2048" s="53"/>
      <c r="J2048" s="53"/>
      <c r="K2048" s="53"/>
      <c r="L2048" s="53"/>
      <c r="M2048" s="53"/>
      <c r="N2048" s="53"/>
      <c r="O2048" s="53"/>
      <c r="P2048" s="53"/>
      <c r="Q2048" s="53"/>
      <c r="R2048" s="53"/>
      <c r="S2048" s="53"/>
      <c r="T2048" s="53"/>
      <c r="U2048" s="53"/>
      <c r="V2048" s="53"/>
      <c r="W2048" s="53"/>
      <c r="X2048" s="53"/>
      <c r="Y2048" s="53"/>
      <c r="Z2048" s="53"/>
    </row>
    <row r="2049" spans="1:26" ht="15.75" customHeight="1">
      <c r="A2049" s="103"/>
      <c r="B2049" s="103"/>
      <c r="C2049" s="104" t="e">
        <v>#REF!</v>
      </c>
      <c r="D2049" s="103"/>
      <c r="E2049" s="53"/>
      <c r="F2049" s="53"/>
      <c r="G2049" s="53"/>
      <c r="H2049" s="53"/>
      <c r="I2049" s="53"/>
      <c r="J2049" s="53"/>
      <c r="K2049" s="53"/>
      <c r="L2049" s="53"/>
      <c r="M2049" s="53"/>
      <c r="N2049" s="53"/>
      <c r="O2049" s="53"/>
      <c r="P2049" s="53"/>
      <c r="Q2049" s="53"/>
      <c r="R2049" s="53"/>
      <c r="S2049" s="53"/>
      <c r="T2049" s="53"/>
      <c r="U2049" s="53"/>
      <c r="V2049" s="53"/>
      <c r="W2049" s="53"/>
      <c r="X2049" s="53"/>
      <c r="Y2049" s="53"/>
      <c r="Z2049" s="53"/>
    </row>
    <row r="2050" spans="1:26" ht="15.75" customHeight="1">
      <c r="A2050" s="103"/>
      <c r="B2050" s="103"/>
      <c r="C2050" s="104" t="e">
        <v>#REF!</v>
      </c>
      <c r="D2050" s="10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</row>
    <row r="2051" spans="1:26" ht="15.75" customHeight="1">
      <c r="A2051" s="103"/>
      <c r="B2051" s="103"/>
      <c r="C2051" s="104" t="e">
        <v>#REF!</v>
      </c>
      <c r="D2051" s="103"/>
      <c r="E2051" s="53"/>
      <c r="F2051" s="53"/>
      <c r="G2051" s="53"/>
      <c r="H2051" s="53"/>
      <c r="I2051" s="53"/>
      <c r="J2051" s="53"/>
      <c r="K2051" s="53"/>
      <c r="L2051" s="53"/>
      <c r="M2051" s="53"/>
      <c r="N2051" s="53"/>
      <c r="O2051" s="53"/>
      <c r="P2051" s="53"/>
      <c r="Q2051" s="53"/>
      <c r="R2051" s="53"/>
      <c r="S2051" s="53"/>
      <c r="T2051" s="53"/>
      <c r="U2051" s="53"/>
      <c r="V2051" s="53"/>
      <c r="W2051" s="53"/>
      <c r="X2051" s="53"/>
      <c r="Y2051" s="53"/>
      <c r="Z2051" s="53"/>
    </row>
    <row r="2052" spans="1:26" ht="15.75" customHeight="1">
      <c r="A2052" s="103"/>
      <c r="B2052" s="103"/>
      <c r="C2052" s="104" t="e">
        <v>#REF!</v>
      </c>
      <c r="D2052" s="103"/>
      <c r="E2052" s="53"/>
      <c r="F2052" s="53"/>
      <c r="G2052" s="53"/>
      <c r="H2052" s="53"/>
      <c r="I2052" s="53"/>
      <c r="J2052" s="53"/>
      <c r="K2052" s="53"/>
      <c r="L2052" s="53"/>
      <c r="M2052" s="53"/>
      <c r="N2052" s="53"/>
      <c r="O2052" s="53"/>
      <c r="P2052" s="53"/>
      <c r="Q2052" s="53"/>
      <c r="R2052" s="53"/>
      <c r="S2052" s="53"/>
      <c r="T2052" s="53"/>
      <c r="U2052" s="53"/>
      <c r="V2052" s="53"/>
      <c r="W2052" s="53"/>
      <c r="X2052" s="53"/>
      <c r="Y2052" s="53"/>
      <c r="Z2052" s="53"/>
    </row>
    <row r="2053" spans="1:26" ht="15.75" customHeight="1">
      <c r="A2053" s="103"/>
      <c r="B2053" s="103"/>
      <c r="C2053" s="104" t="e">
        <v>#REF!</v>
      </c>
      <c r="D2053" s="103"/>
      <c r="E2053" s="53"/>
      <c r="F2053" s="53"/>
      <c r="G2053" s="53"/>
      <c r="H2053" s="53"/>
      <c r="I2053" s="53"/>
      <c r="J2053" s="53"/>
      <c r="K2053" s="53"/>
      <c r="L2053" s="53"/>
      <c r="M2053" s="53"/>
      <c r="N2053" s="53"/>
      <c r="O2053" s="53"/>
      <c r="P2053" s="53"/>
      <c r="Q2053" s="53"/>
      <c r="R2053" s="53"/>
      <c r="S2053" s="53"/>
      <c r="T2053" s="53"/>
      <c r="U2053" s="53"/>
      <c r="V2053" s="53"/>
      <c r="W2053" s="53"/>
      <c r="X2053" s="53"/>
      <c r="Y2053" s="53"/>
      <c r="Z2053" s="53"/>
    </row>
    <row r="2054" spans="1:26" ht="15.75" customHeight="1">
      <c r="A2054" s="103"/>
      <c r="B2054" s="103"/>
      <c r="C2054" s="104" t="e">
        <v>#REF!</v>
      </c>
      <c r="D2054" s="103"/>
      <c r="E2054" s="53"/>
      <c r="F2054" s="53"/>
      <c r="G2054" s="53"/>
      <c r="H2054" s="53"/>
      <c r="I2054" s="53"/>
      <c r="J2054" s="53"/>
      <c r="K2054" s="53"/>
      <c r="L2054" s="53"/>
      <c r="M2054" s="53"/>
      <c r="N2054" s="53"/>
      <c r="O2054" s="53"/>
      <c r="P2054" s="53"/>
      <c r="Q2054" s="53"/>
      <c r="R2054" s="53"/>
      <c r="S2054" s="53"/>
      <c r="T2054" s="53"/>
      <c r="U2054" s="53"/>
      <c r="V2054" s="53"/>
      <c r="W2054" s="53"/>
      <c r="X2054" s="53"/>
      <c r="Y2054" s="53"/>
      <c r="Z2054" s="53"/>
    </row>
    <row r="2055" spans="1:26" ht="15.75" customHeight="1">
      <c r="A2055" s="103"/>
      <c r="B2055" s="103"/>
      <c r="C2055" s="104" t="e">
        <v>#REF!</v>
      </c>
      <c r="D2055" s="10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53"/>
      <c r="T2055" s="53"/>
      <c r="U2055" s="53"/>
      <c r="V2055" s="53"/>
      <c r="W2055" s="53"/>
      <c r="X2055" s="53"/>
      <c r="Y2055" s="53"/>
      <c r="Z2055" s="53"/>
    </row>
    <row r="2056" spans="1:26" ht="15.75" customHeight="1">
      <c r="A2056" s="103"/>
      <c r="B2056" s="103"/>
      <c r="C2056" s="104" t="e">
        <v>#REF!</v>
      </c>
      <c r="D2056" s="103"/>
      <c r="E2056" s="53"/>
      <c r="F2056" s="53"/>
      <c r="G2056" s="53"/>
      <c r="H2056" s="53"/>
      <c r="I2056" s="53"/>
      <c r="J2056" s="53"/>
      <c r="K2056" s="53"/>
      <c r="L2056" s="53"/>
      <c r="M2056" s="53"/>
      <c r="N2056" s="53"/>
      <c r="O2056" s="53"/>
      <c r="P2056" s="53"/>
      <c r="Q2056" s="53"/>
      <c r="R2056" s="53"/>
      <c r="S2056" s="53"/>
      <c r="T2056" s="53"/>
      <c r="U2056" s="53"/>
      <c r="V2056" s="53"/>
      <c r="W2056" s="53"/>
      <c r="X2056" s="53"/>
      <c r="Y2056" s="53"/>
      <c r="Z2056" s="53"/>
    </row>
    <row r="2057" spans="1:26" ht="15.75" customHeight="1">
      <c r="A2057" s="103"/>
      <c r="B2057" s="103"/>
      <c r="C2057" s="104" t="e">
        <v>#REF!</v>
      </c>
      <c r="D2057" s="103"/>
      <c r="E2057" s="53"/>
      <c r="F2057" s="53"/>
      <c r="G2057" s="53"/>
      <c r="H2057" s="53"/>
      <c r="I2057" s="53"/>
      <c r="J2057" s="53"/>
      <c r="K2057" s="53"/>
      <c r="L2057" s="53"/>
      <c r="M2057" s="53"/>
      <c r="N2057" s="53"/>
      <c r="O2057" s="53"/>
      <c r="P2057" s="53"/>
      <c r="Q2057" s="53"/>
      <c r="R2057" s="53"/>
      <c r="S2057" s="53"/>
      <c r="T2057" s="53"/>
      <c r="U2057" s="53"/>
      <c r="V2057" s="53"/>
      <c r="W2057" s="53"/>
      <c r="X2057" s="53"/>
      <c r="Y2057" s="53"/>
      <c r="Z2057" s="53"/>
    </row>
    <row r="2058" spans="1:26" ht="15.75" customHeight="1">
      <c r="A2058" s="103"/>
      <c r="B2058" s="103"/>
      <c r="C2058" s="104" t="e">
        <v>#REF!</v>
      </c>
      <c r="D2058" s="103"/>
      <c r="E2058" s="53"/>
      <c r="F2058" s="53"/>
      <c r="G2058" s="53"/>
      <c r="H2058" s="53"/>
      <c r="I2058" s="53"/>
      <c r="J2058" s="53"/>
      <c r="K2058" s="53"/>
      <c r="L2058" s="53"/>
      <c r="M2058" s="53"/>
      <c r="N2058" s="53"/>
      <c r="O2058" s="53"/>
      <c r="P2058" s="53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</row>
    <row r="2059" spans="1:26" ht="15.75" customHeight="1">
      <c r="A2059" s="103"/>
      <c r="B2059" s="103"/>
      <c r="C2059" s="104" t="e">
        <v>#REF!</v>
      </c>
      <c r="D2059" s="103"/>
      <c r="E2059" s="53"/>
      <c r="F2059" s="53"/>
      <c r="G2059" s="53"/>
      <c r="H2059" s="53"/>
      <c r="I2059" s="53"/>
      <c r="J2059" s="53"/>
      <c r="K2059" s="53"/>
      <c r="L2059" s="53"/>
      <c r="M2059" s="53"/>
      <c r="N2059" s="53"/>
      <c r="O2059" s="53"/>
      <c r="P2059" s="53"/>
      <c r="Q2059" s="53"/>
      <c r="R2059" s="53"/>
      <c r="S2059" s="53"/>
      <c r="T2059" s="53"/>
      <c r="U2059" s="53"/>
      <c r="V2059" s="53"/>
      <c r="W2059" s="53"/>
      <c r="X2059" s="53"/>
      <c r="Y2059" s="53"/>
      <c r="Z2059" s="53"/>
    </row>
    <row r="2060" spans="1:26" ht="15.75" customHeight="1">
      <c r="A2060" s="103"/>
      <c r="B2060" s="103"/>
      <c r="C2060" s="104" t="e">
        <v>#REF!</v>
      </c>
      <c r="D2060" s="103"/>
      <c r="E2060" s="53"/>
      <c r="F2060" s="53"/>
      <c r="G2060" s="53"/>
      <c r="H2060" s="53"/>
      <c r="I2060" s="53"/>
      <c r="J2060" s="53"/>
      <c r="K2060" s="53"/>
      <c r="L2060" s="53"/>
      <c r="M2060" s="53"/>
      <c r="N2060" s="53"/>
      <c r="O2060" s="53"/>
      <c r="P2060" s="53"/>
      <c r="Q2060" s="53"/>
      <c r="R2060" s="53"/>
      <c r="S2060" s="53"/>
      <c r="T2060" s="53"/>
      <c r="U2060" s="53"/>
      <c r="V2060" s="53"/>
      <c r="W2060" s="53"/>
      <c r="X2060" s="53"/>
      <c r="Y2060" s="53"/>
      <c r="Z2060" s="53"/>
    </row>
    <row r="2061" spans="1:26" ht="15.75" customHeight="1">
      <c r="A2061" s="103"/>
      <c r="B2061" s="103"/>
      <c r="C2061" s="104" t="e">
        <v>#REF!</v>
      </c>
      <c r="D2061" s="103"/>
      <c r="E2061" s="53"/>
      <c r="F2061" s="53"/>
      <c r="G2061" s="53"/>
      <c r="H2061" s="53"/>
      <c r="I2061" s="53"/>
      <c r="J2061" s="53"/>
      <c r="K2061" s="53"/>
      <c r="L2061" s="53"/>
      <c r="M2061" s="53"/>
      <c r="N2061" s="53"/>
      <c r="O2061" s="53"/>
      <c r="P2061" s="53"/>
      <c r="Q2061" s="53"/>
      <c r="R2061" s="53"/>
      <c r="S2061" s="53"/>
      <c r="T2061" s="53"/>
      <c r="U2061" s="53"/>
      <c r="V2061" s="53"/>
      <c r="W2061" s="53"/>
      <c r="X2061" s="53"/>
      <c r="Y2061" s="53"/>
      <c r="Z2061" s="53"/>
    </row>
    <row r="2062" spans="1:26" ht="15.75" customHeight="1">
      <c r="A2062" s="103"/>
      <c r="B2062" s="103"/>
      <c r="C2062" s="104" t="e">
        <v>#REF!</v>
      </c>
      <c r="D2062" s="103"/>
      <c r="E2062" s="53"/>
      <c r="F2062" s="53"/>
      <c r="G2062" s="53"/>
      <c r="H2062" s="53"/>
      <c r="I2062" s="53"/>
      <c r="J2062" s="53"/>
      <c r="K2062" s="53"/>
      <c r="L2062" s="53"/>
      <c r="M2062" s="53"/>
      <c r="N2062" s="53"/>
      <c r="O2062" s="53"/>
      <c r="P2062" s="53"/>
      <c r="Q2062" s="53"/>
      <c r="R2062" s="53"/>
      <c r="S2062" s="53"/>
      <c r="T2062" s="53"/>
      <c r="U2062" s="53"/>
      <c r="V2062" s="53"/>
      <c r="W2062" s="53"/>
      <c r="X2062" s="53"/>
      <c r="Y2062" s="53"/>
      <c r="Z2062" s="53"/>
    </row>
    <row r="2063" spans="1:26" ht="15.75" customHeight="1">
      <c r="A2063" s="103"/>
      <c r="B2063" s="103"/>
      <c r="C2063" s="104" t="e">
        <v>#REF!</v>
      </c>
      <c r="D2063" s="103"/>
      <c r="E2063" s="53"/>
      <c r="F2063" s="53"/>
      <c r="G2063" s="53"/>
      <c r="H2063" s="53"/>
      <c r="I2063" s="53"/>
      <c r="J2063" s="53"/>
      <c r="K2063" s="53"/>
      <c r="L2063" s="53"/>
      <c r="M2063" s="53"/>
      <c r="N2063" s="53"/>
      <c r="O2063" s="53"/>
      <c r="P2063" s="53"/>
      <c r="Q2063" s="53"/>
      <c r="R2063" s="53"/>
      <c r="S2063" s="53"/>
      <c r="T2063" s="53"/>
      <c r="U2063" s="53"/>
      <c r="V2063" s="53"/>
      <c r="W2063" s="53"/>
      <c r="X2063" s="53"/>
      <c r="Y2063" s="53"/>
      <c r="Z2063" s="53"/>
    </row>
    <row r="2064" spans="1:26" ht="15.75" customHeight="1">
      <c r="A2064" s="103"/>
      <c r="B2064" s="103"/>
      <c r="C2064" s="104" t="e">
        <v>#REF!</v>
      </c>
      <c r="D2064" s="103"/>
      <c r="E2064" s="53"/>
      <c r="F2064" s="53"/>
      <c r="G2064" s="53"/>
      <c r="H2064" s="53"/>
      <c r="I2064" s="53"/>
      <c r="J2064" s="53"/>
      <c r="K2064" s="53"/>
      <c r="L2064" s="53"/>
      <c r="M2064" s="53"/>
      <c r="N2064" s="53"/>
      <c r="O2064" s="53"/>
      <c r="P2064" s="53"/>
      <c r="Q2064" s="53"/>
      <c r="R2064" s="53"/>
      <c r="S2064" s="53"/>
      <c r="T2064" s="53"/>
      <c r="U2064" s="53"/>
      <c r="V2064" s="53"/>
      <c r="W2064" s="53"/>
      <c r="X2064" s="53"/>
      <c r="Y2064" s="53"/>
      <c r="Z2064" s="53"/>
    </row>
    <row r="2065" spans="1:26" ht="15.75" customHeight="1">
      <c r="A2065" s="103"/>
      <c r="B2065" s="103"/>
      <c r="C2065" s="104" t="e">
        <v>#REF!</v>
      </c>
      <c r="D2065" s="103"/>
      <c r="E2065" s="53"/>
      <c r="F2065" s="53"/>
      <c r="G2065" s="53"/>
      <c r="H2065" s="53"/>
      <c r="I2065" s="53"/>
      <c r="J2065" s="53"/>
      <c r="K2065" s="53"/>
      <c r="L2065" s="53"/>
      <c r="M2065" s="53"/>
      <c r="N2065" s="53"/>
      <c r="O2065" s="53"/>
      <c r="P2065" s="53"/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</row>
    <row r="2066" spans="1:26" ht="15.75" customHeight="1">
      <c r="A2066" s="103"/>
      <c r="B2066" s="103"/>
      <c r="C2066" s="104" t="e">
        <v>#REF!</v>
      </c>
      <c r="D2066" s="103"/>
      <c r="E2066" s="53"/>
      <c r="F2066" s="53"/>
      <c r="G2066" s="53"/>
      <c r="H2066" s="53"/>
      <c r="I2066" s="53"/>
      <c r="J2066" s="53"/>
      <c r="K2066" s="53"/>
      <c r="L2066" s="53"/>
      <c r="M2066" s="53"/>
      <c r="N2066" s="53"/>
      <c r="O2066" s="53"/>
      <c r="P2066" s="53"/>
      <c r="Q2066" s="53"/>
      <c r="R2066" s="53"/>
      <c r="S2066" s="53"/>
      <c r="T2066" s="53"/>
      <c r="U2066" s="53"/>
      <c r="V2066" s="53"/>
      <c r="W2066" s="53"/>
      <c r="X2066" s="53"/>
      <c r="Y2066" s="53"/>
      <c r="Z2066" s="53"/>
    </row>
    <row r="2067" spans="1:26" ht="15.75" customHeight="1">
      <c r="A2067" s="103"/>
      <c r="B2067" s="103"/>
      <c r="C2067" s="104" t="e">
        <v>#REF!</v>
      </c>
      <c r="D2067" s="103"/>
      <c r="E2067" s="53"/>
      <c r="F2067" s="53"/>
      <c r="G2067" s="53"/>
      <c r="H2067" s="53"/>
      <c r="I2067" s="53"/>
      <c r="J2067" s="53"/>
      <c r="K2067" s="53"/>
      <c r="L2067" s="53"/>
      <c r="M2067" s="53"/>
      <c r="N2067" s="53"/>
      <c r="O2067" s="53"/>
      <c r="P2067" s="53"/>
      <c r="Q2067" s="53"/>
      <c r="R2067" s="53"/>
      <c r="S2067" s="53"/>
      <c r="T2067" s="53"/>
      <c r="U2067" s="53"/>
      <c r="V2067" s="53"/>
      <c r="W2067" s="53"/>
      <c r="X2067" s="53"/>
      <c r="Y2067" s="53"/>
      <c r="Z2067" s="53"/>
    </row>
    <row r="2068" spans="1:26" ht="15.75" customHeight="1">
      <c r="A2068" s="103"/>
      <c r="B2068" s="103"/>
      <c r="C2068" s="104" t="e">
        <v>#REF!</v>
      </c>
      <c r="D2068" s="103"/>
      <c r="E2068" s="53"/>
      <c r="F2068" s="53"/>
      <c r="G2068" s="53"/>
      <c r="H2068" s="53"/>
      <c r="I2068" s="53"/>
      <c r="J2068" s="53"/>
      <c r="K2068" s="53"/>
      <c r="L2068" s="53"/>
      <c r="M2068" s="53"/>
      <c r="N2068" s="53"/>
      <c r="O2068" s="53"/>
      <c r="P2068" s="53"/>
      <c r="Q2068" s="53"/>
      <c r="R2068" s="53"/>
      <c r="S2068" s="53"/>
      <c r="T2068" s="53"/>
      <c r="U2068" s="53"/>
      <c r="V2068" s="53"/>
      <c r="W2068" s="53"/>
      <c r="X2068" s="53"/>
      <c r="Y2068" s="53"/>
      <c r="Z2068" s="53"/>
    </row>
    <row r="2069" spans="1:26" ht="15.75" customHeight="1">
      <c r="A2069" s="103"/>
      <c r="B2069" s="103"/>
      <c r="C2069" s="104" t="e">
        <v>#REF!</v>
      </c>
      <c r="D2069" s="103"/>
      <c r="E2069" s="53"/>
      <c r="F2069" s="53"/>
      <c r="G2069" s="53"/>
      <c r="H2069" s="53"/>
      <c r="I2069" s="53"/>
      <c r="J2069" s="53"/>
      <c r="K2069" s="53"/>
      <c r="L2069" s="53"/>
      <c r="M2069" s="53"/>
      <c r="N2069" s="53"/>
      <c r="O2069" s="53"/>
      <c r="P2069" s="53"/>
      <c r="Q2069" s="53"/>
      <c r="R2069" s="53"/>
      <c r="S2069" s="53"/>
      <c r="T2069" s="53"/>
      <c r="U2069" s="53"/>
      <c r="V2069" s="53"/>
      <c r="W2069" s="53"/>
      <c r="X2069" s="53"/>
      <c r="Y2069" s="53"/>
      <c r="Z2069" s="53"/>
    </row>
    <row r="2070" spans="1:26" ht="15.75" customHeight="1">
      <c r="A2070" s="103"/>
      <c r="B2070" s="103"/>
      <c r="C2070" s="104" t="e">
        <v>#REF!</v>
      </c>
      <c r="D2070" s="103"/>
      <c r="E2070" s="53"/>
      <c r="F2070" s="53"/>
      <c r="G2070" s="53"/>
      <c r="H2070" s="53"/>
      <c r="I2070" s="53"/>
      <c r="J2070" s="53"/>
      <c r="K2070" s="53"/>
      <c r="L2070" s="53"/>
      <c r="M2070" s="53"/>
      <c r="N2070" s="53"/>
      <c r="O2070" s="53"/>
      <c r="P2070" s="53"/>
      <c r="Q2070" s="53"/>
      <c r="R2070" s="53"/>
      <c r="S2070" s="53"/>
      <c r="T2070" s="53"/>
      <c r="U2070" s="53"/>
      <c r="V2070" s="53"/>
      <c r="W2070" s="53"/>
      <c r="X2070" s="53"/>
      <c r="Y2070" s="53"/>
      <c r="Z2070" s="53"/>
    </row>
    <row r="2071" spans="1:26" ht="15.75" customHeight="1">
      <c r="A2071" s="103"/>
      <c r="B2071" s="103"/>
      <c r="C2071" s="104" t="e">
        <v>#REF!</v>
      </c>
      <c r="D2071" s="103"/>
      <c r="E2071" s="53"/>
      <c r="F2071" s="53"/>
      <c r="G2071" s="53"/>
      <c r="H2071" s="53"/>
      <c r="I2071" s="53"/>
      <c r="J2071" s="53"/>
      <c r="K2071" s="53"/>
      <c r="L2071" s="53"/>
      <c r="M2071" s="53"/>
      <c r="N2071" s="53"/>
      <c r="O2071" s="53"/>
      <c r="P2071" s="53"/>
      <c r="Q2071" s="53"/>
      <c r="R2071" s="53"/>
      <c r="S2071" s="53"/>
      <c r="T2071" s="53"/>
      <c r="U2071" s="53"/>
      <c r="V2071" s="53"/>
      <c r="W2071" s="53"/>
      <c r="X2071" s="53"/>
      <c r="Y2071" s="53"/>
      <c r="Z2071" s="53"/>
    </row>
    <row r="2072" spans="1:26" ht="15.75" customHeight="1">
      <c r="A2072" s="103"/>
      <c r="B2072" s="103"/>
      <c r="C2072" s="104" t="e">
        <v>#REF!</v>
      </c>
      <c r="D2072" s="103"/>
      <c r="E2072" s="53"/>
      <c r="F2072" s="53"/>
      <c r="G2072" s="53"/>
      <c r="H2072" s="53"/>
      <c r="I2072" s="53"/>
      <c r="J2072" s="53"/>
      <c r="K2072" s="53"/>
      <c r="L2072" s="53"/>
      <c r="M2072" s="53"/>
      <c r="N2072" s="53"/>
      <c r="O2072" s="53"/>
      <c r="P2072" s="53"/>
      <c r="Q2072" s="53"/>
      <c r="R2072" s="53"/>
      <c r="S2072" s="53"/>
      <c r="T2072" s="53"/>
      <c r="U2072" s="53"/>
      <c r="V2072" s="53"/>
      <c r="W2072" s="53"/>
      <c r="X2072" s="53"/>
      <c r="Y2072" s="53"/>
      <c r="Z2072" s="53"/>
    </row>
    <row r="2073" spans="1:26" ht="15.75" customHeight="1">
      <c r="A2073" s="103"/>
      <c r="B2073" s="103"/>
      <c r="C2073" s="104" t="e">
        <v>#REF!</v>
      </c>
      <c r="D2073" s="103"/>
      <c r="E2073" s="53"/>
      <c r="F2073" s="53"/>
      <c r="G2073" s="53"/>
      <c r="H2073" s="53"/>
      <c r="I2073" s="53"/>
      <c r="J2073" s="53"/>
      <c r="K2073" s="53"/>
      <c r="L2073" s="53"/>
      <c r="M2073" s="53"/>
      <c r="N2073" s="53"/>
      <c r="O2073" s="53"/>
      <c r="P2073" s="53"/>
      <c r="Q2073" s="53"/>
      <c r="R2073" s="53"/>
      <c r="S2073" s="53"/>
      <c r="T2073" s="53"/>
      <c r="U2073" s="53"/>
      <c r="V2073" s="53"/>
      <c r="W2073" s="53"/>
      <c r="X2073" s="53"/>
      <c r="Y2073" s="53"/>
      <c r="Z2073" s="53"/>
    </row>
    <row r="2074" spans="1:26" ht="15.75" customHeight="1">
      <c r="A2074" s="103"/>
      <c r="B2074" s="103"/>
      <c r="C2074" s="104" t="e">
        <v>#REF!</v>
      </c>
      <c r="D2074" s="103"/>
      <c r="E2074" s="53"/>
      <c r="F2074" s="53"/>
      <c r="G2074" s="53"/>
      <c r="H2074" s="53"/>
      <c r="I2074" s="53"/>
      <c r="J2074" s="53"/>
      <c r="K2074" s="53"/>
      <c r="L2074" s="53"/>
      <c r="M2074" s="53"/>
      <c r="N2074" s="53"/>
      <c r="O2074" s="53"/>
      <c r="P2074" s="53"/>
      <c r="Q2074" s="53"/>
      <c r="R2074" s="53"/>
      <c r="S2074" s="53"/>
      <c r="T2074" s="53"/>
      <c r="U2074" s="53"/>
      <c r="V2074" s="53"/>
      <c r="W2074" s="53"/>
      <c r="X2074" s="53"/>
      <c r="Y2074" s="53"/>
      <c r="Z2074" s="53"/>
    </row>
    <row r="2075" spans="1:26" ht="15.75" customHeight="1">
      <c r="A2075" s="103"/>
      <c r="B2075" s="103"/>
      <c r="C2075" s="104" t="e">
        <v>#REF!</v>
      </c>
      <c r="D2075" s="103"/>
      <c r="E2075" s="53"/>
      <c r="F2075" s="53"/>
      <c r="G2075" s="53"/>
      <c r="H2075" s="53"/>
      <c r="I2075" s="53"/>
      <c r="J2075" s="53"/>
      <c r="K2075" s="53"/>
      <c r="L2075" s="53"/>
      <c r="M2075" s="53"/>
      <c r="N2075" s="53"/>
      <c r="O2075" s="53"/>
      <c r="P2075" s="53"/>
      <c r="Q2075" s="53"/>
      <c r="R2075" s="53"/>
      <c r="S2075" s="53"/>
      <c r="T2075" s="53"/>
      <c r="U2075" s="53"/>
      <c r="V2075" s="53"/>
      <c r="W2075" s="53"/>
      <c r="X2075" s="53"/>
      <c r="Y2075" s="53"/>
      <c r="Z2075" s="53"/>
    </row>
    <row r="2076" spans="1:26" ht="15.75" customHeight="1">
      <c r="A2076" s="103"/>
      <c r="B2076" s="103"/>
      <c r="C2076" s="104" t="e">
        <v>#REF!</v>
      </c>
      <c r="D2076" s="103"/>
      <c r="E2076" s="53"/>
      <c r="F2076" s="53"/>
      <c r="G2076" s="53"/>
      <c r="H2076" s="53"/>
      <c r="I2076" s="53"/>
      <c r="J2076" s="53"/>
      <c r="K2076" s="53"/>
      <c r="L2076" s="53"/>
      <c r="M2076" s="53"/>
      <c r="N2076" s="53"/>
      <c r="O2076" s="53"/>
      <c r="P2076" s="53"/>
      <c r="Q2076" s="53"/>
      <c r="R2076" s="53"/>
      <c r="S2076" s="53"/>
      <c r="T2076" s="53"/>
      <c r="U2076" s="53"/>
      <c r="V2076" s="53"/>
      <c r="W2076" s="53"/>
      <c r="X2076" s="53"/>
      <c r="Y2076" s="53"/>
      <c r="Z2076" s="53"/>
    </row>
    <row r="2077" spans="1:26" ht="15.75" customHeight="1">
      <c r="A2077" s="103"/>
      <c r="B2077" s="103"/>
      <c r="C2077" s="104" t="e">
        <v>#REF!</v>
      </c>
      <c r="D2077" s="103"/>
      <c r="E2077" s="53"/>
      <c r="F2077" s="53"/>
      <c r="G2077" s="53"/>
      <c r="H2077" s="53"/>
      <c r="I2077" s="53"/>
      <c r="J2077" s="53"/>
      <c r="K2077" s="53"/>
      <c r="L2077" s="53"/>
      <c r="M2077" s="53"/>
      <c r="N2077" s="53"/>
      <c r="O2077" s="53"/>
      <c r="P2077" s="53"/>
      <c r="Q2077" s="53"/>
      <c r="R2077" s="53"/>
      <c r="S2077" s="53"/>
      <c r="T2077" s="53"/>
      <c r="U2077" s="53"/>
      <c r="V2077" s="53"/>
      <c r="W2077" s="53"/>
      <c r="X2077" s="53"/>
      <c r="Y2077" s="53"/>
      <c r="Z2077" s="53"/>
    </row>
    <row r="2078" spans="1:26" ht="15.75" customHeight="1">
      <c r="A2078" s="103"/>
      <c r="B2078" s="103"/>
      <c r="C2078" s="104" t="e">
        <v>#REF!</v>
      </c>
      <c r="D2078" s="103"/>
      <c r="E2078" s="53"/>
      <c r="F2078" s="53"/>
      <c r="G2078" s="53"/>
      <c r="H2078" s="53"/>
      <c r="I2078" s="53"/>
      <c r="J2078" s="53"/>
      <c r="K2078" s="53"/>
      <c r="L2078" s="53"/>
      <c r="M2078" s="53"/>
      <c r="N2078" s="53"/>
      <c r="O2078" s="53"/>
      <c r="P2078" s="53"/>
      <c r="Q2078" s="53"/>
      <c r="R2078" s="53"/>
      <c r="S2078" s="53"/>
      <c r="T2078" s="53"/>
      <c r="U2078" s="53"/>
      <c r="V2078" s="53"/>
      <c r="W2078" s="53"/>
      <c r="X2078" s="53"/>
      <c r="Y2078" s="53"/>
      <c r="Z2078" s="53"/>
    </row>
    <row r="2079" spans="1:26" ht="15.75" customHeight="1">
      <c r="A2079" s="103"/>
      <c r="B2079" s="103"/>
      <c r="C2079" s="104" t="e">
        <v>#REF!</v>
      </c>
      <c r="D2079" s="103"/>
      <c r="E2079" s="53"/>
      <c r="F2079" s="53"/>
      <c r="G2079" s="53"/>
      <c r="H2079" s="53"/>
      <c r="I2079" s="53"/>
      <c r="J2079" s="53"/>
      <c r="K2079" s="53"/>
      <c r="L2079" s="53"/>
      <c r="M2079" s="53"/>
      <c r="N2079" s="53"/>
      <c r="O2079" s="53"/>
      <c r="P2079" s="53"/>
      <c r="Q2079" s="53"/>
      <c r="R2079" s="53"/>
      <c r="S2079" s="53"/>
      <c r="T2079" s="53"/>
      <c r="U2079" s="53"/>
      <c r="V2079" s="53"/>
      <c r="W2079" s="53"/>
      <c r="X2079" s="53"/>
      <c r="Y2079" s="53"/>
      <c r="Z2079" s="53"/>
    </row>
    <row r="2080" spans="1:26" ht="15.75" customHeight="1">
      <c r="A2080" s="103"/>
      <c r="B2080" s="103"/>
      <c r="C2080" s="104" t="e">
        <v>#REF!</v>
      </c>
      <c r="D2080" s="103"/>
      <c r="E2080" s="53"/>
      <c r="F2080" s="53"/>
      <c r="G2080" s="53"/>
      <c r="H2080" s="53"/>
      <c r="I2080" s="53"/>
      <c r="J2080" s="53"/>
      <c r="K2080" s="53"/>
      <c r="L2080" s="53"/>
      <c r="M2080" s="53"/>
      <c r="N2080" s="53"/>
      <c r="O2080" s="53"/>
      <c r="P2080" s="53"/>
      <c r="Q2080" s="53"/>
      <c r="R2080" s="53"/>
      <c r="S2080" s="53"/>
      <c r="T2080" s="53"/>
      <c r="U2080" s="53"/>
      <c r="V2080" s="53"/>
      <c r="W2080" s="53"/>
      <c r="X2080" s="53"/>
      <c r="Y2080" s="53"/>
      <c r="Z2080" s="53"/>
    </row>
    <row r="2081" spans="1:26" ht="15.75" customHeight="1">
      <c r="A2081" s="103"/>
      <c r="B2081" s="103"/>
      <c r="C2081" s="104" t="e">
        <v>#REF!</v>
      </c>
      <c r="D2081" s="103"/>
      <c r="E2081" s="53"/>
      <c r="F2081" s="53"/>
      <c r="G2081" s="53"/>
      <c r="H2081" s="53"/>
      <c r="I2081" s="53"/>
      <c r="J2081" s="53"/>
      <c r="K2081" s="53"/>
      <c r="L2081" s="53"/>
      <c r="M2081" s="53"/>
      <c r="N2081" s="53"/>
      <c r="O2081" s="53"/>
      <c r="P2081" s="53"/>
      <c r="Q2081" s="53"/>
      <c r="R2081" s="53"/>
      <c r="S2081" s="53"/>
      <c r="T2081" s="53"/>
      <c r="U2081" s="53"/>
      <c r="V2081" s="53"/>
      <c r="W2081" s="53"/>
      <c r="X2081" s="53"/>
      <c r="Y2081" s="53"/>
      <c r="Z2081" s="53"/>
    </row>
    <row r="2082" spans="1:26" ht="15.75" customHeight="1">
      <c r="A2082" s="103"/>
      <c r="B2082" s="103"/>
      <c r="C2082" s="104" t="e">
        <v>#REF!</v>
      </c>
      <c r="D2082" s="103"/>
      <c r="E2082" s="53"/>
      <c r="F2082" s="53"/>
      <c r="G2082" s="53"/>
      <c r="H2082" s="53"/>
      <c r="I2082" s="53"/>
      <c r="J2082" s="53"/>
      <c r="K2082" s="53"/>
      <c r="L2082" s="53"/>
      <c r="M2082" s="53"/>
      <c r="N2082" s="53"/>
      <c r="O2082" s="53"/>
      <c r="P2082" s="53"/>
      <c r="Q2082" s="53"/>
      <c r="R2082" s="53"/>
      <c r="S2082" s="53"/>
      <c r="T2082" s="53"/>
      <c r="U2082" s="53"/>
      <c r="V2082" s="53"/>
      <c r="W2082" s="53"/>
      <c r="X2082" s="53"/>
      <c r="Y2082" s="53"/>
      <c r="Z2082" s="53"/>
    </row>
    <row r="2083" spans="1:26" ht="15.75" customHeight="1">
      <c r="A2083" s="103"/>
      <c r="B2083" s="103"/>
      <c r="C2083" s="104" t="e">
        <v>#REF!</v>
      </c>
      <c r="D2083" s="103"/>
      <c r="E2083" s="53"/>
      <c r="F2083" s="53"/>
      <c r="G2083" s="53"/>
      <c r="H2083" s="53"/>
      <c r="I2083" s="53"/>
      <c r="J2083" s="53"/>
      <c r="K2083" s="53"/>
      <c r="L2083" s="53"/>
      <c r="M2083" s="53"/>
      <c r="N2083" s="53"/>
      <c r="O2083" s="53"/>
      <c r="P2083" s="53"/>
      <c r="Q2083" s="53"/>
      <c r="R2083" s="53"/>
      <c r="S2083" s="53"/>
      <c r="T2083" s="53"/>
      <c r="U2083" s="53"/>
      <c r="V2083" s="53"/>
      <c r="W2083" s="53"/>
      <c r="X2083" s="53"/>
      <c r="Y2083" s="53"/>
      <c r="Z2083" s="53"/>
    </row>
    <row r="2084" spans="1:26" ht="15.75" customHeight="1">
      <c r="A2084" s="103"/>
      <c r="B2084" s="103"/>
      <c r="C2084" s="104" t="e">
        <v>#REF!</v>
      </c>
      <c r="D2084" s="103"/>
      <c r="E2084" s="53"/>
      <c r="F2084" s="53"/>
      <c r="G2084" s="53"/>
      <c r="H2084" s="53"/>
      <c r="I2084" s="53"/>
      <c r="J2084" s="53"/>
      <c r="K2084" s="53"/>
      <c r="L2084" s="53"/>
      <c r="M2084" s="53"/>
      <c r="N2084" s="53"/>
      <c r="O2084" s="53"/>
      <c r="P2084" s="53"/>
      <c r="Q2084" s="53"/>
      <c r="R2084" s="53"/>
      <c r="S2084" s="53"/>
      <c r="T2084" s="53"/>
      <c r="U2084" s="53"/>
      <c r="V2084" s="53"/>
      <c r="W2084" s="53"/>
      <c r="X2084" s="53"/>
      <c r="Y2084" s="53"/>
      <c r="Z2084" s="53"/>
    </row>
    <row r="2085" spans="1:26" ht="15.75" customHeight="1">
      <c r="A2085" s="103"/>
      <c r="B2085" s="103"/>
      <c r="C2085" s="104" t="e">
        <v>#REF!</v>
      </c>
      <c r="D2085" s="103"/>
      <c r="E2085" s="53"/>
      <c r="F2085" s="53"/>
      <c r="G2085" s="53"/>
      <c r="H2085" s="53"/>
      <c r="I2085" s="53"/>
      <c r="J2085" s="53"/>
      <c r="K2085" s="53"/>
      <c r="L2085" s="53"/>
      <c r="M2085" s="53"/>
      <c r="N2085" s="53"/>
      <c r="O2085" s="53"/>
      <c r="P2085" s="53"/>
      <c r="Q2085" s="53"/>
      <c r="R2085" s="53"/>
      <c r="S2085" s="53"/>
      <c r="T2085" s="53"/>
      <c r="U2085" s="53"/>
      <c r="V2085" s="53"/>
      <c r="W2085" s="53"/>
      <c r="X2085" s="53"/>
      <c r="Y2085" s="53"/>
      <c r="Z2085" s="53"/>
    </row>
    <row r="2086" spans="1:26" ht="15.75" customHeight="1">
      <c r="A2086" s="103"/>
      <c r="B2086" s="103"/>
      <c r="C2086" s="104" t="e">
        <v>#REF!</v>
      </c>
      <c r="D2086" s="103"/>
      <c r="E2086" s="53"/>
      <c r="F2086" s="53"/>
      <c r="G2086" s="53"/>
      <c r="H2086" s="53"/>
      <c r="I2086" s="53"/>
      <c r="J2086" s="53"/>
      <c r="K2086" s="53"/>
      <c r="L2086" s="53"/>
      <c r="M2086" s="53"/>
      <c r="N2086" s="53"/>
      <c r="O2086" s="53"/>
      <c r="P2086" s="53"/>
      <c r="Q2086" s="53"/>
      <c r="R2086" s="53"/>
      <c r="S2086" s="53"/>
      <c r="T2086" s="53"/>
      <c r="U2086" s="53"/>
      <c r="V2086" s="53"/>
      <c r="W2086" s="53"/>
      <c r="X2086" s="53"/>
      <c r="Y2086" s="53"/>
      <c r="Z2086" s="53"/>
    </row>
    <row r="2087" spans="1:26" ht="15.75" customHeight="1">
      <c r="A2087" s="103"/>
      <c r="B2087" s="103"/>
      <c r="C2087" s="104" t="e">
        <v>#REF!</v>
      </c>
      <c r="D2087" s="103"/>
      <c r="E2087" s="53"/>
      <c r="F2087" s="53"/>
      <c r="G2087" s="53"/>
      <c r="H2087" s="53"/>
      <c r="I2087" s="53"/>
      <c r="J2087" s="53"/>
      <c r="K2087" s="53"/>
      <c r="L2087" s="53"/>
      <c r="M2087" s="53"/>
      <c r="N2087" s="53"/>
      <c r="O2087" s="53"/>
      <c r="P2087" s="53"/>
      <c r="Q2087" s="53"/>
      <c r="R2087" s="53"/>
      <c r="S2087" s="53"/>
      <c r="T2087" s="53"/>
      <c r="U2087" s="53"/>
      <c r="V2087" s="53"/>
      <c r="W2087" s="53"/>
      <c r="X2087" s="53"/>
      <c r="Y2087" s="53"/>
      <c r="Z2087" s="53"/>
    </row>
    <row r="2088" spans="1:26" ht="15.75" customHeight="1">
      <c r="A2088" s="103"/>
      <c r="B2088" s="103"/>
      <c r="C2088" s="104" t="e">
        <v>#REF!</v>
      </c>
      <c r="D2088" s="103"/>
      <c r="E2088" s="53"/>
      <c r="F2088" s="53"/>
      <c r="G2088" s="53"/>
      <c r="H2088" s="53"/>
      <c r="I2088" s="53"/>
      <c r="J2088" s="53"/>
      <c r="K2088" s="53"/>
      <c r="L2088" s="53"/>
      <c r="M2088" s="53"/>
      <c r="N2088" s="53"/>
      <c r="O2088" s="53"/>
      <c r="P2088" s="53"/>
      <c r="Q2088" s="53"/>
      <c r="R2088" s="53"/>
      <c r="S2088" s="53"/>
      <c r="T2088" s="53"/>
      <c r="U2088" s="53"/>
      <c r="V2088" s="53"/>
      <c r="W2088" s="53"/>
      <c r="X2088" s="53"/>
      <c r="Y2088" s="53"/>
      <c r="Z2088" s="53"/>
    </row>
    <row r="2089" spans="1:26" ht="15.75" customHeight="1">
      <c r="A2089" s="103"/>
      <c r="B2089" s="103"/>
      <c r="C2089" s="104" t="e">
        <v>#REF!</v>
      </c>
      <c r="D2089" s="103"/>
      <c r="E2089" s="53"/>
      <c r="F2089" s="53"/>
      <c r="G2089" s="53"/>
      <c r="H2089" s="53"/>
      <c r="I2089" s="53"/>
      <c r="J2089" s="53"/>
      <c r="K2089" s="53"/>
      <c r="L2089" s="53"/>
      <c r="M2089" s="53"/>
      <c r="N2089" s="53"/>
      <c r="O2089" s="53"/>
      <c r="P2089" s="53"/>
      <c r="Q2089" s="53"/>
      <c r="R2089" s="53"/>
      <c r="S2089" s="53"/>
      <c r="T2089" s="53"/>
      <c r="U2089" s="53"/>
      <c r="V2089" s="53"/>
      <c r="W2089" s="53"/>
      <c r="X2089" s="53"/>
      <c r="Y2089" s="53"/>
      <c r="Z2089" s="53"/>
    </row>
    <row r="2090" spans="1:26" ht="15.75" customHeight="1">
      <c r="A2090" s="103"/>
      <c r="B2090" s="103"/>
      <c r="C2090" s="104" t="e">
        <v>#REF!</v>
      </c>
      <c r="D2090" s="103"/>
      <c r="E2090" s="53"/>
      <c r="F2090" s="53"/>
      <c r="G2090" s="53"/>
      <c r="H2090" s="53"/>
      <c r="I2090" s="53"/>
      <c r="J2090" s="53"/>
      <c r="K2090" s="53"/>
      <c r="L2090" s="53"/>
      <c r="M2090" s="53"/>
      <c r="N2090" s="53"/>
      <c r="O2090" s="53"/>
      <c r="P2090" s="53"/>
      <c r="Q2090" s="53"/>
      <c r="R2090" s="53"/>
      <c r="S2090" s="53"/>
      <c r="T2090" s="53"/>
      <c r="U2090" s="53"/>
      <c r="V2090" s="53"/>
      <c r="W2090" s="53"/>
      <c r="X2090" s="53"/>
      <c r="Y2090" s="53"/>
      <c r="Z2090" s="53"/>
    </row>
    <row r="2091" spans="1:26" ht="15.75" customHeight="1">
      <c r="A2091" s="103"/>
      <c r="B2091" s="103"/>
      <c r="C2091" s="104" t="e">
        <v>#REF!</v>
      </c>
      <c r="D2091" s="103"/>
      <c r="E2091" s="53"/>
      <c r="F2091" s="53"/>
      <c r="G2091" s="53"/>
      <c r="H2091" s="53"/>
      <c r="I2091" s="53"/>
      <c r="J2091" s="53"/>
      <c r="K2091" s="53"/>
      <c r="L2091" s="53"/>
      <c r="M2091" s="53"/>
      <c r="N2091" s="53"/>
      <c r="O2091" s="53"/>
      <c r="P2091" s="53"/>
      <c r="Q2091" s="53"/>
      <c r="R2091" s="53"/>
      <c r="S2091" s="53"/>
      <c r="T2091" s="53"/>
      <c r="U2091" s="53"/>
      <c r="V2091" s="53"/>
      <c r="W2091" s="53"/>
      <c r="X2091" s="53"/>
      <c r="Y2091" s="53"/>
      <c r="Z2091" s="53"/>
    </row>
    <row r="2092" spans="1:26" ht="15.75" customHeight="1">
      <c r="A2092" s="103"/>
      <c r="B2092" s="103"/>
      <c r="C2092" s="104" t="e">
        <v>#REF!</v>
      </c>
      <c r="D2092" s="103"/>
      <c r="E2092" s="53"/>
      <c r="F2092" s="53"/>
      <c r="G2092" s="53"/>
      <c r="H2092" s="53"/>
      <c r="I2092" s="53"/>
      <c r="J2092" s="53"/>
      <c r="K2092" s="53"/>
      <c r="L2092" s="53"/>
      <c r="M2092" s="53"/>
      <c r="N2092" s="53"/>
      <c r="O2092" s="53"/>
      <c r="P2092" s="53"/>
      <c r="Q2092" s="53"/>
      <c r="R2092" s="53"/>
      <c r="S2092" s="53"/>
      <c r="T2092" s="53"/>
      <c r="U2092" s="53"/>
      <c r="V2092" s="53"/>
      <c r="W2092" s="53"/>
      <c r="X2092" s="53"/>
      <c r="Y2092" s="53"/>
      <c r="Z2092" s="53"/>
    </row>
    <row r="2093" spans="1:26" ht="15.75" customHeight="1">
      <c r="A2093" s="103"/>
      <c r="B2093" s="103"/>
      <c r="C2093" s="104" t="e">
        <v>#REF!</v>
      </c>
      <c r="D2093" s="103"/>
      <c r="E2093" s="53"/>
      <c r="F2093" s="53"/>
      <c r="G2093" s="53"/>
      <c r="H2093" s="53"/>
      <c r="I2093" s="53"/>
      <c r="J2093" s="53"/>
      <c r="K2093" s="53"/>
      <c r="L2093" s="53"/>
      <c r="M2093" s="53"/>
      <c r="N2093" s="53"/>
      <c r="O2093" s="53"/>
      <c r="P2093" s="53"/>
      <c r="Q2093" s="53"/>
      <c r="R2093" s="53"/>
      <c r="S2093" s="53"/>
      <c r="T2093" s="53"/>
      <c r="U2093" s="53"/>
      <c r="V2093" s="53"/>
      <c r="W2093" s="53"/>
      <c r="X2093" s="53"/>
      <c r="Y2093" s="53"/>
      <c r="Z2093" s="53"/>
    </row>
    <row r="2094" spans="1:26" ht="15.75" customHeight="1">
      <c r="A2094" s="103"/>
      <c r="B2094" s="103"/>
      <c r="C2094" s="104" t="e">
        <v>#REF!</v>
      </c>
      <c r="D2094" s="103"/>
      <c r="E2094" s="53"/>
      <c r="F2094" s="53"/>
      <c r="G2094" s="53"/>
      <c r="H2094" s="53"/>
      <c r="I2094" s="53"/>
      <c r="J2094" s="53"/>
      <c r="K2094" s="53"/>
      <c r="L2094" s="53"/>
      <c r="M2094" s="53"/>
      <c r="N2094" s="53"/>
      <c r="O2094" s="53"/>
      <c r="P2094" s="53"/>
      <c r="Q2094" s="53"/>
      <c r="R2094" s="53"/>
      <c r="S2094" s="53"/>
      <c r="T2094" s="53"/>
      <c r="U2094" s="53"/>
      <c r="V2094" s="53"/>
      <c r="W2094" s="53"/>
      <c r="X2094" s="53"/>
      <c r="Y2094" s="53"/>
      <c r="Z2094" s="53"/>
    </row>
    <row r="2095" spans="1:26" ht="15.75" customHeight="1">
      <c r="A2095" s="103"/>
      <c r="B2095" s="103"/>
      <c r="C2095" s="104" t="e">
        <v>#REF!</v>
      </c>
      <c r="D2095" s="103"/>
      <c r="E2095" s="53"/>
      <c r="F2095" s="53"/>
      <c r="G2095" s="53"/>
      <c r="H2095" s="53"/>
      <c r="I2095" s="53"/>
      <c r="J2095" s="53"/>
      <c r="K2095" s="53"/>
      <c r="L2095" s="53"/>
      <c r="M2095" s="53"/>
      <c r="N2095" s="53"/>
      <c r="O2095" s="53"/>
      <c r="P2095" s="53"/>
      <c r="Q2095" s="53"/>
      <c r="R2095" s="53"/>
      <c r="S2095" s="53"/>
      <c r="T2095" s="53"/>
      <c r="U2095" s="53"/>
      <c r="V2095" s="53"/>
      <c r="W2095" s="53"/>
      <c r="X2095" s="53"/>
      <c r="Y2095" s="53"/>
      <c r="Z2095" s="53"/>
    </row>
    <row r="2096" spans="1:26" ht="15.75" customHeight="1">
      <c r="A2096" s="103"/>
      <c r="B2096" s="103"/>
      <c r="C2096" s="104" t="e">
        <v>#REF!</v>
      </c>
      <c r="D2096" s="103"/>
      <c r="E2096" s="53"/>
      <c r="F2096" s="53"/>
      <c r="G2096" s="53"/>
      <c r="H2096" s="53"/>
      <c r="I2096" s="53"/>
      <c r="J2096" s="53"/>
      <c r="K2096" s="53"/>
      <c r="L2096" s="53"/>
      <c r="M2096" s="53"/>
      <c r="N2096" s="53"/>
      <c r="O2096" s="53"/>
      <c r="P2096" s="53"/>
      <c r="Q2096" s="53"/>
      <c r="R2096" s="53"/>
      <c r="S2096" s="53"/>
      <c r="T2096" s="53"/>
      <c r="U2096" s="53"/>
      <c r="V2096" s="53"/>
      <c r="W2096" s="53"/>
      <c r="X2096" s="53"/>
      <c r="Y2096" s="53"/>
      <c r="Z2096" s="53"/>
    </row>
    <row r="2097" spans="1:26" ht="15.75" customHeight="1">
      <c r="A2097" s="103"/>
      <c r="B2097" s="103"/>
      <c r="C2097" s="104" t="e">
        <v>#REF!</v>
      </c>
      <c r="D2097" s="103"/>
      <c r="E2097" s="53"/>
      <c r="F2097" s="53"/>
      <c r="G2097" s="53"/>
      <c r="H2097" s="53"/>
      <c r="I2097" s="53"/>
      <c r="J2097" s="53"/>
      <c r="K2097" s="53"/>
      <c r="L2097" s="53"/>
      <c r="M2097" s="53"/>
      <c r="N2097" s="53"/>
      <c r="O2097" s="53"/>
      <c r="P2097" s="53"/>
      <c r="Q2097" s="53"/>
      <c r="R2097" s="53"/>
      <c r="S2097" s="53"/>
      <c r="T2097" s="53"/>
      <c r="U2097" s="53"/>
      <c r="V2097" s="53"/>
      <c r="W2097" s="53"/>
      <c r="X2097" s="53"/>
      <c r="Y2097" s="53"/>
      <c r="Z2097" s="53"/>
    </row>
    <row r="2098" spans="1:26" ht="15.75" customHeight="1">
      <c r="A2098" s="103"/>
      <c r="B2098" s="103"/>
      <c r="C2098" s="104" t="e">
        <v>#REF!</v>
      </c>
      <c r="D2098" s="103"/>
      <c r="E2098" s="53"/>
      <c r="F2098" s="53"/>
      <c r="G2098" s="53"/>
      <c r="H2098" s="53"/>
      <c r="I2098" s="53"/>
      <c r="J2098" s="53"/>
      <c r="K2098" s="53"/>
      <c r="L2098" s="53"/>
      <c r="M2098" s="53"/>
      <c r="N2098" s="53"/>
      <c r="O2098" s="53"/>
      <c r="P2098" s="53"/>
      <c r="Q2098" s="53"/>
      <c r="R2098" s="53"/>
      <c r="S2098" s="53"/>
      <c r="T2098" s="53"/>
      <c r="U2098" s="53"/>
      <c r="V2098" s="53"/>
      <c r="W2098" s="53"/>
      <c r="X2098" s="53"/>
      <c r="Y2098" s="53"/>
      <c r="Z2098" s="53"/>
    </row>
    <row r="2099" spans="1:26" ht="15.75" customHeight="1">
      <c r="A2099" s="103"/>
      <c r="B2099" s="103"/>
      <c r="C2099" s="104" t="e">
        <v>#REF!</v>
      </c>
      <c r="D2099" s="103"/>
      <c r="E2099" s="53"/>
      <c r="F2099" s="53"/>
      <c r="G2099" s="53"/>
      <c r="H2099" s="53"/>
      <c r="I2099" s="53"/>
      <c r="J2099" s="53"/>
      <c r="K2099" s="53"/>
      <c r="L2099" s="53"/>
      <c r="M2099" s="53"/>
      <c r="N2099" s="53"/>
      <c r="O2099" s="53"/>
      <c r="P2099" s="53"/>
      <c r="Q2099" s="53"/>
      <c r="R2099" s="53"/>
      <c r="S2099" s="53"/>
      <c r="T2099" s="53"/>
      <c r="U2099" s="53"/>
      <c r="V2099" s="53"/>
      <c r="W2099" s="53"/>
      <c r="X2099" s="53"/>
      <c r="Y2099" s="53"/>
      <c r="Z2099" s="53"/>
    </row>
    <row r="2100" spans="1:26" ht="15.75" customHeight="1">
      <c r="A2100" s="103"/>
      <c r="B2100" s="103"/>
      <c r="C2100" s="104" t="e">
        <v>#REF!</v>
      </c>
      <c r="D2100" s="103"/>
      <c r="E2100" s="53"/>
      <c r="F2100" s="53"/>
      <c r="G2100" s="53"/>
      <c r="H2100" s="53"/>
      <c r="I2100" s="53"/>
      <c r="J2100" s="53"/>
      <c r="K2100" s="53"/>
      <c r="L2100" s="53"/>
      <c r="M2100" s="53"/>
      <c r="N2100" s="53"/>
      <c r="O2100" s="53"/>
      <c r="P2100" s="53"/>
      <c r="Q2100" s="53"/>
      <c r="R2100" s="53"/>
      <c r="S2100" s="53"/>
      <c r="T2100" s="53"/>
      <c r="U2100" s="53"/>
      <c r="V2100" s="53"/>
      <c r="W2100" s="53"/>
      <c r="X2100" s="53"/>
      <c r="Y2100" s="53"/>
      <c r="Z2100" s="53"/>
    </row>
    <row r="2101" spans="1:26" ht="15.75" customHeight="1">
      <c r="A2101" s="103"/>
      <c r="B2101" s="103"/>
      <c r="C2101" s="104" t="e">
        <v>#REF!</v>
      </c>
      <c r="D2101" s="103"/>
      <c r="E2101" s="53"/>
      <c r="F2101" s="53"/>
      <c r="G2101" s="53"/>
      <c r="H2101" s="53"/>
      <c r="I2101" s="53"/>
      <c r="J2101" s="53"/>
      <c r="K2101" s="53"/>
      <c r="L2101" s="53"/>
      <c r="M2101" s="53"/>
      <c r="N2101" s="53"/>
      <c r="O2101" s="53"/>
      <c r="P2101" s="53"/>
      <c r="Q2101" s="53"/>
      <c r="R2101" s="53"/>
      <c r="S2101" s="53"/>
      <c r="T2101" s="53"/>
      <c r="U2101" s="53"/>
      <c r="V2101" s="53"/>
      <c r="W2101" s="53"/>
      <c r="X2101" s="53"/>
      <c r="Y2101" s="53"/>
      <c r="Z2101" s="53"/>
    </row>
    <row r="2102" spans="1:26" ht="15.75" customHeight="1">
      <c r="A2102" s="103"/>
      <c r="B2102" s="103"/>
      <c r="C2102" s="104" t="e">
        <v>#REF!</v>
      </c>
      <c r="D2102" s="103"/>
      <c r="E2102" s="53"/>
      <c r="F2102" s="53"/>
      <c r="G2102" s="53"/>
      <c r="H2102" s="53"/>
      <c r="I2102" s="53"/>
      <c r="J2102" s="53"/>
      <c r="K2102" s="53"/>
      <c r="L2102" s="53"/>
      <c r="M2102" s="53"/>
      <c r="N2102" s="53"/>
      <c r="O2102" s="53"/>
      <c r="P2102" s="53"/>
      <c r="Q2102" s="53"/>
      <c r="R2102" s="53"/>
      <c r="S2102" s="53"/>
      <c r="T2102" s="53"/>
      <c r="U2102" s="53"/>
      <c r="V2102" s="53"/>
      <c r="W2102" s="53"/>
      <c r="X2102" s="53"/>
      <c r="Y2102" s="53"/>
      <c r="Z2102" s="53"/>
    </row>
    <row r="2103" spans="1:26" ht="15.75" customHeight="1">
      <c r="A2103" s="103"/>
      <c r="B2103" s="103"/>
      <c r="C2103" s="104" t="e">
        <v>#REF!</v>
      </c>
      <c r="D2103" s="10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</row>
    <row r="2104" spans="1:26" ht="15.75" customHeight="1">
      <c r="A2104" s="103"/>
      <c r="B2104" s="103"/>
      <c r="C2104" s="104" t="e">
        <v>#REF!</v>
      </c>
      <c r="D2104" s="103"/>
      <c r="E2104" s="53"/>
      <c r="F2104" s="53"/>
      <c r="G2104" s="53"/>
      <c r="H2104" s="53"/>
      <c r="I2104" s="53"/>
      <c r="J2104" s="53"/>
      <c r="K2104" s="53"/>
      <c r="L2104" s="53"/>
      <c r="M2104" s="53"/>
      <c r="N2104" s="53"/>
      <c r="O2104" s="53"/>
      <c r="P2104" s="53"/>
      <c r="Q2104" s="53"/>
      <c r="R2104" s="53"/>
      <c r="S2104" s="53"/>
      <c r="T2104" s="53"/>
      <c r="U2104" s="53"/>
      <c r="V2104" s="53"/>
      <c r="W2104" s="53"/>
      <c r="X2104" s="53"/>
      <c r="Y2104" s="53"/>
      <c r="Z2104" s="53"/>
    </row>
    <row r="2105" spans="1:26" ht="15.75" customHeight="1">
      <c r="A2105" s="103"/>
      <c r="B2105" s="103"/>
      <c r="C2105" s="104" t="e">
        <v>#REF!</v>
      </c>
      <c r="D2105" s="103"/>
      <c r="E2105" s="53"/>
      <c r="F2105" s="53"/>
      <c r="G2105" s="53"/>
      <c r="H2105" s="53"/>
      <c r="I2105" s="53"/>
      <c r="J2105" s="53"/>
      <c r="K2105" s="53"/>
      <c r="L2105" s="53"/>
      <c r="M2105" s="53"/>
      <c r="N2105" s="53"/>
      <c r="O2105" s="53"/>
      <c r="P2105" s="53"/>
      <c r="Q2105" s="53"/>
      <c r="R2105" s="53"/>
      <c r="S2105" s="53"/>
      <c r="T2105" s="53"/>
      <c r="U2105" s="53"/>
      <c r="V2105" s="53"/>
      <c r="W2105" s="53"/>
      <c r="X2105" s="53"/>
      <c r="Y2105" s="53"/>
      <c r="Z2105" s="53"/>
    </row>
    <row r="2106" spans="1:26" ht="15.75" customHeight="1">
      <c r="A2106" s="103"/>
      <c r="B2106" s="103"/>
      <c r="C2106" s="104" t="e">
        <v>#REF!</v>
      </c>
      <c r="D2106" s="103"/>
      <c r="E2106" s="53"/>
      <c r="F2106" s="53"/>
      <c r="G2106" s="53"/>
      <c r="H2106" s="53"/>
      <c r="I2106" s="53"/>
      <c r="J2106" s="53"/>
      <c r="K2106" s="53"/>
      <c r="L2106" s="53"/>
      <c r="M2106" s="53"/>
      <c r="N2106" s="53"/>
      <c r="O2106" s="53"/>
      <c r="P2106" s="53"/>
      <c r="Q2106" s="53"/>
      <c r="R2106" s="53"/>
      <c r="S2106" s="53"/>
      <c r="T2106" s="53"/>
      <c r="U2106" s="53"/>
      <c r="V2106" s="53"/>
      <c r="W2106" s="53"/>
      <c r="X2106" s="53"/>
      <c r="Y2106" s="53"/>
      <c r="Z2106" s="53"/>
    </row>
    <row r="2107" spans="1:26" ht="15.75" customHeight="1">
      <c r="A2107" s="103"/>
      <c r="B2107" s="103"/>
      <c r="C2107" s="104" t="e">
        <v>#REF!</v>
      </c>
      <c r="D2107" s="103"/>
      <c r="E2107" s="53"/>
      <c r="F2107" s="53"/>
      <c r="G2107" s="53"/>
      <c r="H2107" s="53"/>
      <c r="I2107" s="53"/>
      <c r="J2107" s="53"/>
      <c r="K2107" s="53"/>
      <c r="L2107" s="53"/>
      <c r="M2107" s="53"/>
      <c r="N2107" s="53"/>
      <c r="O2107" s="53"/>
      <c r="P2107" s="53"/>
      <c r="Q2107" s="53"/>
      <c r="R2107" s="53"/>
      <c r="S2107" s="53"/>
      <c r="T2107" s="53"/>
      <c r="U2107" s="53"/>
      <c r="V2107" s="53"/>
      <c r="W2107" s="53"/>
      <c r="X2107" s="53"/>
      <c r="Y2107" s="53"/>
      <c r="Z2107" s="53"/>
    </row>
    <row r="2108" spans="1:26" ht="15.75" customHeight="1">
      <c r="A2108" s="103"/>
      <c r="B2108" s="103"/>
      <c r="C2108" s="104" t="e">
        <v>#REF!</v>
      </c>
      <c r="D2108" s="10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53"/>
      <c r="T2108" s="53"/>
      <c r="U2108" s="53"/>
      <c r="V2108" s="53"/>
      <c r="W2108" s="53"/>
      <c r="X2108" s="53"/>
      <c r="Y2108" s="53"/>
      <c r="Z2108" s="53"/>
    </row>
    <row r="2109" spans="1:26" ht="15.75" customHeight="1">
      <c r="A2109" s="103"/>
      <c r="B2109" s="103"/>
      <c r="C2109" s="104" t="e">
        <v>#REF!</v>
      </c>
      <c r="D2109" s="103"/>
      <c r="E2109" s="53"/>
      <c r="F2109" s="53"/>
      <c r="G2109" s="53"/>
      <c r="H2109" s="53"/>
      <c r="I2109" s="53"/>
      <c r="J2109" s="53"/>
      <c r="K2109" s="53"/>
      <c r="L2109" s="53"/>
      <c r="M2109" s="53"/>
      <c r="N2109" s="53"/>
      <c r="O2109" s="53"/>
      <c r="P2109" s="53"/>
      <c r="Q2109" s="53"/>
      <c r="R2109" s="53"/>
      <c r="S2109" s="53"/>
      <c r="T2109" s="53"/>
      <c r="U2109" s="53"/>
      <c r="V2109" s="53"/>
      <c r="W2109" s="53"/>
      <c r="X2109" s="53"/>
      <c r="Y2109" s="53"/>
      <c r="Z2109" s="53"/>
    </row>
    <row r="2110" spans="1:26" ht="15.75" customHeight="1">
      <c r="A2110" s="103"/>
      <c r="B2110" s="103"/>
      <c r="C2110" s="104" t="e">
        <v>#REF!</v>
      </c>
      <c r="D2110" s="103"/>
      <c r="E2110" s="53"/>
      <c r="F2110" s="53"/>
      <c r="G2110" s="53"/>
      <c r="H2110" s="53"/>
      <c r="I2110" s="53"/>
      <c r="J2110" s="53"/>
      <c r="K2110" s="53"/>
      <c r="L2110" s="53"/>
      <c r="M2110" s="53"/>
      <c r="N2110" s="53"/>
      <c r="O2110" s="53"/>
      <c r="P2110" s="53"/>
      <c r="Q2110" s="53"/>
      <c r="R2110" s="53"/>
      <c r="S2110" s="53"/>
      <c r="T2110" s="53"/>
      <c r="U2110" s="53"/>
      <c r="V2110" s="53"/>
      <c r="W2110" s="53"/>
      <c r="X2110" s="53"/>
      <c r="Y2110" s="53"/>
      <c r="Z2110" s="53"/>
    </row>
    <row r="2111" spans="1:26" ht="15.75" customHeight="1">
      <c r="A2111" s="103"/>
      <c r="B2111" s="103"/>
      <c r="C2111" s="104" t="e">
        <v>#REF!</v>
      </c>
      <c r="D2111" s="103"/>
      <c r="E2111" s="53"/>
      <c r="F2111" s="53"/>
      <c r="G2111" s="53"/>
      <c r="H2111" s="53"/>
      <c r="I2111" s="53"/>
      <c r="J2111" s="53"/>
      <c r="K2111" s="53"/>
      <c r="L2111" s="53"/>
      <c r="M2111" s="53"/>
      <c r="N2111" s="53"/>
      <c r="O2111" s="53"/>
      <c r="P2111" s="53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</row>
    <row r="2112" spans="1:26" ht="15.75" customHeight="1">
      <c r="A2112" s="103"/>
      <c r="B2112" s="103"/>
      <c r="C2112" s="104" t="e">
        <v>#REF!</v>
      </c>
      <c r="D2112" s="103"/>
      <c r="E2112" s="53"/>
      <c r="F2112" s="53"/>
      <c r="G2112" s="53"/>
      <c r="H2112" s="53"/>
      <c r="I2112" s="53"/>
      <c r="J2112" s="53"/>
      <c r="K2112" s="53"/>
      <c r="L2112" s="53"/>
      <c r="M2112" s="53"/>
      <c r="N2112" s="53"/>
      <c r="O2112" s="53"/>
      <c r="P2112" s="53"/>
      <c r="Q2112" s="53"/>
      <c r="R2112" s="53"/>
      <c r="S2112" s="53"/>
      <c r="T2112" s="53"/>
      <c r="U2112" s="53"/>
      <c r="V2112" s="53"/>
      <c r="W2112" s="53"/>
      <c r="X2112" s="53"/>
      <c r="Y2112" s="53"/>
      <c r="Z2112" s="53"/>
    </row>
    <row r="2113" spans="1:26" ht="15.75" customHeight="1">
      <c r="A2113" s="103"/>
      <c r="B2113" s="103"/>
      <c r="C2113" s="104" t="e">
        <v>#REF!</v>
      </c>
      <c r="D2113" s="103"/>
      <c r="E2113" s="53"/>
      <c r="F2113" s="53"/>
      <c r="G2113" s="53"/>
      <c r="H2113" s="53"/>
      <c r="I2113" s="53"/>
      <c r="J2113" s="53"/>
      <c r="K2113" s="53"/>
      <c r="L2113" s="53"/>
      <c r="M2113" s="53"/>
      <c r="N2113" s="53"/>
      <c r="O2113" s="53"/>
      <c r="P2113" s="53"/>
      <c r="Q2113" s="53"/>
      <c r="R2113" s="53"/>
      <c r="S2113" s="53"/>
      <c r="T2113" s="53"/>
      <c r="U2113" s="53"/>
      <c r="V2113" s="53"/>
      <c r="W2113" s="53"/>
      <c r="X2113" s="53"/>
      <c r="Y2113" s="53"/>
      <c r="Z2113" s="53"/>
    </row>
    <row r="2114" spans="1:26" ht="15.75" customHeight="1">
      <c r="A2114" s="103"/>
      <c r="B2114" s="103"/>
      <c r="C2114" s="104" t="e">
        <v>#REF!</v>
      </c>
      <c r="D2114" s="103"/>
      <c r="E2114" s="53"/>
      <c r="F2114" s="53"/>
      <c r="G2114" s="53"/>
      <c r="H2114" s="53"/>
      <c r="I2114" s="53"/>
      <c r="J2114" s="53"/>
      <c r="K2114" s="53"/>
      <c r="L2114" s="53"/>
      <c r="M2114" s="53"/>
      <c r="N2114" s="53"/>
      <c r="O2114" s="53"/>
      <c r="P2114" s="53"/>
      <c r="Q2114" s="53"/>
      <c r="R2114" s="53"/>
      <c r="S2114" s="53"/>
      <c r="T2114" s="53"/>
      <c r="U2114" s="53"/>
      <c r="V2114" s="53"/>
      <c r="W2114" s="53"/>
      <c r="X2114" s="53"/>
      <c r="Y2114" s="53"/>
      <c r="Z2114" s="53"/>
    </row>
    <row r="2115" spans="1:26" ht="15.75" customHeight="1">
      <c r="A2115" s="103"/>
      <c r="B2115" s="103"/>
      <c r="C2115" s="104" t="e">
        <v>#REF!</v>
      </c>
      <c r="D2115" s="103"/>
      <c r="E2115" s="53"/>
      <c r="F2115" s="53"/>
      <c r="G2115" s="53"/>
      <c r="H2115" s="53"/>
      <c r="I2115" s="53"/>
      <c r="J2115" s="53"/>
      <c r="K2115" s="53"/>
      <c r="L2115" s="53"/>
      <c r="M2115" s="53"/>
      <c r="N2115" s="53"/>
      <c r="O2115" s="53"/>
      <c r="P2115" s="53"/>
      <c r="Q2115" s="53"/>
      <c r="R2115" s="53"/>
      <c r="S2115" s="53"/>
      <c r="T2115" s="53"/>
      <c r="U2115" s="53"/>
      <c r="V2115" s="53"/>
      <c r="W2115" s="53"/>
      <c r="X2115" s="53"/>
      <c r="Y2115" s="53"/>
      <c r="Z2115" s="53"/>
    </row>
    <row r="2116" spans="1:26" ht="15.75" customHeight="1">
      <c r="A2116" s="103"/>
      <c r="B2116" s="103"/>
      <c r="C2116" s="104" t="e">
        <v>#REF!</v>
      </c>
      <c r="D2116" s="103"/>
      <c r="E2116" s="53"/>
      <c r="F2116" s="53"/>
      <c r="G2116" s="53"/>
      <c r="H2116" s="53"/>
      <c r="I2116" s="53"/>
      <c r="J2116" s="53"/>
      <c r="K2116" s="53"/>
      <c r="L2116" s="53"/>
      <c r="M2116" s="53"/>
      <c r="N2116" s="53"/>
      <c r="O2116" s="53"/>
      <c r="P2116" s="53"/>
      <c r="Q2116" s="53"/>
      <c r="R2116" s="53"/>
      <c r="S2116" s="53"/>
      <c r="T2116" s="53"/>
      <c r="U2116" s="53"/>
      <c r="V2116" s="53"/>
      <c r="W2116" s="53"/>
      <c r="X2116" s="53"/>
      <c r="Y2116" s="53"/>
      <c r="Z2116" s="53"/>
    </row>
    <row r="2117" spans="1:26" ht="15.75" customHeight="1">
      <c r="A2117" s="103"/>
      <c r="B2117" s="103"/>
      <c r="C2117" s="104" t="e">
        <v>#REF!</v>
      </c>
      <c r="D2117" s="103"/>
      <c r="E2117" s="53"/>
      <c r="F2117" s="53"/>
      <c r="G2117" s="53"/>
      <c r="H2117" s="53"/>
      <c r="I2117" s="53"/>
      <c r="J2117" s="53"/>
      <c r="K2117" s="53"/>
      <c r="L2117" s="53"/>
      <c r="M2117" s="53"/>
      <c r="N2117" s="53"/>
      <c r="O2117" s="53"/>
      <c r="P2117" s="53"/>
      <c r="Q2117" s="53"/>
      <c r="R2117" s="53"/>
      <c r="S2117" s="53"/>
      <c r="T2117" s="53"/>
      <c r="U2117" s="53"/>
      <c r="V2117" s="53"/>
      <c r="W2117" s="53"/>
      <c r="X2117" s="53"/>
      <c r="Y2117" s="53"/>
      <c r="Z2117" s="53"/>
    </row>
    <row r="2118" spans="1:26" ht="15.75" customHeight="1">
      <c r="A2118" s="103"/>
      <c r="B2118" s="103"/>
      <c r="C2118" s="104" t="e">
        <v>#REF!</v>
      </c>
      <c r="D2118" s="103"/>
      <c r="E2118" s="53"/>
      <c r="F2118" s="53"/>
      <c r="G2118" s="53"/>
      <c r="H2118" s="53"/>
      <c r="I2118" s="53"/>
      <c r="J2118" s="53"/>
      <c r="K2118" s="53"/>
      <c r="L2118" s="53"/>
      <c r="M2118" s="53"/>
      <c r="N2118" s="53"/>
      <c r="O2118" s="53"/>
      <c r="P2118" s="53"/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</row>
    <row r="2119" spans="1:26" ht="15.75" customHeight="1">
      <c r="A2119" s="103"/>
      <c r="B2119" s="103"/>
      <c r="C2119" s="104" t="e">
        <v>#REF!</v>
      </c>
      <c r="D2119" s="103"/>
      <c r="E2119" s="53"/>
      <c r="F2119" s="53"/>
      <c r="G2119" s="53"/>
      <c r="H2119" s="53"/>
      <c r="I2119" s="53"/>
      <c r="J2119" s="53"/>
      <c r="K2119" s="53"/>
      <c r="L2119" s="53"/>
      <c r="M2119" s="53"/>
      <c r="N2119" s="53"/>
      <c r="O2119" s="53"/>
      <c r="P2119" s="53"/>
      <c r="Q2119" s="53"/>
      <c r="R2119" s="53"/>
      <c r="S2119" s="53"/>
      <c r="T2119" s="53"/>
      <c r="U2119" s="53"/>
      <c r="V2119" s="53"/>
      <c r="W2119" s="53"/>
      <c r="X2119" s="53"/>
      <c r="Y2119" s="53"/>
      <c r="Z2119" s="53"/>
    </row>
    <row r="2120" spans="1:26" ht="15.75" customHeight="1">
      <c r="A2120" s="103"/>
      <c r="B2120" s="103"/>
      <c r="C2120" s="104" t="e">
        <v>#REF!</v>
      </c>
      <c r="D2120" s="103"/>
      <c r="E2120" s="53"/>
      <c r="F2120" s="53"/>
      <c r="G2120" s="53"/>
      <c r="H2120" s="53"/>
      <c r="I2120" s="53"/>
      <c r="J2120" s="53"/>
      <c r="K2120" s="53"/>
      <c r="L2120" s="53"/>
      <c r="M2120" s="53"/>
      <c r="N2120" s="53"/>
      <c r="O2120" s="53"/>
      <c r="P2120" s="53"/>
      <c r="Q2120" s="53"/>
      <c r="R2120" s="53"/>
      <c r="S2120" s="53"/>
      <c r="T2120" s="53"/>
      <c r="U2120" s="53"/>
      <c r="V2120" s="53"/>
      <c r="W2120" s="53"/>
      <c r="X2120" s="53"/>
      <c r="Y2120" s="53"/>
      <c r="Z2120" s="53"/>
    </row>
    <row r="2121" spans="1:26" ht="15.75" customHeight="1">
      <c r="A2121" s="103"/>
      <c r="B2121" s="103"/>
      <c r="C2121" s="104" t="e">
        <v>#REF!</v>
      </c>
      <c r="D2121" s="103"/>
      <c r="E2121" s="53"/>
      <c r="F2121" s="53"/>
      <c r="G2121" s="53"/>
      <c r="H2121" s="53"/>
      <c r="I2121" s="53"/>
      <c r="J2121" s="53"/>
      <c r="K2121" s="53"/>
      <c r="L2121" s="53"/>
      <c r="M2121" s="53"/>
      <c r="N2121" s="53"/>
      <c r="O2121" s="53"/>
      <c r="P2121" s="53"/>
      <c r="Q2121" s="53"/>
      <c r="R2121" s="53"/>
      <c r="S2121" s="53"/>
      <c r="T2121" s="53"/>
      <c r="U2121" s="53"/>
      <c r="V2121" s="53"/>
      <c r="W2121" s="53"/>
      <c r="X2121" s="53"/>
      <c r="Y2121" s="53"/>
      <c r="Z2121" s="53"/>
    </row>
    <row r="2122" spans="1:26" ht="15.75" customHeight="1">
      <c r="A2122" s="103"/>
      <c r="B2122" s="103"/>
      <c r="C2122" s="104" t="e">
        <v>#REF!</v>
      </c>
      <c r="D2122" s="103"/>
      <c r="E2122" s="53"/>
      <c r="F2122" s="53"/>
      <c r="G2122" s="53"/>
      <c r="H2122" s="53"/>
      <c r="I2122" s="53"/>
      <c r="J2122" s="53"/>
      <c r="K2122" s="53"/>
      <c r="L2122" s="53"/>
      <c r="M2122" s="53"/>
      <c r="N2122" s="53"/>
      <c r="O2122" s="53"/>
      <c r="P2122" s="53"/>
      <c r="Q2122" s="53"/>
      <c r="R2122" s="53"/>
      <c r="S2122" s="53"/>
      <c r="T2122" s="53"/>
      <c r="U2122" s="53"/>
      <c r="V2122" s="53"/>
      <c r="W2122" s="53"/>
      <c r="X2122" s="53"/>
      <c r="Y2122" s="53"/>
      <c r="Z2122" s="53"/>
    </row>
    <row r="2123" spans="1:26" ht="15.75" customHeight="1">
      <c r="A2123" s="103"/>
      <c r="B2123" s="103"/>
      <c r="C2123" s="104" t="e">
        <v>#REF!</v>
      </c>
      <c r="D2123" s="103"/>
      <c r="E2123" s="53"/>
      <c r="F2123" s="53"/>
      <c r="G2123" s="53"/>
      <c r="H2123" s="53"/>
      <c r="I2123" s="53"/>
      <c r="J2123" s="53"/>
      <c r="K2123" s="53"/>
      <c r="L2123" s="53"/>
      <c r="M2123" s="53"/>
      <c r="N2123" s="53"/>
      <c r="O2123" s="53"/>
      <c r="P2123" s="53"/>
      <c r="Q2123" s="53"/>
      <c r="R2123" s="53"/>
      <c r="S2123" s="53"/>
      <c r="T2123" s="53"/>
      <c r="U2123" s="53"/>
      <c r="V2123" s="53"/>
      <c r="W2123" s="53"/>
      <c r="X2123" s="53"/>
      <c r="Y2123" s="53"/>
      <c r="Z2123" s="53"/>
    </row>
    <row r="2124" spans="1:26" ht="15.75" customHeight="1">
      <c r="A2124" s="103"/>
      <c r="B2124" s="103"/>
      <c r="C2124" s="104" t="e">
        <v>#REF!</v>
      </c>
      <c r="D2124" s="103"/>
      <c r="E2124" s="53"/>
      <c r="F2124" s="53"/>
      <c r="G2124" s="53"/>
      <c r="H2124" s="53"/>
      <c r="I2124" s="53"/>
      <c r="J2124" s="53"/>
      <c r="K2124" s="53"/>
      <c r="L2124" s="53"/>
      <c r="M2124" s="53"/>
      <c r="N2124" s="53"/>
      <c r="O2124" s="53"/>
      <c r="P2124" s="53"/>
      <c r="Q2124" s="53"/>
      <c r="R2124" s="53"/>
      <c r="S2124" s="53"/>
      <c r="T2124" s="53"/>
      <c r="U2124" s="53"/>
      <c r="V2124" s="53"/>
      <c r="W2124" s="53"/>
      <c r="X2124" s="53"/>
      <c r="Y2124" s="53"/>
      <c r="Z2124" s="53"/>
    </row>
    <row r="2125" spans="1:26" ht="15.75" customHeight="1">
      <c r="A2125" s="103"/>
      <c r="B2125" s="103"/>
      <c r="C2125" s="104" t="e">
        <v>#REF!</v>
      </c>
      <c r="D2125" s="103"/>
      <c r="E2125" s="53"/>
      <c r="F2125" s="53"/>
      <c r="G2125" s="53"/>
      <c r="H2125" s="53"/>
      <c r="I2125" s="53"/>
      <c r="J2125" s="53"/>
      <c r="K2125" s="53"/>
      <c r="L2125" s="53"/>
      <c r="M2125" s="53"/>
      <c r="N2125" s="53"/>
      <c r="O2125" s="53"/>
      <c r="P2125" s="53"/>
      <c r="Q2125" s="53"/>
      <c r="R2125" s="53"/>
      <c r="S2125" s="53"/>
      <c r="T2125" s="53"/>
      <c r="U2125" s="53"/>
      <c r="V2125" s="53"/>
      <c r="W2125" s="53"/>
      <c r="X2125" s="53"/>
      <c r="Y2125" s="53"/>
      <c r="Z2125" s="53"/>
    </row>
    <row r="2126" spans="1:26" ht="15.75" customHeight="1">
      <c r="A2126" s="103"/>
      <c r="B2126" s="103"/>
      <c r="C2126" s="104" t="e">
        <v>#REF!</v>
      </c>
      <c r="D2126" s="103"/>
      <c r="E2126" s="53"/>
      <c r="F2126" s="53"/>
      <c r="G2126" s="53"/>
      <c r="H2126" s="53"/>
      <c r="I2126" s="53"/>
      <c r="J2126" s="53"/>
      <c r="K2126" s="53"/>
      <c r="L2126" s="53"/>
      <c r="M2126" s="53"/>
      <c r="N2126" s="53"/>
      <c r="O2126" s="53"/>
      <c r="P2126" s="53"/>
      <c r="Q2126" s="53"/>
      <c r="R2126" s="53"/>
      <c r="S2126" s="53"/>
      <c r="T2126" s="53"/>
      <c r="U2126" s="53"/>
      <c r="V2126" s="53"/>
      <c r="W2126" s="53"/>
      <c r="X2126" s="53"/>
      <c r="Y2126" s="53"/>
      <c r="Z2126" s="53"/>
    </row>
    <row r="2127" spans="1:26" ht="15.75" customHeight="1">
      <c r="A2127" s="103"/>
      <c r="B2127" s="103"/>
      <c r="C2127" s="104" t="e">
        <v>#REF!</v>
      </c>
      <c r="D2127" s="103"/>
      <c r="E2127" s="53"/>
      <c r="F2127" s="53"/>
      <c r="G2127" s="53"/>
      <c r="H2127" s="53"/>
      <c r="I2127" s="53"/>
      <c r="J2127" s="53"/>
      <c r="K2127" s="53"/>
      <c r="L2127" s="53"/>
      <c r="M2127" s="53"/>
      <c r="N2127" s="53"/>
      <c r="O2127" s="53"/>
      <c r="P2127" s="53"/>
      <c r="Q2127" s="53"/>
      <c r="R2127" s="53"/>
      <c r="S2127" s="53"/>
      <c r="T2127" s="53"/>
      <c r="U2127" s="53"/>
      <c r="V2127" s="53"/>
      <c r="W2127" s="53"/>
      <c r="X2127" s="53"/>
      <c r="Y2127" s="53"/>
      <c r="Z2127" s="53"/>
    </row>
    <row r="2128" spans="1:26" ht="15.75" customHeight="1">
      <c r="A2128" s="103"/>
      <c r="B2128" s="103"/>
      <c r="C2128" s="104" t="e">
        <v>#REF!</v>
      </c>
      <c r="D2128" s="103"/>
      <c r="E2128" s="53"/>
      <c r="F2128" s="53"/>
      <c r="G2128" s="53"/>
      <c r="H2128" s="53"/>
      <c r="I2128" s="53"/>
      <c r="J2128" s="53"/>
      <c r="K2128" s="53"/>
      <c r="L2128" s="53"/>
      <c r="M2128" s="53"/>
      <c r="N2128" s="53"/>
      <c r="O2128" s="53"/>
      <c r="P2128" s="53"/>
      <c r="Q2128" s="53"/>
      <c r="R2128" s="53"/>
      <c r="S2128" s="53"/>
      <c r="T2128" s="53"/>
      <c r="U2128" s="53"/>
      <c r="V2128" s="53"/>
      <c r="W2128" s="53"/>
      <c r="X2128" s="53"/>
      <c r="Y2128" s="53"/>
      <c r="Z2128" s="53"/>
    </row>
    <row r="2129" spans="1:26" ht="15.75" customHeight="1">
      <c r="A2129" s="103"/>
      <c r="B2129" s="103"/>
      <c r="C2129" s="104" t="e">
        <v>#REF!</v>
      </c>
      <c r="D2129" s="103"/>
      <c r="E2129" s="53"/>
      <c r="F2129" s="53"/>
      <c r="G2129" s="53"/>
      <c r="H2129" s="53"/>
      <c r="I2129" s="53"/>
      <c r="J2129" s="53"/>
      <c r="K2129" s="53"/>
      <c r="L2129" s="53"/>
      <c r="M2129" s="53"/>
      <c r="N2129" s="53"/>
      <c r="O2129" s="53"/>
      <c r="P2129" s="53"/>
      <c r="Q2129" s="53"/>
      <c r="R2129" s="53"/>
      <c r="S2129" s="53"/>
      <c r="T2129" s="53"/>
      <c r="U2129" s="53"/>
      <c r="V2129" s="53"/>
      <c r="W2129" s="53"/>
      <c r="X2129" s="53"/>
      <c r="Y2129" s="53"/>
      <c r="Z2129" s="53"/>
    </row>
    <row r="2130" spans="1:26" ht="15.75" customHeight="1">
      <c r="A2130" s="103"/>
      <c r="B2130" s="103"/>
      <c r="C2130" s="104" t="e">
        <v>#REF!</v>
      </c>
      <c r="D2130" s="103"/>
      <c r="E2130" s="53"/>
      <c r="F2130" s="53"/>
      <c r="G2130" s="53"/>
      <c r="H2130" s="53"/>
      <c r="I2130" s="53"/>
      <c r="J2130" s="53"/>
      <c r="K2130" s="53"/>
      <c r="L2130" s="53"/>
      <c r="M2130" s="53"/>
      <c r="N2130" s="53"/>
      <c r="O2130" s="53"/>
      <c r="P2130" s="53"/>
      <c r="Q2130" s="53"/>
      <c r="R2130" s="53"/>
      <c r="S2130" s="53"/>
      <c r="T2130" s="53"/>
      <c r="U2130" s="53"/>
      <c r="V2130" s="53"/>
      <c r="W2130" s="53"/>
      <c r="X2130" s="53"/>
      <c r="Y2130" s="53"/>
      <c r="Z2130" s="53"/>
    </row>
    <row r="2131" spans="1:26" ht="15.75" customHeight="1">
      <c r="A2131" s="103"/>
      <c r="B2131" s="103"/>
      <c r="C2131" s="104" t="e">
        <v>#REF!</v>
      </c>
      <c r="D2131" s="103"/>
      <c r="E2131" s="53"/>
      <c r="F2131" s="53"/>
      <c r="G2131" s="53"/>
      <c r="H2131" s="53"/>
      <c r="I2131" s="53"/>
      <c r="J2131" s="53"/>
      <c r="K2131" s="53"/>
      <c r="L2131" s="53"/>
      <c r="M2131" s="53"/>
      <c r="N2131" s="53"/>
      <c r="O2131" s="53"/>
      <c r="P2131" s="53"/>
      <c r="Q2131" s="53"/>
      <c r="R2131" s="53"/>
      <c r="S2131" s="53"/>
      <c r="T2131" s="53"/>
      <c r="U2131" s="53"/>
      <c r="V2131" s="53"/>
      <c r="W2131" s="53"/>
      <c r="X2131" s="53"/>
      <c r="Y2131" s="53"/>
      <c r="Z2131" s="53"/>
    </row>
    <row r="2132" spans="1:26" ht="15.75" customHeight="1">
      <c r="A2132" s="103"/>
      <c r="B2132" s="103"/>
      <c r="C2132" s="104" t="e">
        <v>#REF!</v>
      </c>
      <c r="D2132" s="103"/>
      <c r="E2132" s="53"/>
      <c r="F2132" s="53"/>
      <c r="G2132" s="53"/>
      <c r="H2132" s="53"/>
      <c r="I2132" s="53"/>
      <c r="J2132" s="53"/>
      <c r="K2132" s="53"/>
      <c r="L2132" s="53"/>
      <c r="M2132" s="53"/>
      <c r="N2132" s="53"/>
      <c r="O2132" s="53"/>
      <c r="P2132" s="53"/>
      <c r="Q2132" s="53"/>
      <c r="R2132" s="53"/>
      <c r="S2132" s="53"/>
      <c r="T2132" s="53"/>
      <c r="U2132" s="53"/>
      <c r="V2132" s="53"/>
      <c r="W2132" s="53"/>
      <c r="X2132" s="53"/>
      <c r="Y2132" s="53"/>
      <c r="Z2132" s="53"/>
    </row>
    <row r="2133" spans="1:26" ht="15.75" customHeight="1">
      <c r="A2133" s="103"/>
      <c r="B2133" s="103"/>
      <c r="C2133" s="104" t="e">
        <v>#REF!</v>
      </c>
      <c r="D2133" s="103"/>
      <c r="E2133" s="53"/>
      <c r="F2133" s="53"/>
      <c r="G2133" s="53"/>
      <c r="H2133" s="53"/>
      <c r="I2133" s="53"/>
      <c r="J2133" s="53"/>
      <c r="K2133" s="53"/>
      <c r="L2133" s="53"/>
      <c r="M2133" s="53"/>
      <c r="N2133" s="53"/>
      <c r="O2133" s="53"/>
      <c r="P2133" s="53"/>
      <c r="Q2133" s="53"/>
      <c r="R2133" s="53"/>
      <c r="S2133" s="53"/>
      <c r="T2133" s="53"/>
      <c r="U2133" s="53"/>
      <c r="V2133" s="53"/>
      <c r="W2133" s="53"/>
      <c r="X2133" s="53"/>
      <c r="Y2133" s="53"/>
      <c r="Z2133" s="53"/>
    </row>
    <row r="2134" spans="1:26" ht="15.75" customHeight="1">
      <c r="A2134" s="103"/>
      <c r="B2134" s="103"/>
      <c r="C2134" s="104" t="e">
        <v>#REF!</v>
      </c>
      <c r="D2134" s="103"/>
      <c r="E2134" s="53"/>
      <c r="F2134" s="53"/>
      <c r="G2134" s="53"/>
      <c r="H2134" s="53"/>
      <c r="I2134" s="53"/>
      <c r="J2134" s="53"/>
      <c r="K2134" s="53"/>
      <c r="L2134" s="53"/>
      <c r="M2134" s="53"/>
      <c r="N2134" s="53"/>
      <c r="O2134" s="53"/>
      <c r="P2134" s="53"/>
      <c r="Q2134" s="53"/>
      <c r="R2134" s="53"/>
      <c r="S2134" s="53"/>
      <c r="T2134" s="53"/>
      <c r="U2134" s="53"/>
      <c r="V2134" s="53"/>
      <c r="W2134" s="53"/>
      <c r="X2134" s="53"/>
      <c r="Y2134" s="53"/>
      <c r="Z2134" s="53"/>
    </row>
    <row r="2135" spans="1:26" ht="15.75" customHeight="1">
      <c r="A2135" s="103"/>
      <c r="B2135" s="103"/>
      <c r="C2135" s="104" t="e">
        <v>#REF!</v>
      </c>
      <c r="D2135" s="103"/>
      <c r="E2135" s="53"/>
      <c r="F2135" s="53"/>
      <c r="G2135" s="53"/>
      <c r="H2135" s="53"/>
      <c r="I2135" s="53"/>
      <c r="J2135" s="53"/>
      <c r="K2135" s="53"/>
      <c r="L2135" s="53"/>
      <c r="M2135" s="53"/>
      <c r="N2135" s="53"/>
      <c r="O2135" s="53"/>
      <c r="P2135" s="53"/>
      <c r="Q2135" s="53"/>
      <c r="R2135" s="53"/>
      <c r="S2135" s="53"/>
      <c r="T2135" s="53"/>
      <c r="U2135" s="53"/>
      <c r="V2135" s="53"/>
      <c r="W2135" s="53"/>
      <c r="X2135" s="53"/>
      <c r="Y2135" s="53"/>
      <c r="Z2135" s="53"/>
    </row>
    <row r="2136" spans="1:26" ht="15.75" customHeight="1">
      <c r="A2136" s="103"/>
      <c r="B2136" s="103"/>
      <c r="C2136" s="104" t="e">
        <v>#REF!</v>
      </c>
      <c r="D2136" s="103"/>
      <c r="E2136" s="53"/>
      <c r="F2136" s="53"/>
      <c r="G2136" s="53"/>
      <c r="H2136" s="53"/>
      <c r="I2136" s="53"/>
      <c r="J2136" s="53"/>
      <c r="K2136" s="53"/>
      <c r="L2136" s="53"/>
      <c r="M2136" s="53"/>
      <c r="N2136" s="53"/>
      <c r="O2136" s="53"/>
      <c r="P2136" s="53"/>
      <c r="Q2136" s="53"/>
      <c r="R2136" s="53"/>
      <c r="S2136" s="53"/>
      <c r="T2136" s="53"/>
      <c r="U2136" s="53"/>
      <c r="V2136" s="53"/>
      <c r="W2136" s="53"/>
      <c r="X2136" s="53"/>
      <c r="Y2136" s="53"/>
      <c r="Z2136" s="53"/>
    </row>
    <row r="2137" spans="1:26" ht="15.75" customHeight="1">
      <c r="A2137" s="103"/>
      <c r="B2137" s="103"/>
      <c r="C2137" s="104" t="e">
        <v>#REF!</v>
      </c>
      <c r="D2137" s="103"/>
      <c r="E2137" s="53"/>
      <c r="F2137" s="53"/>
      <c r="G2137" s="53"/>
      <c r="H2137" s="53"/>
      <c r="I2137" s="53"/>
      <c r="J2137" s="53"/>
      <c r="K2137" s="53"/>
      <c r="L2137" s="53"/>
      <c r="M2137" s="53"/>
      <c r="N2137" s="53"/>
      <c r="O2137" s="53"/>
      <c r="P2137" s="53"/>
      <c r="Q2137" s="53"/>
      <c r="R2137" s="53"/>
      <c r="S2137" s="53"/>
      <c r="T2137" s="53"/>
      <c r="U2137" s="53"/>
      <c r="V2137" s="53"/>
      <c r="W2137" s="53"/>
      <c r="X2137" s="53"/>
      <c r="Y2137" s="53"/>
      <c r="Z2137" s="53"/>
    </row>
    <row r="2138" spans="1:26" ht="15.75" customHeight="1">
      <c r="A2138" s="103"/>
      <c r="B2138" s="103"/>
      <c r="C2138" s="104" t="e">
        <v>#REF!</v>
      </c>
      <c r="D2138" s="103"/>
      <c r="E2138" s="53"/>
      <c r="F2138" s="53"/>
      <c r="G2138" s="53"/>
      <c r="H2138" s="53"/>
      <c r="I2138" s="53"/>
      <c r="J2138" s="53"/>
      <c r="K2138" s="53"/>
      <c r="L2138" s="53"/>
      <c r="M2138" s="53"/>
      <c r="N2138" s="53"/>
      <c r="O2138" s="53"/>
      <c r="P2138" s="53"/>
      <c r="Q2138" s="53"/>
      <c r="R2138" s="53"/>
      <c r="S2138" s="53"/>
      <c r="T2138" s="53"/>
      <c r="U2138" s="53"/>
      <c r="V2138" s="53"/>
      <c r="W2138" s="53"/>
      <c r="X2138" s="53"/>
      <c r="Y2138" s="53"/>
      <c r="Z2138" s="53"/>
    </row>
    <row r="2139" spans="1:26" ht="15.75" customHeight="1">
      <c r="A2139" s="103"/>
      <c r="B2139" s="103"/>
      <c r="C2139" s="104" t="e">
        <v>#REF!</v>
      </c>
      <c r="D2139" s="103"/>
      <c r="E2139" s="53"/>
      <c r="F2139" s="53"/>
      <c r="G2139" s="53"/>
      <c r="H2139" s="53"/>
      <c r="I2139" s="53"/>
      <c r="J2139" s="53"/>
      <c r="K2139" s="53"/>
      <c r="L2139" s="53"/>
      <c r="M2139" s="53"/>
      <c r="N2139" s="53"/>
      <c r="O2139" s="53"/>
      <c r="P2139" s="53"/>
      <c r="Q2139" s="53"/>
      <c r="R2139" s="53"/>
      <c r="S2139" s="53"/>
      <c r="T2139" s="53"/>
      <c r="U2139" s="53"/>
      <c r="V2139" s="53"/>
      <c r="W2139" s="53"/>
      <c r="X2139" s="53"/>
      <c r="Y2139" s="53"/>
      <c r="Z2139" s="53"/>
    </row>
    <row r="2140" spans="1:26" ht="15.75" customHeight="1">
      <c r="A2140" s="103"/>
      <c r="B2140" s="103"/>
      <c r="C2140" s="104" t="e">
        <v>#REF!</v>
      </c>
      <c r="D2140" s="103"/>
      <c r="E2140" s="53"/>
      <c r="F2140" s="53"/>
      <c r="G2140" s="53"/>
      <c r="H2140" s="53"/>
      <c r="I2140" s="53"/>
      <c r="J2140" s="53"/>
      <c r="K2140" s="53"/>
      <c r="L2140" s="53"/>
      <c r="M2140" s="53"/>
      <c r="N2140" s="53"/>
      <c r="O2140" s="53"/>
      <c r="P2140" s="53"/>
      <c r="Q2140" s="53"/>
      <c r="R2140" s="53"/>
      <c r="S2140" s="53"/>
      <c r="T2140" s="53"/>
      <c r="U2140" s="53"/>
      <c r="V2140" s="53"/>
      <c r="W2140" s="53"/>
      <c r="X2140" s="53"/>
      <c r="Y2140" s="53"/>
      <c r="Z2140" s="53"/>
    </row>
    <row r="2141" spans="1:26" ht="15.75" customHeight="1">
      <c r="A2141" s="103"/>
      <c r="B2141" s="103"/>
      <c r="C2141" s="104" t="e">
        <v>#REF!</v>
      </c>
      <c r="D2141" s="103"/>
      <c r="E2141" s="53"/>
      <c r="F2141" s="53"/>
      <c r="G2141" s="53"/>
      <c r="H2141" s="53"/>
      <c r="I2141" s="53"/>
      <c r="J2141" s="53"/>
      <c r="K2141" s="53"/>
      <c r="L2141" s="53"/>
      <c r="M2141" s="53"/>
      <c r="N2141" s="53"/>
      <c r="O2141" s="53"/>
      <c r="P2141" s="53"/>
      <c r="Q2141" s="53"/>
      <c r="R2141" s="53"/>
      <c r="S2141" s="53"/>
      <c r="T2141" s="53"/>
      <c r="U2141" s="53"/>
      <c r="V2141" s="53"/>
      <c r="W2141" s="53"/>
      <c r="X2141" s="53"/>
      <c r="Y2141" s="53"/>
      <c r="Z2141" s="53"/>
    </row>
    <row r="2142" spans="1:26" ht="15.75" customHeight="1">
      <c r="A2142" s="103"/>
      <c r="B2142" s="103"/>
      <c r="C2142" s="104" t="e">
        <v>#REF!</v>
      </c>
      <c r="D2142" s="103"/>
      <c r="E2142" s="53"/>
      <c r="F2142" s="53"/>
      <c r="G2142" s="53"/>
      <c r="H2142" s="53"/>
      <c r="I2142" s="53"/>
      <c r="J2142" s="53"/>
      <c r="K2142" s="53"/>
      <c r="L2142" s="53"/>
      <c r="M2142" s="53"/>
      <c r="N2142" s="53"/>
      <c r="O2142" s="53"/>
      <c r="P2142" s="53"/>
      <c r="Q2142" s="53"/>
      <c r="R2142" s="53"/>
      <c r="S2142" s="53"/>
      <c r="T2142" s="53"/>
      <c r="U2142" s="53"/>
      <c r="V2142" s="53"/>
      <c r="W2142" s="53"/>
      <c r="X2142" s="53"/>
      <c r="Y2142" s="53"/>
      <c r="Z2142" s="53"/>
    </row>
    <row r="2143" spans="1:26" ht="15.75" customHeight="1">
      <c r="A2143" s="103"/>
      <c r="B2143" s="103"/>
      <c r="C2143" s="104" t="e">
        <v>#REF!</v>
      </c>
      <c r="D2143" s="103"/>
      <c r="E2143" s="53"/>
      <c r="F2143" s="53"/>
      <c r="G2143" s="53"/>
      <c r="H2143" s="53"/>
      <c r="I2143" s="53"/>
      <c r="J2143" s="53"/>
      <c r="K2143" s="53"/>
      <c r="L2143" s="53"/>
      <c r="M2143" s="53"/>
      <c r="N2143" s="53"/>
      <c r="O2143" s="53"/>
      <c r="P2143" s="53"/>
      <c r="Q2143" s="53"/>
      <c r="R2143" s="53"/>
      <c r="S2143" s="53"/>
      <c r="T2143" s="53"/>
      <c r="U2143" s="53"/>
      <c r="V2143" s="53"/>
      <c r="W2143" s="53"/>
      <c r="X2143" s="53"/>
      <c r="Y2143" s="53"/>
      <c r="Z2143" s="53"/>
    </row>
    <row r="2144" spans="1:26" ht="15.75" customHeight="1">
      <c r="A2144" s="103"/>
      <c r="B2144" s="103"/>
      <c r="C2144" s="104" t="e">
        <v>#REF!</v>
      </c>
      <c r="D2144" s="103"/>
      <c r="E2144" s="53"/>
      <c r="F2144" s="53"/>
      <c r="G2144" s="53"/>
      <c r="H2144" s="53"/>
      <c r="I2144" s="53"/>
      <c r="J2144" s="53"/>
      <c r="K2144" s="53"/>
      <c r="L2144" s="53"/>
      <c r="M2144" s="53"/>
      <c r="N2144" s="53"/>
      <c r="O2144" s="53"/>
      <c r="P2144" s="53"/>
      <c r="Q2144" s="53"/>
      <c r="R2144" s="53"/>
      <c r="S2144" s="53"/>
      <c r="T2144" s="53"/>
      <c r="U2144" s="53"/>
      <c r="V2144" s="53"/>
      <c r="W2144" s="53"/>
      <c r="X2144" s="53"/>
      <c r="Y2144" s="53"/>
      <c r="Z2144" s="53"/>
    </row>
    <row r="2145" spans="1:26" ht="15.75" customHeight="1">
      <c r="A2145" s="103"/>
      <c r="B2145" s="103"/>
      <c r="C2145" s="104" t="e">
        <v>#REF!</v>
      </c>
      <c r="D2145" s="103"/>
      <c r="E2145" s="53"/>
      <c r="F2145" s="53"/>
      <c r="G2145" s="53"/>
      <c r="H2145" s="53"/>
      <c r="I2145" s="53"/>
      <c r="J2145" s="53"/>
      <c r="K2145" s="53"/>
      <c r="L2145" s="53"/>
      <c r="M2145" s="53"/>
      <c r="N2145" s="53"/>
      <c r="O2145" s="53"/>
      <c r="P2145" s="53"/>
      <c r="Q2145" s="53"/>
      <c r="R2145" s="53"/>
      <c r="S2145" s="53"/>
      <c r="T2145" s="53"/>
      <c r="U2145" s="53"/>
      <c r="V2145" s="53"/>
      <c r="W2145" s="53"/>
      <c r="X2145" s="53"/>
      <c r="Y2145" s="53"/>
      <c r="Z2145" s="53"/>
    </row>
    <row r="2146" spans="1:26" ht="15.75" customHeight="1">
      <c r="A2146" s="103"/>
      <c r="B2146" s="103"/>
      <c r="C2146" s="104" t="e">
        <v>#REF!</v>
      </c>
      <c r="D2146" s="103"/>
      <c r="E2146" s="53"/>
      <c r="F2146" s="53"/>
      <c r="G2146" s="53"/>
      <c r="H2146" s="53"/>
      <c r="I2146" s="53"/>
      <c r="J2146" s="53"/>
      <c r="K2146" s="53"/>
      <c r="L2146" s="53"/>
      <c r="M2146" s="53"/>
      <c r="N2146" s="53"/>
      <c r="O2146" s="53"/>
      <c r="P2146" s="53"/>
      <c r="Q2146" s="53"/>
      <c r="R2146" s="53"/>
      <c r="S2146" s="53"/>
      <c r="T2146" s="53"/>
      <c r="U2146" s="53"/>
      <c r="V2146" s="53"/>
      <c r="W2146" s="53"/>
      <c r="X2146" s="53"/>
      <c r="Y2146" s="53"/>
      <c r="Z2146" s="53"/>
    </row>
    <row r="2147" spans="1:26" ht="15.75" customHeight="1">
      <c r="A2147" s="103"/>
      <c r="B2147" s="103"/>
      <c r="C2147" s="104" t="e">
        <v>#REF!</v>
      </c>
      <c r="D2147" s="103"/>
      <c r="E2147" s="53"/>
      <c r="F2147" s="53"/>
      <c r="G2147" s="53"/>
      <c r="H2147" s="53"/>
      <c r="I2147" s="53"/>
      <c r="J2147" s="53"/>
      <c r="K2147" s="53"/>
      <c r="L2147" s="53"/>
      <c r="M2147" s="53"/>
      <c r="N2147" s="53"/>
      <c r="O2147" s="53"/>
      <c r="P2147" s="53"/>
      <c r="Q2147" s="53"/>
      <c r="R2147" s="53"/>
      <c r="S2147" s="53"/>
      <c r="T2147" s="53"/>
      <c r="U2147" s="53"/>
      <c r="V2147" s="53"/>
      <c r="W2147" s="53"/>
      <c r="X2147" s="53"/>
      <c r="Y2147" s="53"/>
      <c r="Z2147" s="53"/>
    </row>
    <row r="2148" spans="1:26" ht="15.75" customHeight="1">
      <c r="A2148" s="103"/>
      <c r="B2148" s="103"/>
      <c r="C2148" s="104" t="e">
        <v>#REF!</v>
      </c>
      <c r="D2148" s="103"/>
      <c r="E2148" s="53"/>
      <c r="F2148" s="53"/>
      <c r="G2148" s="53"/>
      <c r="H2148" s="53"/>
      <c r="I2148" s="53"/>
      <c r="J2148" s="53"/>
      <c r="K2148" s="53"/>
      <c r="L2148" s="53"/>
      <c r="M2148" s="53"/>
      <c r="N2148" s="53"/>
      <c r="O2148" s="53"/>
      <c r="P2148" s="53"/>
      <c r="Q2148" s="53"/>
      <c r="R2148" s="53"/>
      <c r="S2148" s="53"/>
      <c r="T2148" s="53"/>
      <c r="U2148" s="53"/>
      <c r="V2148" s="53"/>
      <c r="W2148" s="53"/>
      <c r="X2148" s="53"/>
      <c r="Y2148" s="53"/>
      <c r="Z2148" s="53"/>
    </row>
    <row r="2149" spans="1:26" ht="15.75" customHeight="1">
      <c r="A2149" s="103"/>
      <c r="B2149" s="103"/>
      <c r="C2149" s="104" t="e">
        <v>#REF!</v>
      </c>
      <c r="D2149" s="103"/>
      <c r="E2149" s="53"/>
      <c r="F2149" s="53"/>
      <c r="G2149" s="53"/>
      <c r="H2149" s="53"/>
      <c r="I2149" s="53"/>
      <c r="J2149" s="53"/>
      <c r="K2149" s="53"/>
      <c r="L2149" s="53"/>
      <c r="M2149" s="53"/>
      <c r="N2149" s="53"/>
      <c r="O2149" s="53"/>
      <c r="P2149" s="53"/>
      <c r="Q2149" s="53"/>
      <c r="R2149" s="53"/>
      <c r="S2149" s="53"/>
      <c r="T2149" s="53"/>
      <c r="U2149" s="53"/>
      <c r="V2149" s="53"/>
      <c r="W2149" s="53"/>
      <c r="X2149" s="53"/>
      <c r="Y2149" s="53"/>
      <c r="Z2149" s="53"/>
    </row>
    <row r="2150" spans="1:26" ht="15.75" customHeight="1">
      <c r="A2150" s="103"/>
      <c r="B2150" s="103"/>
      <c r="C2150" s="104" t="e">
        <v>#REF!</v>
      </c>
      <c r="D2150" s="103"/>
      <c r="E2150" s="53"/>
      <c r="F2150" s="53"/>
      <c r="G2150" s="53"/>
      <c r="H2150" s="53"/>
      <c r="I2150" s="53"/>
      <c r="J2150" s="53"/>
      <c r="K2150" s="53"/>
      <c r="L2150" s="53"/>
      <c r="M2150" s="53"/>
      <c r="N2150" s="53"/>
      <c r="O2150" s="53"/>
      <c r="P2150" s="53"/>
      <c r="Q2150" s="53"/>
      <c r="R2150" s="53"/>
      <c r="S2150" s="53"/>
      <c r="T2150" s="53"/>
      <c r="U2150" s="53"/>
      <c r="V2150" s="53"/>
      <c r="W2150" s="53"/>
      <c r="X2150" s="53"/>
      <c r="Y2150" s="53"/>
      <c r="Z2150" s="53"/>
    </row>
    <row r="2151" spans="1:26" ht="15.75" customHeight="1">
      <c r="A2151" s="103"/>
      <c r="B2151" s="103"/>
      <c r="C2151" s="104" t="e">
        <v>#REF!</v>
      </c>
      <c r="D2151" s="103"/>
      <c r="E2151" s="53"/>
      <c r="F2151" s="53"/>
      <c r="G2151" s="53"/>
      <c r="H2151" s="53"/>
      <c r="I2151" s="53"/>
      <c r="J2151" s="53"/>
      <c r="K2151" s="53"/>
      <c r="L2151" s="53"/>
      <c r="M2151" s="53"/>
      <c r="N2151" s="53"/>
      <c r="O2151" s="53"/>
      <c r="P2151" s="53"/>
      <c r="Q2151" s="53"/>
      <c r="R2151" s="53"/>
      <c r="S2151" s="53"/>
      <c r="T2151" s="53"/>
      <c r="U2151" s="53"/>
      <c r="V2151" s="53"/>
      <c r="W2151" s="53"/>
      <c r="X2151" s="53"/>
      <c r="Y2151" s="53"/>
      <c r="Z2151" s="53"/>
    </row>
    <row r="2152" spans="1:26" ht="15.75" customHeight="1">
      <c r="A2152" s="103"/>
      <c r="B2152" s="103"/>
      <c r="C2152" s="104" t="e">
        <v>#REF!</v>
      </c>
      <c r="D2152" s="103"/>
      <c r="E2152" s="53"/>
      <c r="F2152" s="53"/>
      <c r="G2152" s="53"/>
      <c r="H2152" s="53"/>
      <c r="I2152" s="53"/>
      <c r="J2152" s="53"/>
      <c r="K2152" s="53"/>
      <c r="L2152" s="53"/>
      <c r="M2152" s="53"/>
      <c r="N2152" s="53"/>
      <c r="O2152" s="53"/>
      <c r="P2152" s="53"/>
      <c r="Q2152" s="53"/>
      <c r="R2152" s="53"/>
      <c r="S2152" s="53"/>
      <c r="T2152" s="53"/>
      <c r="U2152" s="53"/>
      <c r="V2152" s="53"/>
      <c r="W2152" s="53"/>
      <c r="X2152" s="53"/>
      <c r="Y2152" s="53"/>
      <c r="Z2152" s="53"/>
    </row>
    <row r="2153" spans="1:26" ht="15.75" customHeight="1">
      <c r="A2153" s="103"/>
      <c r="B2153" s="103"/>
      <c r="C2153" s="104" t="e">
        <v>#REF!</v>
      </c>
      <c r="D2153" s="103"/>
      <c r="E2153" s="53"/>
      <c r="F2153" s="53"/>
      <c r="G2153" s="53"/>
      <c r="H2153" s="53"/>
      <c r="I2153" s="53"/>
      <c r="J2153" s="53"/>
      <c r="K2153" s="53"/>
      <c r="L2153" s="53"/>
      <c r="M2153" s="53"/>
      <c r="N2153" s="53"/>
      <c r="O2153" s="53"/>
      <c r="P2153" s="53"/>
      <c r="Q2153" s="53"/>
      <c r="R2153" s="53"/>
      <c r="S2153" s="53"/>
      <c r="T2153" s="53"/>
      <c r="U2153" s="53"/>
      <c r="V2153" s="53"/>
      <c r="W2153" s="53"/>
      <c r="X2153" s="53"/>
      <c r="Y2153" s="53"/>
      <c r="Z2153" s="53"/>
    </row>
    <row r="2154" spans="1:26" ht="15.75" customHeight="1">
      <c r="A2154" s="103"/>
      <c r="B2154" s="103"/>
      <c r="C2154" s="104" t="e">
        <v>#REF!</v>
      </c>
      <c r="D2154" s="103"/>
      <c r="E2154" s="53"/>
      <c r="F2154" s="53"/>
      <c r="G2154" s="53"/>
      <c r="H2154" s="53"/>
      <c r="I2154" s="53"/>
      <c r="J2154" s="53"/>
      <c r="K2154" s="53"/>
      <c r="L2154" s="53"/>
      <c r="M2154" s="53"/>
      <c r="N2154" s="53"/>
      <c r="O2154" s="53"/>
      <c r="P2154" s="53"/>
      <c r="Q2154" s="53"/>
      <c r="R2154" s="53"/>
      <c r="S2154" s="53"/>
      <c r="T2154" s="53"/>
      <c r="U2154" s="53"/>
      <c r="V2154" s="53"/>
      <c r="W2154" s="53"/>
      <c r="X2154" s="53"/>
      <c r="Y2154" s="53"/>
      <c r="Z2154" s="53"/>
    </row>
    <row r="2155" spans="1:26" ht="15.75" customHeight="1">
      <c r="A2155" s="103"/>
      <c r="B2155" s="103"/>
      <c r="C2155" s="104" t="e">
        <v>#REF!</v>
      </c>
      <c r="D2155" s="103"/>
      <c r="E2155" s="53"/>
      <c r="F2155" s="53"/>
      <c r="G2155" s="53"/>
      <c r="H2155" s="53"/>
      <c r="I2155" s="53"/>
      <c r="J2155" s="53"/>
      <c r="K2155" s="53"/>
      <c r="L2155" s="53"/>
      <c r="M2155" s="53"/>
      <c r="N2155" s="53"/>
      <c r="O2155" s="53"/>
      <c r="P2155" s="53"/>
      <c r="Q2155" s="53"/>
      <c r="R2155" s="53"/>
      <c r="S2155" s="53"/>
      <c r="T2155" s="53"/>
      <c r="U2155" s="53"/>
      <c r="V2155" s="53"/>
      <c r="W2155" s="53"/>
      <c r="X2155" s="53"/>
      <c r="Y2155" s="53"/>
      <c r="Z2155" s="53"/>
    </row>
    <row r="2156" spans="1:26" ht="15.75" customHeight="1">
      <c r="A2156" s="103"/>
      <c r="B2156" s="103"/>
      <c r="C2156" s="104" t="e">
        <v>#REF!</v>
      </c>
      <c r="D2156" s="10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</row>
    <row r="2157" spans="1:26" ht="15.75" customHeight="1">
      <c r="A2157" s="103"/>
      <c r="B2157" s="103"/>
      <c r="C2157" s="104" t="e">
        <v>#REF!</v>
      </c>
      <c r="D2157" s="103"/>
      <c r="E2157" s="53"/>
      <c r="F2157" s="53"/>
      <c r="G2157" s="53"/>
      <c r="H2157" s="53"/>
      <c r="I2157" s="53"/>
      <c r="J2157" s="53"/>
      <c r="K2157" s="53"/>
      <c r="L2157" s="53"/>
      <c r="M2157" s="53"/>
      <c r="N2157" s="53"/>
      <c r="O2157" s="53"/>
      <c r="P2157" s="53"/>
      <c r="Q2157" s="53"/>
      <c r="R2157" s="53"/>
      <c r="S2157" s="53"/>
      <c r="T2157" s="53"/>
      <c r="U2157" s="53"/>
      <c r="V2157" s="53"/>
      <c r="W2157" s="53"/>
      <c r="X2157" s="53"/>
      <c r="Y2157" s="53"/>
      <c r="Z2157" s="53"/>
    </row>
    <row r="2158" spans="1:26" ht="15.75" customHeight="1">
      <c r="A2158" s="103"/>
      <c r="B2158" s="103"/>
      <c r="C2158" s="104" t="e">
        <v>#REF!</v>
      </c>
      <c r="D2158" s="103"/>
      <c r="E2158" s="53"/>
      <c r="F2158" s="53"/>
      <c r="G2158" s="53"/>
      <c r="H2158" s="53"/>
      <c r="I2158" s="53"/>
      <c r="J2158" s="53"/>
      <c r="K2158" s="53"/>
      <c r="L2158" s="53"/>
      <c r="M2158" s="53"/>
      <c r="N2158" s="53"/>
      <c r="O2158" s="53"/>
      <c r="P2158" s="53"/>
      <c r="Q2158" s="53"/>
      <c r="R2158" s="53"/>
      <c r="S2158" s="53"/>
      <c r="T2158" s="53"/>
      <c r="U2158" s="53"/>
      <c r="V2158" s="53"/>
      <c r="W2158" s="53"/>
      <c r="X2158" s="53"/>
      <c r="Y2158" s="53"/>
      <c r="Z2158" s="53"/>
    </row>
    <row r="2159" spans="1:26" ht="15.75" customHeight="1">
      <c r="A2159" s="103"/>
      <c r="B2159" s="103"/>
      <c r="C2159" s="104" t="e">
        <v>#REF!</v>
      </c>
      <c r="D2159" s="103"/>
      <c r="E2159" s="53"/>
      <c r="F2159" s="53"/>
      <c r="G2159" s="53"/>
      <c r="H2159" s="53"/>
      <c r="I2159" s="53"/>
      <c r="J2159" s="53"/>
      <c r="K2159" s="53"/>
      <c r="L2159" s="53"/>
      <c r="M2159" s="53"/>
      <c r="N2159" s="53"/>
      <c r="O2159" s="53"/>
      <c r="P2159" s="53"/>
      <c r="Q2159" s="53"/>
      <c r="R2159" s="53"/>
      <c r="S2159" s="53"/>
      <c r="T2159" s="53"/>
      <c r="U2159" s="53"/>
      <c r="V2159" s="53"/>
      <c r="W2159" s="53"/>
      <c r="X2159" s="53"/>
      <c r="Y2159" s="53"/>
      <c r="Z2159" s="53"/>
    </row>
    <row r="2160" spans="1:26" ht="15.75" customHeight="1">
      <c r="A2160" s="103"/>
      <c r="B2160" s="103"/>
      <c r="C2160" s="104" t="e">
        <v>#REF!</v>
      </c>
      <c r="D2160" s="103"/>
      <c r="E2160" s="53"/>
      <c r="F2160" s="53"/>
      <c r="G2160" s="53"/>
      <c r="H2160" s="53"/>
      <c r="I2160" s="53"/>
      <c r="J2160" s="53"/>
      <c r="K2160" s="53"/>
      <c r="L2160" s="53"/>
      <c r="M2160" s="53"/>
      <c r="N2160" s="53"/>
      <c r="O2160" s="53"/>
      <c r="P2160" s="53"/>
      <c r="Q2160" s="53"/>
      <c r="R2160" s="53"/>
      <c r="S2160" s="53"/>
      <c r="T2160" s="53"/>
      <c r="U2160" s="53"/>
      <c r="V2160" s="53"/>
      <c r="W2160" s="53"/>
      <c r="X2160" s="53"/>
      <c r="Y2160" s="53"/>
      <c r="Z2160" s="53"/>
    </row>
    <row r="2161" spans="1:26" ht="15.75" customHeight="1">
      <c r="A2161" s="103"/>
      <c r="B2161" s="103"/>
      <c r="C2161" s="104" t="e">
        <v>#REF!</v>
      </c>
      <c r="D2161" s="10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53"/>
      <c r="T2161" s="53"/>
      <c r="U2161" s="53"/>
      <c r="V2161" s="53"/>
      <c r="W2161" s="53"/>
      <c r="X2161" s="53"/>
      <c r="Y2161" s="53"/>
      <c r="Z2161" s="53"/>
    </row>
    <row r="2162" spans="1:26" ht="15.75" customHeight="1">
      <c r="A2162" s="103"/>
      <c r="B2162" s="103"/>
      <c r="C2162" s="104" t="e">
        <v>#REF!</v>
      </c>
      <c r="D2162" s="103"/>
      <c r="E2162" s="53"/>
      <c r="F2162" s="53"/>
      <c r="G2162" s="53"/>
      <c r="H2162" s="53"/>
      <c r="I2162" s="53"/>
      <c r="J2162" s="53"/>
      <c r="K2162" s="53"/>
      <c r="L2162" s="53"/>
      <c r="M2162" s="53"/>
      <c r="N2162" s="53"/>
      <c r="O2162" s="53"/>
      <c r="P2162" s="53"/>
      <c r="Q2162" s="53"/>
      <c r="R2162" s="53"/>
      <c r="S2162" s="53"/>
      <c r="T2162" s="53"/>
      <c r="U2162" s="53"/>
      <c r="V2162" s="53"/>
      <c r="W2162" s="53"/>
      <c r="X2162" s="53"/>
      <c r="Y2162" s="53"/>
      <c r="Z2162" s="53"/>
    </row>
    <row r="2163" spans="1:26" ht="15.75" customHeight="1">
      <c r="A2163" s="103"/>
      <c r="B2163" s="103"/>
      <c r="C2163" s="104" t="e">
        <v>#REF!</v>
      </c>
      <c r="D2163" s="103"/>
      <c r="E2163" s="53"/>
      <c r="F2163" s="53"/>
      <c r="G2163" s="53"/>
      <c r="H2163" s="53"/>
      <c r="I2163" s="53"/>
      <c r="J2163" s="53"/>
      <c r="K2163" s="53"/>
      <c r="L2163" s="53"/>
      <c r="M2163" s="53"/>
      <c r="N2163" s="53"/>
      <c r="O2163" s="53"/>
      <c r="P2163" s="53"/>
      <c r="Q2163" s="53"/>
      <c r="R2163" s="53"/>
      <c r="S2163" s="53"/>
      <c r="T2163" s="53"/>
      <c r="U2163" s="53"/>
      <c r="V2163" s="53"/>
      <c r="W2163" s="53"/>
      <c r="X2163" s="53"/>
      <c r="Y2163" s="53"/>
      <c r="Z2163" s="53"/>
    </row>
    <row r="2164" spans="1:26" ht="15.75" customHeight="1">
      <c r="A2164" s="103"/>
      <c r="B2164" s="103"/>
      <c r="C2164" s="104" t="e">
        <v>#REF!</v>
      </c>
      <c r="D2164" s="103"/>
      <c r="E2164" s="53"/>
      <c r="F2164" s="53"/>
      <c r="G2164" s="53"/>
      <c r="H2164" s="53"/>
      <c r="I2164" s="53"/>
      <c r="J2164" s="53"/>
      <c r="K2164" s="53"/>
      <c r="L2164" s="53"/>
      <c r="M2164" s="53"/>
      <c r="N2164" s="53"/>
      <c r="O2164" s="53"/>
      <c r="P2164" s="53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</row>
    <row r="2165" spans="1:26" ht="15.75" customHeight="1">
      <c r="A2165" s="103"/>
      <c r="B2165" s="103"/>
      <c r="C2165" s="104" t="e">
        <v>#REF!</v>
      </c>
      <c r="D2165" s="103"/>
      <c r="E2165" s="53"/>
      <c r="F2165" s="53"/>
      <c r="G2165" s="53"/>
      <c r="H2165" s="53"/>
      <c r="I2165" s="53"/>
      <c r="J2165" s="53"/>
      <c r="K2165" s="53"/>
      <c r="L2165" s="53"/>
      <c r="M2165" s="53"/>
      <c r="N2165" s="53"/>
      <c r="O2165" s="53"/>
      <c r="P2165" s="53"/>
      <c r="Q2165" s="53"/>
      <c r="R2165" s="53"/>
      <c r="S2165" s="53"/>
      <c r="T2165" s="53"/>
      <c r="U2165" s="53"/>
      <c r="V2165" s="53"/>
      <c r="W2165" s="53"/>
      <c r="X2165" s="53"/>
      <c r="Y2165" s="53"/>
      <c r="Z2165" s="53"/>
    </row>
    <row r="2166" spans="1:26" ht="15.75" customHeight="1">
      <c r="A2166" s="103"/>
      <c r="B2166" s="103"/>
      <c r="C2166" s="104" t="e">
        <v>#REF!</v>
      </c>
      <c r="D2166" s="103"/>
      <c r="E2166" s="53"/>
      <c r="F2166" s="53"/>
      <c r="G2166" s="53"/>
      <c r="H2166" s="53"/>
      <c r="I2166" s="53"/>
      <c r="J2166" s="53"/>
      <c r="K2166" s="53"/>
      <c r="L2166" s="53"/>
      <c r="M2166" s="53"/>
      <c r="N2166" s="53"/>
      <c r="O2166" s="53"/>
      <c r="P2166" s="53"/>
      <c r="Q2166" s="53"/>
      <c r="R2166" s="53"/>
      <c r="S2166" s="53"/>
      <c r="T2166" s="53"/>
      <c r="U2166" s="53"/>
      <c r="V2166" s="53"/>
      <c r="W2166" s="53"/>
      <c r="X2166" s="53"/>
      <c r="Y2166" s="53"/>
      <c r="Z2166" s="53"/>
    </row>
    <row r="2167" spans="1:26" ht="15.75" customHeight="1">
      <c r="A2167" s="103"/>
      <c r="B2167" s="103"/>
      <c r="C2167" s="104" t="e">
        <v>#REF!</v>
      </c>
      <c r="D2167" s="103"/>
      <c r="E2167" s="53"/>
      <c r="F2167" s="53"/>
      <c r="G2167" s="53"/>
      <c r="H2167" s="53"/>
      <c r="I2167" s="53"/>
      <c r="J2167" s="53"/>
      <c r="K2167" s="53"/>
      <c r="L2167" s="53"/>
      <c r="M2167" s="53"/>
      <c r="N2167" s="53"/>
      <c r="O2167" s="53"/>
      <c r="P2167" s="53"/>
      <c r="Q2167" s="53"/>
      <c r="R2167" s="53"/>
      <c r="S2167" s="53"/>
      <c r="T2167" s="53"/>
      <c r="U2167" s="53"/>
      <c r="V2167" s="53"/>
      <c r="W2167" s="53"/>
      <c r="X2167" s="53"/>
      <c r="Y2167" s="53"/>
      <c r="Z2167" s="53"/>
    </row>
    <row r="2168" spans="1:26" ht="15.75" customHeight="1">
      <c r="A2168" s="103"/>
      <c r="B2168" s="103"/>
      <c r="C2168" s="104" t="e">
        <v>#REF!</v>
      </c>
      <c r="D2168" s="103"/>
      <c r="E2168" s="53"/>
      <c r="F2168" s="53"/>
      <c r="G2168" s="53"/>
      <c r="H2168" s="53"/>
      <c r="I2168" s="53"/>
      <c r="J2168" s="53"/>
      <c r="K2168" s="53"/>
      <c r="L2168" s="53"/>
      <c r="M2168" s="53"/>
      <c r="N2168" s="53"/>
      <c r="O2168" s="53"/>
      <c r="P2168" s="53"/>
      <c r="Q2168" s="53"/>
      <c r="R2168" s="53"/>
      <c r="S2168" s="53"/>
      <c r="T2168" s="53"/>
      <c r="U2168" s="53"/>
      <c r="V2168" s="53"/>
      <c r="W2168" s="53"/>
      <c r="X2168" s="53"/>
      <c r="Y2168" s="53"/>
      <c r="Z2168" s="53"/>
    </row>
    <row r="2169" spans="1:26" ht="15.75" customHeight="1">
      <c r="A2169" s="103"/>
      <c r="B2169" s="103"/>
      <c r="C2169" s="104" t="e">
        <v>#REF!</v>
      </c>
      <c r="D2169" s="103"/>
      <c r="E2169" s="53"/>
      <c r="F2169" s="53"/>
      <c r="G2169" s="53"/>
      <c r="H2169" s="53"/>
      <c r="I2169" s="53"/>
      <c r="J2169" s="53"/>
      <c r="K2169" s="53"/>
      <c r="L2169" s="53"/>
      <c r="M2169" s="53"/>
      <c r="N2169" s="53"/>
      <c r="O2169" s="53"/>
      <c r="P2169" s="53"/>
      <c r="Q2169" s="53"/>
      <c r="R2169" s="53"/>
      <c r="S2169" s="53"/>
      <c r="T2169" s="53"/>
      <c r="U2169" s="53"/>
      <c r="V2169" s="53"/>
      <c r="W2169" s="53"/>
      <c r="X2169" s="53"/>
      <c r="Y2169" s="53"/>
      <c r="Z2169" s="53"/>
    </row>
    <row r="2170" spans="1:26" ht="15.75" customHeight="1">
      <c r="A2170" s="103"/>
      <c r="B2170" s="103"/>
      <c r="C2170" s="104" t="e">
        <v>#REF!</v>
      </c>
      <c r="D2170" s="103"/>
      <c r="E2170" s="53"/>
      <c r="F2170" s="53"/>
      <c r="G2170" s="53"/>
      <c r="H2170" s="53"/>
      <c r="I2170" s="53"/>
      <c r="J2170" s="53"/>
      <c r="K2170" s="53"/>
      <c r="L2170" s="53"/>
      <c r="M2170" s="53"/>
      <c r="N2170" s="53"/>
      <c r="O2170" s="53"/>
      <c r="P2170" s="53"/>
      <c r="Q2170" s="53"/>
      <c r="R2170" s="53"/>
      <c r="S2170" s="53"/>
      <c r="T2170" s="53"/>
      <c r="U2170" s="53"/>
      <c r="V2170" s="53"/>
      <c r="W2170" s="53"/>
      <c r="X2170" s="53"/>
      <c r="Y2170" s="53"/>
      <c r="Z2170" s="53"/>
    </row>
    <row r="2171" spans="1:26" ht="15.75" customHeight="1">
      <c r="A2171" s="103"/>
      <c r="B2171" s="103"/>
      <c r="C2171" s="104" t="e">
        <v>#REF!</v>
      </c>
      <c r="D2171" s="103"/>
      <c r="E2171" s="53"/>
      <c r="F2171" s="53"/>
      <c r="G2171" s="53"/>
      <c r="H2171" s="53"/>
      <c r="I2171" s="53"/>
      <c r="J2171" s="53"/>
      <c r="K2171" s="53"/>
      <c r="L2171" s="53"/>
      <c r="M2171" s="53"/>
      <c r="N2171" s="53"/>
      <c r="O2171" s="53"/>
      <c r="P2171" s="53"/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</row>
    <row r="2172" spans="1:26" ht="15.75" customHeight="1">
      <c r="A2172" s="103"/>
      <c r="B2172" s="103"/>
      <c r="C2172" s="104" t="e">
        <v>#REF!</v>
      </c>
      <c r="D2172" s="103"/>
      <c r="E2172" s="53"/>
      <c r="F2172" s="53"/>
      <c r="G2172" s="53"/>
      <c r="H2172" s="53"/>
      <c r="I2172" s="53"/>
      <c r="J2172" s="53"/>
      <c r="K2172" s="53"/>
      <c r="L2172" s="53"/>
      <c r="M2172" s="53"/>
      <c r="N2172" s="53"/>
      <c r="O2172" s="53"/>
      <c r="P2172" s="53"/>
      <c r="Q2172" s="53"/>
      <c r="R2172" s="53"/>
      <c r="S2172" s="53"/>
      <c r="T2172" s="53"/>
      <c r="U2172" s="53"/>
      <c r="V2172" s="53"/>
      <c r="W2172" s="53"/>
      <c r="X2172" s="53"/>
      <c r="Y2172" s="53"/>
      <c r="Z2172" s="53"/>
    </row>
    <row r="2173" spans="1:26" ht="15.75" customHeight="1">
      <c r="A2173" s="103"/>
      <c r="B2173" s="103"/>
      <c r="C2173" s="104" t="e">
        <v>#REF!</v>
      </c>
      <c r="D2173" s="103"/>
      <c r="E2173" s="53"/>
      <c r="F2173" s="53"/>
      <c r="G2173" s="53"/>
      <c r="H2173" s="53"/>
      <c r="I2173" s="53"/>
      <c r="J2173" s="53"/>
      <c r="K2173" s="53"/>
      <c r="L2173" s="53"/>
      <c r="M2173" s="53"/>
      <c r="N2173" s="53"/>
      <c r="O2173" s="53"/>
      <c r="P2173" s="53"/>
      <c r="Q2173" s="53"/>
      <c r="R2173" s="53"/>
      <c r="S2173" s="53"/>
      <c r="T2173" s="53"/>
      <c r="U2173" s="53"/>
      <c r="V2173" s="53"/>
      <c r="W2173" s="53"/>
      <c r="X2173" s="53"/>
      <c r="Y2173" s="53"/>
      <c r="Z2173" s="53"/>
    </row>
    <row r="2174" spans="1:26" ht="15.75" customHeight="1">
      <c r="A2174" s="103"/>
      <c r="B2174" s="103"/>
      <c r="C2174" s="104" t="e">
        <v>#REF!</v>
      </c>
      <c r="D2174" s="103"/>
      <c r="E2174" s="53"/>
      <c r="F2174" s="53"/>
      <c r="G2174" s="53"/>
      <c r="H2174" s="53"/>
      <c r="I2174" s="53"/>
      <c r="J2174" s="53"/>
      <c r="K2174" s="53"/>
      <c r="L2174" s="53"/>
      <c r="M2174" s="53"/>
      <c r="N2174" s="53"/>
      <c r="O2174" s="53"/>
      <c r="P2174" s="53"/>
      <c r="Q2174" s="53"/>
      <c r="R2174" s="53"/>
      <c r="S2174" s="53"/>
      <c r="T2174" s="53"/>
      <c r="U2174" s="53"/>
      <c r="V2174" s="53"/>
      <c r="W2174" s="53"/>
      <c r="X2174" s="53"/>
      <c r="Y2174" s="53"/>
      <c r="Z2174" s="53"/>
    </row>
    <row r="2175" spans="1:26" ht="15.75" customHeight="1">
      <c r="A2175" s="103"/>
      <c r="B2175" s="103"/>
      <c r="C2175" s="104" t="e">
        <v>#REF!</v>
      </c>
      <c r="D2175" s="103"/>
      <c r="E2175" s="53"/>
      <c r="F2175" s="53"/>
      <c r="G2175" s="53"/>
      <c r="H2175" s="53"/>
      <c r="I2175" s="53"/>
      <c r="J2175" s="53"/>
      <c r="K2175" s="53"/>
      <c r="L2175" s="53"/>
      <c r="M2175" s="53"/>
      <c r="N2175" s="53"/>
      <c r="O2175" s="53"/>
      <c r="P2175" s="53"/>
      <c r="Q2175" s="53"/>
      <c r="R2175" s="53"/>
      <c r="S2175" s="53"/>
      <c r="T2175" s="53"/>
      <c r="U2175" s="53"/>
      <c r="V2175" s="53"/>
      <c r="W2175" s="53"/>
      <c r="X2175" s="53"/>
      <c r="Y2175" s="53"/>
      <c r="Z2175" s="53"/>
    </row>
    <row r="2176" spans="1:26" ht="15.75" customHeight="1">
      <c r="A2176" s="103"/>
      <c r="B2176" s="103"/>
      <c r="C2176" s="104" t="e">
        <v>#REF!</v>
      </c>
      <c r="D2176" s="103"/>
      <c r="E2176" s="53"/>
      <c r="F2176" s="53"/>
      <c r="G2176" s="53"/>
      <c r="H2176" s="53"/>
      <c r="I2176" s="53"/>
      <c r="J2176" s="53"/>
      <c r="K2176" s="53"/>
      <c r="L2176" s="53"/>
      <c r="M2176" s="53"/>
      <c r="N2176" s="53"/>
      <c r="O2176" s="53"/>
      <c r="P2176" s="53"/>
      <c r="Q2176" s="53"/>
      <c r="R2176" s="53"/>
      <c r="S2176" s="53"/>
      <c r="T2176" s="53"/>
      <c r="U2176" s="53"/>
      <c r="V2176" s="53"/>
      <c r="W2176" s="53"/>
      <c r="X2176" s="53"/>
      <c r="Y2176" s="53"/>
      <c r="Z2176" s="53"/>
    </row>
    <row r="2177" spans="1:26" ht="15.75" customHeight="1">
      <c r="A2177" s="103"/>
      <c r="B2177" s="103"/>
      <c r="C2177" s="104" t="e">
        <v>#REF!</v>
      </c>
      <c r="D2177" s="103"/>
      <c r="E2177" s="53"/>
      <c r="F2177" s="53"/>
      <c r="G2177" s="53"/>
      <c r="H2177" s="53"/>
      <c r="I2177" s="53"/>
      <c r="J2177" s="53"/>
      <c r="K2177" s="53"/>
      <c r="L2177" s="53"/>
      <c r="M2177" s="53"/>
      <c r="N2177" s="53"/>
      <c r="O2177" s="53"/>
      <c r="P2177" s="53"/>
      <c r="Q2177" s="53"/>
      <c r="R2177" s="53"/>
      <c r="S2177" s="53"/>
      <c r="T2177" s="53"/>
      <c r="U2177" s="53"/>
      <c r="V2177" s="53"/>
      <c r="W2177" s="53"/>
      <c r="X2177" s="53"/>
      <c r="Y2177" s="53"/>
      <c r="Z2177" s="53"/>
    </row>
    <row r="2178" spans="1:26" ht="15.75" customHeight="1">
      <c r="A2178" s="103"/>
      <c r="B2178" s="103"/>
      <c r="C2178" s="104" t="e">
        <v>#REF!</v>
      </c>
      <c r="D2178" s="103"/>
      <c r="E2178" s="53"/>
      <c r="F2178" s="53"/>
      <c r="G2178" s="53"/>
      <c r="H2178" s="53"/>
      <c r="I2178" s="53"/>
      <c r="J2178" s="53"/>
      <c r="K2178" s="53"/>
      <c r="L2178" s="53"/>
      <c r="M2178" s="53"/>
      <c r="N2178" s="53"/>
      <c r="O2178" s="53"/>
      <c r="P2178" s="53"/>
      <c r="Q2178" s="53"/>
      <c r="R2178" s="53"/>
      <c r="S2178" s="53"/>
      <c r="T2178" s="53"/>
      <c r="U2178" s="53"/>
      <c r="V2178" s="53"/>
      <c r="W2178" s="53"/>
      <c r="X2178" s="53"/>
      <c r="Y2178" s="53"/>
      <c r="Z2178" s="53"/>
    </row>
    <row r="2179" spans="1:26" ht="15.75" customHeight="1">
      <c r="A2179" s="103"/>
      <c r="B2179" s="103"/>
      <c r="C2179" s="104" t="e">
        <v>#REF!</v>
      </c>
      <c r="D2179" s="103"/>
      <c r="E2179" s="53"/>
      <c r="F2179" s="53"/>
      <c r="G2179" s="53"/>
      <c r="H2179" s="53"/>
      <c r="I2179" s="53"/>
      <c r="J2179" s="53"/>
      <c r="K2179" s="53"/>
      <c r="L2179" s="53"/>
      <c r="M2179" s="53"/>
      <c r="N2179" s="53"/>
      <c r="O2179" s="53"/>
      <c r="P2179" s="53"/>
      <c r="Q2179" s="53"/>
      <c r="R2179" s="53"/>
      <c r="S2179" s="53"/>
      <c r="T2179" s="53"/>
      <c r="U2179" s="53"/>
      <c r="V2179" s="53"/>
      <c r="W2179" s="53"/>
      <c r="X2179" s="53"/>
      <c r="Y2179" s="53"/>
      <c r="Z2179" s="53"/>
    </row>
    <row r="2180" spans="1:26" ht="15.75" customHeight="1">
      <c r="A2180" s="103"/>
      <c r="B2180" s="103"/>
      <c r="C2180" s="104" t="e">
        <v>#REF!</v>
      </c>
      <c r="D2180" s="103"/>
      <c r="E2180" s="53"/>
      <c r="F2180" s="53"/>
      <c r="G2180" s="53"/>
      <c r="H2180" s="53"/>
      <c r="I2180" s="53"/>
      <c r="J2180" s="53"/>
      <c r="K2180" s="53"/>
      <c r="L2180" s="53"/>
      <c r="M2180" s="53"/>
      <c r="N2180" s="53"/>
      <c r="O2180" s="53"/>
      <c r="P2180" s="53"/>
      <c r="Q2180" s="53"/>
      <c r="R2180" s="53"/>
      <c r="S2180" s="53"/>
      <c r="T2180" s="53"/>
      <c r="U2180" s="53"/>
      <c r="V2180" s="53"/>
      <c r="W2180" s="53"/>
      <c r="X2180" s="53"/>
      <c r="Y2180" s="53"/>
      <c r="Z2180" s="53"/>
    </row>
    <row r="2181" spans="1:26" ht="15.75" customHeight="1">
      <c r="A2181" s="103"/>
      <c r="B2181" s="103"/>
      <c r="C2181" s="104" t="e">
        <v>#REF!</v>
      </c>
      <c r="D2181" s="103"/>
      <c r="E2181" s="53"/>
      <c r="F2181" s="53"/>
      <c r="G2181" s="53"/>
      <c r="H2181" s="53"/>
      <c r="I2181" s="53"/>
      <c r="J2181" s="53"/>
      <c r="K2181" s="53"/>
      <c r="L2181" s="53"/>
      <c r="M2181" s="53"/>
      <c r="N2181" s="53"/>
      <c r="O2181" s="53"/>
      <c r="P2181" s="53"/>
      <c r="Q2181" s="53"/>
      <c r="R2181" s="53"/>
      <c r="S2181" s="53"/>
      <c r="T2181" s="53"/>
      <c r="U2181" s="53"/>
      <c r="V2181" s="53"/>
      <c r="W2181" s="53"/>
      <c r="X2181" s="53"/>
      <c r="Y2181" s="53"/>
      <c r="Z2181" s="53"/>
    </row>
    <row r="2182" spans="1:26" ht="15.75" customHeight="1">
      <c r="A2182" s="103"/>
      <c r="B2182" s="103"/>
      <c r="C2182" s="104" t="e">
        <v>#REF!</v>
      </c>
      <c r="D2182" s="103"/>
      <c r="E2182" s="53"/>
      <c r="F2182" s="53"/>
      <c r="G2182" s="53"/>
      <c r="H2182" s="53"/>
      <c r="I2182" s="53"/>
      <c r="J2182" s="53"/>
      <c r="K2182" s="53"/>
      <c r="L2182" s="53"/>
      <c r="M2182" s="53"/>
      <c r="N2182" s="53"/>
      <c r="O2182" s="53"/>
      <c r="P2182" s="53"/>
      <c r="Q2182" s="53"/>
      <c r="R2182" s="53"/>
      <c r="S2182" s="53"/>
      <c r="T2182" s="53"/>
      <c r="U2182" s="53"/>
      <c r="V2182" s="53"/>
      <c r="W2182" s="53"/>
      <c r="X2182" s="53"/>
      <c r="Y2182" s="53"/>
      <c r="Z2182" s="53"/>
    </row>
    <row r="2183" spans="1:26" ht="15.75" customHeight="1">
      <c r="A2183" s="103"/>
      <c r="B2183" s="103"/>
      <c r="C2183" s="104" t="e">
        <v>#REF!</v>
      </c>
      <c r="D2183" s="103"/>
      <c r="E2183" s="53"/>
      <c r="F2183" s="53"/>
      <c r="G2183" s="53"/>
      <c r="H2183" s="53"/>
      <c r="I2183" s="53"/>
      <c r="J2183" s="53"/>
      <c r="K2183" s="53"/>
      <c r="L2183" s="53"/>
      <c r="M2183" s="53"/>
      <c r="N2183" s="53"/>
      <c r="O2183" s="53"/>
      <c r="P2183" s="53"/>
      <c r="Q2183" s="53"/>
      <c r="R2183" s="53"/>
      <c r="S2183" s="53"/>
      <c r="T2183" s="53"/>
      <c r="U2183" s="53"/>
      <c r="V2183" s="53"/>
      <c r="W2183" s="53"/>
      <c r="X2183" s="53"/>
      <c r="Y2183" s="53"/>
      <c r="Z2183" s="53"/>
    </row>
    <row r="2184" spans="1:26" ht="15.75" customHeight="1">
      <c r="A2184" s="103"/>
      <c r="B2184" s="103"/>
      <c r="C2184" s="104" t="e">
        <v>#REF!</v>
      </c>
      <c r="D2184" s="103"/>
      <c r="E2184" s="53"/>
      <c r="F2184" s="53"/>
      <c r="G2184" s="53"/>
      <c r="H2184" s="53"/>
      <c r="I2184" s="53"/>
      <c r="J2184" s="53"/>
      <c r="K2184" s="53"/>
      <c r="L2184" s="53"/>
      <c r="M2184" s="53"/>
      <c r="N2184" s="53"/>
      <c r="O2184" s="53"/>
      <c r="P2184" s="53"/>
      <c r="Q2184" s="53"/>
      <c r="R2184" s="53"/>
      <c r="S2184" s="53"/>
      <c r="T2184" s="53"/>
      <c r="U2184" s="53"/>
      <c r="V2184" s="53"/>
      <c r="W2184" s="53"/>
      <c r="X2184" s="53"/>
      <c r="Y2184" s="53"/>
      <c r="Z2184" s="53"/>
    </row>
    <row r="2185" spans="1:26" ht="15.75" customHeight="1">
      <c r="A2185" s="103"/>
      <c r="B2185" s="103"/>
      <c r="C2185" s="104" t="e">
        <v>#REF!</v>
      </c>
      <c r="D2185" s="103"/>
      <c r="E2185" s="53"/>
      <c r="F2185" s="53"/>
      <c r="G2185" s="53"/>
      <c r="H2185" s="53"/>
      <c r="I2185" s="53"/>
      <c r="J2185" s="53"/>
      <c r="K2185" s="53"/>
      <c r="L2185" s="53"/>
      <c r="M2185" s="53"/>
      <c r="N2185" s="53"/>
      <c r="O2185" s="53"/>
      <c r="P2185" s="53"/>
      <c r="Q2185" s="53"/>
      <c r="R2185" s="53"/>
      <c r="S2185" s="53"/>
      <c r="T2185" s="53"/>
      <c r="U2185" s="53"/>
      <c r="V2185" s="53"/>
      <c r="W2185" s="53"/>
      <c r="X2185" s="53"/>
      <c r="Y2185" s="53"/>
      <c r="Z2185" s="53"/>
    </row>
    <row r="2186" spans="1:26" ht="15.75" customHeight="1">
      <c r="A2186" s="103"/>
      <c r="B2186" s="103"/>
      <c r="C2186" s="104" t="e">
        <v>#REF!</v>
      </c>
      <c r="D2186" s="103"/>
      <c r="E2186" s="53"/>
      <c r="F2186" s="53"/>
      <c r="G2186" s="53"/>
      <c r="H2186" s="53"/>
      <c r="I2186" s="53"/>
      <c r="J2186" s="53"/>
      <c r="K2186" s="53"/>
      <c r="L2186" s="53"/>
      <c r="M2186" s="53"/>
      <c r="N2186" s="53"/>
      <c r="O2186" s="53"/>
      <c r="P2186" s="53"/>
      <c r="Q2186" s="53"/>
      <c r="R2186" s="53"/>
      <c r="S2186" s="53"/>
      <c r="T2186" s="53"/>
      <c r="U2186" s="53"/>
      <c r="V2186" s="53"/>
      <c r="W2186" s="53"/>
      <c r="X2186" s="53"/>
      <c r="Y2186" s="53"/>
      <c r="Z2186" s="53"/>
    </row>
    <row r="2187" spans="1:26" ht="15.75" customHeight="1">
      <c r="A2187" s="103"/>
      <c r="B2187" s="103"/>
      <c r="C2187" s="104" t="e">
        <v>#REF!</v>
      </c>
      <c r="D2187" s="103"/>
      <c r="E2187" s="53"/>
      <c r="F2187" s="53"/>
      <c r="G2187" s="53"/>
      <c r="H2187" s="53"/>
      <c r="I2187" s="53"/>
      <c r="J2187" s="53"/>
      <c r="K2187" s="53"/>
      <c r="L2187" s="53"/>
      <c r="M2187" s="53"/>
      <c r="N2187" s="53"/>
      <c r="O2187" s="53"/>
      <c r="P2187" s="53"/>
      <c r="Q2187" s="53"/>
      <c r="R2187" s="53"/>
      <c r="S2187" s="53"/>
      <c r="T2187" s="53"/>
      <c r="U2187" s="53"/>
      <c r="V2187" s="53"/>
      <c r="W2187" s="53"/>
      <c r="X2187" s="53"/>
      <c r="Y2187" s="53"/>
      <c r="Z2187" s="53"/>
    </row>
    <row r="2188" spans="1:26" ht="15.75" customHeight="1">
      <c r="A2188" s="103"/>
      <c r="B2188" s="103"/>
      <c r="C2188" s="104" t="e">
        <v>#REF!</v>
      </c>
      <c r="D2188" s="103"/>
      <c r="E2188" s="53"/>
      <c r="F2188" s="53"/>
      <c r="G2188" s="53"/>
      <c r="H2188" s="53"/>
      <c r="I2188" s="53"/>
      <c r="J2188" s="53"/>
      <c r="K2188" s="53"/>
      <c r="L2188" s="53"/>
      <c r="M2188" s="53"/>
      <c r="N2188" s="53"/>
      <c r="O2188" s="53"/>
      <c r="P2188" s="53"/>
      <c r="Q2188" s="53"/>
      <c r="R2188" s="53"/>
      <c r="S2188" s="53"/>
      <c r="T2188" s="53"/>
      <c r="U2188" s="53"/>
      <c r="V2188" s="53"/>
      <c r="W2188" s="53"/>
      <c r="X2188" s="53"/>
      <c r="Y2188" s="53"/>
      <c r="Z2188" s="53"/>
    </row>
    <row r="2189" spans="1:26" ht="15.75" customHeight="1">
      <c r="A2189" s="103"/>
      <c r="B2189" s="103"/>
      <c r="C2189" s="104" t="e">
        <v>#REF!</v>
      </c>
      <c r="D2189" s="103"/>
      <c r="E2189" s="53"/>
      <c r="F2189" s="53"/>
      <c r="G2189" s="53"/>
      <c r="H2189" s="53"/>
      <c r="I2189" s="53"/>
      <c r="J2189" s="53"/>
      <c r="K2189" s="53"/>
      <c r="L2189" s="53"/>
      <c r="M2189" s="53"/>
      <c r="N2189" s="53"/>
      <c r="O2189" s="53"/>
      <c r="P2189" s="53"/>
      <c r="Q2189" s="53"/>
      <c r="R2189" s="53"/>
      <c r="S2189" s="53"/>
      <c r="T2189" s="53"/>
      <c r="U2189" s="53"/>
      <c r="V2189" s="53"/>
      <c r="W2189" s="53"/>
      <c r="X2189" s="53"/>
      <c r="Y2189" s="53"/>
      <c r="Z2189" s="53"/>
    </row>
    <row r="2190" spans="1:26" ht="15.75" customHeight="1">
      <c r="A2190" s="103"/>
      <c r="B2190" s="103"/>
      <c r="C2190" s="104" t="e">
        <v>#REF!</v>
      </c>
      <c r="D2190" s="103"/>
      <c r="E2190" s="53"/>
      <c r="F2190" s="53"/>
      <c r="G2190" s="53"/>
      <c r="H2190" s="53"/>
      <c r="I2190" s="53"/>
      <c r="J2190" s="53"/>
      <c r="K2190" s="53"/>
      <c r="L2190" s="53"/>
      <c r="M2190" s="53"/>
      <c r="N2190" s="53"/>
      <c r="O2190" s="53"/>
      <c r="P2190" s="53"/>
      <c r="Q2190" s="53"/>
      <c r="R2190" s="53"/>
      <c r="S2190" s="53"/>
      <c r="T2190" s="53"/>
      <c r="U2190" s="53"/>
      <c r="V2190" s="53"/>
      <c r="W2190" s="53"/>
      <c r="X2190" s="53"/>
      <c r="Y2190" s="53"/>
      <c r="Z2190" s="53"/>
    </row>
    <row r="2191" spans="1:26" ht="15.75" customHeight="1">
      <c r="A2191" s="103"/>
      <c r="B2191" s="103"/>
      <c r="C2191" s="104" t="e">
        <v>#REF!</v>
      </c>
      <c r="D2191" s="103"/>
      <c r="E2191" s="53"/>
      <c r="F2191" s="53"/>
      <c r="G2191" s="53"/>
      <c r="H2191" s="53"/>
      <c r="I2191" s="53"/>
      <c r="J2191" s="53"/>
      <c r="K2191" s="53"/>
      <c r="L2191" s="53"/>
      <c r="M2191" s="53"/>
      <c r="N2191" s="53"/>
      <c r="O2191" s="53"/>
      <c r="P2191" s="53"/>
      <c r="Q2191" s="53"/>
      <c r="R2191" s="53"/>
      <c r="S2191" s="53"/>
      <c r="T2191" s="53"/>
      <c r="U2191" s="53"/>
      <c r="V2191" s="53"/>
      <c r="W2191" s="53"/>
      <c r="X2191" s="53"/>
      <c r="Y2191" s="53"/>
      <c r="Z2191" s="53"/>
    </row>
    <row r="2192" spans="1:26" ht="15.75" customHeight="1">
      <c r="A2192" s="103"/>
      <c r="B2192" s="103"/>
      <c r="C2192" s="104" t="e">
        <v>#REF!</v>
      </c>
      <c r="D2192" s="103"/>
      <c r="E2192" s="53"/>
      <c r="F2192" s="53"/>
      <c r="G2192" s="53"/>
      <c r="H2192" s="53"/>
      <c r="I2192" s="53"/>
      <c r="J2192" s="53"/>
      <c r="K2192" s="53"/>
      <c r="L2192" s="53"/>
      <c r="M2192" s="53"/>
      <c r="N2192" s="53"/>
      <c r="O2192" s="53"/>
      <c r="P2192" s="53"/>
      <c r="Q2192" s="53"/>
      <c r="R2192" s="53"/>
      <c r="S2192" s="53"/>
      <c r="T2192" s="53"/>
      <c r="U2192" s="53"/>
      <c r="V2192" s="53"/>
      <c r="W2192" s="53"/>
      <c r="X2192" s="53"/>
      <c r="Y2192" s="53"/>
      <c r="Z2192" s="53"/>
    </row>
    <row r="2193" spans="1:26" ht="15.75" customHeight="1">
      <c r="A2193" s="103"/>
      <c r="B2193" s="103"/>
      <c r="C2193" s="104" t="e">
        <v>#REF!</v>
      </c>
      <c r="D2193" s="103"/>
      <c r="E2193" s="53"/>
      <c r="F2193" s="53"/>
      <c r="G2193" s="53"/>
      <c r="H2193" s="53"/>
      <c r="I2193" s="53"/>
      <c r="J2193" s="53"/>
      <c r="K2193" s="53"/>
      <c r="L2193" s="53"/>
      <c r="M2193" s="53"/>
      <c r="N2193" s="53"/>
      <c r="O2193" s="53"/>
      <c r="P2193" s="53"/>
      <c r="Q2193" s="53"/>
      <c r="R2193" s="53"/>
      <c r="S2193" s="53"/>
      <c r="T2193" s="53"/>
      <c r="U2193" s="53"/>
      <c r="V2193" s="53"/>
      <c r="W2193" s="53"/>
      <c r="X2193" s="53"/>
      <c r="Y2193" s="53"/>
      <c r="Z2193" s="53"/>
    </row>
    <row r="2194" spans="1:26" ht="15.75" customHeight="1">
      <c r="A2194" s="103"/>
      <c r="B2194" s="103"/>
      <c r="C2194" s="104" t="e">
        <v>#REF!</v>
      </c>
      <c r="D2194" s="103"/>
      <c r="E2194" s="53"/>
      <c r="F2194" s="53"/>
      <c r="G2194" s="53"/>
      <c r="H2194" s="53"/>
      <c r="I2194" s="53"/>
      <c r="J2194" s="53"/>
      <c r="K2194" s="53"/>
      <c r="L2194" s="53"/>
      <c r="M2194" s="53"/>
      <c r="N2194" s="53"/>
      <c r="O2194" s="53"/>
      <c r="P2194" s="53"/>
      <c r="Q2194" s="53"/>
      <c r="R2194" s="53"/>
      <c r="S2194" s="53"/>
      <c r="T2194" s="53"/>
      <c r="U2194" s="53"/>
      <c r="V2194" s="53"/>
      <c r="W2194" s="53"/>
      <c r="X2194" s="53"/>
      <c r="Y2194" s="53"/>
      <c r="Z2194" s="53"/>
    </row>
    <row r="2195" spans="1:26" ht="15.75" customHeight="1">
      <c r="A2195" s="103"/>
      <c r="B2195" s="103"/>
      <c r="C2195" s="104" t="e">
        <v>#REF!</v>
      </c>
      <c r="D2195" s="103"/>
      <c r="E2195" s="53"/>
      <c r="F2195" s="53"/>
      <c r="G2195" s="53"/>
      <c r="H2195" s="53"/>
      <c r="I2195" s="53"/>
      <c r="J2195" s="53"/>
      <c r="K2195" s="53"/>
      <c r="L2195" s="53"/>
      <c r="M2195" s="53"/>
      <c r="N2195" s="53"/>
      <c r="O2195" s="53"/>
      <c r="P2195" s="53"/>
      <c r="Q2195" s="53"/>
      <c r="R2195" s="53"/>
      <c r="S2195" s="53"/>
      <c r="T2195" s="53"/>
      <c r="U2195" s="53"/>
      <c r="V2195" s="53"/>
      <c r="W2195" s="53"/>
      <c r="X2195" s="53"/>
      <c r="Y2195" s="53"/>
      <c r="Z2195" s="53"/>
    </row>
    <row r="2196" spans="1:26" ht="15.75" customHeight="1">
      <c r="A2196" s="103"/>
      <c r="B2196" s="103"/>
      <c r="C2196" s="104" t="e">
        <v>#REF!</v>
      </c>
      <c r="D2196" s="103"/>
      <c r="E2196" s="53"/>
      <c r="F2196" s="53"/>
      <c r="G2196" s="53"/>
      <c r="H2196" s="53"/>
      <c r="I2196" s="53"/>
      <c r="J2196" s="53"/>
      <c r="K2196" s="53"/>
      <c r="L2196" s="53"/>
      <c r="M2196" s="53"/>
      <c r="N2196" s="53"/>
      <c r="O2196" s="53"/>
      <c r="P2196" s="53"/>
      <c r="Q2196" s="53"/>
      <c r="R2196" s="53"/>
      <c r="S2196" s="53"/>
      <c r="T2196" s="53"/>
      <c r="U2196" s="53"/>
      <c r="V2196" s="53"/>
      <c r="W2196" s="53"/>
      <c r="X2196" s="53"/>
      <c r="Y2196" s="53"/>
      <c r="Z2196" s="53"/>
    </row>
    <row r="2197" spans="1:26" ht="15.75" customHeight="1">
      <c r="A2197" s="103"/>
      <c r="B2197" s="103"/>
      <c r="C2197" s="104" t="e">
        <v>#REF!</v>
      </c>
      <c r="D2197" s="103"/>
      <c r="E2197" s="53"/>
      <c r="F2197" s="53"/>
      <c r="G2197" s="53"/>
      <c r="H2197" s="53"/>
      <c r="I2197" s="53"/>
      <c r="J2197" s="53"/>
      <c r="K2197" s="53"/>
      <c r="L2197" s="53"/>
      <c r="M2197" s="53"/>
      <c r="N2197" s="53"/>
      <c r="O2197" s="53"/>
      <c r="P2197" s="53"/>
      <c r="Q2197" s="53"/>
      <c r="R2197" s="53"/>
      <c r="S2197" s="53"/>
      <c r="T2197" s="53"/>
      <c r="U2197" s="53"/>
      <c r="V2197" s="53"/>
      <c r="W2197" s="53"/>
      <c r="X2197" s="53"/>
      <c r="Y2197" s="53"/>
      <c r="Z2197" s="53"/>
    </row>
    <row r="2198" spans="1:26" ht="15.75" customHeight="1">
      <c r="A2198" s="103"/>
      <c r="B2198" s="103"/>
      <c r="C2198" s="104" t="e">
        <v>#REF!</v>
      </c>
      <c r="D2198" s="103"/>
      <c r="E2198" s="53"/>
      <c r="F2198" s="53"/>
      <c r="G2198" s="53"/>
      <c r="H2198" s="53"/>
      <c r="I2198" s="53"/>
      <c r="J2198" s="53"/>
      <c r="K2198" s="53"/>
      <c r="L2198" s="53"/>
      <c r="M2198" s="53"/>
      <c r="N2198" s="53"/>
      <c r="O2198" s="53"/>
      <c r="P2198" s="53"/>
      <c r="Q2198" s="53"/>
      <c r="R2198" s="53"/>
      <c r="S2198" s="53"/>
      <c r="T2198" s="53"/>
      <c r="U2198" s="53"/>
      <c r="V2198" s="53"/>
      <c r="W2198" s="53"/>
      <c r="X2198" s="53"/>
      <c r="Y2198" s="53"/>
      <c r="Z2198" s="53"/>
    </row>
    <row r="2199" spans="1:26" ht="15.75" customHeight="1">
      <c r="A2199" s="103"/>
      <c r="B2199" s="103"/>
      <c r="C2199" s="104" t="e">
        <v>#REF!</v>
      </c>
      <c r="D2199" s="103"/>
      <c r="E2199" s="53"/>
      <c r="F2199" s="53"/>
      <c r="G2199" s="53"/>
      <c r="H2199" s="53"/>
      <c r="I2199" s="53"/>
      <c r="J2199" s="53"/>
      <c r="K2199" s="53"/>
      <c r="L2199" s="53"/>
      <c r="M2199" s="53"/>
      <c r="N2199" s="53"/>
      <c r="O2199" s="53"/>
      <c r="P2199" s="53"/>
      <c r="Q2199" s="53"/>
      <c r="R2199" s="53"/>
      <c r="S2199" s="53"/>
      <c r="T2199" s="53"/>
      <c r="U2199" s="53"/>
      <c r="V2199" s="53"/>
      <c r="W2199" s="53"/>
      <c r="X2199" s="53"/>
      <c r="Y2199" s="53"/>
      <c r="Z2199" s="53"/>
    </row>
    <row r="2200" spans="1:26" ht="15.75" customHeight="1">
      <c r="A2200" s="103"/>
      <c r="B2200" s="103"/>
      <c r="C2200" s="104" t="e">
        <v>#REF!</v>
      </c>
      <c r="D2200" s="103"/>
      <c r="E2200" s="53"/>
      <c r="F2200" s="53"/>
      <c r="G2200" s="53"/>
      <c r="H2200" s="53"/>
      <c r="I2200" s="53"/>
      <c r="J2200" s="53"/>
      <c r="K2200" s="53"/>
      <c r="L2200" s="53"/>
      <c r="M2200" s="53"/>
      <c r="N2200" s="53"/>
      <c r="O2200" s="53"/>
      <c r="P2200" s="53"/>
      <c r="Q2200" s="53"/>
      <c r="R2200" s="53"/>
      <c r="S2200" s="53"/>
      <c r="T2200" s="53"/>
      <c r="U2200" s="53"/>
      <c r="V2200" s="53"/>
      <c r="W2200" s="53"/>
      <c r="X2200" s="53"/>
      <c r="Y2200" s="53"/>
      <c r="Z2200" s="53"/>
    </row>
    <row r="2201" spans="1:26" ht="15.75" customHeight="1">
      <c r="A2201" s="103"/>
      <c r="B2201" s="103"/>
      <c r="C2201" s="104" t="e">
        <v>#REF!</v>
      </c>
      <c r="D2201" s="103"/>
      <c r="E2201" s="53"/>
      <c r="F2201" s="53"/>
      <c r="G2201" s="53"/>
      <c r="H2201" s="53"/>
      <c r="I2201" s="53"/>
      <c r="J2201" s="53"/>
      <c r="K2201" s="53"/>
      <c r="L2201" s="53"/>
      <c r="M2201" s="53"/>
      <c r="N2201" s="53"/>
      <c r="O2201" s="53"/>
      <c r="P2201" s="53"/>
      <c r="Q2201" s="53"/>
      <c r="R2201" s="53"/>
      <c r="S2201" s="53"/>
      <c r="T2201" s="53"/>
      <c r="U2201" s="53"/>
      <c r="V2201" s="53"/>
      <c r="W2201" s="53"/>
      <c r="X2201" s="53"/>
      <c r="Y2201" s="53"/>
      <c r="Z2201" s="53"/>
    </row>
    <row r="2202" spans="1:26" ht="15.75" customHeight="1">
      <c r="A2202" s="105"/>
      <c r="B2202" s="105"/>
      <c r="C2202" s="105"/>
      <c r="D2202" s="105"/>
      <c r="E2202" s="105"/>
      <c r="F2202" s="105"/>
      <c r="G2202" s="105"/>
      <c r="H2202" s="105"/>
      <c r="I2202" s="105"/>
      <c r="J2202" s="105"/>
      <c r="K2202" s="105"/>
      <c r="L2202" s="105"/>
      <c r="M2202" s="105"/>
      <c r="N2202" s="105"/>
      <c r="O2202" s="105"/>
      <c r="P2202" s="105"/>
      <c r="Q2202" s="105"/>
      <c r="R2202" s="105"/>
      <c r="S2202" s="105"/>
      <c r="T2202" s="105"/>
      <c r="U2202" s="105"/>
      <c r="V2202" s="105"/>
      <c r="W2202" s="105"/>
      <c r="X2202" s="105"/>
      <c r="Y2202" s="105"/>
      <c r="Z2202" s="105"/>
    </row>
    <row r="2203" spans="1:26" ht="15.75" customHeight="1">
      <c r="A2203" s="105"/>
      <c r="B2203" s="105"/>
      <c r="C2203" s="105"/>
      <c r="D2203" s="105"/>
      <c r="E2203" s="105"/>
      <c r="F2203" s="105"/>
      <c r="G2203" s="105"/>
      <c r="H2203" s="105"/>
      <c r="I2203" s="105"/>
      <c r="J2203" s="105"/>
      <c r="K2203" s="105"/>
      <c r="L2203" s="105"/>
      <c r="M2203" s="105"/>
      <c r="N2203" s="105"/>
      <c r="O2203" s="105"/>
      <c r="P2203" s="105"/>
      <c r="Q2203" s="105"/>
      <c r="R2203" s="105"/>
      <c r="S2203" s="105"/>
      <c r="T2203" s="105"/>
      <c r="U2203" s="105"/>
      <c r="V2203" s="105"/>
      <c r="W2203" s="105"/>
      <c r="X2203" s="105"/>
      <c r="Y2203" s="105"/>
      <c r="Z2203" s="105"/>
    </row>
    <row r="2204" spans="1:26" ht="15.75" customHeight="1">
      <c r="A2204" s="105"/>
      <c r="B2204" s="105"/>
      <c r="C2204" s="105"/>
      <c r="D2204" s="105"/>
      <c r="E2204" s="105"/>
      <c r="F2204" s="105"/>
      <c r="G2204" s="105"/>
      <c r="H2204" s="105"/>
      <c r="I2204" s="105"/>
      <c r="J2204" s="105"/>
      <c r="K2204" s="105"/>
      <c r="L2204" s="105"/>
      <c r="M2204" s="105"/>
      <c r="N2204" s="105"/>
      <c r="O2204" s="105"/>
      <c r="P2204" s="105"/>
      <c r="Q2204" s="105"/>
      <c r="R2204" s="105"/>
      <c r="S2204" s="105"/>
      <c r="T2204" s="105"/>
      <c r="U2204" s="105"/>
      <c r="V2204" s="105"/>
      <c r="W2204" s="105"/>
      <c r="X2204" s="105"/>
      <c r="Y2204" s="105"/>
      <c r="Z2204" s="105"/>
    </row>
    <row r="2205" spans="1:26" ht="15.75" customHeight="1">
      <c r="A2205" s="105"/>
      <c r="B2205" s="105"/>
      <c r="C2205" s="105"/>
      <c r="D2205" s="105"/>
      <c r="E2205" s="105"/>
      <c r="F2205" s="105"/>
      <c r="G2205" s="105"/>
      <c r="H2205" s="105"/>
      <c r="I2205" s="105"/>
      <c r="J2205" s="105"/>
      <c r="K2205" s="105"/>
      <c r="L2205" s="105"/>
      <c r="M2205" s="105"/>
      <c r="N2205" s="105"/>
      <c r="O2205" s="105"/>
      <c r="P2205" s="105"/>
      <c r="Q2205" s="105"/>
      <c r="R2205" s="105"/>
      <c r="S2205" s="105"/>
      <c r="T2205" s="105"/>
      <c r="U2205" s="105"/>
      <c r="V2205" s="105"/>
      <c r="W2205" s="105"/>
      <c r="X2205" s="105"/>
      <c r="Y2205" s="105"/>
      <c r="Z2205" s="105"/>
    </row>
    <row r="2206" spans="1:26" ht="15.75" customHeight="1">
      <c r="A2206" s="105"/>
      <c r="B2206" s="105"/>
      <c r="C2206" s="105"/>
      <c r="D2206" s="105"/>
      <c r="E2206" s="105"/>
      <c r="F2206" s="105"/>
      <c r="G2206" s="105"/>
      <c r="H2206" s="105"/>
      <c r="I2206" s="105"/>
      <c r="J2206" s="105"/>
      <c r="K2206" s="105"/>
      <c r="L2206" s="105"/>
      <c r="M2206" s="105"/>
      <c r="N2206" s="105"/>
      <c r="O2206" s="105"/>
      <c r="P2206" s="105"/>
      <c r="Q2206" s="105"/>
      <c r="R2206" s="105"/>
      <c r="S2206" s="105"/>
      <c r="T2206" s="105"/>
      <c r="U2206" s="105"/>
      <c r="V2206" s="105"/>
      <c r="W2206" s="105"/>
      <c r="X2206" s="105"/>
      <c r="Y2206" s="105"/>
      <c r="Z2206" s="105"/>
    </row>
    <row r="2207" spans="1:26" ht="15.75" customHeight="1">
      <c r="A2207" s="105"/>
      <c r="B2207" s="105"/>
      <c r="C2207" s="105"/>
      <c r="D2207" s="105"/>
      <c r="E2207" s="105"/>
      <c r="F2207" s="105"/>
      <c r="G2207" s="105"/>
      <c r="H2207" s="105"/>
      <c r="I2207" s="105"/>
      <c r="J2207" s="105"/>
      <c r="K2207" s="105"/>
      <c r="L2207" s="105"/>
      <c r="M2207" s="105"/>
      <c r="N2207" s="105"/>
      <c r="O2207" s="105"/>
      <c r="P2207" s="105"/>
      <c r="Q2207" s="105"/>
      <c r="R2207" s="105"/>
      <c r="S2207" s="105"/>
      <c r="T2207" s="105"/>
      <c r="U2207" s="105"/>
      <c r="V2207" s="105"/>
      <c r="W2207" s="105"/>
      <c r="X2207" s="105"/>
      <c r="Y2207" s="105"/>
      <c r="Z2207" s="105"/>
    </row>
    <row r="2208" spans="1:26" ht="15.75" customHeight="1">
      <c r="A2208" s="105"/>
      <c r="B2208" s="105"/>
      <c r="C2208" s="105"/>
      <c r="D2208" s="105"/>
      <c r="E2208" s="105"/>
      <c r="F2208" s="105"/>
      <c r="G2208" s="105"/>
      <c r="H2208" s="105"/>
      <c r="I2208" s="105"/>
      <c r="J2208" s="105"/>
      <c r="K2208" s="105"/>
      <c r="L2208" s="105"/>
      <c r="M2208" s="105"/>
      <c r="N2208" s="105"/>
      <c r="O2208" s="105"/>
      <c r="P2208" s="105"/>
      <c r="Q2208" s="105"/>
      <c r="R2208" s="105"/>
      <c r="S2208" s="105"/>
      <c r="T2208" s="105"/>
      <c r="U2208" s="105"/>
      <c r="V2208" s="105"/>
      <c r="W2208" s="105"/>
      <c r="X2208" s="105"/>
      <c r="Y2208" s="105"/>
      <c r="Z2208" s="105"/>
    </row>
    <row r="2209" spans="1:26" ht="15.75" customHeight="1">
      <c r="A2209" s="105"/>
      <c r="B2209" s="105"/>
      <c r="C2209" s="105"/>
      <c r="D2209" s="105"/>
      <c r="E2209" s="105"/>
      <c r="F2209" s="105"/>
      <c r="G2209" s="105"/>
      <c r="H2209" s="105"/>
      <c r="I2209" s="105"/>
      <c r="J2209" s="105"/>
      <c r="K2209" s="105"/>
      <c r="L2209" s="105"/>
      <c r="M2209" s="105"/>
      <c r="N2209" s="105"/>
      <c r="O2209" s="105"/>
      <c r="P2209" s="105"/>
      <c r="Q2209" s="105"/>
      <c r="R2209" s="105"/>
      <c r="S2209" s="105"/>
      <c r="T2209" s="105"/>
      <c r="U2209" s="105"/>
      <c r="V2209" s="105"/>
      <c r="W2209" s="105"/>
      <c r="X2209" s="105"/>
      <c r="Y2209" s="105"/>
      <c r="Z2209" s="105"/>
    </row>
    <row r="2210" spans="1:26" ht="15.75" customHeight="1">
      <c r="A2210" s="105"/>
      <c r="B2210" s="105"/>
      <c r="C2210" s="105"/>
      <c r="D2210" s="105"/>
      <c r="E2210" s="105"/>
      <c r="F2210" s="105"/>
      <c r="G2210" s="105"/>
      <c r="H2210" s="105"/>
      <c r="I2210" s="105"/>
      <c r="J2210" s="105"/>
      <c r="K2210" s="105"/>
      <c r="L2210" s="105"/>
      <c r="M2210" s="105"/>
      <c r="N2210" s="105"/>
      <c r="O2210" s="105"/>
      <c r="P2210" s="105"/>
      <c r="Q2210" s="105"/>
      <c r="R2210" s="105"/>
      <c r="S2210" s="105"/>
      <c r="T2210" s="105"/>
      <c r="U2210" s="105"/>
      <c r="V2210" s="105"/>
      <c r="W2210" s="105"/>
      <c r="X2210" s="105"/>
      <c r="Y2210" s="105"/>
      <c r="Z2210" s="105"/>
    </row>
    <row r="2211" spans="1:26" ht="15.75" customHeight="1">
      <c r="A2211" s="105"/>
      <c r="B2211" s="105"/>
      <c r="C2211" s="105"/>
      <c r="D2211" s="105"/>
      <c r="E2211" s="105"/>
      <c r="F2211" s="105"/>
      <c r="G2211" s="105"/>
      <c r="H2211" s="105"/>
      <c r="I2211" s="105"/>
      <c r="J2211" s="105"/>
      <c r="K2211" s="105"/>
      <c r="L2211" s="105"/>
      <c r="M2211" s="105"/>
      <c r="N2211" s="105"/>
      <c r="O2211" s="105"/>
      <c r="P2211" s="105"/>
      <c r="Q2211" s="105"/>
      <c r="R2211" s="105"/>
      <c r="S2211" s="105"/>
      <c r="T2211" s="105"/>
      <c r="U2211" s="105"/>
      <c r="V2211" s="105"/>
      <c r="W2211" s="105"/>
      <c r="X2211" s="105"/>
      <c r="Y2211" s="105"/>
      <c r="Z2211" s="105"/>
    </row>
    <row r="2212" spans="1:26" ht="15.75" customHeight="1">
      <c r="A2212" s="105"/>
      <c r="B2212" s="105"/>
      <c r="C2212" s="105"/>
      <c r="D2212" s="105"/>
      <c r="E2212" s="105"/>
      <c r="F2212" s="105"/>
      <c r="G2212" s="105"/>
      <c r="H2212" s="105"/>
      <c r="I2212" s="105"/>
      <c r="J2212" s="105"/>
      <c r="K2212" s="105"/>
      <c r="L2212" s="105"/>
      <c r="M2212" s="105"/>
      <c r="N2212" s="105"/>
      <c r="O2212" s="105"/>
      <c r="P2212" s="105"/>
      <c r="Q2212" s="105"/>
      <c r="R2212" s="105"/>
      <c r="S2212" s="105"/>
      <c r="T2212" s="105"/>
      <c r="U2212" s="105"/>
      <c r="V2212" s="105"/>
      <c r="W2212" s="105"/>
      <c r="X2212" s="105"/>
      <c r="Y2212" s="105"/>
      <c r="Z2212" s="105"/>
    </row>
    <row r="2213" spans="1:26" ht="15.75" customHeight="1">
      <c r="A2213" s="105"/>
      <c r="B2213" s="105"/>
      <c r="C2213" s="105"/>
      <c r="D2213" s="105"/>
      <c r="E2213" s="105"/>
      <c r="F2213" s="105"/>
      <c r="G2213" s="105"/>
      <c r="H2213" s="105"/>
      <c r="I2213" s="105"/>
      <c r="J2213" s="105"/>
      <c r="K2213" s="105"/>
      <c r="L2213" s="105"/>
      <c r="M2213" s="105"/>
      <c r="N2213" s="105"/>
      <c r="O2213" s="105"/>
      <c r="P2213" s="105"/>
      <c r="Q2213" s="105"/>
      <c r="R2213" s="105"/>
      <c r="S2213" s="105"/>
      <c r="T2213" s="105"/>
      <c r="U2213" s="105"/>
      <c r="V2213" s="105"/>
      <c r="W2213" s="105"/>
      <c r="X2213" s="105"/>
      <c r="Y2213" s="105"/>
      <c r="Z2213" s="105"/>
    </row>
    <row r="2214" spans="1:26" ht="15.75" customHeight="1">
      <c r="A2214" s="105"/>
      <c r="B2214" s="105"/>
      <c r="C2214" s="105"/>
      <c r="D2214" s="105"/>
      <c r="E2214" s="105"/>
      <c r="F2214" s="105"/>
      <c r="G2214" s="105"/>
      <c r="H2214" s="105"/>
      <c r="I2214" s="105"/>
      <c r="J2214" s="105"/>
      <c r="K2214" s="105"/>
      <c r="L2214" s="105"/>
      <c r="M2214" s="105"/>
      <c r="N2214" s="105"/>
      <c r="O2214" s="105"/>
      <c r="P2214" s="105"/>
      <c r="Q2214" s="105"/>
      <c r="R2214" s="105"/>
      <c r="S2214" s="105"/>
      <c r="T2214" s="105"/>
      <c r="U2214" s="105"/>
      <c r="V2214" s="105"/>
      <c r="W2214" s="105"/>
      <c r="X2214" s="105"/>
      <c r="Y2214" s="105"/>
      <c r="Z2214" s="105"/>
    </row>
    <row r="2215" spans="1:26" ht="15.75" customHeight="1">
      <c r="A2215" s="105"/>
      <c r="B2215" s="105"/>
      <c r="C2215" s="105"/>
      <c r="D2215" s="105"/>
      <c r="E2215" s="105"/>
      <c r="F2215" s="105"/>
      <c r="G2215" s="105"/>
      <c r="H2215" s="105"/>
      <c r="I2215" s="105"/>
      <c r="J2215" s="105"/>
      <c r="K2215" s="105"/>
      <c r="L2215" s="105"/>
      <c r="M2215" s="105"/>
      <c r="N2215" s="105"/>
      <c r="O2215" s="105"/>
      <c r="P2215" s="105"/>
      <c r="Q2215" s="105"/>
      <c r="R2215" s="105"/>
      <c r="S2215" s="105"/>
      <c r="T2215" s="105"/>
      <c r="U2215" s="105"/>
      <c r="V2215" s="105"/>
      <c r="W2215" s="105"/>
      <c r="X2215" s="105"/>
      <c r="Y2215" s="105"/>
      <c r="Z2215" s="105"/>
    </row>
    <row r="2216" spans="1:26" ht="15.75" customHeight="1">
      <c r="A2216" s="105"/>
      <c r="B2216" s="105"/>
      <c r="C2216" s="105"/>
      <c r="D2216" s="105"/>
      <c r="E2216" s="105"/>
      <c r="F2216" s="105"/>
      <c r="G2216" s="105"/>
      <c r="H2216" s="105"/>
      <c r="I2216" s="105"/>
      <c r="J2216" s="105"/>
      <c r="K2216" s="105"/>
      <c r="L2216" s="105"/>
      <c r="M2216" s="105"/>
      <c r="N2216" s="105"/>
      <c r="O2216" s="105"/>
      <c r="P2216" s="105"/>
      <c r="Q2216" s="105"/>
      <c r="R2216" s="105"/>
      <c r="S2216" s="105"/>
      <c r="T2216" s="105"/>
      <c r="U2216" s="105"/>
      <c r="V2216" s="105"/>
      <c r="W2216" s="105"/>
      <c r="X2216" s="105"/>
      <c r="Y2216" s="105"/>
      <c r="Z2216" s="105"/>
    </row>
    <row r="2217" spans="1:26" ht="15.75" customHeight="1">
      <c r="A2217" s="105"/>
      <c r="B2217" s="105"/>
      <c r="C2217" s="105"/>
      <c r="D2217" s="105"/>
      <c r="E2217" s="105"/>
      <c r="F2217" s="105"/>
      <c r="G2217" s="105"/>
      <c r="H2217" s="105"/>
      <c r="I2217" s="105"/>
      <c r="J2217" s="105"/>
      <c r="K2217" s="105"/>
      <c r="L2217" s="105"/>
      <c r="M2217" s="105"/>
      <c r="N2217" s="105"/>
      <c r="O2217" s="105"/>
      <c r="P2217" s="105"/>
      <c r="Q2217" s="105"/>
      <c r="R2217" s="105"/>
      <c r="S2217" s="105"/>
      <c r="T2217" s="105"/>
      <c r="U2217" s="105"/>
      <c r="V2217" s="105"/>
      <c r="W2217" s="105"/>
      <c r="X2217" s="105"/>
      <c r="Y2217" s="105"/>
      <c r="Z2217" s="105"/>
    </row>
    <row r="2218" spans="1:26" ht="15.75" customHeight="1">
      <c r="A2218" s="105"/>
      <c r="B2218" s="105"/>
      <c r="C2218" s="105"/>
      <c r="D2218" s="105"/>
      <c r="E2218" s="105"/>
      <c r="F2218" s="105"/>
      <c r="G2218" s="105"/>
      <c r="H2218" s="105"/>
      <c r="I2218" s="105"/>
      <c r="J2218" s="105"/>
      <c r="K2218" s="105"/>
      <c r="L2218" s="105"/>
      <c r="M2218" s="105"/>
      <c r="N2218" s="105"/>
      <c r="O2218" s="105"/>
      <c r="P2218" s="105"/>
      <c r="Q2218" s="105"/>
      <c r="R2218" s="105"/>
      <c r="S2218" s="105"/>
      <c r="T2218" s="105"/>
      <c r="U2218" s="105"/>
      <c r="V2218" s="105"/>
      <c r="W2218" s="105"/>
      <c r="X2218" s="105"/>
      <c r="Y2218" s="105"/>
      <c r="Z2218" s="105"/>
    </row>
    <row r="2219" spans="1:26" ht="15.75" customHeight="1">
      <c r="A2219" s="105"/>
      <c r="B2219" s="105"/>
      <c r="C2219" s="105"/>
      <c r="D2219" s="105"/>
      <c r="E2219" s="105"/>
      <c r="F2219" s="105"/>
      <c r="G2219" s="105"/>
      <c r="H2219" s="105"/>
      <c r="I2219" s="105"/>
      <c r="J2219" s="105"/>
      <c r="K2219" s="105"/>
      <c r="L2219" s="105"/>
      <c r="M2219" s="105"/>
      <c r="N2219" s="105"/>
      <c r="O2219" s="105"/>
      <c r="P2219" s="105"/>
      <c r="Q2219" s="105"/>
      <c r="R2219" s="105"/>
      <c r="S2219" s="105"/>
      <c r="T2219" s="105"/>
      <c r="U2219" s="105"/>
      <c r="V2219" s="105"/>
      <c r="W2219" s="105"/>
      <c r="X2219" s="105"/>
      <c r="Y2219" s="105"/>
      <c r="Z2219" s="105"/>
    </row>
    <row r="2220" spans="1:26" ht="15.75" customHeight="1">
      <c r="A2220" s="105"/>
      <c r="B2220" s="105"/>
      <c r="C2220" s="105"/>
      <c r="D2220" s="105"/>
      <c r="E2220" s="105"/>
      <c r="F2220" s="105"/>
      <c r="G2220" s="105"/>
      <c r="H2220" s="105"/>
      <c r="I2220" s="105"/>
      <c r="J2220" s="105"/>
      <c r="K2220" s="105"/>
      <c r="L2220" s="105"/>
      <c r="M2220" s="105"/>
      <c r="N2220" s="105"/>
      <c r="O2220" s="105"/>
      <c r="P2220" s="105"/>
      <c r="Q2220" s="105"/>
      <c r="R2220" s="105"/>
      <c r="S2220" s="105"/>
      <c r="T2220" s="105"/>
      <c r="U2220" s="105"/>
      <c r="V2220" s="105"/>
      <c r="W2220" s="105"/>
      <c r="X2220" s="105"/>
      <c r="Y2220" s="105"/>
      <c r="Z2220" s="105"/>
    </row>
    <row r="2221" spans="1:26" ht="15.75" customHeight="1">
      <c r="A2221" s="105"/>
      <c r="B2221" s="105"/>
      <c r="C2221" s="105"/>
      <c r="D2221" s="105"/>
      <c r="E2221" s="105"/>
      <c r="F2221" s="105"/>
      <c r="G2221" s="105"/>
      <c r="H2221" s="105"/>
      <c r="I2221" s="105"/>
      <c r="J2221" s="105"/>
      <c r="K2221" s="105"/>
      <c r="L2221" s="105"/>
      <c r="M2221" s="105"/>
      <c r="N2221" s="105"/>
      <c r="O2221" s="105"/>
      <c r="P2221" s="105"/>
      <c r="Q2221" s="105"/>
      <c r="R2221" s="105"/>
      <c r="S2221" s="105"/>
      <c r="T2221" s="105"/>
      <c r="U2221" s="105"/>
      <c r="V2221" s="105"/>
      <c r="W2221" s="105"/>
      <c r="X2221" s="105"/>
      <c r="Y2221" s="105"/>
      <c r="Z2221" s="105"/>
    </row>
    <row r="2222" spans="1:26" ht="15.75" customHeight="1">
      <c r="A2222" s="105"/>
      <c r="B2222" s="105"/>
      <c r="C2222" s="105"/>
      <c r="D2222" s="105"/>
      <c r="E2222" s="105"/>
      <c r="F2222" s="105"/>
      <c r="G2222" s="105"/>
      <c r="H2222" s="105"/>
      <c r="I2222" s="105"/>
      <c r="J2222" s="105"/>
      <c r="K2222" s="105"/>
      <c r="L2222" s="105"/>
      <c r="M2222" s="105"/>
      <c r="N2222" s="105"/>
      <c r="O2222" s="105"/>
      <c r="P2222" s="105"/>
      <c r="Q2222" s="105"/>
      <c r="R2222" s="105"/>
      <c r="S2222" s="105"/>
      <c r="T2222" s="105"/>
      <c r="U2222" s="105"/>
      <c r="V2222" s="105"/>
      <c r="W2222" s="105"/>
      <c r="X2222" s="105"/>
      <c r="Y2222" s="105"/>
      <c r="Z2222" s="105"/>
    </row>
    <row r="2223" spans="1:26" ht="15.75" customHeight="1">
      <c r="A2223" s="105"/>
      <c r="B2223" s="105"/>
      <c r="C2223" s="105"/>
      <c r="D2223" s="105"/>
      <c r="E2223" s="105"/>
      <c r="F2223" s="105"/>
      <c r="G2223" s="105"/>
      <c r="H2223" s="105"/>
      <c r="I2223" s="105"/>
      <c r="J2223" s="105"/>
      <c r="K2223" s="105"/>
      <c r="L2223" s="105"/>
      <c r="M2223" s="105"/>
      <c r="N2223" s="105"/>
      <c r="O2223" s="105"/>
      <c r="P2223" s="105"/>
      <c r="Q2223" s="105"/>
      <c r="R2223" s="105"/>
      <c r="S2223" s="105"/>
      <c r="T2223" s="105"/>
      <c r="U2223" s="105"/>
      <c r="V2223" s="105"/>
      <c r="W2223" s="105"/>
      <c r="X2223" s="105"/>
      <c r="Y2223" s="105"/>
      <c r="Z2223" s="105"/>
    </row>
    <row r="2224" spans="1:26" ht="15.75" customHeight="1">
      <c r="A2224" s="105"/>
      <c r="B2224" s="105"/>
      <c r="C2224" s="105"/>
      <c r="D2224" s="105"/>
      <c r="E2224" s="105"/>
      <c r="F2224" s="105"/>
      <c r="G2224" s="105"/>
      <c r="H2224" s="105"/>
      <c r="I2224" s="105"/>
      <c r="J2224" s="105"/>
      <c r="K2224" s="105"/>
      <c r="L2224" s="105"/>
      <c r="M2224" s="105"/>
      <c r="N2224" s="105"/>
      <c r="O2224" s="105"/>
      <c r="P2224" s="105"/>
      <c r="Q2224" s="105"/>
      <c r="R2224" s="105"/>
      <c r="S2224" s="105"/>
      <c r="T2224" s="105"/>
      <c r="U2224" s="105"/>
      <c r="V2224" s="105"/>
      <c r="W2224" s="105"/>
      <c r="X2224" s="105"/>
      <c r="Y2224" s="105"/>
      <c r="Z2224" s="105"/>
    </row>
    <row r="2225" spans="1:26" ht="15.75" customHeight="1">
      <c r="A2225" s="105"/>
      <c r="B2225" s="105"/>
      <c r="C2225" s="105"/>
      <c r="D2225" s="105"/>
      <c r="E2225" s="105"/>
      <c r="F2225" s="105"/>
      <c r="G2225" s="105"/>
      <c r="H2225" s="105"/>
      <c r="I2225" s="105"/>
      <c r="J2225" s="105"/>
      <c r="K2225" s="105"/>
      <c r="L2225" s="105"/>
      <c r="M2225" s="105"/>
      <c r="N2225" s="105"/>
      <c r="O2225" s="105"/>
      <c r="P2225" s="105"/>
      <c r="Q2225" s="105"/>
      <c r="R2225" s="105"/>
      <c r="S2225" s="105"/>
      <c r="T2225" s="105"/>
      <c r="U2225" s="105"/>
      <c r="V2225" s="105"/>
      <c r="W2225" s="105"/>
      <c r="X2225" s="105"/>
      <c r="Y2225" s="105"/>
      <c r="Z2225" s="105"/>
    </row>
    <row r="2226" spans="1:26" ht="15.75" customHeight="1">
      <c r="A2226" s="105"/>
      <c r="B2226" s="105"/>
      <c r="C2226" s="105"/>
      <c r="D2226" s="105"/>
      <c r="E2226" s="105"/>
      <c r="F2226" s="105"/>
      <c r="G2226" s="105"/>
      <c r="H2226" s="105"/>
      <c r="I2226" s="105"/>
      <c r="J2226" s="105"/>
      <c r="K2226" s="105"/>
      <c r="L2226" s="105"/>
      <c r="M2226" s="105"/>
      <c r="N2226" s="105"/>
      <c r="O2226" s="105"/>
      <c r="P2226" s="105"/>
      <c r="Q2226" s="105"/>
      <c r="R2226" s="105"/>
      <c r="S2226" s="105"/>
      <c r="T2226" s="105"/>
      <c r="U2226" s="105"/>
      <c r="V2226" s="105"/>
      <c r="W2226" s="105"/>
      <c r="X2226" s="105"/>
      <c r="Y2226" s="105"/>
      <c r="Z2226" s="105"/>
    </row>
    <row r="2227" spans="1:26" ht="15.75" customHeight="1">
      <c r="A2227" s="105"/>
      <c r="B2227" s="105"/>
      <c r="C2227" s="105"/>
      <c r="D2227" s="105"/>
      <c r="E2227" s="105"/>
      <c r="F2227" s="105"/>
      <c r="G2227" s="105"/>
      <c r="H2227" s="105"/>
      <c r="I2227" s="105"/>
      <c r="J2227" s="105"/>
      <c r="K2227" s="105"/>
      <c r="L2227" s="105"/>
      <c r="M2227" s="105"/>
      <c r="N2227" s="105"/>
      <c r="O2227" s="105"/>
      <c r="P2227" s="105"/>
      <c r="Q2227" s="105"/>
      <c r="R2227" s="105"/>
      <c r="S2227" s="105"/>
      <c r="T2227" s="105"/>
      <c r="U2227" s="105"/>
      <c r="V2227" s="105"/>
      <c r="W2227" s="105"/>
      <c r="X2227" s="105"/>
      <c r="Y2227" s="105"/>
      <c r="Z2227" s="105"/>
    </row>
    <row r="2228" spans="1:26" ht="15.75" customHeight="1">
      <c r="A2228" s="105"/>
      <c r="B2228" s="105"/>
      <c r="C2228" s="105"/>
      <c r="D2228" s="105"/>
      <c r="E2228" s="105"/>
      <c r="F2228" s="105"/>
      <c r="G2228" s="105"/>
      <c r="H2228" s="105"/>
      <c r="I2228" s="105"/>
      <c r="J2228" s="105"/>
      <c r="K2228" s="105"/>
      <c r="L2228" s="105"/>
      <c r="M2228" s="105"/>
      <c r="N2228" s="105"/>
      <c r="O2228" s="105"/>
      <c r="P2228" s="105"/>
      <c r="Q2228" s="105"/>
      <c r="R2228" s="105"/>
      <c r="S2228" s="105"/>
      <c r="T2228" s="105"/>
      <c r="U2228" s="105"/>
      <c r="V2228" s="105"/>
      <c r="W2228" s="105"/>
      <c r="X2228" s="105"/>
      <c r="Y2228" s="105"/>
      <c r="Z2228" s="105"/>
    </row>
    <row r="2229" spans="1:26" ht="15.75" customHeight="1">
      <c r="A2229" s="105"/>
      <c r="B2229" s="105"/>
      <c r="C2229" s="105"/>
      <c r="D2229" s="105"/>
      <c r="E2229" s="105"/>
      <c r="F2229" s="105"/>
      <c r="G2229" s="105"/>
      <c r="H2229" s="105"/>
      <c r="I2229" s="105"/>
      <c r="J2229" s="105"/>
      <c r="K2229" s="105"/>
      <c r="L2229" s="105"/>
      <c r="M2229" s="105"/>
      <c r="N2229" s="105"/>
      <c r="O2229" s="105"/>
      <c r="P2229" s="105"/>
      <c r="Q2229" s="105"/>
      <c r="R2229" s="105"/>
      <c r="S2229" s="105"/>
      <c r="T2229" s="105"/>
      <c r="U2229" s="105"/>
      <c r="V2229" s="105"/>
      <c r="W2229" s="105"/>
      <c r="X2229" s="105"/>
      <c r="Y2229" s="105"/>
      <c r="Z2229" s="105"/>
    </row>
    <row r="2230" spans="1:26" ht="15.75" customHeight="1">
      <c r="A2230" s="105"/>
      <c r="B2230" s="105"/>
      <c r="C2230" s="105"/>
      <c r="D2230" s="105"/>
      <c r="E2230" s="105"/>
      <c r="F2230" s="105"/>
      <c r="G2230" s="105"/>
      <c r="H2230" s="105"/>
      <c r="I2230" s="105"/>
      <c r="J2230" s="105"/>
      <c r="K2230" s="105"/>
      <c r="L2230" s="105"/>
      <c r="M2230" s="105"/>
      <c r="N2230" s="105"/>
      <c r="O2230" s="105"/>
      <c r="P2230" s="105"/>
      <c r="Q2230" s="105"/>
      <c r="R2230" s="105"/>
      <c r="S2230" s="105"/>
      <c r="T2230" s="105"/>
      <c r="U2230" s="105"/>
      <c r="V2230" s="105"/>
      <c r="W2230" s="105"/>
      <c r="X2230" s="105"/>
      <c r="Y2230" s="105"/>
      <c r="Z2230" s="105"/>
    </row>
    <row r="2231" spans="1:26" ht="15.75" customHeight="1">
      <c r="A2231" s="105"/>
      <c r="B2231" s="105"/>
      <c r="C2231" s="105"/>
      <c r="D2231" s="105"/>
      <c r="E2231" s="105"/>
      <c r="F2231" s="105"/>
      <c r="G2231" s="105"/>
      <c r="H2231" s="105"/>
      <c r="I2231" s="105"/>
      <c r="J2231" s="105"/>
      <c r="K2231" s="105"/>
      <c r="L2231" s="105"/>
      <c r="M2231" s="105"/>
      <c r="N2231" s="105"/>
      <c r="O2231" s="105"/>
      <c r="P2231" s="105"/>
      <c r="Q2231" s="105"/>
      <c r="R2231" s="105"/>
      <c r="S2231" s="105"/>
      <c r="T2231" s="105"/>
      <c r="U2231" s="105"/>
      <c r="V2231" s="105"/>
      <c r="W2231" s="105"/>
      <c r="X2231" s="105"/>
      <c r="Y2231" s="105"/>
      <c r="Z2231" s="105"/>
    </row>
    <row r="2232" spans="1:26" ht="15.75" customHeight="1">
      <c r="A2232" s="105"/>
      <c r="B2232" s="105"/>
      <c r="C2232" s="105"/>
      <c r="D2232" s="105"/>
      <c r="E2232" s="105"/>
      <c r="F2232" s="105"/>
      <c r="G2232" s="105"/>
      <c r="H2232" s="105"/>
      <c r="I2232" s="105"/>
      <c r="J2232" s="105"/>
      <c r="K2232" s="105"/>
      <c r="L2232" s="105"/>
      <c r="M2232" s="105"/>
      <c r="N2232" s="105"/>
      <c r="O2232" s="105"/>
      <c r="P2232" s="105"/>
      <c r="Q2232" s="105"/>
      <c r="R2232" s="105"/>
      <c r="S2232" s="105"/>
      <c r="T2232" s="105"/>
      <c r="U2232" s="105"/>
      <c r="V2232" s="105"/>
      <c r="W2232" s="105"/>
      <c r="X2232" s="105"/>
      <c r="Y2232" s="105"/>
      <c r="Z2232" s="105"/>
    </row>
    <row r="2233" spans="1:26" ht="15.75" customHeight="1">
      <c r="A2233" s="105"/>
      <c r="B2233" s="105"/>
      <c r="C2233" s="105"/>
      <c r="D2233" s="105"/>
      <c r="E2233" s="105"/>
      <c r="F2233" s="105"/>
      <c r="G2233" s="105"/>
      <c r="H2233" s="105"/>
      <c r="I2233" s="105"/>
      <c r="J2233" s="105"/>
      <c r="K2233" s="105"/>
      <c r="L2233" s="105"/>
      <c r="M2233" s="105"/>
      <c r="N2233" s="105"/>
      <c r="O2233" s="105"/>
      <c r="P2233" s="105"/>
      <c r="Q2233" s="105"/>
      <c r="R2233" s="105"/>
      <c r="S2233" s="105"/>
      <c r="T2233" s="105"/>
      <c r="U2233" s="105"/>
      <c r="V2233" s="105"/>
      <c r="W2233" s="105"/>
      <c r="X2233" s="105"/>
      <c r="Y2233" s="105"/>
      <c r="Z2233" s="105"/>
    </row>
    <row r="2234" spans="1:26" ht="15.75" customHeight="1">
      <c r="A2234" s="105"/>
      <c r="B2234" s="105"/>
      <c r="C2234" s="105"/>
      <c r="D2234" s="105"/>
      <c r="E2234" s="105"/>
      <c r="F2234" s="105"/>
      <c r="G2234" s="105"/>
      <c r="H2234" s="105"/>
      <c r="I2234" s="105"/>
      <c r="J2234" s="105"/>
      <c r="K2234" s="105"/>
      <c r="L2234" s="105"/>
      <c r="M2234" s="105"/>
      <c r="N2234" s="105"/>
      <c r="O2234" s="105"/>
      <c r="P2234" s="105"/>
      <c r="Q2234" s="105"/>
      <c r="R2234" s="105"/>
      <c r="S2234" s="105"/>
      <c r="T2234" s="105"/>
      <c r="U2234" s="105"/>
      <c r="V2234" s="105"/>
      <c r="W2234" s="105"/>
      <c r="X2234" s="105"/>
      <c r="Y2234" s="105"/>
      <c r="Z2234" s="105"/>
    </row>
    <row r="2235" spans="1:26" ht="15.75" customHeight="1">
      <c r="A2235" s="105"/>
      <c r="B2235" s="105"/>
      <c r="C2235" s="105"/>
      <c r="D2235" s="105"/>
      <c r="E2235" s="105"/>
      <c r="F2235" s="105"/>
      <c r="G2235" s="105"/>
      <c r="H2235" s="105"/>
      <c r="I2235" s="105"/>
      <c r="J2235" s="105"/>
      <c r="K2235" s="105"/>
      <c r="L2235" s="105"/>
      <c r="M2235" s="105"/>
      <c r="N2235" s="105"/>
      <c r="O2235" s="105"/>
      <c r="P2235" s="105"/>
      <c r="Q2235" s="105"/>
      <c r="R2235" s="105"/>
      <c r="S2235" s="105"/>
      <c r="T2235" s="105"/>
      <c r="U2235" s="105"/>
      <c r="V2235" s="105"/>
      <c r="W2235" s="105"/>
      <c r="X2235" s="105"/>
      <c r="Y2235" s="105"/>
      <c r="Z2235" s="105"/>
    </row>
    <row r="2236" spans="1:26" ht="15.75" customHeight="1">
      <c r="A2236" s="105"/>
      <c r="B2236" s="105"/>
      <c r="C2236" s="105"/>
      <c r="D2236" s="105"/>
      <c r="E2236" s="105"/>
      <c r="F2236" s="105"/>
      <c r="G2236" s="105"/>
      <c r="H2236" s="105"/>
      <c r="I2236" s="105"/>
      <c r="J2236" s="105"/>
      <c r="K2236" s="105"/>
      <c r="L2236" s="105"/>
      <c r="M2236" s="105"/>
      <c r="N2236" s="105"/>
      <c r="O2236" s="105"/>
      <c r="P2236" s="105"/>
      <c r="Q2236" s="105"/>
      <c r="R2236" s="105"/>
      <c r="S2236" s="105"/>
      <c r="T2236" s="105"/>
      <c r="U2236" s="105"/>
      <c r="V2236" s="105"/>
      <c r="W2236" s="105"/>
      <c r="X2236" s="105"/>
      <c r="Y2236" s="105"/>
      <c r="Z2236" s="105"/>
    </row>
    <row r="2237" spans="1:26" ht="15.75" customHeight="1">
      <c r="A2237" s="105"/>
      <c r="B2237" s="105"/>
      <c r="C2237" s="105"/>
      <c r="D2237" s="105"/>
      <c r="E2237" s="105"/>
      <c r="F2237" s="105"/>
      <c r="G2237" s="105"/>
      <c r="H2237" s="105"/>
      <c r="I2237" s="105"/>
      <c r="J2237" s="105"/>
      <c r="K2237" s="105"/>
      <c r="L2237" s="105"/>
      <c r="M2237" s="105"/>
      <c r="N2237" s="105"/>
      <c r="O2237" s="105"/>
      <c r="P2237" s="105"/>
      <c r="Q2237" s="105"/>
      <c r="R2237" s="105"/>
      <c r="S2237" s="105"/>
      <c r="T2237" s="105"/>
      <c r="U2237" s="105"/>
      <c r="V2237" s="105"/>
      <c r="W2237" s="105"/>
      <c r="X2237" s="105"/>
      <c r="Y2237" s="105"/>
      <c r="Z2237" s="105"/>
    </row>
    <row r="2238" spans="1:26" ht="15.75" customHeight="1">
      <c r="A2238" s="105"/>
      <c r="B2238" s="105"/>
      <c r="C2238" s="105"/>
      <c r="D2238" s="105"/>
      <c r="E2238" s="105"/>
      <c r="F2238" s="105"/>
      <c r="G2238" s="105"/>
      <c r="H2238" s="105"/>
      <c r="I2238" s="105"/>
      <c r="J2238" s="105"/>
      <c r="K2238" s="105"/>
      <c r="L2238" s="105"/>
      <c r="M2238" s="105"/>
      <c r="N2238" s="105"/>
      <c r="O2238" s="105"/>
      <c r="P2238" s="105"/>
      <c r="Q2238" s="105"/>
      <c r="R2238" s="105"/>
      <c r="S2238" s="105"/>
      <c r="T2238" s="105"/>
      <c r="U2238" s="105"/>
      <c r="V2238" s="105"/>
      <c r="W2238" s="105"/>
      <c r="X2238" s="105"/>
      <c r="Y2238" s="105"/>
      <c r="Z2238" s="105"/>
    </row>
    <row r="2239" spans="1:26" ht="15.75" customHeight="1">
      <c r="A2239" s="105"/>
      <c r="B2239" s="105"/>
      <c r="C2239" s="105"/>
      <c r="D2239" s="105"/>
      <c r="E2239" s="105"/>
      <c r="F2239" s="105"/>
      <c r="G2239" s="105"/>
      <c r="H2239" s="105"/>
      <c r="I2239" s="105"/>
      <c r="J2239" s="105"/>
      <c r="K2239" s="105"/>
      <c r="L2239" s="105"/>
      <c r="M2239" s="105"/>
      <c r="N2239" s="105"/>
      <c r="O2239" s="105"/>
      <c r="P2239" s="105"/>
      <c r="Q2239" s="105"/>
      <c r="R2239" s="105"/>
      <c r="S2239" s="105"/>
      <c r="T2239" s="105"/>
      <c r="U2239" s="105"/>
      <c r="V2239" s="105"/>
      <c r="W2239" s="105"/>
      <c r="X2239" s="105"/>
      <c r="Y2239" s="105"/>
      <c r="Z2239" s="105"/>
    </row>
    <row r="2240" spans="1:26" ht="15.75" customHeight="1">
      <c r="A2240" s="105"/>
      <c r="B2240" s="105"/>
      <c r="C2240" s="105"/>
      <c r="D2240" s="105"/>
      <c r="E2240" s="105"/>
      <c r="F2240" s="105"/>
      <c r="G2240" s="105"/>
      <c r="H2240" s="105"/>
      <c r="I2240" s="105"/>
      <c r="J2240" s="105"/>
      <c r="K2240" s="105"/>
      <c r="L2240" s="105"/>
      <c r="M2240" s="105"/>
      <c r="N2240" s="105"/>
      <c r="O2240" s="105"/>
      <c r="P2240" s="105"/>
      <c r="Q2240" s="105"/>
      <c r="R2240" s="105"/>
      <c r="S2240" s="105"/>
      <c r="T2240" s="105"/>
      <c r="U2240" s="105"/>
      <c r="V2240" s="105"/>
      <c r="W2240" s="105"/>
      <c r="X2240" s="105"/>
      <c r="Y2240" s="105"/>
      <c r="Z2240" s="105"/>
    </row>
    <row r="2241" spans="1:26" ht="15.75" customHeight="1">
      <c r="A2241" s="105"/>
      <c r="B2241" s="105"/>
      <c r="C2241" s="105"/>
      <c r="D2241" s="105"/>
      <c r="E2241" s="105"/>
      <c r="F2241" s="105"/>
      <c r="G2241" s="105"/>
      <c r="H2241" s="105"/>
      <c r="I2241" s="105"/>
      <c r="J2241" s="105"/>
      <c r="K2241" s="105"/>
      <c r="L2241" s="105"/>
      <c r="M2241" s="105"/>
      <c r="N2241" s="105"/>
      <c r="O2241" s="105"/>
      <c r="P2241" s="105"/>
      <c r="Q2241" s="105"/>
      <c r="R2241" s="105"/>
      <c r="S2241" s="105"/>
      <c r="T2241" s="105"/>
      <c r="U2241" s="105"/>
      <c r="V2241" s="105"/>
      <c r="W2241" s="105"/>
      <c r="X2241" s="105"/>
      <c r="Y2241" s="105"/>
      <c r="Z2241" s="105"/>
    </row>
    <row r="2242" spans="1:26" ht="15.75" customHeight="1">
      <c r="A2242" s="105"/>
      <c r="B2242" s="105"/>
      <c r="C2242" s="105"/>
      <c r="D2242" s="105"/>
      <c r="E2242" s="105"/>
      <c r="F2242" s="105"/>
      <c r="G2242" s="105"/>
      <c r="H2242" s="105"/>
      <c r="I2242" s="105"/>
      <c r="J2242" s="105"/>
      <c r="K2242" s="105"/>
      <c r="L2242" s="105"/>
      <c r="M2242" s="105"/>
      <c r="N2242" s="105"/>
      <c r="O2242" s="105"/>
      <c r="P2242" s="105"/>
      <c r="Q2242" s="105"/>
      <c r="R2242" s="105"/>
      <c r="S2242" s="105"/>
      <c r="T2242" s="105"/>
      <c r="U2242" s="105"/>
      <c r="V2242" s="105"/>
      <c r="W2242" s="105"/>
      <c r="X2242" s="105"/>
      <c r="Y2242" s="105"/>
      <c r="Z2242" s="105"/>
    </row>
    <row r="2243" spans="1:26" ht="15.75" customHeight="1">
      <c r="A2243" s="105"/>
      <c r="B2243" s="105"/>
      <c r="C2243" s="105"/>
      <c r="D2243" s="105"/>
      <c r="E2243" s="105"/>
      <c r="F2243" s="105"/>
      <c r="G2243" s="105"/>
      <c r="H2243" s="105"/>
      <c r="I2243" s="105"/>
      <c r="J2243" s="105"/>
      <c r="K2243" s="105"/>
      <c r="L2243" s="105"/>
      <c r="M2243" s="105"/>
      <c r="N2243" s="105"/>
      <c r="O2243" s="105"/>
      <c r="P2243" s="105"/>
      <c r="Q2243" s="105"/>
      <c r="R2243" s="105"/>
      <c r="S2243" s="105"/>
      <c r="T2243" s="105"/>
      <c r="U2243" s="105"/>
      <c r="V2243" s="105"/>
      <c r="W2243" s="105"/>
      <c r="X2243" s="105"/>
      <c r="Y2243" s="105"/>
      <c r="Z2243" s="105"/>
    </row>
    <row r="2244" spans="1:26" ht="15.75" customHeight="1">
      <c r="A2244" s="105"/>
      <c r="B2244" s="105"/>
      <c r="C2244" s="105"/>
      <c r="D2244" s="105"/>
      <c r="E2244" s="105"/>
      <c r="F2244" s="105"/>
      <c r="G2244" s="105"/>
      <c r="H2244" s="105"/>
      <c r="I2244" s="105"/>
      <c r="J2244" s="105"/>
      <c r="K2244" s="105"/>
      <c r="L2244" s="105"/>
      <c r="M2244" s="105"/>
      <c r="N2244" s="105"/>
      <c r="O2244" s="105"/>
      <c r="P2244" s="105"/>
      <c r="Q2244" s="105"/>
      <c r="R2244" s="105"/>
      <c r="S2244" s="105"/>
      <c r="T2244" s="105"/>
      <c r="U2244" s="105"/>
      <c r="V2244" s="105"/>
      <c r="W2244" s="105"/>
      <c r="X2244" s="105"/>
      <c r="Y2244" s="105"/>
      <c r="Z2244" s="105"/>
    </row>
    <row r="2245" spans="1:26" ht="15.75" customHeight="1">
      <c r="A2245" s="105"/>
      <c r="B2245" s="105"/>
      <c r="C2245" s="105"/>
      <c r="D2245" s="105"/>
      <c r="E2245" s="105"/>
      <c r="F2245" s="105"/>
      <c r="G2245" s="105"/>
      <c r="H2245" s="105"/>
      <c r="I2245" s="105"/>
      <c r="J2245" s="105"/>
      <c r="K2245" s="105"/>
      <c r="L2245" s="105"/>
      <c r="M2245" s="105"/>
      <c r="N2245" s="105"/>
      <c r="O2245" s="105"/>
      <c r="P2245" s="105"/>
      <c r="Q2245" s="105"/>
      <c r="R2245" s="105"/>
      <c r="S2245" s="105"/>
      <c r="T2245" s="105"/>
      <c r="U2245" s="105"/>
      <c r="V2245" s="105"/>
      <c r="W2245" s="105"/>
      <c r="X2245" s="105"/>
      <c r="Y2245" s="105"/>
      <c r="Z2245" s="105"/>
    </row>
    <row r="2246" spans="1:26" ht="15.75" customHeight="1">
      <c r="A2246" s="105"/>
      <c r="B2246" s="105"/>
      <c r="C2246" s="105"/>
      <c r="D2246" s="105"/>
      <c r="E2246" s="105"/>
      <c r="F2246" s="105"/>
      <c r="G2246" s="105"/>
      <c r="H2246" s="105"/>
      <c r="I2246" s="105"/>
      <c r="J2246" s="105"/>
      <c r="K2246" s="105"/>
      <c r="L2246" s="105"/>
      <c r="M2246" s="105"/>
      <c r="N2246" s="105"/>
      <c r="O2246" s="105"/>
      <c r="P2246" s="105"/>
      <c r="Q2246" s="105"/>
      <c r="R2246" s="105"/>
      <c r="S2246" s="105"/>
      <c r="T2246" s="105"/>
      <c r="U2246" s="105"/>
      <c r="V2246" s="105"/>
      <c r="W2246" s="105"/>
      <c r="X2246" s="105"/>
      <c r="Y2246" s="105"/>
      <c r="Z2246" s="105"/>
    </row>
    <row r="2247" spans="1:26" ht="15.75" customHeight="1">
      <c r="A2247" s="105"/>
      <c r="B2247" s="105"/>
      <c r="C2247" s="105"/>
      <c r="D2247" s="105"/>
      <c r="E2247" s="105"/>
      <c r="F2247" s="105"/>
      <c r="G2247" s="105"/>
      <c r="H2247" s="105"/>
      <c r="I2247" s="105"/>
      <c r="J2247" s="105"/>
      <c r="K2247" s="105"/>
      <c r="L2247" s="105"/>
      <c r="M2247" s="105"/>
      <c r="N2247" s="105"/>
      <c r="O2247" s="105"/>
      <c r="P2247" s="105"/>
      <c r="Q2247" s="105"/>
      <c r="R2247" s="105"/>
      <c r="S2247" s="105"/>
      <c r="T2247" s="105"/>
      <c r="U2247" s="105"/>
      <c r="V2247" s="105"/>
      <c r="W2247" s="105"/>
      <c r="X2247" s="105"/>
      <c r="Y2247" s="105"/>
      <c r="Z2247" s="105"/>
    </row>
    <row r="2248" spans="1:26" ht="15.75" customHeight="1">
      <c r="A2248" s="105"/>
      <c r="B2248" s="105"/>
      <c r="C2248" s="105"/>
      <c r="D2248" s="105"/>
      <c r="E2248" s="105"/>
      <c r="F2248" s="105"/>
      <c r="G2248" s="105"/>
      <c r="H2248" s="105"/>
      <c r="I2248" s="105"/>
      <c r="J2248" s="105"/>
      <c r="K2248" s="105"/>
      <c r="L2248" s="105"/>
      <c r="M2248" s="105"/>
      <c r="N2248" s="105"/>
      <c r="O2248" s="105"/>
      <c r="P2248" s="105"/>
      <c r="Q2248" s="105"/>
      <c r="R2248" s="105"/>
      <c r="S2248" s="105"/>
      <c r="T2248" s="105"/>
      <c r="U2248" s="105"/>
      <c r="V2248" s="105"/>
      <c r="W2248" s="105"/>
      <c r="X2248" s="105"/>
      <c r="Y2248" s="105"/>
      <c r="Z2248" s="105"/>
    </row>
    <row r="2249" spans="1:26" ht="15.75" customHeight="1">
      <c r="A2249" s="105"/>
      <c r="B2249" s="105"/>
      <c r="C2249" s="105"/>
      <c r="D2249" s="105"/>
      <c r="E2249" s="105"/>
      <c r="F2249" s="105"/>
      <c r="G2249" s="105"/>
      <c r="H2249" s="105"/>
      <c r="I2249" s="105"/>
      <c r="J2249" s="105"/>
      <c r="K2249" s="105"/>
      <c r="L2249" s="105"/>
      <c r="M2249" s="105"/>
      <c r="N2249" s="105"/>
      <c r="O2249" s="105"/>
      <c r="P2249" s="105"/>
      <c r="Q2249" s="105"/>
      <c r="R2249" s="105"/>
      <c r="S2249" s="105"/>
      <c r="T2249" s="105"/>
      <c r="U2249" s="105"/>
      <c r="V2249" s="105"/>
      <c r="W2249" s="105"/>
      <c r="X2249" s="105"/>
      <c r="Y2249" s="105"/>
      <c r="Z2249" s="105"/>
    </row>
    <row r="2250" spans="1:26" ht="15.75" customHeight="1">
      <c r="A2250" s="105"/>
      <c r="B2250" s="105"/>
      <c r="C2250" s="105"/>
      <c r="D2250" s="105"/>
      <c r="E2250" s="105"/>
      <c r="F2250" s="105"/>
      <c r="G2250" s="105"/>
      <c r="H2250" s="105"/>
      <c r="I2250" s="105"/>
      <c r="J2250" s="105"/>
      <c r="K2250" s="105"/>
      <c r="L2250" s="105"/>
      <c r="M2250" s="105"/>
      <c r="N2250" s="105"/>
      <c r="O2250" s="105"/>
      <c r="P2250" s="105"/>
      <c r="Q2250" s="105"/>
      <c r="R2250" s="105"/>
      <c r="S2250" s="105"/>
      <c r="T2250" s="105"/>
      <c r="U2250" s="105"/>
      <c r="V2250" s="105"/>
      <c r="W2250" s="105"/>
      <c r="X2250" s="105"/>
      <c r="Y2250" s="105"/>
      <c r="Z2250" s="105"/>
    </row>
    <row r="2251" spans="1:26" ht="15.75" customHeight="1">
      <c r="A2251" s="105"/>
      <c r="B2251" s="105"/>
      <c r="C2251" s="105"/>
      <c r="D2251" s="105"/>
      <c r="E2251" s="105"/>
      <c r="F2251" s="105"/>
      <c r="G2251" s="105"/>
      <c r="H2251" s="105"/>
      <c r="I2251" s="105"/>
      <c r="J2251" s="105"/>
      <c r="K2251" s="105"/>
      <c r="L2251" s="105"/>
      <c r="M2251" s="105"/>
      <c r="N2251" s="105"/>
      <c r="O2251" s="105"/>
      <c r="P2251" s="105"/>
      <c r="Q2251" s="105"/>
      <c r="R2251" s="105"/>
      <c r="S2251" s="105"/>
      <c r="T2251" s="105"/>
      <c r="U2251" s="105"/>
      <c r="V2251" s="105"/>
      <c r="W2251" s="105"/>
      <c r="X2251" s="105"/>
      <c r="Y2251" s="105"/>
      <c r="Z2251" s="105"/>
    </row>
    <row r="2252" spans="1:26" ht="15.75" customHeight="1">
      <c r="A2252" s="105"/>
      <c r="B2252" s="105"/>
      <c r="C2252" s="105"/>
      <c r="D2252" s="105"/>
      <c r="E2252" s="105"/>
      <c r="F2252" s="105"/>
      <c r="G2252" s="105"/>
      <c r="H2252" s="105"/>
      <c r="I2252" s="105"/>
      <c r="J2252" s="105"/>
      <c r="K2252" s="105"/>
      <c r="L2252" s="105"/>
      <c r="M2252" s="105"/>
      <c r="N2252" s="105"/>
      <c r="O2252" s="105"/>
      <c r="P2252" s="105"/>
      <c r="Q2252" s="105"/>
      <c r="R2252" s="105"/>
      <c r="S2252" s="105"/>
      <c r="T2252" s="105"/>
      <c r="U2252" s="105"/>
      <c r="V2252" s="105"/>
      <c r="W2252" s="105"/>
      <c r="X2252" s="105"/>
      <c r="Y2252" s="105"/>
      <c r="Z2252" s="105"/>
    </row>
    <row r="2253" spans="1:26" ht="15.75" customHeight="1">
      <c r="A2253" s="105"/>
      <c r="B2253" s="105"/>
      <c r="C2253" s="105"/>
      <c r="D2253" s="105"/>
      <c r="E2253" s="105"/>
      <c r="F2253" s="105"/>
      <c r="G2253" s="105"/>
      <c r="H2253" s="105"/>
      <c r="I2253" s="105"/>
      <c r="J2253" s="105"/>
      <c r="K2253" s="105"/>
      <c r="L2253" s="105"/>
      <c r="M2253" s="105"/>
      <c r="N2253" s="105"/>
      <c r="O2253" s="105"/>
      <c r="P2253" s="105"/>
      <c r="Q2253" s="105"/>
      <c r="R2253" s="105"/>
      <c r="S2253" s="105"/>
      <c r="T2253" s="105"/>
      <c r="U2253" s="105"/>
      <c r="V2253" s="105"/>
      <c r="W2253" s="105"/>
      <c r="X2253" s="105"/>
      <c r="Y2253" s="105"/>
      <c r="Z2253" s="105"/>
    </row>
    <row r="2254" spans="1:26" ht="15.75" customHeight="1">
      <c r="A2254" s="105"/>
      <c r="B2254" s="105"/>
      <c r="C2254" s="105"/>
      <c r="D2254" s="105"/>
      <c r="E2254" s="105"/>
      <c r="F2254" s="105"/>
      <c r="G2254" s="105"/>
      <c r="H2254" s="105"/>
      <c r="I2254" s="105"/>
      <c r="J2254" s="105"/>
      <c r="K2254" s="105"/>
      <c r="L2254" s="105"/>
      <c r="M2254" s="105"/>
      <c r="N2254" s="105"/>
      <c r="O2254" s="105"/>
      <c r="P2254" s="105"/>
      <c r="Q2254" s="105"/>
      <c r="R2254" s="105"/>
      <c r="S2254" s="105"/>
      <c r="T2254" s="105"/>
      <c r="U2254" s="105"/>
      <c r="V2254" s="105"/>
      <c r="W2254" s="105"/>
      <c r="X2254" s="105"/>
      <c r="Y2254" s="105"/>
      <c r="Z2254" s="105"/>
    </row>
    <row r="2255" spans="1:26" ht="15.75" customHeight="1">
      <c r="A2255" s="105"/>
      <c r="B2255" s="105"/>
      <c r="C2255" s="105"/>
      <c r="D2255" s="105"/>
      <c r="E2255" s="105"/>
      <c r="F2255" s="105"/>
      <c r="G2255" s="105"/>
      <c r="H2255" s="105"/>
      <c r="I2255" s="105"/>
      <c r="J2255" s="105"/>
      <c r="K2255" s="105"/>
      <c r="L2255" s="105"/>
      <c r="M2255" s="105"/>
      <c r="N2255" s="105"/>
      <c r="O2255" s="105"/>
      <c r="P2255" s="105"/>
      <c r="Q2255" s="105"/>
      <c r="R2255" s="105"/>
      <c r="S2255" s="105"/>
      <c r="T2255" s="105"/>
      <c r="U2255" s="105"/>
      <c r="V2255" s="105"/>
      <c r="W2255" s="105"/>
      <c r="X2255" s="105"/>
      <c r="Y2255" s="105"/>
      <c r="Z2255" s="105"/>
    </row>
    <row r="2256" spans="1:26" ht="15.75" customHeight="1">
      <c r="A2256" s="105"/>
      <c r="B2256" s="105"/>
      <c r="C2256" s="105"/>
      <c r="D2256" s="105"/>
      <c r="E2256" s="105"/>
      <c r="F2256" s="105"/>
      <c r="G2256" s="105"/>
      <c r="H2256" s="105"/>
      <c r="I2256" s="105"/>
      <c r="J2256" s="105"/>
      <c r="K2256" s="105"/>
      <c r="L2256" s="105"/>
      <c r="M2256" s="105"/>
      <c r="N2256" s="105"/>
      <c r="O2256" s="105"/>
      <c r="P2256" s="105"/>
      <c r="Q2256" s="105"/>
      <c r="R2256" s="105"/>
      <c r="S2256" s="105"/>
      <c r="T2256" s="105"/>
      <c r="U2256" s="105"/>
      <c r="V2256" s="105"/>
      <c r="W2256" s="105"/>
      <c r="X2256" s="105"/>
      <c r="Y2256" s="105"/>
      <c r="Z2256" s="105"/>
    </row>
    <row r="2257" spans="1:26" ht="15.75" customHeight="1">
      <c r="A2257" s="105"/>
      <c r="B2257" s="105"/>
      <c r="C2257" s="105"/>
      <c r="D2257" s="105"/>
      <c r="E2257" s="105"/>
      <c r="F2257" s="105"/>
      <c r="G2257" s="105"/>
      <c r="H2257" s="105"/>
      <c r="I2257" s="105"/>
      <c r="J2257" s="105"/>
      <c r="K2257" s="105"/>
      <c r="L2257" s="105"/>
      <c r="M2257" s="105"/>
      <c r="N2257" s="105"/>
      <c r="O2257" s="105"/>
      <c r="P2257" s="105"/>
      <c r="Q2257" s="105"/>
      <c r="R2257" s="105"/>
      <c r="S2257" s="105"/>
      <c r="T2257" s="105"/>
      <c r="U2257" s="105"/>
      <c r="V2257" s="105"/>
      <c r="W2257" s="105"/>
      <c r="X2257" s="105"/>
      <c r="Y2257" s="105"/>
      <c r="Z2257" s="105"/>
    </row>
    <row r="2258" spans="1:26" ht="15.75" customHeight="1">
      <c r="A2258" s="105"/>
      <c r="B2258" s="105"/>
      <c r="C2258" s="105"/>
      <c r="D2258" s="105"/>
      <c r="E2258" s="105"/>
      <c r="F2258" s="105"/>
      <c r="G2258" s="105"/>
      <c r="H2258" s="105"/>
      <c r="I2258" s="105"/>
      <c r="J2258" s="105"/>
      <c r="K2258" s="105"/>
      <c r="L2258" s="105"/>
      <c r="M2258" s="105"/>
      <c r="N2258" s="105"/>
      <c r="O2258" s="105"/>
      <c r="P2258" s="105"/>
      <c r="Q2258" s="105"/>
      <c r="R2258" s="105"/>
      <c r="S2258" s="105"/>
      <c r="T2258" s="105"/>
      <c r="U2258" s="105"/>
      <c r="V2258" s="105"/>
      <c r="W2258" s="105"/>
      <c r="X2258" s="105"/>
      <c r="Y2258" s="105"/>
      <c r="Z2258" s="105"/>
    </row>
    <row r="2259" spans="1:26" ht="15.75" customHeight="1">
      <c r="A2259" s="105"/>
      <c r="B2259" s="105"/>
      <c r="C2259" s="105"/>
      <c r="D2259" s="105"/>
      <c r="E2259" s="105"/>
      <c r="F2259" s="105"/>
      <c r="G2259" s="105"/>
      <c r="H2259" s="105"/>
      <c r="I2259" s="105"/>
      <c r="J2259" s="105"/>
      <c r="K2259" s="105"/>
      <c r="L2259" s="105"/>
      <c r="M2259" s="105"/>
      <c r="N2259" s="105"/>
      <c r="O2259" s="105"/>
      <c r="P2259" s="105"/>
      <c r="Q2259" s="105"/>
      <c r="R2259" s="105"/>
      <c r="S2259" s="105"/>
      <c r="T2259" s="105"/>
      <c r="U2259" s="105"/>
      <c r="V2259" s="105"/>
      <c r="W2259" s="105"/>
      <c r="X2259" s="105"/>
      <c r="Y2259" s="105"/>
      <c r="Z2259" s="105"/>
    </row>
    <row r="2260" spans="1:26" ht="15.75" customHeight="1">
      <c r="A2260" s="105"/>
      <c r="B2260" s="105"/>
      <c r="C2260" s="105"/>
      <c r="D2260" s="105"/>
      <c r="E2260" s="105"/>
      <c r="F2260" s="105"/>
      <c r="G2260" s="105"/>
      <c r="H2260" s="105"/>
      <c r="I2260" s="105"/>
      <c r="J2260" s="105"/>
      <c r="K2260" s="105"/>
      <c r="L2260" s="105"/>
      <c r="M2260" s="105"/>
      <c r="N2260" s="105"/>
      <c r="O2260" s="105"/>
      <c r="P2260" s="105"/>
      <c r="Q2260" s="105"/>
      <c r="R2260" s="105"/>
      <c r="S2260" s="105"/>
      <c r="T2260" s="105"/>
      <c r="U2260" s="105"/>
      <c r="V2260" s="105"/>
      <c r="W2260" s="105"/>
      <c r="X2260" s="105"/>
      <c r="Y2260" s="105"/>
      <c r="Z2260" s="105"/>
    </row>
    <row r="2261" spans="1:26" ht="15.75" customHeight="1">
      <c r="A2261" s="105"/>
      <c r="B2261" s="105"/>
      <c r="C2261" s="105"/>
      <c r="D2261" s="105"/>
      <c r="E2261" s="105"/>
      <c r="F2261" s="105"/>
      <c r="G2261" s="105"/>
      <c r="H2261" s="105"/>
      <c r="I2261" s="105"/>
      <c r="J2261" s="105"/>
      <c r="K2261" s="105"/>
      <c r="L2261" s="105"/>
      <c r="M2261" s="105"/>
      <c r="N2261" s="105"/>
      <c r="O2261" s="105"/>
      <c r="P2261" s="105"/>
      <c r="Q2261" s="105"/>
      <c r="R2261" s="105"/>
      <c r="S2261" s="105"/>
      <c r="T2261" s="105"/>
      <c r="U2261" s="105"/>
      <c r="V2261" s="105"/>
      <c r="W2261" s="105"/>
      <c r="X2261" s="105"/>
      <c r="Y2261" s="105"/>
      <c r="Z2261" s="105"/>
    </row>
    <row r="2262" spans="1:26" ht="15.75" customHeight="1">
      <c r="A2262" s="105"/>
      <c r="B2262" s="105"/>
      <c r="C2262" s="105"/>
      <c r="D2262" s="105"/>
      <c r="E2262" s="105"/>
      <c r="F2262" s="105"/>
      <c r="G2262" s="105"/>
      <c r="H2262" s="105"/>
      <c r="I2262" s="105"/>
      <c r="J2262" s="105"/>
      <c r="K2262" s="105"/>
      <c r="L2262" s="105"/>
      <c r="M2262" s="105"/>
      <c r="N2262" s="105"/>
      <c r="O2262" s="105"/>
      <c r="P2262" s="105"/>
      <c r="Q2262" s="105"/>
      <c r="R2262" s="105"/>
      <c r="S2262" s="105"/>
      <c r="T2262" s="105"/>
      <c r="U2262" s="105"/>
      <c r="V2262" s="105"/>
      <c r="W2262" s="105"/>
      <c r="X2262" s="105"/>
      <c r="Y2262" s="105"/>
      <c r="Z2262" s="105"/>
    </row>
    <row r="2263" spans="1:26" ht="15.75" customHeight="1">
      <c r="A2263" s="105"/>
      <c r="B2263" s="105"/>
      <c r="C2263" s="105"/>
      <c r="D2263" s="105"/>
      <c r="E2263" s="105"/>
      <c r="F2263" s="105"/>
      <c r="G2263" s="105"/>
      <c r="H2263" s="105"/>
      <c r="I2263" s="105"/>
      <c r="J2263" s="105"/>
      <c r="K2263" s="105"/>
      <c r="L2263" s="105"/>
      <c r="M2263" s="105"/>
      <c r="N2263" s="105"/>
      <c r="O2263" s="105"/>
      <c r="P2263" s="105"/>
      <c r="Q2263" s="105"/>
      <c r="R2263" s="105"/>
      <c r="S2263" s="105"/>
      <c r="T2263" s="105"/>
      <c r="U2263" s="105"/>
      <c r="V2263" s="105"/>
      <c r="W2263" s="105"/>
      <c r="X2263" s="105"/>
      <c r="Y2263" s="105"/>
      <c r="Z2263" s="105"/>
    </row>
    <row r="2264" spans="1:26" ht="15.75" customHeight="1">
      <c r="A2264" s="105"/>
      <c r="B2264" s="105"/>
      <c r="C2264" s="105"/>
      <c r="D2264" s="105"/>
      <c r="E2264" s="105"/>
      <c r="F2264" s="105"/>
      <c r="G2264" s="105"/>
      <c r="H2264" s="105"/>
      <c r="I2264" s="105"/>
      <c r="J2264" s="105"/>
      <c r="K2264" s="105"/>
      <c r="L2264" s="105"/>
      <c r="M2264" s="105"/>
      <c r="N2264" s="105"/>
      <c r="O2264" s="105"/>
      <c r="P2264" s="105"/>
      <c r="Q2264" s="105"/>
      <c r="R2264" s="105"/>
      <c r="S2264" s="105"/>
      <c r="T2264" s="105"/>
      <c r="U2264" s="105"/>
      <c r="V2264" s="105"/>
      <c r="W2264" s="105"/>
      <c r="X2264" s="105"/>
      <c r="Y2264" s="105"/>
      <c r="Z2264" s="105"/>
    </row>
    <row r="2265" spans="1:26" ht="15.75" customHeight="1">
      <c r="A2265" s="105"/>
      <c r="B2265" s="105"/>
      <c r="C2265" s="105"/>
      <c r="D2265" s="105"/>
      <c r="E2265" s="105"/>
      <c r="F2265" s="105"/>
      <c r="G2265" s="105"/>
      <c r="H2265" s="105"/>
      <c r="I2265" s="105"/>
      <c r="J2265" s="105"/>
      <c r="K2265" s="105"/>
      <c r="L2265" s="105"/>
      <c r="M2265" s="105"/>
      <c r="N2265" s="105"/>
      <c r="O2265" s="105"/>
      <c r="P2265" s="105"/>
      <c r="Q2265" s="105"/>
      <c r="R2265" s="105"/>
      <c r="S2265" s="105"/>
      <c r="T2265" s="105"/>
      <c r="U2265" s="105"/>
      <c r="V2265" s="105"/>
      <c r="W2265" s="105"/>
      <c r="X2265" s="105"/>
      <c r="Y2265" s="105"/>
      <c r="Z2265" s="105"/>
    </row>
    <row r="2266" spans="1:26" ht="15.75" customHeight="1">
      <c r="A2266" s="105"/>
      <c r="B2266" s="105"/>
      <c r="C2266" s="105"/>
      <c r="D2266" s="105"/>
      <c r="E2266" s="105"/>
      <c r="F2266" s="105"/>
      <c r="G2266" s="105"/>
      <c r="H2266" s="105"/>
      <c r="I2266" s="105"/>
      <c r="J2266" s="105"/>
      <c r="K2266" s="105"/>
      <c r="L2266" s="105"/>
      <c r="M2266" s="105"/>
      <c r="N2266" s="105"/>
      <c r="O2266" s="105"/>
      <c r="P2266" s="105"/>
      <c r="Q2266" s="105"/>
      <c r="R2266" s="105"/>
      <c r="S2266" s="105"/>
      <c r="T2266" s="105"/>
      <c r="U2266" s="105"/>
      <c r="V2266" s="105"/>
      <c r="W2266" s="105"/>
      <c r="X2266" s="105"/>
      <c r="Y2266" s="105"/>
      <c r="Z2266" s="105"/>
    </row>
    <row r="2267" spans="1:26" ht="15.75" customHeight="1">
      <c r="A2267" s="105"/>
      <c r="B2267" s="105"/>
      <c r="C2267" s="105"/>
      <c r="D2267" s="105"/>
      <c r="E2267" s="105"/>
      <c r="F2267" s="105"/>
      <c r="G2267" s="105"/>
      <c r="H2267" s="105"/>
      <c r="I2267" s="105"/>
      <c r="J2267" s="105"/>
      <c r="K2267" s="105"/>
      <c r="L2267" s="105"/>
      <c r="M2267" s="105"/>
      <c r="N2267" s="105"/>
      <c r="O2267" s="105"/>
      <c r="P2267" s="105"/>
      <c r="Q2267" s="105"/>
      <c r="R2267" s="105"/>
      <c r="S2267" s="105"/>
      <c r="T2267" s="105"/>
      <c r="U2267" s="105"/>
      <c r="V2267" s="105"/>
      <c r="W2267" s="105"/>
      <c r="X2267" s="105"/>
      <c r="Y2267" s="105"/>
      <c r="Z2267" s="105"/>
    </row>
    <row r="2268" spans="1:26" ht="15.75" customHeight="1">
      <c r="A2268" s="105"/>
      <c r="B2268" s="105"/>
      <c r="C2268" s="105"/>
      <c r="D2268" s="105"/>
      <c r="E2268" s="105"/>
      <c r="F2268" s="105"/>
      <c r="G2268" s="105"/>
      <c r="H2268" s="105"/>
      <c r="I2268" s="105"/>
      <c r="J2268" s="105"/>
      <c r="K2268" s="105"/>
      <c r="L2268" s="105"/>
      <c r="M2268" s="105"/>
      <c r="N2268" s="105"/>
      <c r="O2268" s="105"/>
      <c r="P2268" s="105"/>
      <c r="Q2268" s="105"/>
      <c r="R2268" s="105"/>
      <c r="S2268" s="105"/>
      <c r="T2268" s="105"/>
      <c r="U2268" s="105"/>
      <c r="V2268" s="105"/>
      <c r="W2268" s="105"/>
      <c r="X2268" s="105"/>
      <c r="Y2268" s="105"/>
      <c r="Z2268" s="105"/>
    </row>
    <row r="2269" spans="1:26" ht="15.75" customHeight="1">
      <c r="A2269" s="105"/>
      <c r="B2269" s="105"/>
      <c r="C2269" s="105"/>
      <c r="D2269" s="105"/>
      <c r="E2269" s="105"/>
      <c r="F2269" s="105"/>
      <c r="G2269" s="105"/>
      <c r="H2269" s="105"/>
      <c r="I2269" s="105"/>
      <c r="J2269" s="105"/>
      <c r="K2269" s="105"/>
      <c r="L2269" s="105"/>
      <c r="M2269" s="105"/>
      <c r="N2269" s="105"/>
      <c r="O2269" s="105"/>
      <c r="P2269" s="105"/>
      <c r="Q2269" s="105"/>
      <c r="R2269" s="105"/>
      <c r="S2269" s="105"/>
      <c r="T2269" s="105"/>
      <c r="U2269" s="105"/>
      <c r="V2269" s="105"/>
      <c r="W2269" s="105"/>
      <c r="X2269" s="105"/>
      <c r="Y2269" s="105"/>
      <c r="Z2269" s="105"/>
    </row>
    <row r="2270" spans="1:26" ht="15.75" customHeight="1">
      <c r="A2270" s="105"/>
      <c r="B2270" s="105"/>
      <c r="C2270" s="105"/>
      <c r="D2270" s="105"/>
      <c r="E2270" s="105"/>
      <c r="F2270" s="105"/>
      <c r="G2270" s="105"/>
      <c r="H2270" s="105"/>
      <c r="I2270" s="105"/>
      <c r="J2270" s="105"/>
      <c r="K2270" s="105"/>
      <c r="L2270" s="105"/>
      <c r="M2270" s="105"/>
      <c r="N2270" s="105"/>
      <c r="O2270" s="105"/>
      <c r="P2270" s="105"/>
      <c r="Q2270" s="105"/>
      <c r="R2270" s="105"/>
      <c r="S2270" s="105"/>
      <c r="T2270" s="105"/>
      <c r="U2270" s="105"/>
      <c r="V2270" s="105"/>
      <c r="W2270" s="105"/>
      <c r="X2270" s="105"/>
      <c r="Y2270" s="105"/>
      <c r="Z2270" s="105"/>
    </row>
    <row r="2271" spans="1:26" ht="15.75" customHeight="1">
      <c r="A2271" s="105"/>
      <c r="B2271" s="105"/>
      <c r="C2271" s="105"/>
      <c r="D2271" s="105"/>
      <c r="E2271" s="105"/>
      <c r="F2271" s="105"/>
      <c r="G2271" s="105"/>
      <c r="H2271" s="105"/>
      <c r="I2271" s="105"/>
      <c r="J2271" s="105"/>
      <c r="K2271" s="105"/>
      <c r="L2271" s="105"/>
      <c r="M2271" s="105"/>
      <c r="N2271" s="105"/>
      <c r="O2271" s="105"/>
      <c r="P2271" s="105"/>
      <c r="Q2271" s="105"/>
      <c r="R2271" s="105"/>
      <c r="S2271" s="105"/>
      <c r="T2271" s="105"/>
      <c r="U2271" s="105"/>
      <c r="V2271" s="105"/>
      <c r="W2271" s="105"/>
      <c r="X2271" s="105"/>
      <c r="Y2271" s="105"/>
      <c r="Z2271" s="105"/>
    </row>
    <row r="2272" spans="1:26" ht="15.75" customHeight="1">
      <c r="A2272" s="105"/>
      <c r="B2272" s="105"/>
      <c r="C2272" s="105"/>
      <c r="D2272" s="105"/>
      <c r="E2272" s="105"/>
      <c r="F2272" s="105"/>
      <c r="G2272" s="105"/>
      <c r="H2272" s="105"/>
      <c r="I2272" s="105"/>
      <c r="J2272" s="105"/>
      <c r="K2272" s="105"/>
      <c r="L2272" s="105"/>
      <c r="M2272" s="105"/>
      <c r="N2272" s="105"/>
      <c r="O2272" s="105"/>
      <c r="P2272" s="105"/>
      <c r="Q2272" s="105"/>
      <c r="R2272" s="105"/>
      <c r="S2272" s="105"/>
      <c r="T2272" s="105"/>
      <c r="U2272" s="105"/>
      <c r="V2272" s="105"/>
      <c r="W2272" s="105"/>
      <c r="X2272" s="105"/>
      <c r="Y2272" s="105"/>
      <c r="Z2272" s="105"/>
    </row>
    <row r="2273" spans="1:26" ht="15.75" customHeight="1">
      <c r="A2273" s="105"/>
      <c r="B2273" s="105"/>
      <c r="C2273" s="105"/>
      <c r="D2273" s="105"/>
      <c r="E2273" s="105"/>
      <c r="F2273" s="105"/>
      <c r="G2273" s="105"/>
      <c r="H2273" s="105"/>
      <c r="I2273" s="105"/>
      <c r="J2273" s="105"/>
      <c r="K2273" s="105"/>
      <c r="L2273" s="105"/>
      <c r="M2273" s="105"/>
      <c r="N2273" s="105"/>
      <c r="O2273" s="105"/>
      <c r="P2273" s="105"/>
      <c r="Q2273" s="105"/>
      <c r="R2273" s="105"/>
      <c r="S2273" s="105"/>
      <c r="T2273" s="105"/>
      <c r="U2273" s="105"/>
      <c r="V2273" s="105"/>
      <c r="W2273" s="105"/>
      <c r="X2273" s="105"/>
      <c r="Y2273" s="105"/>
      <c r="Z2273" s="105"/>
    </row>
    <row r="2274" spans="1:26" ht="15.75" customHeight="1">
      <c r="A2274" s="105"/>
      <c r="B2274" s="105"/>
      <c r="C2274" s="105"/>
      <c r="D2274" s="105"/>
      <c r="E2274" s="105"/>
      <c r="F2274" s="105"/>
      <c r="G2274" s="105"/>
      <c r="H2274" s="105"/>
      <c r="I2274" s="105"/>
      <c r="J2274" s="105"/>
      <c r="K2274" s="105"/>
      <c r="L2274" s="105"/>
      <c r="M2274" s="105"/>
      <c r="N2274" s="105"/>
      <c r="O2274" s="105"/>
      <c r="P2274" s="105"/>
      <c r="Q2274" s="105"/>
      <c r="R2274" s="105"/>
      <c r="S2274" s="105"/>
      <c r="T2274" s="105"/>
      <c r="U2274" s="105"/>
      <c r="V2274" s="105"/>
      <c r="W2274" s="105"/>
      <c r="X2274" s="105"/>
      <c r="Y2274" s="105"/>
      <c r="Z2274" s="105"/>
    </row>
    <row r="2275" spans="1:26" ht="15.75" customHeight="1">
      <c r="A2275" s="105"/>
      <c r="B2275" s="105"/>
      <c r="C2275" s="105"/>
      <c r="D2275" s="105"/>
      <c r="E2275" s="105"/>
      <c r="F2275" s="105"/>
      <c r="G2275" s="105"/>
      <c r="H2275" s="105"/>
      <c r="I2275" s="105"/>
      <c r="J2275" s="105"/>
      <c r="K2275" s="105"/>
      <c r="L2275" s="105"/>
      <c r="M2275" s="105"/>
      <c r="N2275" s="105"/>
      <c r="O2275" s="105"/>
      <c r="P2275" s="105"/>
      <c r="Q2275" s="105"/>
      <c r="R2275" s="105"/>
      <c r="S2275" s="105"/>
      <c r="T2275" s="105"/>
      <c r="U2275" s="105"/>
      <c r="V2275" s="105"/>
      <c r="W2275" s="105"/>
      <c r="X2275" s="105"/>
      <c r="Y2275" s="105"/>
      <c r="Z2275" s="105"/>
    </row>
    <row r="2276" spans="1:26" ht="15.75" customHeight="1">
      <c r="A2276" s="105"/>
      <c r="B2276" s="105"/>
      <c r="C2276" s="105"/>
      <c r="D2276" s="105"/>
      <c r="E2276" s="105"/>
      <c r="F2276" s="105"/>
      <c r="G2276" s="105"/>
      <c r="H2276" s="105"/>
      <c r="I2276" s="105"/>
      <c r="J2276" s="105"/>
      <c r="K2276" s="105"/>
      <c r="L2276" s="105"/>
      <c r="M2276" s="105"/>
      <c r="N2276" s="105"/>
      <c r="O2276" s="105"/>
      <c r="P2276" s="105"/>
      <c r="Q2276" s="105"/>
      <c r="R2276" s="105"/>
      <c r="S2276" s="105"/>
      <c r="T2276" s="105"/>
      <c r="U2276" s="105"/>
      <c r="V2276" s="105"/>
      <c r="W2276" s="105"/>
      <c r="X2276" s="105"/>
      <c r="Y2276" s="105"/>
      <c r="Z2276" s="105"/>
    </row>
    <row r="2277" spans="1:26" ht="15.75" customHeight="1">
      <c r="A2277" s="105"/>
      <c r="B2277" s="105"/>
      <c r="C2277" s="105"/>
      <c r="D2277" s="105"/>
      <c r="E2277" s="105"/>
      <c r="F2277" s="105"/>
      <c r="G2277" s="105"/>
      <c r="H2277" s="105"/>
      <c r="I2277" s="105"/>
      <c r="J2277" s="105"/>
      <c r="K2277" s="105"/>
      <c r="L2277" s="105"/>
      <c r="M2277" s="105"/>
      <c r="N2277" s="105"/>
      <c r="O2277" s="105"/>
      <c r="P2277" s="105"/>
      <c r="Q2277" s="105"/>
      <c r="R2277" s="105"/>
      <c r="S2277" s="105"/>
      <c r="T2277" s="105"/>
      <c r="U2277" s="105"/>
      <c r="V2277" s="105"/>
      <c r="W2277" s="105"/>
      <c r="X2277" s="105"/>
      <c r="Y2277" s="105"/>
      <c r="Z2277" s="105"/>
    </row>
    <row r="2278" spans="1:26" ht="15.75" customHeight="1">
      <c r="A2278" s="105"/>
      <c r="B2278" s="105"/>
      <c r="C2278" s="105"/>
      <c r="D2278" s="105"/>
      <c r="E2278" s="105"/>
      <c r="F2278" s="105"/>
      <c r="G2278" s="105"/>
      <c r="H2278" s="105"/>
      <c r="I2278" s="105"/>
      <c r="J2278" s="105"/>
      <c r="K2278" s="105"/>
      <c r="L2278" s="105"/>
      <c r="M2278" s="105"/>
      <c r="N2278" s="105"/>
      <c r="O2278" s="105"/>
      <c r="P2278" s="105"/>
      <c r="Q2278" s="105"/>
      <c r="R2278" s="105"/>
      <c r="S2278" s="105"/>
      <c r="T2278" s="105"/>
      <c r="U2278" s="105"/>
      <c r="V2278" s="105"/>
      <c r="W2278" s="105"/>
      <c r="X2278" s="105"/>
      <c r="Y2278" s="105"/>
      <c r="Z2278" s="105"/>
    </row>
    <row r="2279" spans="1:26" ht="15.75" customHeight="1">
      <c r="A2279" s="105"/>
      <c r="B2279" s="105"/>
      <c r="C2279" s="105"/>
      <c r="D2279" s="105"/>
      <c r="E2279" s="105"/>
      <c r="F2279" s="105"/>
      <c r="G2279" s="105"/>
      <c r="H2279" s="105"/>
      <c r="I2279" s="105"/>
      <c r="J2279" s="105"/>
      <c r="K2279" s="105"/>
      <c r="L2279" s="105"/>
      <c r="M2279" s="105"/>
      <c r="N2279" s="105"/>
      <c r="O2279" s="105"/>
      <c r="P2279" s="105"/>
      <c r="Q2279" s="105"/>
      <c r="R2279" s="105"/>
      <c r="S2279" s="105"/>
      <c r="T2279" s="105"/>
      <c r="U2279" s="105"/>
      <c r="V2279" s="105"/>
      <c r="W2279" s="105"/>
      <c r="X2279" s="105"/>
      <c r="Y2279" s="105"/>
      <c r="Z2279" s="105"/>
    </row>
    <row r="2280" spans="1:26" ht="15.75" customHeight="1">
      <c r="A2280" s="105"/>
      <c r="B2280" s="105"/>
      <c r="C2280" s="105"/>
      <c r="D2280" s="105"/>
      <c r="E2280" s="105"/>
      <c r="F2280" s="105"/>
      <c r="G2280" s="105"/>
      <c r="H2280" s="105"/>
      <c r="I2280" s="105"/>
      <c r="J2280" s="105"/>
      <c r="K2280" s="105"/>
      <c r="L2280" s="105"/>
      <c r="M2280" s="105"/>
      <c r="N2280" s="105"/>
      <c r="O2280" s="105"/>
      <c r="P2280" s="105"/>
      <c r="Q2280" s="105"/>
      <c r="R2280" s="105"/>
      <c r="S2280" s="105"/>
      <c r="T2280" s="105"/>
      <c r="U2280" s="105"/>
      <c r="V2280" s="105"/>
      <c r="W2280" s="105"/>
      <c r="X2280" s="105"/>
      <c r="Y2280" s="105"/>
      <c r="Z2280" s="105"/>
    </row>
    <row r="2281" spans="1:26" ht="15.75" customHeight="1">
      <c r="A2281" s="105"/>
      <c r="B2281" s="105"/>
      <c r="C2281" s="105"/>
      <c r="D2281" s="105"/>
      <c r="E2281" s="105"/>
      <c r="F2281" s="105"/>
      <c r="G2281" s="105"/>
      <c r="H2281" s="105"/>
      <c r="I2281" s="105"/>
      <c r="J2281" s="105"/>
      <c r="K2281" s="105"/>
      <c r="L2281" s="105"/>
      <c r="M2281" s="105"/>
      <c r="N2281" s="105"/>
      <c r="O2281" s="105"/>
      <c r="P2281" s="105"/>
      <c r="Q2281" s="105"/>
      <c r="R2281" s="105"/>
      <c r="S2281" s="105"/>
      <c r="T2281" s="105"/>
      <c r="U2281" s="105"/>
      <c r="V2281" s="105"/>
      <c r="W2281" s="105"/>
      <c r="X2281" s="105"/>
      <c r="Y2281" s="105"/>
      <c r="Z2281" s="105"/>
    </row>
    <row r="2282" spans="1:26" ht="15.75" customHeight="1">
      <c r="A2282" s="105"/>
      <c r="B2282" s="105"/>
      <c r="C2282" s="105"/>
      <c r="D2282" s="105"/>
      <c r="E2282" s="105"/>
      <c r="F2282" s="105"/>
      <c r="G2282" s="105"/>
      <c r="H2282" s="105"/>
      <c r="I2282" s="105"/>
      <c r="J2282" s="105"/>
      <c r="K2282" s="105"/>
      <c r="L2282" s="105"/>
      <c r="M2282" s="105"/>
      <c r="N2282" s="105"/>
      <c r="O2282" s="105"/>
      <c r="P2282" s="105"/>
      <c r="Q2282" s="105"/>
      <c r="R2282" s="105"/>
      <c r="S2282" s="105"/>
      <c r="T2282" s="105"/>
      <c r="U2282" s="105"/>
      <c r="V2282" s="105"/>
      <c r="W2282" s="105"/>
      <c r="X2282" s="105"/>
      <c r="Y2282" s="105"/>
      <c r="Z2282" s="105"/>
    </row>
    <row r="2283" spans="1:26" ht="15.75" customHeight="1">
      <c r="A2283" s="105"/>
      <c r="B2283" s="105"/>
      <c r="C2283" s="105"/>
      <c r="D2283" s="105"/>
      <c r="E2283" s="105"/>
      <c r="F2283" s="105"/>
      <c r="G2283" s="105"/>
      <c r="H2283" s="105"/>
      <c r="I2283" s="105"/>
      <c r="J2283" s="105"/>
      <c r="K2283" s="105"/>
      <c r="L2283" s="105"/>
      <c r="M2283" s="105"/>
      <c r="N2283" s="105"/>
      <c r="O2283" s="105"/>
      <c r="P2283" s="105"/>
      <c r="Q2283" s="105"/>
      <c r="R2283" s="105"/>
      <c r="S2283" s="105"/>
      <c r="T2283" s="105"/>
      <c r="U2283" s="105"/>
      <c r="V2283" s="105"/>
      <c r="W2283" s="105"/>
      <c r="X2283" s="105"/>
      <c r="Y2283" s="105"/>
      <c r="Z2283" s="105"/>
    </row>
    <row r="2284" spans="1:26" ht="15.75" customHeight="1">
      <c r="A2284" s="105"/>
      <c r="B2284" s="105"/>
      <c r="C2284" s="105"/>
      <c r="D2284" s="105"/>
      <c r="E2284" s="105"/>
      <c r="F2284" s="105"/>
      <c r="G2284" s="105"/>
      <c r="H2284" s="105"/>
      <c r="I2284" s="105"/>
      <c r="J2284" s="105"/>
      <c r="K2284" s="105"/>
      <c r="L2284" s="105"/>
      <c r="M2284" s="105"/>
      <c r="N2284" s="105"/>
      <c r="O2284" s="105"/>
      <c r="P2284" s="105"/>
      <c r="Q2284" s="105"/>
      <c r="R2284" s="105"/>
      <c r="S2284" s="105"/>
      <c r="T2284" s="105"/>
      <c r="U2284" s="105"/>
      <c r="V2284" s="105"/>
      <c r="W2284" s="105"/>
      <c r="X2284" s="105"/>
      <c r="Y2284" s="105"/>
      <c r="Z2284" s="105"/>
    </row>
    <row r="2285" spans="1:26" ht="15.75" customHeight="1">
      <c r="A2285" s="105"/>
      <c r="B2285" s="105"/>
      <c r="C2285" s="105"/>
      <c r="D2285" s="105"/>
      <c r="E2285" s="105"/>
      <c r="F2285" s="105"/>
      <c r="G2285" s="105"/>
      <c r="H2285" s="105"/>
      <c r="I2285" s="105"/>
      <c r="J2285" s="105"/>
      <c r="K2285" s="105"/>
      <c r="L2285" s="105"/>
      <c r="M2285" s="105"/>
      <c r="N2285" s="105"/>
      <c r="O2285" s="105"/>
      <c r="P2285" s="105"/>
      <c r="Q2285" s="105"/>
      <c r="R2285" s="105"/>
      <c r="S2285" s="105"/>
      <c r="T2285" s="105"/>
      <c r="U2285" s="105"/>
      <c r="V2285" s="105"/>
      <c r="W2285" s="105"/>
      <c r="X2285" s="105"/>
      <c r="Y2285" s="105"/>
      <c r="Z2285" s="105"/>
    </row>
    <row r="2286" spans="1:26" ht="15.75" customHeight="1">
      <c r="A2286" s="105"/>
      <c r="B2286" s="105"/>
      <c r="C2286" s="105"/>
      <c r="D2286" s="105"/>
      <c r="E2286" s="105"/>
      <c r="F2286" s="105"/>
      <c r="G2286" s="105"/>
      <c r="H2286" s="105"/>
      <c r="I2286" s="105"/>
      <c r="J2286" s="105"/>
      <c r="K2286" s="105"/>
      <c r="L2286" s="105"/>
      <c r="M2286" s="105"/>
      <c r="N2286" s="105"/>
      <c r="O2286" s="105"/>
      <c r="P2286" s="105"/>
      <c r="Q2286" s="105"/>
      <c r="R2286" s="105"/>
      <c r="S2286" s="105"/>
      <c r="T2286" s="105"/>
      <c r="U2286" s="105"/>
      <c r="V2286" s="105"/>
      <c r="W2286" s="105"/>
      <c r="X2286" s="105"/>
      <c r="Y2286" s="105"/>
      <c r="Z2286" s="105"/>
    </row>
    <row r="2287" spans="1:26" ht="15.75" customHeight="1">
      <c r="A2287" s="105"/>
      <c r="B2287" s="105"/>
      <c r="C2287" s="105"/>
      <c r="D2287" s="105"/>
      <c r="E2287" s="105"/>
      <c r="F2287" s="105"/>
      <c r="G2287" s="105"/>
      <c r="H2287" s="105"/>
      <c r="I2287" s="105"/>
      <c r="J2287" s="105"/>
      <c r="K2287" s="105"/>
      <c r="L2287" s="105"/>
      <c r="M2287" s="105"/>
      <c r="N2287" s="105"/>
      <c r="O2287" s="105"/>
      <c r="P2287" s="105"/>
      <c r="Q2287" s="105"/>
      <c r="R2287" s="105"/>
      <c r="S2287" s="105"/>
      <c r="T2287" s="105"/>
      <c r="U2287" s="105"/>
      <c r="V2287" s="105"/>
      <c r="W2287" s="105"/>
      <c r="X2287" s="105"/>
      <c r="Y2287" s="105"/>
      <c r="Z2287" s="105"/>
    </row>
    <row r="2288" spans="1:26" ht="15.75" customHeight="1">
      <c r="A2288" s="105"/>
      <c r="B2288" s="105"/>
      <c r="C2288" s="105"/>
      <c r="D2288" s="105"/>
      <c r="E2288" s="105"/>
      <c r="F2288" s="105"/>
      <c r="G2288" s="105"/>
      <c r="H2288" s="105"/>
      <c r="I2288" s="105"/>
      <c r="J2288" s="105"/>
      <c r="K2288" s="105"/>
      <c r="L2288" s="105"/>
      <c r="M2288" s="105"/>
      <c r="N2288" s="105"/>
      <c r="O2288" s="105"/>
      <c r="P2288" s="105"/>
      <c r="Q2288" s="105"/>
      <c r="R2288" s="105"/>
      <c r="S2288" s="105"/>
      <c r="T2288" s="105"/>
      <c r="U2288" s="105"/>
      <c r="V2288" s="105"/>
      <c r="W2288" s="105"/>
      <c r="X2288" s="105"/>
      <c r="Y2288" s="105"/>
      <c r="Z2288" s="105"/>
    </row>
    <row r="2289" spans="1:26" ht="15.75" customHeight="1">
      <c r="A2289" s="105"/>
      <c r="B2289" s="105"/>
      <c r="C2289" s="105"/>
      <c r="D2289" s="105"/>
      <c r="E2289" s="105"/>
      <c r="F2289" s="105"/>
      <c r="G2289" s="105"/>
      <c r="H2289" s="105"/>
      <c r="I2289" s="105"/>
      <c r="J2289" s="105"/>
      <c r="K2289" s="105"/>
      <c r="L2289" s="105"/>
      <c r="M2289" s="105"/>
      <c r="N2289" s="105"/>
      <c r="O2289" s="105"/>
      <c r="P2289" s="105"/>
      <c r="Q2289" s="105"/>
      <c r="R2289" s="105"/>
      <c r="S2289" s="105"/>
      <c r="T2289" s="105"/>
      <c r="U2289" s="105"/>
      <c r="V2289" s="105"/>
      <c r="W2289" s="105"/>
      <c r="X2289" s="105"/>
      <c r="Y2289" s="105"/>
      <c r="Z2289" s="105"/>
    </row>
    <row r="2290" spans="1:26" ht="15.75" customHeight="1">
      <c r="A2290" s="105"/>
      <c r="B2290" s="105"/>
      <c r="C2290" s="105"/>
      <c r="D2290" s="105"/>
      <c r="E2290" s="105"/>
      <c r="F2290" s="105"/>
      <c r="G2290" s="105"/>
      <c r="H2290" s="105"/>
      <c r="I2290" s="105"/>
      <c r="J2290" s="105"/>
      <c r="K2290" s="105"/>
      <c r="L2290" s="105"/>
      <c r="M2290" s="105"/>
      <c r="N2290" s="105"/>
      <c r="O2290" s="105"/>
      <c r="P2290" s="105"/>
      <c r="Q2290" s="105"/>
      <c r="R2290" s="105"/>
      <c r="S2290" s="105"/>
      <c r="T2290" s="105"/>
      <c r="U2290" s="105"/>
      <c r="V2290" s="105"/>
      <c r="W2290" s="105"/>
      <c r="X2290" s="105"/>
      <c r="Y2290" s="105"/>
      <c r="Z2290" s="105"/>
    </row>
    <row r="2291" spans="1:26" ht="15.75" customHeight="1">
      <c r="A2291" s="105"/>
      <c r="B2291" s="105"/>
      <c r="C2291" s="105"/>
      <c r="D2291" s="105"/>
      <c r="E2291" s="105"/>
      <c r="F2291" s="105"/>
      <c r="G2291" s="105"/>
      <c r="H2291" s="105"/>
      <c r="I2291" s="105"/>
      <c r="J2291" s="105"/>
      <c r="K2291" s="105"/>
      <c r="L2291" s="105"/>
      <c r="M2291" s="105"/>
      <c r="N2291" s="105"/>
      <c r="O2291" s="105"/>
      <c r="P2291" s="105"/>
      <c r="Q2291" s="105"/>
      <c r="R2291" s="105"/>
      <c r="S2291" s="105"/>
      <c r="T2291" s="105"/>
      <c r="U2291" s="105"/>
      <c r="V2291" s="105"/>
      <c r="W2291" s="105"/>
      <c r="X2291" s="105"/>
      <c r="Y2291" s="105"/>
      <c r="Z2291" s="105"/>
    </row>
    <row r="2292" spans="1:26" ht="15.75" customHeight="1">
      <c r="A2292" s="105"/>
      <c r="B2292" s="105"/>
      <c r="C2292" s="105"/>
      <c r="D2292" s="105"/>
      <c r="E2292" s="105"/>
      <c r="F2292" s="105"/>
      <c r="G2292" s="105"/>
      <c r="H2292" s="105"/>
      <c r="I2292" s="105"/>
      <c r="J2292" s="105"/>
      <c r="K2292" s="105"/>
      <c r="L2292" s="105"/>
      <c r="M2292" s="105"/>
      <c r="N2292" s="105"/>
      <c r="O2292" s="105"/>
      <c r="P2292" s="105"/>
      <c r="Q2292" s="105"/>
      <c r="R2292" s="105"/>
      <c r="S2292" s="105"/>
      <c r="T2292" s="105"/>
      <c r="U2292" s="105"/>
      <c r="V2292" s="105"/>
      <c r="W2292" s="105"/>
      <c r="X2292" s="105"/>
      <c r="Y2292" s="105"/>
      <c r="Z2292" s="105"/>
    </row>
    <row r="2293" spans="1:26" ht="15.75" customHeight="1">
      <c r="A2293" s="105"/>
      <c r="B2293" s="105"/>
      <c r="C2293" s="105"/>
      <c r="D2293" s="105"/>
      <c r="E2293" s="105"/>
      <c r="F2293" s="105"/>
      <c r="G2293" s="105"/>
      <c r="H2293" s="105"/>
      <c r="I2293" s="105"/>
      <c r="J2293" s="105"/>
      <c r="K2293" s="105"/>
      <c r="L2293" s="105"/>
      <c r="M2293" s="105"/>
      <c r="N2293" s="105"/>
      <c r="O2293" s="105"/>
      <c r="P2293" s="105"/>
      <c r="Q2293" s="105"/>
      <c r="R2293" s="105"/>
      <c r="S2293" s="105"/>
      <c r="T2293" s="105"/>
      <c r="U2293" s="105"/>
      <c r="V2293" s="105"/>
      <c r="W2293" s="105"/>
      <c r="X2293" s="105"/>
      <c r="Y2293" s="105"/>
      <c r="Z2293" s="105"/>
    </row>
    <row r="2294" spans="1:26" ht="15.75" customHeight="1">
      <c r="A2294" s="105"/>
      <c r="B2294" s="105"/>
      <c r="C2294" s="105"/>
      <c r="D2294" s="105"/>
      <c r="E2294" s="105"/>
      <c r="F2294" s="105"/>
      <c r="G2294" s="105"/>
      <c r="H2294" s="105"/>
      <c r="I2294" s="105"/>
      <c r="J2294" s="105"/>
      <c r="K2294" s="105"/>
      <c r="L2294" s="105"/>
      <c r="M2294" s="105"/>
      <c r="N2294" s="105"/>
      <c r="O2294" s="105"/>
      <c r="P2294" s="105"/>
      <c r="Q2294" s="105"/>
      <c r="R2294" s="105"/>
      <c r="S2294" s="105"/>
      <c r="T2294" s="105"/>
      <c r="U2294" s="105"/>
      <c r="V2294" s="105"/>
      <c r="W2294" s="105"/>
      <c r="X2294" s="105"/>
      <c r="Y2294" s="105"/>
      <c r="Z2294" s="105"/>
    </row>
    <row r="2295" spans="1:26" ht="15.75" customHeight="1">
      <c r="A2295" s="105"/>
      <c r="B2295" s="105"/>
      <c r="C2295" s="105"/>
      <c r="D2295" s="105"/>
      <c r="E2295" s="105"/>
      <c r="F2295" s="105"/>
      <c r="G2295" s="105"/>
      <c r="H2295" s="105"/>
      <c r="I2295" s="105"/>
      <c r="J2295" s="105"/>
      <c r="K2295" s="105"/>
      <c r="L2295" s="105"/>
      <c r="M2295" s="105"/>
      <c r="N2295" s="105"/>
      <c r="O2295" s="105"/>
      <c r="P2295" s="105"/>
      <c r="Q2295" s="105"/>
      <c r="R2295" s="105"/>
      <c r="S2295" s="105"/>
      <c r="T2295" s="105"/>
      <c r="U2295" s="105"/>
      <c r="V2295" s="105"/>
      <c r="W2295" s="105"/>
      <c r="X2295" s="105"/>
      <c r="Y2295" s="105"/>
      <c r="Z2295" s="105"/>
    </row>
    <row r="2296" spans="1:26" ht="15.75" customHeight="1">
      <c r="A2296" s="105"/>
      <c r="B2296" s="105"/>
      <c r="C2296" s="105"/>
      <c r="D2296" s="105"/>
      <c r="E2296" s="105"/>
      <c r="F2296" s="105"/>
      <c r="G2296" s="105"/>
      <c r="H2296" s="105"/>
      <c r="I2296" s="105"/>
      <c r="J2296" s="105"/>
      <c r="K2296" s="105"/>
      <c r="L2296" s="105"/>
      <c r="M2296" s="105"/>
      <c r="N2296" s="105"/>
      <c r="O2296" s="105"/>
      <c r="P2296" s="105"/>
      <c r="Q2296" s="105"/>
      <c r="R2296" s="105"/>
      <c r="S2296" s="105"/>
      <c r="T2296" s="105"/>
      <c r="U2296" s="105"/>
      <c r="V2296" s="105"/>
      <c r="W2296" s="105"/>
      <c r="X2296" s="105"/>
      <c r="Y2296" s="105"/>
      <c r="Z2296" s="105"/>
    </row>
    <row r="2297" spans="1:26" ht="15.75" customHeight="1">
      <c r="A2297" s="105"/>
      <c r="B2297" s="105"/>
      <c r="C2297" s="105"/>
      <c r="D2297" s="105"/>
      <c r="E2297" s="105"/>
      <c r="F2297" s="105"/>
      <c r="G2297" s="105"/>
      <c r="H2297" s="105"/>
      <c r="I2297" s="105"/>
      <c r="J2297" s="105"/>
      <c r="K2297" s="105"/>
      <c r="L2297" s="105"/>
      <c r="M2297" s="105"/>
      <c r="N2297" s="105"/>
      <c r="O2297" s="105"/>
      <c r="P2297" s="105"/>
      <c r="Q2297" s="105"/>
      <c r="R2297" s="105"/>
      <c r="S2297" s="105"/>
      <c r="T2297" s="105"/>
      <c r="U2297" s="105"/>
      <c r="V2297" s="105"/>
      <c r="W2297" s="105"/>
      <c r="X2297" s="105"/>
      <c r="Y2297" s="105"/>
      <c r="Z2297" s="105"/>
    </row>
    <row r="2298" spans="1:26" ht="15.75" customHeight="1">
      <c r="A2298" s="105"/>
      <c r="B2298" s="105"/>
      <c r="C2298" s="105"/>
      <c r="D2298" s="105"/>
      <c r="E2298" s="105"/>
      <c r="F2298" s="105"/>
      <c r="G2298" s="105"/>
      <c r="H2298" s="105"/>
      <c r="I2298" s="105"/>
      <c r="J2298" s="105"/>
      <c r="K2298" s="105"/>
      <c r="L2298" s="105"/>
      <c r="M2298" s="105"/>
      <c r="N2298" s="105"/>
      <c r="O2298" s="105"/>
      <c r="P2298" s="105"/>
      <c r="Q2298" s="105"/>
      <c r="R2298" s="105"/>
      <c r="S2298" s="105"/>
      <c r="T2298" s="105"/>
      <c r="U2298" s="105"/>
      <c r="V2298" s="105"/>
      <c r="W2298" s="105"/>
      <c r="X2298" s="105"/>
      <c r="Y2298" s="105"/>
      <c r="Z2298" s="105"/>
    </row>
    <row r="2299" spans="1:26" ht="15.75" customHeight="1">
      <c r="A2299" s="105"/>
      <c r="B2299" s="105"/>
      <c r="C2299" s="105"/>
      <c r="D2299" s="105"/>
      <c r="E2299" s="105"/>
      <c r="F2299" s="105"/>
      <c r="G2299" s="105"/>
      <c r="H2299" s="105"/>
      <c r="I2299" s="105"/>
      <c r="J2299" s="105"/>
      <c r="K2299" s="105"/>
      <c r="L2299" s="105"/>
      <c r="M2299" s="105"/>
      <c r="N2299" s="105"/>
      <c r="O2299" s="105"/>
      <c r="P2299" s="105"/>
      <c r="Q2299" s="105"/>
      <c r="R2299" s="105"/>
      <c r="S2299" s="105"/>
      <c r="T2299" s="105"/>
      <c r="U2299" s="105"/>
      <c r="V2299" s="105"/>
      <c r="W2299" s="105"/>
      <c r="X2299" s="105"/>
      <c r="Y2299" s="105"/>
      <c r="Z2299" s="105"/>
    </row>
    <row r="2300" spans="1:26" ht="15.75" customHeight="1">
      <c r="A2300" s="105"/>
      <c r="B2300" s="105"/>
      <c r="C2300" s="105"/>
      <c r="D2300" s="105"/>
      <c r="E2300" s="105"/>
      <c r="F2300" s="105"/>
      <c r="G2300" s="105"/>
      <c r="H2300" s="105"/>
      <c r="I2300" s="105"/>
      <c r="J2300" s="105"/>
      <c r="K2300" s="105"/>
      <c r="L2300" s="105"/>
      <c r="M2300" s="105"/>
      <c r="N2300" s="105"/>
      <c r="O2300" s="105"/>
      <c r="P2300" s="105"/>
      <c r="Q2300" s="105"/>
      <c r="R2300" s="105"/>
      <c r="S2300" s="105"/>
      <c r="T2300" s="105"/>
      <c r="U2300" s="105"/>
      <c r="V2300" s="105"/>
      <c r="W2300" s="105"/>
      <c r="X2300" s="105"/>
      <c r="Y2300" s="105"/>
      <c r="Z2300" s="105"/>
    </row>
    <row r="2301" spans="1:26" ht="15.75" customHeight="1">
      <c r="A2301" s="105"/>
      <c r="B2301" s="105"/>
      <c r="C2301" s="105"/>
      <c r="D2301" s="105"/>
      <c r="E2301" s="105"/>
      <c r="F2301" s="105"/>
      <c r="G2301" s="105"/>
      <c r="H2301" s="105"/>
      <c r="I2301" s="105"/>
      <c r="J2301" s="105"/>
      <c r="K2301" s="105"/>
      <c r="L2301" s="105"/>
      <c r="M2301" s="105"/>
      <c r="N2301" s="105"/>
      <c r="O2301" s="105"/>
      <c r="P2301" s="105"/>
      <c r="Q2301" s="105"/>
      <c r="R2301" s="105"/>
      <c r="S2301" s="105"/>
      <c r="T2301" s="105"/>
      <c r="U2301" s="105"/>
      <c r="V2301" s="105"/>
      <c r="W2301" s="105"/>
      <c r="X2301" s="105"/>
      <c r="Y2301" s="105"/>
      <c r="Z2301" s="105"/>
    </row>
    <row r="2302" spans="1:26" ht="15.75" customHeight="1">
      <c r="A2302" s="105"/>
      <c r="B2302" s="105"/>
      <c r="C2302" s="105"/>
      <c r="D2302" s="105"/>
      <c r="E2302" s="105"/>
      <c r="F2302" s="105"/>
      <c r="G2302" s="105"/>
      <c r="H2302" s="105"/>
      <c r="I2302" s="105"/>
      <c r="J2302" s="105"/>
      <c r="K2302" s="105"/>
      <c r="L2302" s="105"/>
      <c r="M2302" s="105"/>
      <c r="N2302" s="105"/>
      <c r="O2302" s="105"/>
      <c r="P2302" s="105"/>
      <c r="Q2302" s="105"/>
      <c r="R2302" s="105"/>
      <c r="S2302" s="105"/>
      <c r="T2302" s="105"/>
      <c r="U2302" s="105"/>
      <c r="V2302" s="105"/>
      <c r="W2302" s="105"/>
      <c r="X2302" s="105"/>
      <c r="Y2302" s="105"/>
      <c r="Z2302" s="105"/>
    </row>
    <row r="2303" spans="1:26" ht="15.75" customHeight="1">
      <c r="A2303" s="105"/>
      <c r="B2303" s="105"/>
      <c r="C2303" s="105"/>
      <c r="D2303" s="105"/>
      <c r="E2303" s="105"/>
      <c r="F2303" s="105"/>
      <c r="G2303" s="105"/>
      <c r="H2303" s="105"/>
      <c r="I2303" s="105"/>
      <c r="J2303" s="105"/>
      <c r="K2303" s="105"/>
      <c r="L2303" s="105"/>
      <c r="M2303" s="105"/>
      <c r="N2303" s="105"/>
      <c r="O2303" s="105"/>
      <c r="P2303" s="105"/>
      <c r="Q2303" s="105"/>
      <c r="R2303" s="105"/>
      <c r="S2303" s="105"/>
      <c r="T2303" s="105"/>
      <c r="U2303" s="105"/>
      <c r="V2303" s="105"/>
      <c r="W2303" s="105"/>
      <c r="X2303" s="105"/>
      <c r="Y2303" s="105"/>
      <c r="Z2303" s="105"/>
    </row>
    <row r="2304" spans="1:26" ht="15.75" customHeight="1">
      <c r="A2304" s="105"/>
      <c r="B2304" s="105"/>
      <c r="C2304" s="105"/>
      <c r="D2304" s="105"/>
      <c r="E2304" s="105"/>
      <c r="F2304" s="105"/>
      <c r="G2304" s="105"/>
      <c r="H2304" s="105"/>
      <c r="I2304" s="105"/>
      <c r="J2304" s="105"/>
      <c r="K2304" s="105"/>
      <c r="L2304" s="105"/>
      <c r="M2304" s="105"/>
      <c r="N2304" s="105"/>
      <c r="O2304" s="105"/>
      <c r="P2304" s="105"/>
      <c r="Q2304" s="105"/>
      <c r="R2304" s="105"/>
      <c r="S2304" s="105"/>
      <c r="T2304" s="105"/>
      <c r="U2304" s="105"/>
      <c r="V2304" s="105"/>
      <c r="W2304" s="105"/>
      <c r="X2304" s="105"/>
      <c r="Y2304" s="105"/>
      <c r="Z2304" s="105"/>
    </row>
    <row r="2305" spans="1:26" ht="15.75" customHeight="1">
      <c r="A2305" s="105"/>
      <c r="B2305" s="105"/>
      <c r="C2305" s="105"/>
      <c r="D2305" s="105"/>
      <c r="E2305" s="105"/>
      <c r="F2305" s="105"/>
      <c r="G2305" s="105"/>
      <c r="H2305" s="105"/>
      <c r="I2305" s="105"/>
      <c r="J2305" s="105"/>
      <c r="K2305" s="105"/>
      <c r="L2305" s="105"/>
      <c r="M2305" s="105"/>
      <c r="N2305" s="105"/>
      <c r="O2305" s="105"/>
      <c r="P2305" s="105"/>
      <c r="Q2305" s="105"/>
      <c r="R2305" s="105"/>
      <c r="S2305" s="105"/>
      <c r="T2305" s="105"/>
      <c r="U2305" s="105"/>
      <c r="V2305" s="105"/>
      <c r="W2305" s="105"/>
      <c r="X2305" s="105"/>
      <c r="Y2305" s="105"/>
      <c r="Z2305" s="105"/>
    </row>
    <row r="2306" spans="1:26" ht="15.75" customHeight="1">
      <c r="A2306" s="105"/>
      <c r="B2306" s="105"/>
      <c r="C2306" s="105"/>
      <c r="D2306" s="105"/>
      <c r="E2306" s="105"/>
      <c r="F2306" s="105"/>
      <c r="G2306" s="105"/>
      <c r="H2306" s="105"/>
      <c r="I2306" s="105"/>
      <c r="J2306" s="105"/>
      <c r="K2306" s="105"/>
      <c r="L2306" s="105"/>
      <c r="M2306" s="105"/>
      <c r="N2306" s="105"/>
      <c r="O2306" s="105"/>
      <c r="P2306" s="105"/>
      <c r="Q2306" s="105"/>
      <c r="R2306" s="105"/>
      <c r="S2306" s="105"/>
      <c r="T2306" s="105"/>
      <c r="U2306" s="105"/>
      <c r="V2306" s="105"/>
      <c r="W2306" s="105"/>
      <c r="X2306" s="105"/>
      <c r="Y2306" s="105"/>
      <c r="Z2306" s="105"/>
    </row>
    <row r="2307" spans="1:26" ht="15.75" customHeight="1">
      <c r="A2307" s="105"/>
      <c r="B2307" s="105"/>
      <c r="C2307" s="105"/>
      <c r="D2307" s="105"/>
      <c r="E2307" s="105"/>
      <c r="F2307" s="105"/>
      <c r="G2307" s="105"/>
      <c r="H2307" s="105"/>
      <c r="I2307" s="105"/>
      <c r="J2307" s="105"/>
      <c r="K2307" s="105"/>
      <c r="L2307" s="105"/>
      <c r="M2307" s="105"/>
      <c r="N2307" s="105"/>
      <c r="O2307" s="105"/>
      <c r="P2307" s="105"/>
      <c r="Q2307" s="105"/>
      <c r="R2307" s="105"/>
      <c r="S2307" s="105"/>
      <c r="T2307" s="105"/>
      <c r="U2307" s="105"/>
      <c r="V2307" s="105"/>
      <c r="W2307" s="105"/>
      <c r="X2307" s="105"/>
      <c r="Y2307" s="105"/>
      <c r="Z2307" s="105"/>
    </row>
    <row r="2308" spans="1:26" ht="15.75" customHeight="1">
      <c r="A2308" s="105"/>
      <c r="B2308" s="105"/>
      <c r="C2308" s="105"/>
      <c r="D2308" s="105"/>
      <c r="E2308" s="105"/>
      <c r="F2308" s="105"/>
      <c r="G2308" s="105"/>
      <c r="H2308" s="105"/>
      <c r="I2308" s="105"/>
      <c r="J2308" s="105"/>
      <c r="K2308" s="105"/>
      <c r="L2308" s="105"/>
      <c r="M2308" s="105"/>
      <c r="N2308" s="105"/>
      <c r="O2308" s="105"/>
      <c r="P2308" s="105"/>
      <c r="Q2308" s="105"/>
      <c r="R2308" s="105"/>
      <c r="S2308" s="105"/>
      <c r="T2308" s="105"/>
      <c r="U2308" s="105"/>
      <c r="V2308" s="105"/>
      <c r="W2308" s="105"/>
      <c r="X2308" s="105"/>
      <c r="Y2308" s="105"/>
      <c r="Z2308" s="105"/>
    </row>
    <row r="2309" spans="1:26" ht="15.75" customHeight="1">
      <c r="A2309" s="105"/>
      <c r="B2309" s="105"/>
      <c r="C2309" s="105"/>
      <c r="D2309" s="105"/>
      <c r="E2309" s="105"/>
      <c r="F2309" s="105"/>
      <c r="G2309" s="105"/>
      <c r="H2309" s="105"/>
      <c r="I2309" s="105"/>
      <c r="J2309" s="105"/>
      <c r="K2309" s="105"/>
      <c r="L2309" s="105"/>
      <c r="M2309" s="105"/>
      <c r="N2309" s="105"/>
      <c r="O2309" s="105"/>
      <c r="P2309" s="105"/>
      <c r="Q2309" s="105"/>
      <c r="R2309" s="105"/>
      <c r="S2309" s="105"/>
      <c r="T2309" s="105"/>
      <c r="U2309" s="105"/>
      <c r="V2309" s="105"/>
      <c r="W2309" s="105"/>
      <c r="X2309" s="105"/>
      <c r="Y2309" s="105"/>
      <c r="Z2309" s="105"/>
    </row>
    <row r="2310" spans="1:26" ht="15.75" customHeight="1">
      <c r="A2310" s="105"/>
      <c r="B2310" s="105"/>
      <c r="C2310" s="105"/>
      <c r="D2310" s="105"/>
      <c r="E2310" s="105"/>
      <c r="F2310" s="105"/>
      <c r="G2310" s="105"/>
      <c r="H2310" s="105"/>
      <c r="I2310" s="105"/>
      <c r="J2310" s="105"/>
      <c r="K2310" s="105"/>
      <c r="L2310" s="105"/>
      <c r="M2310" s="105"/>
      <c r="N2310" s="105"/>
      <c r="O2310" s="105"/>
      <c r="P2310" s="105"/>
      <c r="Q2310" s="105"/>
      <c r="R2310" s="105"/>
      <c r="S2310" s="105"/>
      <c r="T2310" s="105"/>
      <c r="U2310" s="105"/>
      <c r="V2310" s="105"/>
      <c r="W2310" s="105"/>
      <c r="X2310" s="105"/>
      <c r="Y2310" s="105"/>
      <c r="Z2310" s="105"/>
    </row>
    <row r="2311" spans="1:26" ht="15.75" customHeight="1">
      <c r="A2311" s="105"/>
      <c r="B2311" s="105"/>
      <c r="C2311" s="105"/>
      <c r="D2311" s="105"/>
      <c r="E2311" s="105"/>
      <c r="F2311" s="105"/>
      <c r="G2311" s="105"/>
      <c r="H2311" s="105"/>
      <c r="I2311" s="105"/>
      <c r="J2311" s="105"/>
      <c r="K2311" s="105"/>
      <c r="L2311" s="105"/>
      <c r="M2311" s="105"/>
      <c r="N2311" s="105"/>
      <c r="O2311" s="105"/>
      <c r="P2311" s="105"/>
      <c r="Q2311" s="105"/>
      <c r="R2311" s="105"/>
      <c r="S2311" s="105"/>
      <c r="T2311" s="105"/>
      <c r="U2311" s="105"/>
      <c r="V2311" s="105"/>
      <c r="W2311" s="105"/>
      <c r="X2311" s="105"/>
      <c r="Y2311" s="105"/>
      <c r="Z2311" s="105"/>
    </row>
    <row r="2312" spans="1:26" ht="15.75" customHeight="1">
      <c r="A2312" s="105"/>
      <c r="B2312" s="105"/>
      <c r="C2312" s="105"/>
      <c r="D2312" s="105"/>
      <c r="E2312" s="105"/>
      <c r="F2312" s="105"/>
      <c r="G2312" s="105"/>
      <c r="H2312" s="105"/>
      <c r="I2312" s="105"/>
      <c r="J2312" s="105"/>
      <c r="K2312" s="105"/>
      <c r="L2312" s="105"/>
      <c r="M2312" s="105"/>
      <c r="N2312" s="105"/>
      <c r="O2312" s="105"/>
      <c r="P2312" s="105"/>
      <c r="Q2312" s="105"/>
      <c r="R2312" s="105"/>
      <c r="S2312" s="105"/>
      <c r="T2312" s="105"/>
      <c r="U2312" s="105"/>
      <c r="V2312" s="105"/>
      <c r="W2312" s="105"/>
      <c r="X2312" s="105"/>
      <c r="Y2312" s="105"/>
      <c r="Z2312" s="105"/>
    </row>
    <row r="2313" spans="1:26" ht="15.75" customHeight="1">
      <c r="A2313" s="105"/>
      <c r="B2313" s="105"/>
      <c r="C2313" s="105"/>
      <c r="D2313" s="105"/>
      <c r="E2313" s="105"/>
      <c r="F2313" s="105"/>
      <c r="G2313" s="105"/>
      <c r="H2313" s="105"/>
      <c r="I2313" s="105"/>
      <c r="J2313" s="105"/>
      <c r="K2313" s="105"/>
      <c r="L2313" s="105"/>
      <c r="M2313" s="105"/>
      <c r="N2313" s="105"/>
      <c r="O2313" s="105"/>
      <c r="P2313" s="105"/>
      <c r="Q2313" s="105"/>
      <c r="R2313" s="105"/>
      <c r="S2313" s="105"/>
      <c r="T2313" s="105"/>
      <c r="U2313" s="105"/>
      <c r="V2313" s="105"/>
      <c r="W2313" s="105"/>
      <c r="X2313" s="105"/>
      <c r="Y2313" s="105"/>
      <c r="Z2313" s="105"/>
    </row>
    <row r="2314" spans="1:26" ht="15.75" customHeight="1">
      <c r="A2314" s="105"/>
      <c r="B2314" s="105"/>
      <c r="C2314" s="105"/>
      <c r="D2314" s="105"/>
      <c r="E2314" s="105"/>
      <c r="F2314" s="105"/>
      <c r="G2314" s="105"/>
      <c r="H2314" s="105"/>
      <c r="I2314" s="105"/>
      <c r="J2314" s="105"/>
      <c r="K2314" s="105"/>
      <c r="L2314" s="105"/>
      <c r="M2314" s="105"/>
      <c r="N2314" s="105"/>
      <c r="O2314" s="105"/>
      <c r="P2314" s="105"/>
      <c r="Q2314" s="105"/>
      <c r="R2314" s="105"/>
      <c r="S2314" s="105"/>
      <c r="T2314" s="105"/>
      <c r="U2314" s="105"/>
      <c r="V2314" s="105"/>
      <c r="W2314" s="105"/>
      <c r="X2314" s="105"/>
      <c r="Y2314" s="105"/>
      <c r="Z2314" s="105"/>
    </row>
    <row r="2315" spans="1:26" ht="15.75" customHeight="1">
      <c r="A2315" s="105"/>
      <c r="B2315" s="105"/>
      <c r="C2315" s="105"/>
      <c r="D2315" s="105"/>
      <c r="E2315" s="105"/>
      <c r="F2315" s="105"/>
      <c r="G2315" s="105"/>
      <c r="H2315" s="105"/>
      <c r="I2315" s="105"/>
      <c r="J2315" s="105"/>
      <c r="K2315" s="105"/>
      <c r="L2315" s="105"/>
      <c r="M2315" s="105"/>
      <c r="N2315" s="105"/>
      <c r="O2315" s="105"/>
      <c r="P2315" s="105"/>
      <c r="Q2315" s="105"/>
      <c r="R2315" s="105"/>
      <c r="S2315" s="105"/>
      <c r="T2315" s="105"/>
      <c r="U2315" s="105"/>
      <c r="V2315" s="105"/>
      <c r="W2315" s="105"/>
      <c r="X2315" s="105"/>
      <c r="Y2315" s="105"/>
      <c r="Z2315" s="105"/>
    </row>
    <row r="2316" spans="1:26" ht="15.75" customHeight="1">
      <c r="A2316" s="105"/>
      <c r="B2316" s="105"/>
      <c r="C2316" s="105"/>
      <c r="D2316" s="105"/>
      <c r="E2316" s="105"/>
      <c r="F2316" s="105"/>
      <c r="G2316" s="105"/>
      <c r="H2316" s="105"/>
      <c r="I2316" s="105"/>
      <c r="J2316" s="105"/>
      <c r="K2316" s="105"/>
      <c r="L2316" s="105"/>
      <c r="M2316" s="105"/>
      <c r="N2316" s="105"/>
      <c r="O2316" s="105"/>
      <c r="P2316" s="105"/>
      <c r="Q2316" s="105"/>
      <c r="R2316" s="105"/>
      <c r="S2316" s="105"/>
      <c r="T2316" s="105"/>
      <c r="U2316" s="105"/>
      <c r="V2316" s="105"/>
      <c r="W2316" s="105"/>
      <c r="X2316" s="105"/>
      <c r="Y2316" s="105"/>
      <c r="Z2316" s="105"/>
    </row>
    <row r="2317" spans="1:26" ht="15.75" customHeight="1">
      <c r="A2317" s="105"/>
      <c r="B2317" s="105"/>
      <c r="C2317" s="105"/>
      <c r="D2317" s="105"/>
      <c r="E2317" s="105"/>
      <c r="F2317" s="105"/>
      <c r="G2317" s="105"/>
      <c r="H2317" s="105"/>
      <c r="I2317" s="105"/>
      <c r="J2317" s="105"/>
      <c r="K2317" s="105"/>
      <c r="L2317" s="105"/>
      <c r="M2317" s="105"/>
      <c r="N2317" s="105"/>
      <c r="O2317" s="105"/>
      <c r="P2317" s="105"/>
      <c r="Q2317" s="105"/>
      <c r="R2317" s="105"/>
      <c r="S2317" s="105"/>
      <c r="T2317" s="105"/>
      <c r="U2317" s="105"/>
      <c r="V2317" s="105"/>
      <c r="W2317" s="105"/>
      <c r="X2317" s="105"/>
      <c r="Y2317" s="105"/>
      <c r="Z2317" s="105"/>
    </row>
    <row r="2318" spans="1:26" ht="15.75" customHeight="1">
      <c r="A2318" s="105"/>
      <c r="B2318" s="105"/>
      <c r="C2318" s="105"/>
      <c r="D2318" s="105"/>
      <c r="E2318" s="105"/>
      <c r="F2318" s="105"/>
      <c r="G2318" s="105"/>
      <c r="H2318" s="105"/>
      <c r="I2318" s="105"/>
      <c r="J2318" s="105"/>
      <c r="K2318" s="105"/>
      <c r="L2318" s="105"/>
      <c r="M2318" s="105"/>
      <c r="N2318" s="105"/>
      <c r="O2318" s="105"/>
      <c r="P2318" s="105"/>
      <c r="Q2318" s="105"/>
      <c r="R2318" s="105"/>
      <c r="S2318" s="105"/>
      <c r="T2318" s="105"/>
      <c r="U2318" s="105"/>
      <c r="V2318" s="105"/>
      <c r="W2318" s="105"/>
      <c r="X2318" s="105"/>
      <c r="Y2318" s="105"/>
      <c r="Z2318" s="105"/>
    </row>
    <row r="2319" spans="1:26" ht="15.75" customHeight="1">
      <c r="A2319" s="105"/>
      <c r="B2319" s="105"/>
      <c r="C2319" s="105"/>
      <c r="D2319" s="105"/>
      <c r="E2319" s="105"/>
      <c r="F2319" s="105"/>
      <c r="G2319" s="105"/>
      <c r="H2319" s="105"/>
      <c r="I2319" s="105"/>
      <c r="J2319" s="105"/>
      <c r="K2319" s="105"/>
      <c r="L2319" s="105"/>
      <c r="M2319" s="105"/>
      <c r="N2319" s="105"/>
      <c r="O2319" s="105"/>
      <c r="P2319" s="105"/>
      <c r="Q2319" s="105"/>
      <c r="R2319" s="105"/>
      <c r="S2319" s="105"/>
      <c r="T2319" s="105"/>
      <c r="U2319" s="105"/>
      <c r="V2319" s="105"/>
      <c r="W2319" s="105"/>
      <c r="X2319" s="105"/>
      <c r="Y2319" s="105"/>
      <c r="Z2319" s="105"/>
    </row>
    <row r="2320" spans="1:26" ht="15.75" customHeight="1">
      <c r="A2320" s="105"/>
      <c r="B2320" s="105"/>
      <c r="C2320" s="105"/>
      <c r="D2320" s="105"/>
      <c r="E2320" s="105"/>
      <c r="F2320" s="105"/>
      <c r="G2320" s="105"/>
      <c r="H2320" s="105"/>
      <c r="I2320" s="105"/>
      <c r="J2320" s="105"/>
      <c r="K2320" s="105"/>
      <c r="L2320" s="105"/>
      <c r="M2320" s="105"/>
      <c r="N2320" s="105"/>
      <c r="O2320" s="105"/>
      <c r="P2320" s="105"/>
      <c r="Q2320" s="105"/>
      <c r="R2320" s="105"/>
      <c r="S2320" s="105"/>
      <c r="T2320" s="105"/>
      <c r="U2320" s="105"/>
      <c r="V2320" s="105"/>
      <c r="W2320" s="105"/>
      <c r="X2320" s="105"/>
      <c r="Y2320" s="105"/>
      <c r="Z2320" s="105"/>
    </row>
    <row r="2321" spans="1:26" ht="15.75" customHeight="1">
      <c r="A2321" s="105"/>
      <c r="B2321" s="105"/>
      <c r="C2321" s="105"/>
      <c r="D2321" s="105"/>
      <c r="E2321" s="105"/>
      <c r="F2321" s="105"/>
      <c r="G2321" s="105"/>
      <c r="H2321" s="105"/>
      <c r="I2321" s="105"/>
      <c r="J2321" s="105"/>
      <c r="K2321" s="105"/>
      <c r="L2321" s="105"/>
      <c r="M2321" s="105"/>
      <c r="N2321" s="105"/>
      <c r="O2321" s="105"/>
      <c r="P2321" s="105"/>
      <c r="Q2321" s="105"/>
      <c r="R2321" s="105"/>
      <c r="S2321" s="105"/>
      <c r="T2321" s="105"/>
      <c r="U2321" s="105"/>
      <c r="V2321" s="105"/>
      <c r="W2321" s="105"/>
      <c r="X2321" s="105"/>
      <c r="Y2321" s="105"/>
      <c r="Z2321" s="105"/>
    </row>
    <row r="2322" spans="1:26" ht="15.75" customHeight="1">
      <c r="A2322" s="105"/>
      <c r="B2322" s="105"/>
      <c r="C2322" s="105"/>
      <c r="D2322" s="105"/>
      <c r="E2322" s="105"/>
      <c r="F2322" s="105"/>
      <c r="G2322" s="105"/>
      <c r="H2322" s="105"/>
      <c r="I2322" s="105"/>
      <c r="J2322" s="105"/>
      <c r="K2322" s="105"/>
      <c r="L2322" s="105"/>
      <c r="M2322" s="105"/>
      <c r="N2322" s="105"/>
      <c r="O2322" s="105"/>
      <c r="P2322" s="105"/>
      <c r="Q2322" s="105"/>
      <c r="R2322" s="105"/>
      <c r="S2322" s="105"/>
      <c r="T2322" s="105"/>
      <c r="U2322" s="105"/>
      <c r="V2322" s="105"/>
      <c r="W2322" s="105"/>
      <c r="X2322" s="105"/>
      <c r="Y2322" s="105"/>
      <c r="Z2322" s="105"/>
    </row>
    <row r="2323" spans="1:26" ht="15.75" customHeight="1">
      <c r="A2323" s="105"/>
      <c r="B2323" s="105"/>
      <c r="C2323" s="105"/>
      <c r="D2323" s="105"/>
      <c r="E2323" s="105"/>
      <c r="F2323" s="105"/>
      <c r="G2323" s="105"/>
      <c r="H2323" s="105"/>
      <c r="I2323" s="105"/>
      <c r="J2323" s="105"/>
      <c r="K2323" s="105"/>
      <c r="L2323" s="105"/>
      <c r="M2323" s="105"/>
      <c r="N2323" s="105"/>
      <c r="O2323" s="105"/>
      <c r="P2323" s="105"/>
      <c r="Q2323" s="105"/>
      <c r="R2323" s="105"/>
      <c r="S2323" s="105"/>
      <c r="T2323" s="105"/>
      <c r="U2323" s="105"/>
      <c r="V2323" s="105"/>
      <c r="W2323" s="105"/>
      <c r="X2323" s="105"/>
      <c r="Y2323" s="105"/>
      <c r="Z2323" s="105"/>
    </row>
    <row r="2324" spans="1:26" ht="15.75" customHeight="1">
      <c r="A2324" s="105"/>
      <c r="B2324" s="105"/>
      <c r="C2324" s="105"/>
      <c r="D2324" s="105"/>
      <c r="E2324" s="105"/>
      <c r="F2324" s="105"/>
      <c r="G2324" s="105"/>
      <c r="H2324" s="105"/>
      <c r="I2324" s="105"/>
      <c r="J2324" s="105"/>
      <c r="K2324" s="105"/>
      <c r="L2324" s="105"/>
      <c r="M2324" s="105"/>
      <c r="N2324" s="105"/>
      <c r="O2324" s="105"/>
      <c r="P2324" s="105"/>
      <c r="Q2324" s="105"/>
      <c r="R2324" s="105"/>
      <c r="S2324" s="105"/>
      <c r="T2324" s="105"/>
      <c r="U2324" s="105"/>
      <c r="V2324" s="105"/>
      <c r="W2324" s="105"/>
      <c r="X2324" s="105"/>
      <c r="Y2324" s="105"/>
      <c r="Z2324" s="105"/>
    </row>
    <row r="2325" spans="1:26" ht="15.75" customHeight="1">
      <c r="A2325" s="105"/>
      <c r="B2325" s="105"/>
      <c r="C2325" s="105"/>
      <c r="D2325" s="105"/>
      <c r="E2325" s="105"/>
      <c r="F2325" s="105"/>
      <c r="G2325" s="105"/>
      <c r="H2325" s="105"/>
      <c r="I2325" s="105"/>
      <c r="J2325" s="105"/>
      <c r="K2325" s="105"/>
      <c r="L2325" s="105"/>
      <c r="M2325" s="105"/>
      <c r="N2325" s="105"/>
      <c r="O2325" s="105"/>
      <c r="P2325" s="105"/>
      <c r="Q2325" s="105"/>
      <c r="R2325" s="105"/>
      <c r="S2325" s="105"/>
      <c r="T2325" s="105"/>
      <c r="U2325" s="105"/>
      <c r="V2325" s="105"/>
      <c r="W2325" s="105"/>
      <c r="X2325" s="105"/>
      <c r="Y2325" s="105"/>
      <c r="Z2325" s="105"/>
    </row>
    <row r="2326" spans="1:26" ht="15.75" customHeight="1">
      <c r="A2326" s="105"/>
      <c r="B2326" s="105"/>
      <c r="C2326" s="105"/>
      <c r="D2326" s="105"/>
      <c r="E2326" s="105"/>
      <c r="F2326" s="105"/>
      <c r="G2326" s="105"/>
      <c r="H2326" s="105"/>
      <c r="I2326" s="105"/>
      <c r="J2326" s="105"/>
      <c r="K2326" s="105"/>
      <c r="L2326" s="105"/>
      <c r="M2326" s="105"/>
      <c r="N2326" s="105"/>
      <c r="O2326" s="105"/>
      <c r="P2326" s="105"/>
      <c r="Q2326" s="105"/>
      <c r="R2326" s="105"/>
      <c r="S2326" s="105"/>
      <c r="T2326" s="105"/>
      <c r="U2326" s="105"/>
      <c r="V2326" s="105"/>
      <c r="W2326" s="105"/>
      <c r="X2326" s="105"/>
      <c r="Y2326" s="105"/>
      <c r="Z2326" s="105"/>
    </row>
    <row r="2327" spans="1:26" ht="15.75" customHeight="1">
      <c r="A2327" s="105"/>
      <c r="B2327" s="105"/>
      <c r="C2327" s="105"/>
      <c r="D2327" s="105"/>
      <c r="E2327" s="105"/>
      <c r="F2327" s="105"/>
      <c r="G2327" s="105"/>
      <c r="H2327" s="105"/>
      <c r="I2327" s="105"/>
      <c r="J2327" s="105"/>
      <c r="K2327" s="105"/>
      <c r="L2327" s="105"/>
      <c r="M2327" s="105"/>
      <c r="N2327" s="105"/>
      <c r="O2327" s="105"/>
      <c r="P2327" s="105"/>
      <c r="Q2327" s="105"/>
      <c r="R2327" s="105"/>
      <c r="S2327" s="105"/>
      <c r="T2327" s="105"/>
      <c r="U2327" s="105"/>
      <c r="V2327" s="105"/>
      <c r="W2327" s="105"/>
      <c r="X2327" s="105"/>
      <c r="Y2327" s="105"/>
      <c r="Z2327" s="105"/>
    </row>
    <row r="2328" spans="1:26" ht="15.75" customHeight="1">
      <c r="A2328" s="105"/>
      <c r="B2328" s="105"/>
      <c r="C2328" s="105"/>
      <c r="D2328" s="105"/>
      <c r="E2328" s="105"/>
      <c r="F2328" s="105"/>
      <c r="G2328" s="105"/>
      <c r="H2328" s="105"/>
      <c r="I2328" s="105"/>
      <c r="J2328" s="105"/>
      <c r="K2328" s="105"/>
      <c r="L2328" s="105"/>
      <c r="M2328" s="105"/>
      <c r="N2328" s="105"/>
      <c r="O2328" s="105"/>
      <c r="P2328" s="105"/>
      <c r="Q2328" s="105"/>
      <c r="R2328" s="105"/>
      <c r="S2328" s="105"/>
      <c r="T2328" s="105"/>
      <c r="U2328" s="105"/>
      <c r="V2328" s="105"/>
      <c r="W2328" s="105"/>
      <c r="X2328" s="105"/>
      <c r="Y2328" s="105"/>
      <c r="Z2328" s="105"/>
    </row>
    <row r="2329" spans="1:26" ht="15.75" customHeight="1">
      <c r="A2329" s="105"/>
      <c r="B2329" s="105"/>
      <c r="C2329" s="105"/>
      <c r="D2329" s="105"/>
      <c r="E2329" s="105"/>
      <c r="F2329" s="105"/>
      <c r="G2329" s="105"/>
      <c r="H2329" s="105"/>
      <c r="I2329" s="105"/>
      <c r="J2329" s="105"/>
      <c r="K2329" s="105"/>
      <c r="L2329" s="105"/>
      <c r="M2329" s="105"/>
      <c r="N2329" s="105"/>
      <c r="O2329" s="105"/>
      <c r="P2329" s="105"/>
      <c r="Q2329" s="105"/>
      <c r="R2329" s="105"/>
      <c r="S2329" s="105"/>
      <c r="T2329" s="105"/>
      <c r="U2329" s="105"/>
      <c r="V2329" s="105"/>
      <c r="W2329" s="105"/>
      <c r="X2329" s="105"/>
      <c r="Y2329" s="105"/>
      <c r="Z2329" s="105"/>
    </row>
    <row r="2330" spans="1:26" ht="15.75" customHeight="1">
      <c r="A2330" s="105"/>
      <c r="B2330" s="105"/>
      <c r="C2330" s="105"/>
      <c r="D2330" s="105"/>
      <c r="E2330" s="105"/>
      <c r="F2330" s="105"/>
      <c r="G2330" s="105"/>
      <c r="H2330" s="105"/>
      <c r="I2330" s="105"/>
      <c r="J2330" s="105"/>
      <c r="K2330" s="105"/>
      <c r="L2330" s="105"/>
      <c r="M2330" s="105"/>
      <c r="N2330" s="105"/>
      <c r="O2330" s="105"/>
      <c r="P2330" s="105"/>
      <c r="Q2330" s="105"/>
      <c r="R2330" s="105"/>
      <c r="S2330" s="105"/>
      <c r="T2330" s="105"/>
      <c r="U2330" s="105"/>
      <c r="V2330" s="105"/>
      <c r="W2330" s="105"/>
      <c r="X2330" s="105"/>
      <c r="Y2330" s="105"/>
      <c r="Z2330" s="105"/>
    </row>
    <row r="2331" spans="1:26" ht="15.75" customHeight="1">
      <c r="A2331" s="105"/>
      <c r="B2331" s="105"/>
      <c r="C2331" s="105"/>
      <c r="D2331" s="105"/>
      <c r="E2331" s="105"/>
      <c r="F2331" s="105"/>
      <c r="G2331" s="105"/>
      <c r="H2331" s="105"/>
      <c r="I2331" s="105"/>
      <c r="J2331" s="105"/>
      <c r="K2331" s="105"/>
      <c r="L2331" s="105"/>
      <c r="M2331" s="105"/>
      <c r="N2331" s="105"/>
      <c r="O2331" s="105"/>
      <c r="P2331" s="105"/>
      <c r="Q2331" s="105"/>
      <c r="R2331" s="105"/>
      <c r="S2331" s="105"/>
      <c r="T2331" s="105"/>
      <c r="U2331" s="105"/>
      <c r="V2331" s="105"/>
      <c r="W2331" s="105"/>
      <c r="X2331" s="105"/>
      <c r="Y2331" s="105"/>
      <c r="Z2331" s="105"/>
    </row>
    <row r="2332" spans="1:26" ht="15.75" customHeight="1">
      <c r="A2332" s="105"/>
      <c r="B2332" s="105"/>
      <c r="C2332" s="105"/>
      <c r="D2332" s="105"/>
      <c r="E2332" s="105"/>
      <c r="F2332" s="105"/>
      <c r="G2332" s="105"/>
      <c r="H2332" s="105"/>
      <c r="I2332" s="105"/>
      <c r="J2332" s="105"/>
      <c r="K2332" s="105"/>
      <c r="L2332" s="105"/>
      <c r="M2332" s="105"/>
      <c r="N2332" s="105"/>
      <c r="O2332" s="105"/>
      <c r="P2332" s="105"/>
      <c r="Q2332" s="105"/>
      <c r="R2332" s="105"/>
      <c r="S2332" s="105"/>
      <c r="T2332" s="105"/>
      <c r="U2332" s="105"/>
      <c r="V2332" s="105"/>
      <c r="W2332" s="105"/>
      <c r="X2332" s="105"/>
      <c r="Y2332" s="105"/>
      <c r="Z2332" s="105"/>
    </row>
    <row r="2333" spans="1:26" ht="15.75" customHeight="1">
      <c r="A2333" s="105"/>
      <c r="B2333" s="105"/>
      <c r="C2333" s="105"/>
      <c r="D2333" s="105"/>
      <c r="E2333" s="105"/>
      <c r="F2333" s="105"/>
      <c r="G2333" s="105"/>
      <c r="H2333" s="105"/>
      <c r="I2333" s="105"/>
      <c r="J2333" s="105"/>
      <c r="K2333" s="105"/>
      <c r="L2333" s="105"/>
      <c r="M2333" s="105"/>
      <c r="N2333" s="105"/>
      <c r="O2333" s="105"/>
      <c r="P2333" s="105"/>
      <c r="Q2333" s="105"/>
      <c r="R2333" s="105"/>
      <c r="S2333" s="105"/>
      <c r="T2333" s="105"/>
      <c r="U2333" s="105"/>
      <c r="V2333" s="105"/>
      <c r="W2333" s="105"/>
      <c r="X2333" s="105"/>
      <c r="Y2333" s="105"/>
      <c r="Z2333" s="105"/>
    </row>
    <row r="2334" spans="1:26" ht="15.75" customHeight="1">
      <c r="A2334" s="105"/>
      <c r="B2334" s="105"/>
      <c r="C2334" s="105"/>
      <c r="D2334" s="105"/>
      <c r="E2334" s="105"/>
      <c r="F2334" s="105"/>
      <c r="G2334" s="105"/>
      <c r="H2334" s="105"/>
      <c r="I2334" s="105"/>
      <c r="J2334" s="105"/>
      <c r="K2334" s="105"/>
      <c r="L2334" s="105"/>
      <c r="M2334" s="105"/>
      <c r="N2334" s="105"/>
      <c r="O2334" s="105"/>
      <c r="P2334" s="105"/>
      <c r="Q2334" s="105"/>
      <c r="R2334" s="105"/>
      <c r="S2334" s="105"/>
      <c r="T2334" s="105"/>
      <c r="U2334" s="105"/>
      <c r="V2334" s="105"/>
      <c r="W2334" s="105"/>
      <c r="X2334" s="105"/>
      <c r="Y2334" s="105"/>
      <c r="Z2334" s="105"/>
    </row>
    <row r="2335" spans="1:26" ht="15.75" customHeight="1">
      <c r="A2335" s="105"/>
      <c r="B2335" s="105"/>
      <c r="C2335" s="105"/>
      <c r="D2335" s="105"/>
      <c r="E2335" s="105"/>
      <c r="F2335" s="105"/>
      <c r="G2335" s="105"/>
      <c r="H2335" s="105"/>
      <c r="I2335" s="105"/>
      <c r="J2335" s="105"/>
      <c r="K2335" s="105"/>
      <c r="L2335" s="105"/>
      <c r="M2335" s="105"/>
      <c r="N2335" s="105"/>
      <c r="O2335" s="105"/>
      <c r="P2335" s="105"/>
      <c r="Q2335" s="105"/>
      <c r="R2335" s="105"/>
      <c r="S2335" s="105"/>
      <c r="T2335" s="105"/>
      <c r="U2335" s="105"/>
      <c r="V2335" s="105"/>
      <c r="W2335" s="105"/>
      <c r="X2335" s="105"/>
      <c r="Y2335" s="105"/>
      <c r="Z2335" s="105"/>
    </row>
    <row r="2336" spans="1:26" ht="15.75" customHeight="1">
      <c r="A2336" s="105"/>
      <c r="B2336" s="105"/>
      <c r="C2336" s="105"/>
      <c r="D2336" s="105"/>
      <c r="E2336" s="105"/>
      <c r="F2336" s="105"/>
      <c r="G2336" s="105"/>
      <c r="H2336" s="105"/>
      <c r="I2336" s="105"/>
      <c r="J2336" s="105"/>
      <c r="K2336" s="105"/>
      <c r="L2336" s="105"/>
      <c r="M2336" s="105"/>
      <c r="N2336" s="105"/>
      <c r="O2336" s="105"/>
      <c r="P2336" s="105"/>
      <c r="Q2336" s="105"/>
      <c r="R2336" s="105"/>
      <c r="S2336" s="105"/>
      <c r="T2336" s="105"/>
      <c r="U2336" s="105"/>
      <c r="V2336" s="105"/>
      <c r="W2336" s="105"/>
      <c r="X2336" s="105"/>
      <c r="Y2336" s="105"/>
      <c r="Z2336" s="105"/>
    </row>
    <row r="2337" spans="1:26" ht="15.75" customHeight="1">
      <c r="A2337" s="105"/>
      <c r="B2337" s="105"/>
      <c r="C2337" s="105"/>
      <c r="D2337" s="105"/>
      <c r="E2337" s="105"/>
      <c r="F2337" s="105"/>
      <c r="G2337" s="105"/>
      <c r="H2337" s="105"/>
      <c r="I2337" s="105"/>
      <c r="J2337" s="105"/>
      <c r="K2337" s="105"/>
      <c r="L2337" s="105"/>
      <c r="M2337" s="105"/>
      <c r="N2337" s="105"/>
      <c r="O2337" s="105"/>
      <c r="P2337" s="105"/>
      <c r="Q2337" s="105"/>
      <c r="R2337" s="105"/>
      <c r="S2337" s="105"/>
      <c r="T2337" s="105"/>
      <c r="U2337" s="105"/>
      <c r="V2337" s="105"/>
      <c r="W2337" s="105"/>
      <c r="X2337" s="105"/>
      <c r="Y2337" s="105"/>
      <c r="Z2337" s="105"/>
    </row>
    <row r="2338" spans="1:26" ht="15.75" customHeight="1">
      <c r="A2338" s="105"/>
      <c r="B2338" s="105"/>
      <c r="C2338" s="105"/>
      <c r="D2338" s="105"/>
      <c r="E2338" s="105"/>
      <c r="F2338" s="105"/>
      <c r="G2338" s="105"/>
      <c r="H2338" s="105"/>
      <c r="I2338" s="105"/>
      <c r="J2338" s="105"/>
      <c r="K2338" s="105"/>
      <c r="L2338" s="105"/>
      <c r="M2338" s="105"/>
      <c r="N2338" s="105"/>
      <c r="O2338" s="105"/>
      <c r="P2338" s="105"/>
      <c r="Q2338" s="105"/>
      <c r="R2338" s="105"/>
      <c r="S2338" s="105"/>
      <c r="T2338" s="105"/>
      <c r="U2338" s="105"/>
      <c r="V2338" s="105"/>
      <c r="W2338" s="105"/>
      <c r="X2338" s="105"/>
      <c r="Y2338" s="105"/>
      <c r="Z2338" s="105"/>
    </row>
    <row r="2339" spans="1:26" ht="15.75" customHeight="1">
      <c r="A2339" s="105"/>
      <c r="B2339" s="105"/>
      <c r="C2339" s="105"/>
      <c r="D2339" s="105"/>
      <c r="E2339" s="105"/>
      <c r="F2339" s="105"/>
      <c r="G2339" s="105"/>
      <c r="H2339" s="105"/>
      <c r="I2339" s="105"/>
      <c r="J2339" s="105"/>
      <c r="K2339" s="105"/>
      <c r="L2339" s="105"/>
      <c r="M2339" s="105"/>
      <c r="N2339" s="105"/>
      <c r="O2339" s="105"/>
      <c r="P2339" s="105"/>
      <c r="Q2339" s="105"/>
      <c r="R2339" s="105"/>
      <c r="S2339" s="105"/>
      <c r="T2339" s="105"/>
      <c r="U2339" s="105"/>
      <c r="V2339" s="105"/>
      <c r="W2339" s="105"/>
      <c r="X2339" s="105"/>
      <c r="Y2339" s="105"/>
      <c r="Z2339" s="105"/>
    </row>
    <row r="2340" spans="1:26" ht="15.75" customHeight="1">
      <c r="A2340" s="105"/>
      <c r="B2340" s="105"/>
      <c r="C2340" s="105"/>
      <c r="D2340" s="105"/>
      <c r="E2340" s="105"/>
      <c r="F2340" s="105"/>
      <c r="G2340" s="105"/>
      <c r="H2340" s="105"/>
      <c r="I2340" s="105"/>
      <c r="J2340" s="105"/>
      <c r="K2340" s="105"/>
      <c r="L2340" s="105"/>
      <c r="M2340" s="105"/>
      <c r="N2340" s="105"/>
      <c r="O2340" s="105"/>
      <c r="P2340" s="105"/>
      <c r="Q2340" s="105"/>
      <c r="R2340" s="105"/>
      <c r="S2340" s="105"/>
      <c r="T2340" s="105"/>
      <c r="U2340" s="105"/>
      <c r="V2340" s="105"/>
      <c r="W2340" s="105"/>
      <c r="X2340" s="105"/>
      <c r="Y2340" s="105"/>
      <c r="Z2340" s="105"/>
    </row>
    <row r="2341" spans="1:26" ht="15.75" customHeight="1">
      <c r="A2341" s="105"/>
      <c r="B2341" s="105"/>
      <c r="C2341" s="105"/>
      <c r="D2341" s="105"/>
      <c r="E2341" s="105"/>
      <c r="F2341" s="105"/>
      <c r="G2341" s="105"/>
      <c r="H2341" s="105"/>
      <c r="I2341" s="105"/>
      <c r="J2341" s="105"/>
      <c r="K2341" s="105"/>
      <c r="L2341" s="105"/>
      <c r="M2341" s="105"/>
      <c r="N2341" s="105"/>
      <c r="O2341" s="105"/>
      <c r="P2341" s="105"/>
      <c r="Q2341" s="105"/>
      <c r="R2341" s="105"/>
      <c r="S2341" s="105"/>
      <c r="T2341" s="105"/>
      <c r="U2341" s="105"/>
      <c r="V2341" s="105"/>
      <c r="W2341" s="105"/>
      <c r="X2341" s="105"/>
      <c r="Y2341" s="105"/>
      <c r="Z2341" s="105"/>
    </row>
    <row r="2342" spans="1:26" ht="15.75" customHeight="1">
      <c r="A2342" s="105"/>
      <c r="B2342" s="105"/>
      <c r="C2342" s="105"/>
      <c r="D2342" s="105"/>
      <c r="E2342" s="105"/>
      <c r="F2342" s="105"/>
      <c r="G2342" s="105"/>
      <c r="H2342" s="105"/>
      <c r="I2342" s="105"/>
      <c r="J2342" s="105"/>
      <c r="K2342" s="105"/>
      <c r="L2342" s="105"/>
      <c r="M2342" s="105"/>
      <c r="N2342" s="105"/>
      <c r="O2342" s="105"/>
      <c r="P2342" s="105"/>
      <c r="Q2342" s="105"/>
      <c r="R2342" s="105"/>
      <c r="S2342" s="105"/>
      <c r="T2342" s="105"/>
      <c r="U2342" s="105"/>
      <c r="V2342" s="105"/>
      <c r="W2342" s="105"/>
      <c r="X2342" s="105"/>
      <c r="Y2342" s="105"/>
      <c r="Z2342" s="105"/>
    </row>
    <row r="2343" spans="1:26" ht="15.75" customHeight="1">
      <c r="A2343" s="105"/>
      <c r="B2343" s="105"/>
      <c r="C2343" s="105"/>
      <c r="D2343" s="105"/>
      <c r="E2343" s="105"/>
      <c r="F2343" s="105"/>
      <c r="G2343" s="105"/>
      <c r="H2343" s="105"/>
      <c r="I2343" s="105"/>
      <c r="J2343" s="105"/>
      <c r="K2343" s="105"/>
      <c r="L2343" s="105"/>
      <c r="M2343" s="105"/>
      <c r="N2343" s="105"/>
      <c r="O2343" s="105"/>
      <c r="P2343" s="105"/>
      <c r="Q2343" s="105"/>
      <c r="R2343" s="105"/>
      <c r="S2343" s="105"/>
      <c r="T2343" s="105"/>
      <c r="U2343" s="105"/>
      <c r="V2343" s="105"/>
      <c r="W2343" s="105"/>
      <c r="X2343" s="105"/>
      <c r="Y2343" s="105"/>
      <c r="Z2343" s="105"/>
    </row>
    <row r="2344" spans="1:26" ht="15.75" customHeight="1">
      <c r="A2344" s="105"/>
      <c r="B2344" s="105"/>
      <c r="C2344" s="105"/>
      <c r="D2344" s="105"/>
      <c r="E2344" s="105"/>
      <c r="F2344" s="105"/>
      <c r="G2344" s="105"/>
      <c r="H2344" s="105"/>
      <c r="I2344" s="105"/>
      <c r="J2344" s="105"/>
      <c r="K2344" s="105"/>
      <c r="L2344" s="105"/>
      <c r="M2344" s="105"/>
      <c r="N2344" s="105"/>
      <c r="O2344" s="105"/>
      <c r="P2344" s="105"/>
      <c r="Q2344" s="105"/>
      <c r="R2344" s="105"/>
      <c r="S2344" s="105"/>
      <c r="T2344" s="105"/>
      <c r="U2344" s="105"/>
      <c r="V2344" s="105"/>
      <c r="W2344" s="105"/>
      <c r="X2344" s="105"/>
      <c r="Y2344" s="105"/>
      <c r="Z2344" s="105"/>
    </row>
    <row r="2345" spans="1:26" ht="15.75" customHeight="1">
      <c r="A2345" s="105"/>
      <c r="B2345" s="105"/>
      <c r="C2345" s="105"/>
      <c r="D2345" s="105"/>
      <c r="E2345" s="105"/>
      <c r="F2345" s="105"/>
      <c r="G2345" s="105"/>
      <c r="H2345" s="105"/>
      <c r="I2345" s="105"/>
      <c r="J2345" s="105"/>
      <c r="K2345" s="105"/>
      <c r="L2345" s="105"/>
      <c r="M2345" s="105"/>
      <c r="N2345" s="105"/>
      <c r="O2345" s="105"/>
      <c r="P2345" s="105"/>
      <c r="Q2345" s="105"/>
      <c r="R2345" s="105"/>
      <c r="S2345" s="105"/>
      <c r="T2345" s="105"/>
      <c r="U2345" s="105"/>
      <c r="V2345" s="105"/>
      <c r="W2345" s="105"/>
      <c r="X2345" s="105"/>
      <c r="Y2345" s="105"/>
      <c r="Z2345" s="105"/>
    </row>
    <row r="2346" spans="1:26" ht="15.75" customHeight="1">
      <c r="A2346" s="105"/>
      <c r="B2346" s="105"/>
      <c r="C2346" s="105"/>
      <c r="D2346" s="105"/>
      <c r="E2346" s="105"/>
      <c r="F2346" s="105"/>
      <c r="G2346" s="105"/>
      <c r="H2346" s="105"/>
      <c r="I2346" s="105"/>
      <c r="J2346" s="105"/>
      <c r="K2346" s="105"/>
      <c r="L2346" s="105"/>
      <c r="M2346" s="105"/>
      <c r="N2346" s="105"/>
      <c r="O2346" s="105"/>
      <c r="P2346" s="105"/>
      <c r="Q2346" s="105"/>
      <c r="R2346" s="105"/>
      <c r="S2346" s="105"/>
      <c r="T2346" s="105"/>
      <c r="U2346" s="105"/>
      <c r="V2346" s="105"/>
      <c r="W2346" s="105"/>
      <c r="X2346" s="105"/>
      <c r="Y2346" s="105"/>
      <c r="Z2346" s="105"/>
    </row>
    <row r="2347" spans="1:26" ht="15.75" customHeight="1">
      <c r="A2347" s="105"/>
      <c r="B2347" s="105"/>
      <c r="C2347" s="105"/>
      <c r="D2347" s="105"/>
      <c r="E2347" s="105"/>
      <c r="F2347" s="105"/>
      <c r="G2347" s="105"/>
      <c r="H2347" s="105"/>
      <c r="I2347" s="105"/>
      <c r="J2347" s="105"/>
      <c r="K2347" s="105"/>
      <c r="L2347" s="105"/>
      <c r="M2347" s="105"/>
      <c r="N2347" s="105"/>
      <c r="O2347" s="105"/>
      <c r="P2347" s="105"/>
      <c r="Q2347" s="105"/>
      <c r="R2347" s="105"/>
      <c r="S2347" s="105"/>
      <c r="T2347" s="105"/>
      <c r="U2347" s="105"/>
      <c r="V2347" s="105"/>
      <c r="W2347" s="105"/>
      <c r="X2347" s="105"/>
      <c r="Y2347" s="105"/>
      <c r="Z2347" s="105"/>
    </row>
    <row r="2348" spans="1:26" ht="15.75" customHeight="1">
      <c r="A2348" s="105"/>
      <c r="B2348" s="105"/>
      <c r="C2348" s="105"/>
      <c r="D2348" s="105"/>
      <c r="E2348" s="105"/>
      <c r="F2348" s="105"/>
      <c r="G2348" s="105"/>
      <c r="H2348" s="105"/>
      <c r="I2348" s="105"/>
      <c r="J2348" s="105"/>
      <c r="K2348" s="105"/>
      <c r="L2348" s="105"/>
      <c r="M2348" s="105"/>
      <c r="N2348" s="105"/>
      <c r="O2348" s="105"/>
      <c r="P2348" s="105"/>
      <c r="Q2348" s="105"/>
      <c r="R2348" s="105"/>
      <c r="S2348" s="105"/>
      <c r="T2348" s="105"/>
      <c r="U2348" s="105"/>
      <c r="V2348" s="105"/>
      <c r="W2348" s="105"/>
      <c r="X2348" s="105"/>
      <c r="Y2348" s="105"/>
      <c r="Z2348" s="105"/>
    </row>
    <row r="2349" spans="1:26" ht="15.75" customHeight="1">
      <c r="A2349" s="105"/>
      <c r="B2349" s="105"/>
      <c r="C2349" s="105"/>
      <c r="D2349" s="105"/>
      <c r="E2349" s="105"/>
      <c r="F2349" s="105"/>
      <c r="G2349" s="105"/>
      <c r="H2349" s="105"/>
      <c r="I2349" s="105"/>
      <c r="J2349" s="105"/>
      <c r="K2349" s="105"/>
      <c r="L2349" s="105"/>
      <c r="M2349" s="105"/>
      <c r="N2349" s="105"/>
      <c r="O2349" s="105"/>
      <c r="P2349" s="105"/>
      <c r="Q2349" s="105"/>
      <c r="R2349" s="105"/>
      <c r="S2349" s="105"/>
      <c r="T2349" s="105"/>
      <c r="U2349" s="105"/>
      <c r="V2349" s="105"/>
      <c r="W2349" s="105"/>
      <c r="X2349" s="105"/>
      <c r="Y2349" s="105"/>
      <c r="Z2349" s="105"/>
    </row>
    <row r="2350" spans="1:26" ht="15.75" customHeight="1">
      <c r="A2350" s="105"/>
      <c r="B2350" s="105"/>
      <c r="C2350" s="105"/>
      <c r="D2350" s="105"/>
      <c r="E2350" s="105"/>
      <c r="F2350" s="105"/>
      <c r="G2350" s="105"/>
      <c r="H2350" s="105"/>
      <c r="I2350" s="105"/>
      <c r="J2350" s="105"/>
      <c r="K2350" s="105"/>
      <c r="L2350" s="105"/>
      <c r="M2350" s="105"/>
      <c r="N2350" s="105"/>
      <c r="O2350" s="105"/>
      <c r="P2350" s="105"/>
      <c r="Q2350" s="105"/>
      <c r="R2350" s="105"/>
      <c r="S2350" s="105"/>
      <c r="T2350" s="105"/>
      <c r="U2350" s="105"/>
      <c r="V2350" s="105"/>
      <c r="W2350" s="105"/>
      <c r="X2350" s="105"/>
      <c r="Y2350" s="105"/>
      <c r="Z2350" s="105"/>
    </row>
    <row r="2351" spans="1:26" ht="15.75" customHeight="1">
      <c r="A2351" s="105"/>
      <c r="B2351" s="105"/>
      <c r="C2351" s="105"/>
      <c r="D2351" s="105"/>
      <c r="E2351" s="105"/>
      <c r="F2351" s="105"/>
      <c r="G2351" s="105"/>
      <c r="H2351" s="105"/>
      <c r="I2351" s="105"/>
      <c r="J2351" s="105"/>
      <c r="K2351" s="105"/>
      <c r="L2351" s="105"/>
      <c r="M2351" s="105"/>
      <c r="N2351" s="105"/>
      <c r="O2351" s="105"/>
      <c r="P2351" s="105"/>
      <c r="Q2351" s="105"/>
      <c r="R2351" s="105"/>
      <c r="S2351" s="105"/>
      <c r="T2351" s="105"/>
      <c r="U2351" s="105"/>
      <c r="V2351" s="105"/>
      <c r="W2351" s="105"/>
      <c r="X2351" s="105"/>
      <c r="Y2351" s="105"/>
      <c r="Z2351" s="105"/>
    </row>
    <row r="2352" spans="1:26" ht="15.75" customHeight="1">
      <c r="A2352" s="105"/>
      <c r="B2352" s="105"/>
      <c r="C2352" s="105"/>
      <c r="D2352" s="105"/>
      <c r="E2352" s="105"/>
      <c r="F2352" s="105"/>
      <c r="G2352" s="105"/>
      <c r="H2352" s="105"/>
      <c r="I2352" s="105"/>
      <c r="J2352" s="105"/>
      <c r="K2352" s="105"/>
      <c r="L2352" s="105"/>
      <c r="M2352" s="105"/>
      <c r="N2352" s="105"/>
      <c r="O2352" s="105"/>
      <c r="P2352" s="105"/>
      <c r="Q2352" s="105"/>
      <c r="R2352" s="105"/>
      <c r="S2352" s="105"/>
      <c r="T2352" s="105"/>
      <c r="U2352" s="105"/>
      <c r="V2352" s="105"/>
      <c r="W2352" s="105"/>
      <c r="X2352" s="105"/>
      <c r="Y2352" s="105"/>
      <c r="Z2352" s="105"/>
    </row>
    <row r="2353" spans="1:26" ht="15.75" customHeight="1">
      <c r="A2353" s="105"/>
      <c r="B2353" s="105"/>
      <c r="C2353" s="105"/>
      <c r="D2353" s="105"/>
      <c r="E2353" s="105"/>
      <c r="F2353" s="105"/>
      <c r="G2353" s="105"/>
      <c r="H2353" s="105"/>
      <c r="I2353" s="105"/>
      <c r="J2353" s="105"/>
      <c r="K2353" s="105"/>
      <c r="L2353" s="105"/>
      <c r="M2353" s="105"/>
      <c r="N2353" s="105"/>
      <c r="O2353" s="105"/>
      <c r="P2353" s="105"/>
      <c r="Q2353" s="105"/>
      <c r="R2353" s="105"/>
      <c r="S2353" s="105"/>
      <c r="T2353" s="105"/>
      <c r="U2353" s="105"/>
      <c r="V2353" s="105"/>
      <c r="W2353" s="105"/>
      <c r="X2353" s="105"/>
      <c r="Y2353" s="105"/>
      <c r="Z2353" s="105"/>
    </row>
    <row r="2354" spans="1:26" ht="15.75" customHeight="1">
      <c r="A2354" s="105"/>
      <c r="B2354" s="105"/>
      <c r="C2354" s="105"/>
      <c r="D2354" s="105"/>
      <c r="E2354" s="105"/>
      <c r="F2354" s="105"/>
      <c r="G2354" s="105"/>
      <c r="H2354" s="105"/>
      <c r="I2354" s="105"/>
      <c r="J2354" s="105"/>
      <c r="K2354" s="105"/>
      <c r="L2354" s="105"/>
      <c r="M2354" s="105"/>
      <c r="N2354" s="105"/>
      <c r="O2354" s="105"/>
      <c r="P2354" s="105"/>
      <c r="Q2354" s="105"/>
      <c r="R2354" s="105"/>
      <c r="S2354" s="105"/>
      <c r="T2354" s="105"/>
      <c r="U2354" s="105"/>
      <c r="V2354" s="105"/>
      <c r="W2354" s="105"/>
      <c r="X2354" s="105"/>
      <c r="Y2354" s="105"/>
      <c r="Z2354" s="105"/>
    </row>
    <row r="2355" spans="1:26" ht="15.75" customHeight="1">
      <c r="A2355" s="105"/>
      <c r="B2355" s="105"/>
      <c r="C2355" s="105"/>
      <c r="D2355" s="105"/>
      <c r="E2355" s="105"/>
      <c r="F2355" s="105"/>
      <c r="G2355" s="105"/>
      <c r="H2355" s="105"/>
      <c r="I2355" s="105"/>
      <c r="J2355" s="105"/>
      <c r="K2355" s="105"/>
      <c r="L2355" s="105"/>
      <c r="M2355" s="105"/>
      <c r="N2355" s="105"/>
      <c r="O2355" s="105"/>
      <c r="P2355" s="105"/>
      <c r="Q2355" s="105"/>
      <c r="R2355" s="105"/>
      <c r="S2355" s="105"/>
      <c r="T2355" s="105"/>
      <c r="U2355" s="105"/>
      <c r="V2355" s="105"/>
      <c r="W2355" s="105"/>
      <c r="X2355" s="105"/>
      <c r="Y2355" s="105"/>
      <c r="Z2355" s="105"/>
    </row>
    <row r="2356" spans="1:26" ht="15.75" customHeight="1">
      <c r="A2356" s="105"/>
      <c r="B2356" s="105"/>
      <c r="C2356" s="105"/>
      <c r="D2356" s="105"/>
      <c r="E2356" s="105"/>
      <c r="F2356" s="105"/>
      <c r="G2356" s="105"/>
      <c r="H2356" s="105"/>
      <c r="I2356" s="105"/>
      <c r="J2356" s="105"/>
      <c r="K2356" s="105"/>
      <c r="L2356" s="105"/>
      <c r="M2356" s="105"/>
      <c r="N2356" s="105"/>
      <c r="O2356" s="105"/>
      <c r="P2356" s="105"/>
      <c r="Q2356" s="105"/>
      <c r="R2356" s="105"/>
      <c r="S2356" s="105"/>
      <c r="T2356" s="105"/>
      <c r="U2356" s="105"/>
      <c r="V2356" s="105"/>
      <c r="W2356" s="105"/>
      <c r="X2356" s="105"/>
      <c r="Y2356" s="105"/>
      <c r="Z2356" s="105"/>
    </row>
    <row r="2357" spans="1:26" ht="15.75" customHeight="1">
      <c r="A2357" s="105"/>
      <c r="B2357" s="105"/>
      <c r="C2357" s="105"/>
      <c r="D2357" s="105"/>
      <c r="E2357" s="105"/>
      <c r="F2357" s="105"/>
      <c r="G2357" s="105"/>
      <c r="H2357" s="105"/>
      <c r="I2357" s="105"/>
      <c r="J2357" s="105"/>
      <c r="K2357" s="105"/>
      <c r="L2357" s="105"/>
      <c r="M2357" s="105"/>
      <c r="N2357" s="105"/>
      <c r="O2357" s="105"/>
      <c r="P2357" s="105"/>
      <c r="Q2357" s="105"/>
      <c r="R2357" s="105"/>
      <c r="S2357" s="105"/>
      <c r="T2357" s="105"/>
      <c r="U2357" s="105"/>
      <c r="V2357" s="105"/>
      <c r="W2357" s="105"/>
      <c r="X2357" s="105"/>
      <c r="Y2357" s="105"/>
      <c r="Z2357" s="105"/>
    </row>
    <row r="2358" spans="1:26" ht="15.75" customHeight="1">
      <c r="A2358" s="105"/>
      <c r="B2358" s="105"/>
      <c r="C2358" s="105"/>
      <c r="D2358" s="105"/>
      <c r="E2358" s="105"/>
      <c r="F2358" s="105"/>
      <c r="G2358" s="105"/>
      <c r="H2358" s="105"/>
      <c r="I2358" s="105"/>
      <c r="J2358" s="105"/>
      <c r="K2358" s="105"/>
      <c r="L2358" s="105"/>
      <c r="M2358" s="105"/>
      <c r="N2358" s="105"/>
      <c r="O2358" s="105"/>
      <c r="P2358" s="105"/>
      <c r="Q2358" s="105"/>
      <c r="R2358" s="105"/>
      <c r="S2358" s="105"/>
      <c r="T2358" s="105"/>
      <c r="U2358" s="105"/>
      <c r="V2358" s="105"/>
      <c r="W2358" s="105"/>
      <c r="X2358" s="105"/>
      <c r="Y2358" s="105"/>
      <c r="Z2358" s="105"/>
    </row>
    <row r="2359" spans="1:26" ht="15.75" customHeight="1">
      <c r="A2359" s="105"/>
      <c r="B2359" s="105"/>
      <c r="C2359" s="105"/>
      <c r="D2359" s="105"/>
      <c r="E2359" s="105"/>
      <c r="F2359" s="105"/>
      <c r="G2359" s="105"/>
      <c r="H2359" s="105"/>
      <c r="I2359" s="105"/>
      <c r="J2359" s="105"/>
      <c r="K2359" s="105"/>
      <c r="L2359" s="105"/>
      <c r="M2359" s="105"/>
      <c r="N2359" s="105"/>
      <c r="O2359" s="105"/>
      <c r="P2359" s="105"/>
      <c r="Q2359" s="105"/>
      <c r="R2359" s="105"/>
      <c r="S2359" s="105"/>
      <c r="T2359" s="105"/>
      <c r="U2359" s="105"/>
      <c r="V2359" s="105"/>
      <c r="W2359" s="105"/>
      <c r="X2359" s="105"/>
      <c r="Y2359" s="105"/>
      <c r="Z2359" s="105"/>
    </row>
    <row r="2360" spans="1:26" ht="15.75" customHeight="1">
      <c r="A2360" s="105"/>
      <c r="B2360" s="105"/>
      <c r="C2360" s="105"/>
      <c r="D2360" s="105"/>
      <c r="E2360" s="105"/>
      <c r="F2360" s="105"/>
      <c r="G2360" s="105"/>
      <c r="H2360" s="105"/>
      <c r="I2360" s="105"/>
      <c r="J2360" s="105"/>
      <c r="K2360" s="105"/>
      <c r="L2360" s="105"/>
      <c r="M2360" s="105"/>
      <c r="N2360" s="105"/>
      <c r="O2360" s="105"/>
      <c r="P2360" s="105"/>
      <c r="Q2360" s="105"/>
      <c r="R2360" s="105"/>
      <c r="S2360" s="105"/>
      <c r="T2360" s="105"/>
      <c r="U2360" s="105"/>
      <c r="V2360" s="105"/>
      <c r="W2360" s="105"/>
      <c r="X2360" s="105"/>
      <c r="Y2360" s="105"/>
      <c r="Z2360" s="105"/>
    </row>
    <row r="2361" spans="1:26" ht="15.75" customHeight="1">
      <c r="A2361" s="105"/>
      <c r="B2361" s="105"/>
      <c r="C2361" s="105"/>
      <c r="D2361" s="105"/>
      <c r="E2361" s="105"/>
      <c r="F2361" s="105"/>
      <c r="G2361" s="105"/>
      <c r="H2361" s="105"/>
      <c r="I2361" s="105"/>
      <c r="J2361" s="105"/>
      <c r="K2361" s="105"/>
      <c r="L2361" s="105"/>
      <c r="M2361" s="105"/>
      <c r="N2361" s="105"/>
      <c r="O2361" s="105"/>
      <c r="P2361" s="105"/>
      <c r="Q2361" s="105"/>
      <c r="R2361" s="105"/>
      <c r="S2361" s="105"/>
      <c r="T2361" s="105"/>
      <c r="U2361" s="105"/>
      <c r="V2361" s="105"/>
      <c r="W2361" s="105"/>
      <c r="X2361" s="105"/>
      <c r="Y2361" s="105"/>
      <c r="Z2361" s="105"/>
    </row>
    <row r="2362" spans="1:26" ht="15.75" customHeight="1">
      <c r="A2362" s="105"/>
      <c r="B2362" s="105"/>
      <c r="C2362" s="105"/>
      <c r="D2362" s="105"/>
      <c r="E2362" s="105"/>
      <c r="F2362" s="105"/>
      <c r="G2362" s="105"/>
      <c r="H2362" s="105"/>
      <c r="I2362" s="105"/>
      <c r="J2362" s="105"/>
      <c r="K2362" s="105"/>
      <c r="L2362" s="105"/>
      <c r="M2362" s="105"/>
      <c r="N2362" s="105"/>
      <c r="O2362" s="105"/>
      <c r="P2362" s="105"/>
      <c r="Q2362" s="105"/>
      <c r="R2362" s="105"/>
      <c r="S2362" s="105"/>
      <c r="T2362" s="105"/>
      <c r="U2362" s="105"/>
      <c r="V2362" s="105"/>
      <c r="W2362" s="105"/>
      <c r="X2362" s="105"/>
      <c r="Y2362" s="105"/>
      <c r="Z2362" s="105"/>
    </row>
    <row r="2363" spans="1:26" ht="15.75" customHeight="1">
      <c r="A2363" s="105"/>
      <c r="B2363" s="105"/>
      <c r="C2363" s="105"/>
      <c r="D2363" s="105"/>
      <c r="E2363" s="105"/>
      <c r="F2363" s="105"/>
      <c r="G2363" s="105"/>
      <c r="H2363" s="105"/>
      <c r="I2363" s="105"/>
      <c r="J2363" s="105"/>
      <c r="K2363" s="105"/>
      <c r="L2363" s="105"/>
      <c r="M2363" s="105"/>
      <c r="N2363" s="105"/>
      <c r="O2363" s="105"/>
      <c r="P2363" s="105"/>
      <c r="Q2363" s="105"/>
      <c r="R2363" s="105"/>
      <c r="S2363" s="105"/>
      <c r="T2363" s="105"/>
      <c r="U2363" s="105"/>
      <c r="V2363" s="105"/>
      <c r="W2363" s="105"/>
      <c r="X2363" s="105"/>
      <c r="Y2363" s="105"/>
      <c r="Z2363" s="105"/>
    </row>
    <row r="2364" spans="1:26" ht="15.75" customHeight="1">
      <c r="A2364" s="105"/>
      <c r="B2364" s="105"/>
      <c r="C2364" s="105"/>
      <c r="D2364" s="105"/>
      <c r="E2364" s="105"/>
      <c r="F2364" s="105"/>
      <c r="G2364" s="105"/>
      <c r="H2364" s="105"/>
      <c r="I2364" s="105"/>
      <c r="J2364" s="105"/>
      <c r="K2364" s="105"/>
      <c r="L2364" s="105"/>
      <c r="M2364" s="105"/>
      <c r="N2364" s="105"/>
      <c r="O2364" s="105"/>
      <c r="P2364" s="105"/>
      <c r="Q2364" s="105"/>
      <c r="R2364" s="105"/>
      <c r="S2364" s="105"/>
      <c r="T2364" s="105"/>
      <c r="U2364" s="105"/>
      <c r="V2364" s="105"/>
      <c r="W2364" s="105"/>
      <c r="X2364" s="105"/>
      <c r="Y2364" s="105"/>
      <c r="Z2364" s="105"/>
    </row>
    <row r="2365" spans="1:26" ht="15.75" customHeight="1">
      <c r="A2365" s="105"/>
      <c r="B2365" s="105"/>
      <c r="C2365" s="105"/>
      <c r="D2365" s="105"/>
      <c r="E2365" s="105"/>
      <c r="F2365" s="105"/>
      <c r="G2365" s="105"/>
      <c r="H2365" s="105"/>
      <c r="I2365" s="105"/>
      <c r="J2365" s="105"/>
      <c r="K2365" s="105"/>
      <c r="L2365" s="105"/>
      <c r="M2365" s="105"/>
      <c r="N2365" s="105"/>
      <c r="O2365" s="105"/>
      <c r="P2365" s="105"/>
      <c r="Q2365" s="105"/>
      <c r="R2365" s="105"/>
      <c r="S2365" s="105"/>
      <c r="T2365" s="105"/>
      <c r="U2365" s="105"/>
      <c r="V2365" s="105"/>
      <c r="W2365" s="105"/>
      <c r="X2365" s="105"/>
      <c r="Y2365" s="105"/>
      <c r="Z2365" s="105"/>
    </row>
    <row r="2366" spans="1:26" ht="15.75" customHeight="1">
      <c r="A2366" s="105"/>
      <c r="B2366" s="105"/>
      <c r="C2366" s="105"/>
      <c r="D2366" s="105"/>
      <c r="E2366" s="105"/>
      <c r="F2366" s="105"/>
      <c r="G2366" s="105"/>
      <c r="H2366" s="105"/>
      <c r="I2366" s="105"/>
      <c r="J2366" s="105"/>
      <c r="K2366" s="105"/>
      <c r="L2366" s="105"/>
      <c r="M2366" s="105"/>
      <c r="N2366" s="105"/>
      <c r="O2366" s="105"/>
      <c r="P2366" s="105"/>
      <c r="Q2366" s="105"/>
      <c r="R2366" s="105"/>
      <c r="S2366" s="105"/>
      <c r="T2366" s="105"/>
      <c r="U2366" s="105"/>
      <c r="V2366" s="105"/>
      <c r="W2366" s="105"/>
      <c r="X2366" s="105"/>
      <c r="Y2366" s="105"/>
      <c r="Z2366" s="105"/>
    </row>
    <row r="2367" spans="1:26" ht="15.75" customHeight="1">
      <c r="A2367" s="105"/>
      <c r="B2367" s="105"/>
      <c r="C2367" s="105"/>
      <c r="D2367" s="105"/>
      <c r="E2367" s="105"/>
      <c r="F2367" s="105"/>
      <c r="G2367" s="105"/>
      <c r="H2367" s="105"/>
      <c r="I2367" s="105"/>
      <c r="J2367" s="105"/>
      <c r="K2367" s="105"/>
      <c r="L2367" s="105"/>
      <c r="M2367" s="105"/>
      <c r="N2367" s="105"/>
      <c r="O2367" s="105"/>
      <c r="P2367" s="105"/>
      <c r="Q2367" s="105"/>
      <c r="R2367" s="105"/>
      <c r="S2367" s="105"/>
      <c r="T2367" s="105"/>
      <c r="U2367" s="105"/>
      <c r="V2367" s="105"/>
      <c r="W2367" s="105"/>
      <c r="X2367" s="105"/>
      <c r="Y2367" s="105"/>
      <c r="Z2367" s="105"/>
    </row>
    <row r="2368" spans="1:26" ht="15.75" customHeight="1">
      <c r="A2368" s="105"/>
      <c r="B2368" s="105"/>
      <c r="C2368" s="105"/>
      <c r="D2368" s="105"/>
      <c r="E2368" s="105"/>
      <c r="F2368" s="105"/>
      <c r="G2368" s="105"/>
      <c r="H2368" s="105"/>
      <c r="I2368" s="105"/>
      <c r="J2368" s="105"/>
      <c r="K2368" s="105"/>
      <c r="L2368" s="105"/>
      <c r="M2368" s="105"/>
      <c r="N2368" s="105"/>
      <c r="O2368" s="105"/>
      <c r="P2368" s="105"/>
      <c r="Q2368" s="105"/>
      <c r="R2368" s="105"/>
      <c r="S2368" s="105"/>
      <c r="T2368" s="105"/>
      <c r="U2368" s="105"/>
      <c r="V2368" s="105"/>
      <c r="W2368" s="105"/>
      <c r="X2368" s="105"/>
      <c r="Y2368" s="105"/>
      <c r="Z2368" s="105"/>
    </row>
    <row r="2369" spans="1:26" ht="15.75" customHeight="1">
      <c r="A2369" s="105"/>
      <c r="B2369" s="105"/>
      <c r="C2369" s="105"/>
      <c r="D2369" s="105"/>
      <c r="E2369" s="105"/>
      <c r="F2369" s="105"/>
      <c r="G2369" s="105"/>
      <c r="H2369" s="105"/>
      <c r="I2369" s="105"/>
      <c r="J2369" s="105"/>
      <c r="K2369" s="105"/>
      <c r="L2369" s="105"/>
      <c r="M2369" s="105"/>
      <c r="N2369" s="105"/>
      <c r="O2369" s="105"/>
      <c r="P2369" s="105"/>
      <c r="Q2369" s="105"/>
      <c r="R2369" s="105"/>
      <c r="S2369" s="105"/>
      <c r="T2369" s="105"/>
      <c r="U2369" s="105"/>
      <c r="V2369" s="105"/>
      <c r="W2369" s="105"/>
      <c r="X2369" s="105"/>
      <c r="Y2369" s="105"/>
      <c r="Z2369" s="105"/>
    </row>
    <row r="2370" spans="1:26" ht="15.75" customHeight="1">
      <c r="A2370" s="105"/>
      <c r="B2370" s="105"/>
      <c r="C2370" s="105"/>
      <c r="D2370" s="105"/>
      <c r="E2370" s="105"/>
      <c r="F2370" s="105"/>
      <c r="G2370" s="105"/>
      <c r="H2370" s="105"/>
      <c r="I2370" s="105"/>
      <c r="J2370" s="105"/>
      <c r="K2370" s="105"/>
      <c r="L2370" s="105"/>
      <c r="M2370" s="105"/>
      <c r="N2370" s="105"/>
      <c r="O2370" s="105"/>
      <c r="P2370" s="105"/>
      <c r="Q2370" s="105"/>
      <c r="R2370" s="105"/>
      <c r="S2370" s="105"/>
      <c r="T2370" s="105"/>
      <c r="U2370" s="105"/>
      <c r="V2370" s="105"/>
      <c r="W2370" s="105"/>
      <c r="X2370" s="105"/>
      <c r="Y2370" s="105"/>
      <c r="Z2370" s="105"/>
    </row>
    <row r="2371" spans="1:26" ht="15.75" customHeight="1">
      <c r="A2371" s="105"/>
      <c r="B2371" s="105"/>
      <c r="C2371" s="105"/>
      <c r="D2371" s="105"/>
      <c r="E2371" s="105"/>
      <c r="F2371" s="105"/>
      <c r="G2371" s="105"/>
      <c r="H2371" s="105"/>
      <c r="I2371" s="105"/>
      <c r="J2371" s="105"/>
      <c r="K2371" s="105"/>
      <c r="L2371" s="105"/>
      <c r="M2371" s="105"/>
      <c r="N2371" s="105"/>
      <c r="O2371" s="105"/>
      <c r="P2371" s="105"/>
      <c r="Q2371" s="105"/>
      <c r="R2371" s="105"/>
      <c r="S2371" s="105"/>
      <c r="T2371" s="105"/>
      <c r="U2371" s="105"/>
      <c r="V2371" s="105"/>
      <c r="W2371" s="105"/>
      <c r="X2371" s="105"/>
      <c r="Y2371" s="105"/>
      <c r="Z2371" s="105"/>
    </row>
    <row r="2372" spans="1:26" ht="15.75" customHeight="1">
      <c r="A2372" s="105"/>
      <c r="B2372" s="105"/>
      <c r="C2372" s="105"/>
      <c r="D2372" s="105"/>
      <c r="E2372" s="105"/>
      <c r="F2372" s="105"/>
      <c r="G2372" s="105"/>
      <c r="H2372" s="105"/>
      <c r="I2372" s="105"/>
      <c r="J2372" s="105"/>
      <c r="K2372" s="105"/>
      <c r="L2372" s="105"/>
      <c r="M2372" s="105"/>
      <c r="N2372" s="105"/>
      <c r="O2372" s="105"/>
      <c r="P2372" s="105"/>
      <c r="Q2372" s="105"/>
      <c r="R2372" s="105"/>
      <c r="S2372" s="105"/>
      <c r="T2372" s="105"/>
      <c r="U2372" s="105"/>
      <c r="V2372" s="105"/>
      <c r="W2372" s="105"/>
      <c r="X2372" s="105"/>
      <c r="Y2372" s="105"/>
      <c r="Z2372" s="105"/>
    </row>
    <row r="2373" spans="1:26" ht="15.75" customHeight="1">
      <c r="A2373" s="105"/>
      <c r="B2373" s="105"/>
      <c r="C2373" s="105"/>
      <c r="D2373" s="105"/>
      <c r="E2373" s="105"/>
      <c r="F2373" s="105"/>
      <c r="G2373" s="105"/>
      <c r="H2373" s="105"/>
      <c r="I2373" s="105"/>
      <c r="J2373" s="105"/>
      <c r="K2373" s="105"/>
      <c r="L2373" s="105"/>
      <c r="M2373" s="105"/>
      <c r="N2373" s="105"/>
      <c r="O2373" s="105"/>
      <c r="P2373" s="105"/>
      <c r="Q2373" s="105"/>
      <c r="R2373" s="105"/>
      <c r="S2373" s="105"/>
      <c r="T2373" s="105"/>
      <c r="U2373" s="105"/>
      <c r="V2373" s="105"/>
      <c r="W2373" s="105"/>
      <c r="X2373" s="105"/>
      <c r="Y2373" s="105"/>
      <c r="Z2373" s="105"/>
    </row>
    <row r="2374" spans="1:26" ht="15.75" customHeight="1">
      <c r="A2374" s="105"/>
      <c r="B2374" s="105"/>
      <c r="C2374" s="105"/>
      <c r="D2374" s="105"/>
      <c r="E2374" s="105"/>
      <c r="F2374" s="105"/>
      <c r="G2374" s="105"/>
      <c r="H2374" s="105"/>
      <c r="I2374" s="105"/>
      <c r="J2374" s="105"/>
      <c r="K2374" s="105"/>
      <c r="L2374" s="105"/>
      <c r="M2374" s="105"/>
      <c r="N2374" s="105"/>
      <c r="O2374" s="105"/>
      <c r="P2374" s="105"/>
      <c r="Q2374" s="105"/>
      <c r="R2374" s="105"/>
      <c r="S2374" s="105"/>
      <c r="T2374" s="105"/>
      <c r="U2374" s="105"/>
      <c r="V2374" s="105"/>
      <c r="W2374" s="105"/>
      <c r="X2374" s="105"/>
      <c r="Y2374" s="105"/>
      <c r="Z2374" s="105"/>
    </row>
    <row r="2375" spans="1:26" ht="15.75" customHeight="1">
      <c r="A2375" s="105"/>
      <c r="B2375" s="105"/>
      <c r="C2375" s="105"/>
      <c r="D2375" s="105"/>
      <c r="E2375" s="105"/>
      <c r="F2375" s="105"/>
      <c r="G2375" s="105"/>
      <c r="H2375" s="105"/>
      <c r="I2375" s="105"/>
      <c r="J2375" s="105"/>
      <c r="K2375" s="105"/>
      <c r="L2375" s="105"/>
      <c r="M2375" s="105"/>
      <c r="N2375" s="105"/>
      <c r="O2375" s="105"/>
      <c r="P2375" s="105"/>
      <c r="Q2375" s="105"/>
      <c r="R2375" s="105"/>
      <c r="S2375" s="105"/>
      <c r="T2375" s="105"/>
      <c r="U2375" s="105"/>
      <c r="V2375" s="105"/>
      <c r="W2375" s="105"/>
      <c r="X2375" s="105"/>
      <c r="Y2375" s="105"/>
      <c r="Z2375" s="105"/>
    </row>
    <row r="2376" spans="1:26" ht="15.75" customHeight="1">
      <c r="A2376" s="105"/>
      <c r="B2376" s="105"/>
      <c r="C2376" s="105"/>
      <c r="D2376" s="105"/>
      <c r="E2376" s="105"/>
      <c r="F2376" s="105"/>
      <c r="G2376" s="105"/>
      <c r="H2376" s="105"/>
      <c r="I2376" s="105"/>
      <c r="J2376" s="105"/>
      <c r="K2376" s="105"/>
      <c r="L2376" s="105"/>
      <c r="M2376" s="105"/>
      <c r="N2376" s="105"/>
      <c r="O2376" s="105"/>
      <c r="P2376" s="105"/>
      <c r="Q2376" s="105"/>
      <c r="R2376" s="105"/>
      <c r="S2376" s="105"/>
      <c r="T2376" s="105"/>
      <c r="U2376" s="105"/>
      <c r="V2376" s="105"/>
      <c r="W2376" s="105"/>
      <c r="X2376" s="105"/>
      <c r="Y2376" s="105"/>
      <c r="Z2376" s="105"/>
    </row>
    <row r="2377" spans="1:26" ht="15.75" customHeight="1">
      <c r="A2377" s="105"/>
      <c r="B2377" s="105"/>
      <c r="C2377" s="105"/>
      <c r="D2377" s="105"/>
      <c r="E2377" s="105"/>
      <c r="F2377" s="105"/>
      <c r="G2377" s="105"/>
      <c r="H2377" s="105"/>
      <c r="I2377" s="105"/>
      <c r="J2377" s="105"/>
      <c r="K2377" s="105"/>
      <c r="L2377" s="105"/>
      <c r="M2377" s="105"/>
      <c r="N2377" s="105"/>
      <c r="O2377" s="105"/>
      <c r="P2377" s="105"/>
      <c r="Q2377" s="105"/>
      <c r="R2377" s="105"/>
      <c r="S2377" s="105"/>
      <c r="T2377" s="105"/>
      <c r="U2377" s="105"/>
      <c r="V2377" s="105"/>
      <c r="W2377" s="105"/>
      <c r="X2377" s="105"/>
      <c r="Y2377" s="105"/>
      <c r="Z2377" s="105"/>
    </row>
    <row r="2378" spans="1:26" ht="15.75" customHeight="1">
      <c r="A2378" s="105"/>
      <c r="B2378" s="105"/>
      <c r="C2378" s="105"/>
      <c r="D2378" s="105"/>
      <c r="E2378" s="105"/>
      <c r="F2378" s="105"/>
      <c r="G2378" s="105"/>
      <c r="H2378" s="105"/>
      <c r="I2378" s="105"/>
      <c r="J2378" s="105"/>
      <c r="K2378" s="105"/>
      <c r="L2378" s="105"/>
      <c r="M2378" s="105"/>
      <c r="N2378" s="105"/>
      <c r="O2378" s="105"/>
      <c r="P2378" s="105"/>
      <c r="Q2378" s="105"/>
      <c r="R2378" s="105"/>
      <c r="S2378" s="105"/>
      <c r="T2378" s="105"/>
      <c r="U2378" s="105"/>
      <c r="V2378" s="105"/>
      <c r="W2378" s="105"/>
      <c r="X2378" s="105"/>
      <c r="Y2378" s="105"/>
      <c r="Z2378" s="105"/>
    </row>
    <row r="2379" spans="1:26" ht="15.75" customHeight="1">
      <c r="A2379" s="105"/>
      <c r="B2379" s="105"/>
      <c r="C2379" s="105"/>
      <c r="D2379" s="105"/>
      <c r="E2379" s="105"/>
      <c r="F2379" s="105"/>
      <c r="G2379" s="105"/>
      <c r="H2379" s="105"/>
      <c r="I2379" s="105"/>
      <c r="J2379" s="105"/>
      <c r="K2379" s="105"/>
      <c r="L2379" s="105"/>
      <c r="M2379" s="105"/>
      <c r="N2379" s="105"/>
      <c r="O2379" s="105"/>
      <c r="P2379" s="105"/>
      <c r="Q2379" s="105"/>
      <c r="R2379" s="105"/>
      <c r="S2379" s="105"/>
      <c r="T2379" s="105"/>
      <c r="U2379" s="105"/>
      <c r="V2379" s="105"/>
      <c r="W2379" s="105"/>
      <c r="X2379" s="105"/>
      <c r="Y2379" s="105"/>
      <c r="Z2379" s="105"/>
    </row>
    <row r="2380" spans="1:26" ht="15.75" customHeight="1">
      <c r="A2380" s="105"/>
      <c r="B2380" s="105"/>
      <c r="C2380" s="105"/>
      <c r="D2380" s="105"/>
      <c r="E2380" s="105"/>
      <c r="F2380" s="105"/>
      <c r="G2380" s="105"/>
      <c r="H2380" s="105"/>
      <c r="I2380" s="105"/>
      <c r="J2380" s="105"/>
      <c r="K2380" s="105"/>
      <c r="L2380" s="105"/>
      <c r="M2380" s="105"/>
      <c r="N2380" s="105"/>
      <c r="O2380" s="105"/>
      <c r="P2380" s="105"/>
      <c r="Q2380" s="105"/>
      <c r="R2380" s="105"/>
      <c r="S2380" s="105"/>
      <c r="T2380" s="105"/>
      <c r="U2380" s="105"/>
      <c r="V2380" s="105"/>
      <c r="W2380" s="105"/>
      <c r="X2380" s="105"/>
      <c r="Y2380" s="105"/>
      <c r="Z2380" s="105"/>
    </row>
    <row r="2381" spans="1:26" ht="15.75" customHeight="1">
      <c r="A2381" s="105"/>
      <c r="B2381" s="105"/>
      <c r="C2381" s="105"/>
      <c r="D2381" s="105"/>
      <c r="E2381" s="105"/>
      <c r="F2381" s="105"/>
      <c r="G2381" s="105"/>
      <c r="H2381" s="105"/>
      <c r="I2381" s="105"/>
      <c r="J2381" s="105"/>
      <c r="K2381" s="105"/>
      <c r="L2381" s="105"/>
      <c r="M2381" s="105"/>
      <c r="N2381" s="105"/>
      <c r="O2381" s="105"/>
      <c r="P2381" s="105"/>
      <c r="Q2381" s="105"/>
      <c r="R2381" s="105"/>
      <c r="S2381" s="105"/>
      <c r="T2381" s="105"/>
      <c r="U2381" s="105"/>
      <c r="V2381" s="105"/>
      <c r="W2381" s="105"/>
      <c r="X2381" s="105"/>
      <c r="Y2381" s="105"/>
      <c r="Z2381" s="105"/>
    </row>
    <row r="2382" spans="1:26" ht="15.75" customHeight="1">
      <c r="A2382" s="105"/>
      <c r="B2382" s="105"/>
      <c r="C2382" s="105"/>
      <c r="D2382" s="105"/>
      <c r="E2382" s="105"/>
      <c r="F2382" s="105"/>
      <c r="G2382" s="105"/>
      <c r="H2382" s="105"/>
      <c r="I2382" s="105"/>
      <c r="J2382" s="105"/>
      <c r="K2382" s="105"/>
      <c r="L2382" s="105"/>
      <c r="M2382" s="105"/>
      <c r="N2382" s="105"/>
      <c r="O2382" s="105"/>
      <c r="P2382" s="105"/>
      <c r="Q2382" s="105"/>
      <c r="R2382" s="105"/>
      <c r="S2382" s="105"/>
      <c r="T2382" s="105"/>
      <c r="U2382" s="105"/>
      <c r="V2382" s="105"/>
      <c r="W2382" s="105"/>
      <c r="X2382" s="105"/>
      <c r="Y2382" s="105"/>
      <c r="Z2382" s="105"/>
    </row>
    <row r="2383" spans="1:26" ht="15.75" customHeight="1">
      <c r="A2383" s="105"/>
      <c r="B2383" s="105"/>
      <c r="C2383" s="105"/>
      <c r="D2383" s="105"/>
      <c r="E2383" s="105"/>
      <c r="F2383" s="105"/>
      <c r="G2383" s="105"/>
      <c r="H2383" s="105"/>
      <c r="I2383" s="105"/>
      <c r="J2383" s="105"/>
      <c r="K2383" s="105"/>
      <c r="L2383" s="105"/>
      <c r="M2383" s="105"/>
      <c r="N2383" s="105"/>
      <c r="O2383" s="105"/>
      <c r="P2383" s="105"/>
      <c r="Q2383" s="105"/>
      <c r="R2383" s="105"/>
      <c r="S2383" s="105"/>
      <c r="T2383" s="105"/>
      <c r="U2383" s="105"/>
      <c r="V2383" s="105"/>
      <c r="W2383" s="105"/>
      <c r="X2383" s="105"/>
      <c r="Y2383" s="105"/>
      <c r="Z2383" s="105"/>
    </row>
    <row r="2384" spans="1:26" ht="15.75" customHeight="1">
      <c r="A2384" s="105"/>
      <c r="B2384" s="105"/>
      <c r="C2384" s="105"/>
      <c r="D2384" s="105"/>
      <c r="E2384" s="105"/>
      <c r="F2384" s="105"/>
      <c r="G2384" s="105"/>
      <c r="H2384" s="105"/>
      <c r="I2384" s="105"/>
      <c r="J2384" s="105"/>
      <c r="K2384" s="105"/>
      <c r="L2384" s="105"/>
      <c r="M2384" s="105"/>
      <c r="N2384" s="105"/>
      <c r="O2384" s="105"/>
      <c r="P2384" s="105"/>
      <c r="Q2384" s="105"/>
      <c r="R2384" s="105"/>
      <c r="S2384" s="105"/>
      <c r="T2384" s="105"/>
      <c r="U2384" s="105"/>
      <c r="V2384" s="105"/>
      <c r="W2384" s="105"/>
      <c r="X2384" s="105"/>
      <c r="Y2384" s="105"/>
      <c r="Z2384" s="105"/>
    </row>
    <row r="2385" spans="1:26" ht="15.75" customHeight="1">
      <c r="A2385" s="105"/>
      <c r="B2385" s="105"/>
      <c r="C2385" s="105"/>
      <c r="D2385" s="105"/>
      <c r="E2385" s="105"/>
      <c r="F2385" s="105"/>
      <c r="G2385" s="105"/>
      <c r="H2385" s="105"/>
      <c r="I2385" s="105"/>
      <c r="J2385" s="105"/>
      <c r="K2385" s="105"/>
      <c r="L2385" s="105"/>
      <c r="M2385" s="105"/>
      <c r="N2385" s="105"/>
      <c r="O2385" s="105"/>
      <c r="P2385" s="105"/>
      <c r="Q2385" s="105"/>
      <c r="R2385" s="105"/>
      <c r="S2385" s="105"/>
      <c r="T2385" s="105"/>
      <c r="U2385" s="105"/>
      <c r="V2385" s="105"/>
      <c r="W2385" s="105"/>
      <c r="X2385" s="105"/>
      <c r="Y2385" s="105"/>
      <c r="Z2385" s="105"/>
    </row>
    <row r="2386" spans="1:26" ht="15.75" customHeight="1">
      <c r="A2386" s="105"/>
      <c r="B2386" s="105"/>
      <c r="C2386" s="105"/>
      <c r="D2386" s="105"/>
      <c r="E2386" s="105"/>
      <c r="F2386" s="105"/>
      <c r="G2386" s="105"/>
      <c r="H2386" s="105"/>
      <c r="I2386" s="105"/>
      <c r="J2386" s="105"/>
      <c r="K2386" s="105"/>
      <c r="L2386" s="105"/>
      <c r="M2386" s="105"/>
      <c r="N2386" s="105"/>
      <c r="O2386" s="105"/>
      <c r="P2386" s="105"/>
      <c r="Q2386" s="105"/>
      <c r="R2386" s="105"/>
      <c r="S2386" s="105"/>
      <c r="T2386" s="105"/>
      <c r="U2386" s="105"/>
      <c r="V2386" s="105"/>
      <c r="W2386" s="105"/>
      <c r="X2386" s="105"/>
      <c r="Y2386" s="105"/>
      <c r="Z2386" s="105"/>
    </row>
    <row r="2387" spans="1:26" ht="15.75" customHeight="1">
      <c r="A2387" s="105"/>
      <c r="B2387" s="105"/>
      <c r="C2387" s="105"/>
      <c r="D2387" s="105"/>
      <c r="E2387" s="105"/>
      <c r="F2387" s="105"/>
      <c r="G2387" s="105"/>
      <c r="H2387" s="105"/>
      <c r="I2387" s="105"/>
      <c r="J2387" s="105"/>
      <c r="K2387" s="105"/>
      <c r="L2387" s="105"/>
      <c r="M2387" s="105"/>
      <c r="N2387" s="105"/>
      <c r="O2387" s="105"/>
      <c r="P2387" s="105"/>
      <c r="Q2387" s="105"/>
      <c r="R2387" s="105"/>
      <c r="S2387" s="105"/>
      <c r="T2387" s="105"/>
      <c r="U2387" s="105"/>
      <c r="V2387" s="105"/>
      <c r="W2387" s="105"/>
      <c r="X2387" s="105"/>
      <c r="Y2387" s="105"/>
      <c r="Z2387" s="105"/>
    </row>
    <row r="2388" spans="1:26" ht="15.75" customHeight="1">
      <c r="A2388" s="105"/>
      <c r="B2388" s="105"/>
      <c r="C2388" s="105"/>
      <c r="D2388" s="105"/>
      <c r="E2388" s="105"/>
      <c r="F2388" s="105"/>
      <c r="G2388" s="105"/>
      <c r="H2388" s="105"/>
      <c r="I2388" s="105"/>
      <c r="J2388" s="105"/>
      <c r="K2388" s="105"/>
      <c r="L2388" s="105"/>
      <c r="M2388" s="105"/>
      <c r="N2388" s="105"/>
      <c r="O2388" s="105"/>
      <c r="P2388" s="105"/>
      <c r="Q2388" s="105"/>
      <c r="R2388" s="105"/>
      <c r="S2388" s="105"/>
      <c r="T2388" s="105"/>
      <c r="U2388" s="105"/>
      <c r="V2388" s="105"/>
      <c r="W2388" s="105"/>
      <c r="X2388" s="105"/>
      <c r="Y2388" s="105"/>
      <c r="Z2388" s="105"/>
    </row>
    <row r="2389" spans="1:26" ht="15.75" customHeight="1">
      <c r="A2389" s="105"/>
      <c r="B2389" s="105"/>
      <c r="C2389" s="105"/>
      <c r="D2389" s="105"/>
      <c r="E2389" s="105"/>
      <c r="F2389" s="105"/>
      <c r="G2389" s="105"/>
      <c r="H2389" s="105"/>
      <c r="I2389" s="105"/>
      <c r="J2389" s="105"/>
      <c r="K2389" s="105"/>
      <c r="L2389" s="105"/>
      <c r="M2389" s="105"/>
      <c r="N2389" s="105"/>
      <c r="O2389" s="105"/>
      <c r="P2389" s="105"/>
      <c r="Q2389" s="105"/>
      <c r="R2389" s="105"/>
      <c r="S2389" s="105"/>
      <c r="T2389" s="105"/>
      <c r="U2389" s="105"/>
      <c r="V2389" s="105"/>
      <c r="W2389" s="105"/>
      <c r="X2389" s="105"/>
      <c r="Y2389" s="105"/>
      <c r="Z2389" s="105"/>
    </row>
    <row r="2390" spans="1:26" ht="15.75" customHeight="1">
      <c r="A2390" s="105"/>
      <c r="B2390" s="105"/>
      <c r="C2390" s="105"/>
      <c r="D2390" s="105"/>
      <c r="E2390" s="105"/>
      <c r="F2390" s="105"/>
      <c r="G2390" s="105"/>
      <c r="H2390" s="105"/>
      <c r="I2390" s="105"/>
      <c r="J2390" s="105"/>
      <c r="K2390" s="105"/>
      <c r="L2390" s="105"/>
      <c r="M2390" s="105"/>
      <c r="N2390" s="105"/>
      <c r="O2390" s="105"/>
      <c r="P2390" s="105"/>
      <c r="Q2390" s="105"/>
      <c r="R2390" s="105"/>
      <c r="S2390" s="105"/>
      <c r="T2390" s="105"/>
      <c r="U2390" s="105"/>
      <c r="V2390" s="105"/>
      <c r="W2390" s="105"/>
      <c r="X2390" s="105"/>
      <c r="Y2390" s="105"/>
      <c r="Z2390" s="105"/>
    </row>
    <row r="2391" spans="1:26" ht="15.75" customHeight="1">
      <c r="A2391" s="105"/>
      <c r="B2391" s="105"/>
      <c r="C2391" s="105"/>
      <c r="D2391" s="105"/>
      <c r="E2391" s="105"/>
      <c r="F2391" s="105"/>
      <c r="G2391" s="105"/>
      <c r="H2391" s="105"/>
      <c r="I2391" s="105"/>
      <c r="J2391" s="105"/>
      <c r="K2391" s="105"/>
      <c r="L2391" s="105"/>
      <c r="M2391" s="105"/>
      <c r="N2391" s="105"/>
      <c r="O2391" s="105"/>
      <c r="P2391" s="105"/>
      <c r="Q2391" s="105"/>
      <c r="R2391" s="105"/>
      <c r="S2391" s="105"/>
      <c r="T2391" s="105"/>
      <c r="U2391" s="105"/>
      <c r="V2391" s="105"/>
      <c r="W2391" s="105"/>
      <c r="X2391" s="105"/>
      <c r="Y2391" s="105"/>
      <c r="Z2391" s="105"/>
    </row>
    <row r="2392" spans="1:26" ht="15.75" customHeight="1">
      <c r="A2392" s="105"/>
      <c r="B2392" s="105"/>
      <c r="C2392" s="105"/>
      <c r="D2392" s="105"/>
      <c r="E2392" s="105"/>
      <c r="F2392" s="105"/>
      <c r="G2392" s="105"/>
      <c r="H2392" s="105"/>
      <c r="I2392" s="105"/>
      <c r="J2392" s="105"/>
      <c r="K2392" s="105"/>
      <c r="L2392" s="105"/>
      <c r="M2392" s="105"/>
      <c r="N2392" s="105"/>
      <c r="O2392" s="105"/>
      <c r="P2392" s="105"/>
      <c r="Q2392" s="105"/>
      <c r="R2392" s="105"/>
      <c r="S2392" s="105"/>
      <c r="T2392" s="105"/>
      <c r="U2392" s="105"/>
      <c r="V2392" s="105"/>
      <c r="W2392" s="105"/>
      <c r="X2392" s="105"/>
      <c r="Y2392" s="105"/>
      <c r="Z2392" s="105"/>
    </row>
    <row r="2393" spans="1:26" ht="15.75" customHeight="1">
      <c r="A2393" s="105"/>
      <c r="B2393" s="105"/>
      <c r="C2393" s="105"/>
      <c r="D2393" s="105"/>
      <c r="E2393" s="105"/>
      <c r="F2393" s="105"/>
      <c r="G2393" s="105"/>
      <c r="H2393" s="105"/>
      <c r="I2393" s="105"/>
      <c r="J2393" s="105"/>
      <c r="K2393" s="105"/>
      <c r="L2393" s="105"/>
      <c r="M2393" s="105"/>
      <c r="N2393" s="105"/>
      <c r="O2393" s="105"/>
      <c r="P2393" s="105"/>
      <c r="Q2393" s="105"/>
      <c r="R2393" s="105"/>
      <c r="S2393" s="105"/>
      <c r="T2393" s="105"/>
      <c r="U2393" s="105"/>
      <c r="V2393" s="105"/>
      <c r="W2393" s="105"/>
      <c r="X2393" s="105"/>
      <c r="Y2393" s="105"/>
      <c r="Z2393" s="105"/>
    </row>
    <row r="2394" spans="1:26" ht="15.75" customHeight="1">
      <c r="A2394" s="105"/>
      <c r="B2394" s="105"/>
      <c r="C2394" s="105"/>
      <c r="D2394" s="105"/>
      <c r="E2394" s="105"/>
      <c r="F2394" s="105"/>
      <c r="G2394" s="105"/>
      <c r="H2394" s="105"/>
      <c r="I2394" s="105"/>
      <c r="J2394" s="105"/>
      <c r="K2394" s="105"/>
      <c r="L2394" s="105"/>
      <c r="M2394" s="105"/>
      <c r="N2394" s="105"/>
      <c r="O2394" s="105"/>
      <c r="P2394" s="105"/>
      <c r="Q2394" s="105"/>
      <c r="R2394" s="105"/>
      <c r="S2394" s="105"/>
      <c r="T2394" s="105"/>
      <c r="U2394" s="105"/>
      <c r="V2394" s="105"/>
      <c r="W2394" s="105"/>
      <c r="X2394" s="105"/>
      <c r="Y2394" s="105"/>
      <c r="Z2394" s="105"/>
    </row>
    <row r="2395" spans="1:26" ht="15.75" customHeight="1">
      <c r="A2395" s="105"/>
      <c r="B2395" s="105"/>
      <c r="C2395" s="105"/>
      <c r="D2395" s="105"/>
      <c r="E2395" s="105"/>
      <c r="F2395" s="105"/>
      <c r="G2395" s="105"/>
      <c r="H2395" s="105"/>
      <c r="I2395" s="105"/>
      <c r="J2395" s="105"/>
      <c r="K2395" s="105"/>
      <c r="L2395" s="105"/>
      <c r="M2395" s="105"/>
      <c r="N2395" s="105"/>
      <c r="O2395" s="105"/>
      <c r="P2395" s="105"/>
      <c r="Q2395" s="105"/>
      <c r="R2395" s="105"/>
      <c r="S2395" s="105"/>
      <c r="T2395" s="105"/>
      <c r="U2395" s="105"/>
      <c r="V2395" s="105"/>
      <c r="W2395" s="105"/>
      <c r="X2395" s="105"/>
      <c r="Y2395" s="105"/>
      <c r="Z2395" s="105"/>
    </row>
    <row r="2396" spans="1:26" ht="15.75" customHeight="1">
      <c r="A2396" s="105"/>
      <c r="B2396" s="105"/>
      <c r="C2396" s="105"/>
      <c r="D2396" s="105"/>
      <c r="E2396" s="105"/>
      <c r="F2396" s="105"/>
      <c r="G2396" s="105"/>
      <c r="H2396" s="105"/>
      <c r="I2396" s="105"/>
      <c r="J2396" s="105"/>
      <c r="K2396" s="105"/>
      <c r="L2396" s="105"/>
      <c r="M2396" s="105"/>
      <c r="N2396" s="105"/>
      <c r="O2396" s="105"/>
      <c r="P2396" s="105"/>
      <c r="Q2396" s="105"/>
      <c r="R2396" s="105"/>
      <c r="S2396" s="105"/>
      <c r="T2396" s="105"/>
      <c r="U2396" s="105"/>
      <c r="V2396" s="105"/>
      <c r="W2396" s="105"/>
      <c r="X2396" s="105"/>
      <c r="Y2396" s="105"/>
      <c r="Z2396" s="105"/>
    </row>
    <row r="2397" spans="1:26" ht="15.75" customHeight="1">
      <c r="A2397" s="105"/>
      <c r="B2397" s="105"/>
      <c r="C2397" s="105"/>
      <c r="D2397" s="105"/>
      <c r="E2397" s="105"/>
      <c r="F2397" s="105"/>
      <c r="G2397" s="105"/>
      <c r="H2397" s="105"/>
      <c r="I2397" s="105"/>
      <c r="J2397" s="105"/>
      <c r="K2397" s="105"/>
      <c r="L2397" s="105"/>
      <c r="M2397" s="105"/>
      <c r="N2397" s="105"/>
      <c r="O2397" s="105"/>
      <c r="P2397" s="105"/>
      <c r="Q2397" s="105"/>
      <c r="R2397" s="105"/>
      <c r="S2397" s="105"/>
      <c r="T2397" s="105"/>
      <c r="U2397" s="105"/>
      <c r="V2397" s="105"/>
      <c r="W2397" s="105"/>
      <c r="X2397" s="105"/>
      <c r="Y2397" s="105"/>
      <c r="Z2397" s="105"/>
    </row>
    <row r="2398" spans="1:26" ht="15.75" customHeight="1">
      <c r="A2398" s="105"/>
      <c r="B2398" s="105"/>
      <c r="C2398" s="105"/>
      <c r="D2398" s="105"/>
      <c r="E2398" s="105"/>
      <c r="F2398" s="105"/>
      <c r="G2398" s="105"/>
      <c r="H2398" s="105"/>
      <c r="I2398" s="105"/>
      <c r="J2398" s="105"/>
      <c r="K2398" s="105"/>
      <c r="L2398" s="105"/>
      <c r="M2398" s="105"/>
      <c r="N2398" s="105"/>
      <c r="O2398" s="105"/>
      <c r="P2398" s="105"/>
      <c r="Q2398" s="105"/>
      <c r="R2398" s="105"/>
      <c r="S2398" s="105"/>
      <c r="T2398" s="105"/>
      <c r="U2398" s="105"/>
      <c r="V2398" s="105"/>
      <c r="W2398" s="105"/>
      <c r="X2398" s="105"/>
      <c r="Y2398" s="105"/>
      <c r="Z2398" s="105"/>
    </row>
    <row r="2399" spans="1:26" ht="15.75" customHeight="1">
      <c r="A2399" s="105"/>
      <c r="B2399" s="105"/>
      <c r="C2399" s="105"/>
      <c r="D2399" s="105"/>
      <c r="E2399" s="105"/>
      <c r="F2399" s="105"/>
      <c r="G2399" s="105"/>
      <c r="H2399" s="105"/>
      <c r="I2399" s="105"/>
      <c r="J2399" s="105"/>
      <c r="K2399" s="105"/>
      <c r="L2399" s="105"/>
      <c r="M2399" s="105"/>
      <c r="N2399" s="105"/>
      <c r="O2399" s="105"/>
      <c r="P2399" s="105"/>
      <c r="Q2399" s="105"/>
      <c r="R2399" s="105"/>
      <c r="S2399" s="105"/>
      <c r="T2399" s="105"/>
      <c r="U2399" s="105"/>
      <c r="V2399" s="105"/>
      <c r="W2399" s="105"/>
      <c r="X2399" s="105"/>
      <c r="Y2399" s="105"/>
      <c r="Z2399" s="105"/>
    </row>
    <row r="2400" spans="1:26" ht="15.75" customHeight="1">
      <c r="A2400" s="105"/>
      <c r="B2400" s="105"/>
      <c r="C2400" s="105"/>
      <c r="D2400" s="105"/>
      <c r="E2400" s="105"/>
      <c r="F2400" s="105"/>
      <c r="G2400" s="105"/>
      <c r="H2400" s="105"/>
      <c r="I2400" s="105"/>
      <c r="J2400" s="105"/>
      <c r="K2400" s="105"/>
      <c r="L2400" s="105"/>
      <c r="M2400" s="105"/>
      <c r="N2400" s="105"/>
      <c r="O2400" s="105"/>
      <c r="P2400" s="105"/>
      <c r="Q2400" s="105"/>
      <c r="R2400" s="105"/>
      <c r="S2400" s="105"/>
      <c r="T2400" s="105"/>
      <c r="U2400" s="105"/>
      <c r="V2400" s="105"/>
      <c r="W2400" s="105"/>
      <c r="X2400" s="105"/>
      <c r="Y2400" s="105"/>
      <c r="Z2400" s="105"/>
    </row>
    <row r="2401" spans="1:26" ht="15.75" customHeight="1">
      <c r="A2401" s="105"/>
      <c r="B2401" s="105"/>
      <c r="C2401" s="105"/>
      <c r="D2401" s="105"/>
      <c r="E2401" s="105"/>
      <c r="F2401" s="105"/>
      <c r="G2401" s="105"/>
      <c r="H2401" s="105"/>
      <c r="I2401" s="105"/>
      <c r="J2401" s="105"/>
      <c r="K2401" s="105"/>
      <c r="L2401" s="105"/>
      <c r="M2401" s="105"/>
      <c r="N2401" s="105"/>
      <c r="O2401" s="105"/>
      <c r="P2401" s="105"/>
      <c r="Q2401" s="105"/>
      <c r="R2401" s="105"/>
      <c r="S2401" s="105"/>
      <c r="T2401" s="105"/>
      <c r="U2401" s="105"/>
      <c r="V2401" s="105"/>
      <c r="W2401" s="105"/>
      <c r="X2401" s="105"/>
      <c r="Y2401" s="105"/>
      <c r="Z2401" s="105"/>
    </row>
  </sheetData>
  <mergeCells count="1">
    <mergeCell ref="B3:D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2401"/>
  <sheetViews>
    <sheetView workbookViewId="0"/>
  </sheetViews>
  <sheetFormatPr defaultColWidth="14.44140625" defaultRowHeight="15" customHeight="1"/>
  <cols>
    <col min="1" max="1" width="8.6640625" customWidth="1"/>
    <col min="2" max="2" width="29.33203125" customWidth="1"/>
    <col min="3" max="3" width="30.109375" customWidth="1"/>
    <col min="4" max="4" width="29.33203125" customWidth="1"/>
    <col min="5" max="6" width="8.6640625" customWidth="1"/>
    <col min="7" max="7" width="29.109375" customWidth="1"/>
    <col min="8" max="26" width="8.6640625" customWidth="1"/>
  </cols>
  <sheetData>
    <row r="1" spans="1:26" ht="20.25" customHeight="1">
      <c r="A1" s="53"/>
      <c r="B1" s="53"/>
      <c r="C1" s="53"/>
      <c r="D1" s="53"/>
      <c r="E1" s="53"/>
      <c r="F1" s="53"/>
      <c r="G1" s="79" t="s">
        <v>424</v>
      </c>
      <c r="H1" s="80">
        <v>7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20.25" customHeight="1">
      <c r="A2" s="53"/>
      <c r="B2" s="53"/>
      <c r="C2" s="53"/>
      <c r="D2" s="53"/>
      <c r="E2" s="53"/>
      <c r="F2" s="53"/>
      <c r="G2" s="79" t="s">
        <v>425</v>
      </c>
      <c r="H2" s="81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27" customHeight="1">
      <c r="A3" s="53"/>
      <c r="B3" s="475" t="s">
        <v>449</v>
      </c>
      <c r="C3" s="476"/>
      <c r="D3" s="477"/>
      <c r="E3" s="53"/>
      <c r="F3" s="53"/>
      <c r="G3" s="79" t="s">
        <v>427</v>
      </c>
      <c r="H3" s="81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20.25" customHeight="1">
      <c r="A4" s="53"/>
      <c r="B4" s="82"/>
      <c r="C4" s="82"/>
      <c r="D4" s="82"/>
      <c r="E4" s="53"/>
      <c r="F4" s="53"/>
      <c r="G4" s="79" t="s">
        <v>428</v>
      </c>
      <c r="H4" s="81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24.75" customHeight="1">
      <c r="A5" s="83"/>
      <c r="B5" s="84" t="s">
        <v>429</v>
      </c>
      <c r="C5" s="106" t="e">
        <f>VLOOKUP(H1,#REF!,3,0)</f>
        <v>#REF!</v>
      </c>
      <c r="D5" s="86" t="s">
        <v>430</v>
      </c>
      <c r="E5" s="64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32.25" customHeight="1">
      <c r="A6" s="83"/>
      <c r="B6" s="87" t="s">
        <v>431</v>
      </c>
      <c r="C6" s="88" t="e">
        <f>VLOOKUP($C$5,#REF!,4,0)</f>
        <v>#REF!</v>
      </c>
      <c r="D6" s="89"/>
      <c r="E6" s="64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20.25" customHeight="1">
      <c r="A7" s="83"/>
      <c r="B7" s="87" t="s">
        <v>16</v>
      </c>
      <c r="C7" s="88">
        <v>26</v>
      </c>
      <c r="D7" s="89"/>
      <c r="E7" s="64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20.25" customHeight="1">
      <c r="A8" s="83"/>
      <c r="B8" s="87" t="s">
        <v>17</v>
      </c>
      <c r="C8" s="90" t="e">
        <f>VLOOKUP($C$5,#REF!,11,0)</f>
        <v>#REF!</v>
      </c>
      <c r="D8" s="89"/>
      <c r="E8" s="64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20.25" customHeight="1">
      <c r="A9" s="83"/>
      <c r="B9" s="87" t="s">
        <v>432</v>
      </c>
      <c r="C9" s="90" t="e">
        <f>VLOOKUP($C$5,#REF!,14,0)</f>
        <v>#REF!</v>
      </c>
      <c r="D9" s="89"/>
      <c r="E9" s="64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20.25" customHeight="1">
      <c r="A10" s="83"/>
      <c r="B10" s="87" t="s">
        <v>433</v>
      </c>
      <c r="C10" s="91" t="e">
        <f>VLOOKUP($C$5,#REF!,15,0)</f>
        <v>#REF!</v>
      </c>
      <c r="D10" s="89"/>
      <c r="E10" s="64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20.25" customHeight="1">
      <c r="A11" s="83"/>
      <c r="B11" s="87" t="s">
        <v>434</v>
      </c>
      <c r="C11" s="91" t="e">
        <f>VLOOKUP($C$5,#REF!,15,0)</f>
        <v>#REF!</v>
      </c>
      <c r="D11" s="89"/>
      <c r="E11" s="64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20.25" customHeight="1">
      <c r="A12" s="83"/>
      <c r="B12" s="87" t="s">
        <v>435</v>
      </c>
      <c r="C12" s="91" t="e">
        <f>VLOOKUP($C$5,#REF!,16,0)</f>
        <v>#REF!</v>
      </c>
      <c r="D12" s="89"/>
      <c r="E12" s="64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20.25" customHeight="1">
      <c r="A13" s="83"/>
      <c r="B13" s="87" t="s">
        <v>436</v>
      </c>
      <c r="C13" s="91" t="e">
        <f>VLOOKUP($C$5,#REF!,17,0)</f>
        <v>#REF!</v>
      </c>
      <c r="D13" s="89"/>
      <c r="E13" s="64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20.25" customHeight="1">
      <c r="A14" s="83"/>
      <c r="B14" s="87" t="s">
        <v>437</v>
      </c>
      <c r="C14" s="91" t="e">
        <f>VLOOKUP($C$5,#REF!,18,0)</f>
        <v>#REF!</v>
      </c>
      <c r="D14" s="89"/>
      <c r="E14" s="64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20.25" customHeight="1">
      <c r="A15" s="83"/>
      <c r="B15" s="87" t="s">
        <v>438</v>
      </c>
      <c r="C15" s="91" t="e">
        <f>VLOOKUP($C$5,#REF!,20,0)</f>
        <v>#REF!</v>
      </c>
      <c r="D15" s="89"/>
      <c r="E15" s="64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20.25" customHeight="1">
      <c r="A16" s="83"/>
      <c r="B16" s="92" t="s">
        <v>32</v>
      </c>
      <c r="C16" s="93" t="e">
        <f>SUM(C11:C15)</f>
        <v>#REF!</v>
      </c>
      <c r="D16" s="89"/>
      <c r="E16" s="64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0.25" customHeight="1">
      <c r="A17" s="83"/>
      <c r="B17" s="92" t="s">
        <v>35</v>
      </c>
      <c r="C17" s="94" t="e">
        <f>VLOOKUP($C$5,#REF!,27,0)</f>
        <v>#REF!</v>
      </c>
      <c r="D17" s="89"/>
      <c r="E17" s="64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20.25" customHeight="1">
      <c r="A18" s="83"/>
      <c r="B18" s="92" t="s">
        <v>439</v>
      </c>
      <c r="C18" s="93" t="e">
        <f>SUM(C19:C23)+C17</f>
        <v>#REF!</v>
      </c>
      <c r="D18" s="89"/>
      <c r="E18" s="64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20.25" customHeight="1">
      <c r="A19" s="83"/>
      <c r="B19" s="87" t="s">
        <v>440</v>
      </c>
      <c r="C19" s="91" t="e">
        <f>VLOOKUP($C$5,#REF!,28,0)</f>
        <v>#REF!</v>
      </c>
      <c r="D19" s="89"/>
      <c r="E19" s="64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20.25" customHeight="1">
      <c r="A20" s="83"/>
      <c r="B20" s="87" t="s">
        <v>441</v>
      </c>
      <c r="C20" s="91" t="e">
        <f>VLOOKUP($C$5,#REF!,30,0)</f>
        <v>#REF!</v>
      </c>
      <c r="D20" s="89"/>
      <c r="E20" s="64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30" customHeight="1">
      <c r="A21" s="83"/>
      <c r="B21" s="87" t="s">
        <v>442</v>
      </c>
      <c r="C21" s="91" t="e">
        <f>VLOOKUP(C5,#REF!,31,0)</f>
        <v>#REF!</v>
      </c>
      <c r="D21" s="89"/>
      <c r="E21" s="64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20.25" customHeight="1">
      <c r="A22" s="83"/>
      <c r="B22" s="87" t="s">
        <v>443</v>
      </c>
      <c r="C22" s="91" t="e">
        <f>VLOOKUP($C$5,#REF!,32,0)</f>
        <v>#REF!</v>
      </c>
      <c r="D22" s="89"/>
      <c r="E22" s="64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20.25" customHeight="1">
      <c r="A23" s="83"/>
      <c r="B23" s="87" t="s">
        <v>450</v>
      </c>
      <c r="C23" s="91" t="e">
        <f>VLOOKUP($C$5,#REF!,36,0)</f>
        <v>#REF!</v>
      </c>
      <c r="D23" s="89"/>
      <c r="E23" s="64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30" customHeight="1">
      <c r="A24" s="83"/>
      <c r="B24" s="92" t="s">
        <v>445</v>
      </c>
      <c r="C24" s="95" t="e">
        <f>SUM(C25:C27)</f>
        <v>#REF!</v>
      </c>
      <c r="D24" s="89"/>
      <c r="E24" s="64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20.25" customHeight="1">
      <c r="A25" s="83"/>
      <c r="B25" s="87" t="s">
        <v>446</v>
      </c>
      <c r="C25" s="91" t="e">
        <f>VLOOKUP($C$5,#REF!,57,0)</f>
        <v>#REF!</v>
      </c>
      <c r="D25" s="89"/>
      <c r="E25" s="64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20.25" customHeight="1">
      <c r="A26" s="83"/>
      <c r="B26" s="87" t="s">
        <v>84</v>
      </c>
      <c r="C26" s="91" t="e">
        <f>VLOOKUP($C$5,#REF!,60,0)</f>
        <v>#REF!</v>
      </c>
      <c r="D26" s="89"/>
      <c r="E26" s="64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20.25" customHeight="1">
      <c r="A27" s="83"/>
      <c r="B27" s="96" t="s">
        <v>447</v>
      </c>
      <c r="C27" s="97" t="e">
        <f>VLOOKUP($C$5,#REF!,63,0)</f>
        <v>#REF!</v>
      </c>
      <c r="D27" s="98"/>
      <c r="E27" s="64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20.25" customHeight="1">
      <c r="A28" s="83"/>
      <c r="B28" s="99" t="s">
        <v>448</v>
      </c>
      <c r="C28" s="100" t="e">
        <f>C18-C24</f>
        <v>#REF!</v>
      </c>
      <c r="D28" s="101"/>
      <c r="E28" s="64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20.25" customHeight="1">
      <c r="A29" s="53"/>
      <c r="B29" s="102"/>
      <c r="C29" s="102"/>
      <c r="D29" s="102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20.2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20.2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20.2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20.2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20.2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20.2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20.2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20.2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20.2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20.2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20.2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20.2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20.2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20.2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20.2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20.2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20.2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20.2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20.2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20.2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20.2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20.2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20.2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20.2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20.2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20.2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20.2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20.2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20.2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20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20.2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20.2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20.2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20.2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20.2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20.2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20.2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20.2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20.2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20.2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20.2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20.2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20.2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20.2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20.2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20.2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20.2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20.2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20.2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20.2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20.2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20.2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20.2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20.2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20.2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20.2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20.2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20.2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20.2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20.2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20.2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20.2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20.2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20.2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20.2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20.2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20.2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20.2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20.2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20.2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20.2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20.2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20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20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20.2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20.2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20.2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20.2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20.2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20.2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20.2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20.2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20.2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20.2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20.2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20.2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20.2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20.2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20.2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20.2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20.2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20.2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20.2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20.2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20.2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20.2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20.2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20.2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20.2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20.2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103"/>
      <c r="B151" s="103"/>
      <c r="C151" s="104" t="e">
        <v>#REF!</v>
      </c>
      <c r="D151" s="10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103"/>
      <c r="B152" s="103"/>
      <c r="C152" s="104" t="e">
        <v>#REF!</v>
      </c>
      <c r="D152" s="10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103"/>
      <c r="B153" s="103"/>
      <c r="C153" s="104" t="e">
        <v>#REF!</v>
      </c>
      <c r="D153" s="10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103"/>
      <c r="B154" s="103"/>
      <c r="C154" s="104" t="e">
        <v>#REF!</v>
      </c>
      <c r="D154" s="10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103"/>
      <c r="B155" s="103"/>
      <c r="C155" s="104" t="e">
        <v>#REF!</v>
      </c>
      <c r="D155" s="10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103"/>
      <c r="B156" s="103"/>
      <c r="C156" s="104" t="e">
        <v>#REF!</v>
      </c>
      <c r="D156" s="10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103"/>
      <c r="B157" s="103"/>
      <c r="C157" s="104" t="e">
        <v>#REF!</v>
      </c>
      <c r="D157" s="10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103"/>
      <c r="B158" s="103"/>
      <c r="C158" s="104" t="e">
        <v>#REF!</v>
      </c>
      <c r="D158" s="10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103"/>
      <c r="B159" s="103"/>
      <c r="C159" s="104" t="e">
        <v>#REF!</v>
      </c>
      <c r="D159" s="10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103"/>
      <c r="B160" s="103"/>
      <c r="C160" s="104" t="e">
        <v>#REF!</v>
      </c>
      <c r="D160" s="10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103"/>
      <c r="B161" s="103"/>
      <c r="C161" s="104" t="e">
        <v>#REF!</v>
      </c>
      <c r="D161" s="10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103"/>
      <c r="B162" s="103"/>
      <c r="C162" s="104" t="e">
        <v>#REF!</v>
      </c>
      <c r="D162" s="10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103"/>
      <c r="B163" s="103"/>
      <c r="C163" s="104" t="e">
        <v>#REF!</v>
      </c>
      <c r="D163" s="10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103"/>
      <c r="B164" s="103"/>
      <c r="C164" s="104" t="e">
        <v>#REF!</v>
      </c>
      <c r="D164" s="10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103"/>
      <c r="B165" s="103"/>
      <c r="C165" s="104" t="e">
        <v>#REF!</v>
      </c>
      <c r="D165" s="10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103"/>
      <c r="B166" s="103"/>
      <c r="C166" s="104" t="e">
        <v>#REF!</v>
      </c>
      <c r="D166" s="10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103"/>
      <c r="B167" s="103"/>
      <c r="C167" s="104" t="e">
        <v>#REF!</v>
      </c>
      <c r="D167" s="10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103"/>
      <c r="B168" s="103"/>
      <c r="C168" s="104" t="e">
        <v>#REF!</v>
      </c>
      <c r="D168" s="10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103"/>
      <c r="B169" s="103"/>
      <c r="C169" s="104" t="e">
        <v>#REF!</v>
      </c>
      <c r="D169" s="10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103"/>
      <c r="B170" s="103"/>
      <c r="C170" s="104" t="e">
        <v>#REF!</v>
      </c>
      <c r="D170" s="10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103"/>
      <c r="B171" s="103"/>
      <c r="C171" s="104" t="e">
        <v>#REF!</v>
      </c>
      <c r="D171" s="10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103"/>
      <c r="B172" s="103"/>
      <c r="C172" s="104" t="e">
        <v>#REF!</v>
      </c>
      <c r="D172" s="10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103"/>
      <c r="B173" s="103"/>
      <c r="C173" s="104" t="e">
        <v>#REF!</v>
      </c>
      <c r="D173" s="10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103"/>
      <c r="B174" s="103"/>
      <c r="C174" s="104" t="e">
        <v>#REF!</v>
      </c>
      <c r="D174" s="10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103"/>
      <c r="B175" s="103"/>
      <c r="C175" s="104" t="e">
        <v>#REF!</v>
      </c>
      <c r="D175" s="10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103"/>
      <c r="B176" s="103"/>
      <c r="C176" s="104" t="e">
        <v>#REF!</v>
      </c>
      <c r="D176" s="10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103"/>
      <c r="B177" s="103"/>
      <c r="C177" s="104" t="e">
        <v>#REF!</v>
      </c>
      <c r="D177" s="10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103"/>
      <c r="B178" s="103"/>
      <c r="C178" s="104" t="e">
        <v>#REF!</v>
      </c>
      <c r="D178" s="10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103"/>
      <c r="B179" s="103"/>
      <c r="C179" s="104" t="e">
        <v>#REF!</v>
      </c>
      <c r="D179" s="10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103"/>
      <c r="B180" s="103"/>
      <c r="C180" s="104" t="e">
        <v>#REF!</v>
      </c>
      <c r="D180" s="10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103"/>
      <c r="B181" s="103"/>
      <c r="C181" s="104" t="e">
        <v>#REF!</v>
      </c>
      <c r="D181" s="10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103"/>
      <c r="B182" s="103"/>
      <c r="C182" s="104" t="e">
        <v>#REF!</v>
      </c>
      <c r="D182" s="10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103"/>
      <c r="B183" s="103"/>
      <c r="C183" s="104" t="e">
        <v>#REF!</v>
      </c>
      <c r="D183" s="10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103"/>
      <c r="B184" s="103"/>
      <c r="C184" s="104" t="e">
        <v>#REF!</v>
      </c>
      <c r="D184" s="10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103"/>
      <c r="B185" s="103"/>
      <c r="C185" s="104" t="e">
        <v>#REF!</v>
      </c>
      <c r="D185" s="10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103"/>
      <c r="B186" s="103"/>
      <c r="C186" s="104" t="e">
        <v>#REF!</v>
      </c>
      <c r="D186" s="10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103"/>
      <c r="B187" s="103"/>
      <c r="C187" s="104" t="e">
        <v>#REF!</v>
      </c>
      <c r="D187" s="10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103"/>
      <c r="B188" s="103"/>
      <c r="C188" s="104" t="e">
        <v>#REF!</v>
      </c>
      <c r="D188" s="10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103"/>
      <c r="B189" s="103"/>
      <c r="C189" s="104" t="e">
        <v>#REF!</v>
      </c>
      <c r="D189" s="10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103"/>
      <c r="B190" s="103"/>
      <c r="C190" s="104" t="e">
        <v>#REF!</v>
      </c>
      <c r="D190" s="10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103"/>
      <c r="B191" s="103"/>
      <c r="C191" s="104" t="e">
        <v>#REF!</v>
      </c>
      <c r="D191" s="10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103"/>
      <c r="B192" s="103"/>
      <c r="C192" s="104" t="e">
        <v>#REF!</v>
      </c>
      <c r="D192" s="10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103"/>
      <c r="B193" s="103"/>
      <c r="C193" s="104" t="e">
        <v>#REF!</v>
      </c>
      <c r="D193" s="10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103"/>
      <c r="B194" s="103"/>
      <c r="C194" s="104" t="e">
        <v>#REF!</v>
      </c>
      <c r="D194" s="10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103"/>
      <c r="B195" s="103"/>
      <c r="C195" s="104" t="e">
        <v>#REF!</v>
      </c>
      <c r="D195" s="10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103"/>
      <c r="B196" s="103"/>
      <c r="C196" s="104" t="e">
        <v>#REF!</v>
      </c>
      <c r="D196" s="10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103"/>
      <c r="B197" s="103"/>
      <c r="C197" s="104" t="e">
        <v>#REF!</v>
      </c>
      <c r="D197" s="10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103"/>
      <c r="B198" s="103"/>
      <c r="C198" s="104" t="e">
        <v>#REF!</v>
      </c>
      <c r="D198" s="10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103"/>
      <c r="B199" s="103"/>
      <c r="C199" s="104" t="e">
        <v>#REF!</v>
      </c>
      <c r="D199" s="10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103"/>
      <c r="B200" s="103"/>
      <c r="C200" s="104" t="e">
        <v>#REF!</v>
      </c>
      <c r="D200" s="10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103"/>
      <c r="B201" s="103"/>
      <c r="C201" s="104" t="e">
        <v>#REF!</v>
      </c>
      <c r="D201" s="10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103"/>
      <c r="B202" s="103"/>
      <c r="C202" s="104" t="e">
        <v>#REF!</v>
      </c>
      <c r="D202" s="10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103"/>
      <c r="B203" s="103"/>
      <c r="C203" s="104" t="e">
        <v>#REF!</v>
      </c>
      <c r="D203" s="10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103"/>
      <c r="B204" s="103"/>
      <c r="C204" s="104" t="e">
        <v>#REF!</v>
      </c>
      <c r="D204" s="10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103"/>
      <c r="B205" s="103"/>
      <c r="C205" s="104" t="e">
        <v>#REF!</v>
      </c>
      <c r="D205" s="10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103"/>
      <c r="B206" s="103"/>
      <c r="C206" s="104" t="e">
        <v>#REF!</v>
      </c>
      <c r="D206" s="10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103"/>
      <c r="B207" s="103"/>
      <c r="C207" s="104" t="e">
        <v>#REF!</v>
      </c>
      <c r="D207" s="10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103"/>
      <c r="B208" s="103"/>
      <c r="C208" s="104" t="e">
        <v>#REF!</v>
      </c>
      <c r="D208" s="10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103"/>
      <c r="B209" s="103"/>
      <c r="C209" s="104" t="e">
        <v>#REF!</v>
      </c>
      <c r="D209" s="10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103"/>
      <c r="B210" s="103"/>
      <c r="C210" s="104" t="e">
        <v>#REF!</v>
      </c>
      <c r="D210" s="10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103"/>
      <c r="B211" s="103"/>
      <c r="C211" s="104" t="e">
        <v>#REF!</v>
      </c>
      <c r="D211" s="10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103"/>
      <c r="B212" s="103"/>
      <c r="C212" s="104" t="e">
        <v>#REF!</v>
      </c>
      <c r="D212" s="10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103"/>
      <c r="B213" s="103"/>
      <c r="C213" s="104" t="e">
        <v>#REF!</v>
      </c>
      <c r="D213" s="10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103"/>
      <c r="B214" s="103"/>
      <c r="C214" s="104" t="e">
        <v>#REF!</v>
      </c>
      <c r="D214" s="10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103"/>
      <c r="B215" s="103"/>
      <c r="C215" s="104" t="e">
        <v>#REF!</v>
      </c>
      <c r="D215" s="10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103"/>
      <c r="B216" s="103"/>
      <c r="C216" s="104" t="e">
        <v>#REF!</v>
      </c>
      <c r="D216" s="10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103"/>
      <c r="B217" s="103"/>
      <c r="C217" s="104" t="e">
        <v>#REF!</v>
      </c>
      <c r="D217" s="10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103"/>
      <c r="B218" s="103"/>
      <c r="C218" s="104" t="e">
        <v>#REF!</v>
      </c>
      <c r="D218" s="10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103"/>
      <c r="B219" s="103"/>
      <c r="C219" s="104" t="e">
        <v>#REF!</v>
      </c>
      <c r="D219" s="10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103"/>
      <c r="B220" s="103"/>
      <c r="C220" s="104" t="e">
        <v>#REF!</v>
      </c>
      <c r="D220" s="10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103"/>
      <c r="B221" s="103"/>
      <c r="C221" s="104" t="e">
        <v>#REF!</v>
      </c>
      <c r="D221" s="10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103"/>
      <c r="B222" s="103"/>
      <c r="C222" s="104" t="e">
        <v>#REF!</v>
      </c>
      <c r="D222" s="10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103"/>
      <c r="B223" s="103"/>
      <c r="C223" s="104" t="e">
        <v>#REF!</v>
      </c>
      <c r="D223" s="10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103"/>
      <c r="B224" s="103"/>
      <c r="C224" s="104" t="e">
        <v>#REF!</v>
      </c>
      <c r="D224" s="10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103"/>
      <c r="B225" s="103"/>
      <c r="C225" s="104" t="e">
        <v>#REF!</v>
      </c>
      <c r="D225" s="10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103"/>
      <c r="B226" s="103"/>
      <c r="C226" s="104" t="e">
        <v>#REF!</v>
      </c>
      <c r="D226" s="10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103"/>
      <c r="B227" s="103"/>
      <c r="C227" s="104" t="e">
        <v>#REF!</v>
      </c>
      <c r="D227" s="10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103"/>
      <c r="B228" s="103"/>
      <c r="C228" s="104" t="e">
        <v>#REF!</v>
      </c>
      <c r="D228" s="10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103"/>
      <c r="B229" s="103"/>
      <c r="C229" s="104" t="e">
        <v>#REF!</v>
      </c>
      <c r="D229" s="10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103"/>
      <c r="B230" s="103"/>
      <c r="C230" s="104" t="e">
        <v>#REF!</v>
      </c>
      <c r="D230" s="10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103"/>
      <c r="B231" s="103"/>
      <c r="C231" s="104" t="e">
        <v>#REF!</v>
      </c>
      <c r="D231" s="10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103"/>
      <c r="B232" s="103"/>
      <c r="C232" s="104" t="e">
        <v>#REF!</v>
      </c>
      <c r="D232" s="10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103"/>
      <c r="B233" s="103"/>
      <c r="C233" s="104" t="e">
        <v>#REF!</v>
      </c>
      <c r="D233" s="10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103"/>
      <c r="B234" s="103"/>
      <c r="C234" s="104" t="e">
        <v>#REF!</v>
      </c>
      <c r="D234" s="10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103"/>
      <c r="B235" s="103"/>
      <c r="C235" s="104" t="e">
        <v>#REF!</v>
      </c>
      <c r="D235" s="10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103"/>
      <c r="B236" s="103"/>
      <c r="C236" s="104" t="e">
        <v>#REF!</v>
      </c>
      <c r="D236" s="10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103"/>
      <c r="B237" s="103"/>
      <c r="C237" s="104" t="e">
        <v>#REF!</v>
      </c>
      <c r="D237" s="10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103"/>
      <c r="B238" s="103"/>
      <c r="C238" s="104" t="e">
        <v>#REF!</v>
      </c>
      <c r="D238" s="10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103"/>
      <c r="B239" s="103"/>
      <c r="C239" s="104" t="e">
        <v>#REF!</v>
      </c>
      <c r="D239" s="10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103"/>
      <c r="B240" s="103"/>
      <c r="C240" s="104" t="e">
        <v>#REF!</v>
      </c>
      <c r="D240" s="10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103"/>
      <c r="B241" s="103"/>
      <c r="C241" s="104" t="e">
        <v>#REF!</v>
      </c>
      <c r="D241" s="10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103"/>
      <c r="B242" s="103"/>
      <c r="C242" s="104" t="e">
        <v>#REF!</v>
      </c>
      <c r="D242" s="10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103"/>
      <c r="B243" s="103"/>
      <c r="C243" s="104" t="e">
        <v>#REF!</v>
      </c>
      <c r="D243" s="10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103"/>
      <c r="B244" s="103"/>
      <c r="C244" s="104" t="e">
        <v>#REF!</v>
      </c>
      <c r="D244" s="10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103"/>
      <c r="B245" s="103"/>
      <c r="C245" s="104" t="e">
        <v>#REF!</v>
      </c>
      <c r="D245" s="10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103"/>
      <c r="B246" s="103"/>
      <c r="C246" s="104" t="e">
        <v>#REF!</v>
      </c>
      <c r="D246" s="10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103"/>
      <c r="B247" s="103"/>
      <c r="C247" s="104" t="e">
        <v>#REF!</v>
      </c>
      <c r="D247" s="10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103"/>
      <c r="B248" s="103"/>
      <c r="C248" s="104" t="e">
        <v>#REF!</v>
      </c>
      <c r="D248" s="10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103"/>
      <c r="B249" s="103"/>
      <c r="C249" s="104" t="e">
        <v>#REF!</v>
      </c>
      <c r="D249" s="10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103"/>
      <c r="B250" s="103"/>
      <c r="C250" s="104" t="e">
        <v>#REF!</v>
      </c>
      <c r="D250" s="10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103"/>
      <c r="B251" s="103"/>
      <c r="C251" s="104" t="e">
        <v>#REF!</v>
      </c>
      <c r="D251" s="10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103"/>
      <c r="B252" s="103"/>
      <c r="C252" s="104" t="e">
        <v>#REF!</v>
      </c>
      <c r="D252" s="10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103"/>
      <c r="B253" s="103"/>
      <c r="C253" s="104" t="e">
        <v>#REF!</v>
      </c>
      <c r="D253" s="10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103"/>
      <c r="B254" s="103"/>
      <c r="C254" s="104" t="e">
        <v>#REF!</v>
      </c>
      <c r="D254" s="10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103"/>
      <c r="B255" s="103"/>
      <c r="C255" s="104" t="e">
        <v>#REF!</v>
      </c>
      <c r="D255" s="10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103"/>
      <c r="B256" s="103"/>
      <c r="C256" s="104" t="e">
        <v>#REF!</v>
      </c>
      <c r="D256" s="10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103"/>
      <c r="B257" s="103"/>
      <c r="C257" s="104" t="e">
        <v>#REF!</v>
      </c>
      <c r="D257" s="10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103"/>
      <c r="B258" s="103"/>
      <c r="C258" s="104" t="e">
        <v>#REF!</v>
      </c>
      <c r="D258" s="10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103"/>
      <c r="B259" s="103"/>
      <c r="C259" s="104" t="e">
        <v>#REF!</v>
      </c>
      <c r="D259" s="10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103"/>
      <c r="B260" s="103"/>
      <c r="C260" s="104" t="e">
        <v>#REF!</v>
      </c>
      <c r="D260" s="10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103"/>
      <c r="B261" s="103"/>
      <c r="C261" s="104" t="e">
        <v>#REF!</v>
      </c>
      <c r="D261" s="10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103"/>
      <c r="B262" s="103"/>
      <c r="C262" s="104" t="e">
        <v>#REF!</v>
      </c>
      <c r="D262" s="10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103"/>
      <c r="B263" s="103"/>
      <c r="C263" s="104" t="e">
        <v>#REF!</v>
      </c>
      <c r="D263" s="10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103"/>
      <c r="B264" s="103"/>
      <c r="C264" s="104" t="e">
        <v>#REF!</v>
      </c>
      <c r="D264" s="10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103"/>
      <c r="B265" s="103"/>
      <c r="C265" s="104" t="e">
        <v>#REF!</v>
      </c>
      <c r="D265" s="10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103"/>
      <c r="B266" s="103"/>
      <c r="C266" s="104" t="e">
        <v>#REF!</v>
      </c>
      <c r="D266" s="10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103"/>
      <c r="B267" s="103"/>
      <c r="C267" s="104" t="e">
        <v>#REF!</v>
      </c>
      <c r="D267" s="10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103"/>
      <c r="B268" s="103"/>
      <c r="C268" s="104" t="e">
        <v>#REF!</v>
      </c>
      <c r="D268" s="10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103"/>
      <c r="B269" s="103"/>
      <c r="C269" s="104" t="e">
        <v>#REF!</v>
      </c>
      <c r="D269" s="10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103"/>
      <c r="B270" s="103"/>
      <c r="C270" s="104" t="e">
        <v>#REF!</v>
      </c>
      <c r="D270" s="10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103"/>
      <c r="B271" s="103"/>
      <c r="C271" s="104" t="e">
        <v>#REF!</v>
      </c>
      <c r="D271" s="10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103"/>
      <c r="B272" s="103"/>
      <c r="C272" s="104" t="e">
        <v>#REF!</v>
      </c>
      <c r="D272" s="10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103"/>
      <c r="B273" s="103"/>
      <c r="C273" s="104" t="e">
        <v>#REF!</v>
      </c>
      <c r="D273" s="10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103"/>
      <c r="B274" s="103"/>
      <c r="C274" s="104" t="e">
        <v>#REF!</v>
      </c>
      <c r="D274" s="10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103"/>
      <c r="B275" s="103"/>
      <c r="C275" s="104" t="e">
        <v>#REF!</v>
      </c>
      <c r="D275" s="10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103"/>
      <c r="B276" s="103"/>
      <c r="C276" s="104" t="e">
        <v>#REF!</v>
      </c>
      <c r="D276" s="10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103"/>
      <c r="B277" s="103"/>
      <c r="C277" s="104" t="e">
        <v>#REF!</v>
      </c>
      <c r="D277" s="10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103"/>
      <c r="B278" s="103"/>
      <c r="C278" s="104" t="e">
        <v>#REF!</v>
      </c>
      <c r="D278" s="10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103"/>
      <c r="B279" s="103"/>
      <c r="C279" s="104" t="e">
        <v>#REF!</v>
      </c>
      <c r="D279" s="10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103"/>
      <c r="B280" s="103"/>
      <c r="C280" s="104" t="e">
        <v>#REF!</v>
      </c>
      <c r="D280" s="10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103"/>
      <c r="B281" s="103"/>
      <c r="C281" s="104" t="e">
        <v>#REF!</v>
      </c>
      <c r="D281" s="10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103"/>
      <c r="B282" s="103"/>
      <c r="C282" s="104" t="e">
        <v>#REF!</v>
      </c>
      <c r="D282" s="10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103"/>
      <c r="B283" s="103"/>
      <c r="C283" s="104" t="e">
        <v>#REF!</v>
      </c>
      <c r="D283" s="10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103"/>
      <c r="B284" s="103"/>
      <c r="C284" s="104" t="e">
        <v>#REF!</v>
      </c>
      <c r="D284" s="10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103"/>
      <c r="B285" s="103"/>
      <c r="C285" s="104" t="e">
        <v>#REF!</v>
      </c>
      <c r="D285" s="10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103"/>
      <c r="B286" s="103"/>
      <c r="C286" s="104" t="e">
        <v>#REF!</v>
      </c>
      <c r="D286" s="10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103"/>
      <c r="B287" s="103"/>
      <c r="C287" s="104" t="e">
        <v>#REF!</v>
      </c>
      <c r="D287" s="10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103"/>
      <c r="B288" s="103"/>
      <c r="C288" s="104" t="e">
        <v>#REF!</v>
      </c>
      <c r="D288" s="10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103"/>
      <c r="B289" s="103"/>
      <c r="C289" s="104" t="e">
        <v>#REF!</v>
      </c>
      <c r="D289" s="10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103"/>
      <c r="B290" s="103"/>
      <c r="C290" s="104" t="e">
        <v>#REF!</v>
      </c>
      <c r="D290" s="10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103"/>
      <c r="B291" s="103"/>
      <c r="C291" s="104" t="e">
        <v>#REF!</v>
      </c>
      <c r="D291" s="10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103"/>
      <c r="B292" s="103"/>
      <c r="C292" s="104" t="e">
        <v>#REF!</v>
      </c>
      <c r="D292" s="10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103"/>
      <c r="B293" s="103"/>
      <c r="C293" s="104" t="e">
        <v>#REF!</v>
      </c>
      <c r="D293" s="10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103"/>
      <c r="B294" s="103"/>
      <c r="C294" s="104" t="e">
        <v>#REF!</v>
      </c>
      <c r="D294" s="10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103"/>
      <c r="B295" s="103"/>
      <c r="C295" s="104" t="e">
        <v>#REF!</v>
      </c>
      <c r="D295" s="10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103"/>
      <c r="B296" s="103"/>
      <c r="C296" s="104" t="e">
        <v>#REF!</v>
      </c>
      <c r="D296" s="10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103"/>
      <c r="B297" s="103"/>
      <c r="C297" s="104" t="e">
        <v>#REF!</v>
      </c>
      <c r="D297" s="10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103"/>
      <c r="B298" s="103"/>
      <c r="C298" s="104" t="e">
        <v>#REF!</v>
      </c>
      <c r="D298" s="10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103"/>
      <c r="B299" s="103"/>
      <c r="C299" s="104" t="e">
        <v>#REF!</v>
      </c>
      <c r="D299" s="10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103"/>
      <c r="B300" s="103"/>
      <c r="C300" s="104" t="e">
        <v>#REF!</v>
      </c>
      <c r="D300" s="10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103"/>
      <c r="B301" s="103"/>
      <c r="C301" s="104" t="e">
        <v>#REF!</v>
      </c>
      <c r="D301" s="10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103"/>
      <c r="B302" s="103"/>
      <c r="C302" s="104" t="e">
        <v>#REF!</v>
      </c>
      <c r="D302" s="10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103"/>
      <c r="B303" s="103"/>
      <c r="C303" s="104" t="e">
        <v>#REF!</v>
      </c>
      <c r="D303" s="10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103"/>
      <c r="B304" s="103"/>
      <c r="C304" s="104" t="e">
        <v>#REF!</v>
      </c>
      <c r="D304" s="10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103"/>
      <c r="B305" s="103"/>
      <c r="C305" s="104" t="e">
        <v>#REF!</v>
      </c>
      <c r="D305" s="10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103"/>
      <c r="B306" s="103"/>
      <c r="C306" s="104" t="e">
        <v>#REF!</v>
      </c>
      <c r="D306" s="10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103"/>
      <c r="B307" s="103"/>
      <c r="C307" s="104" t="e">
        <v>#REF!</v>
      </c>
      <c r="D307" s="10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103"/>
      <c r="B308" s="103"/>
      <c r="C308" s="104" t="e">
        <v>#REF!</v>
      </c>
      <c r="D308" s="10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103"/>
      <c r="B309" s="103"/>
      <c r="C309" s="104" t="e">
        <v>#REF!</v>
      </c>
      <c r="D309" s="10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103"/>
      <c r="B310" s="103"/>
      <c r="C310" s="104" t="e">
        <v>#REF!</v>
      </c>
      <c r="D310" s="10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103"/>
      <c r="B311" s="103"/>
      <c r="C311" s="104" t="e">
        <v>#REF!</v>
      </c>
      <c r="D311" s="10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103"/>
      <c r="B312" s="103"/>
      <c r="C312" s="104" t="e">
        <v>#REF!</v>
      </c>
      <c r="D312" s="10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103"/>
      <c r="B313" s="103"/>
      <c r="C313" s="104" t="e">
        <v>#REF!</v>
      </c>
      <c r="D313" s="10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103"/>
      <c r="B314" s="103"/>
      <c r="C314" s="104" t="e">
        <v>#REF!</v>
      </c>
      <c r="D314" s="10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103"/>
      <c r="B315" s="103"/>
      <c r="C315" s="104" t="e">
        <v>#REF!</v>
      </c>
      <c r="D315" s="10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103"/>
      <c r="B316" s="103"/>
      <c r="C316" s="104" t="e">
        <v>#REF!</v>
      </c>
      <c r="D316" s="10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103"/>
      <c r="B317" s="103"/>
      <c r="C317" s="104" t="e">
        <v>#REF!</v>
      </c>
      <c r="D317" s="10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103"/>
      <c r="B318" s="103"/>
      <c r="C318" s="104" t="e">
        <v>#REF!</v>
      </c>
      <c r="D318" s="10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103"/>
      <c r="B319" s="103"/>
      <c r="C319" s="104" t="e">
        <v>#REF!</v>
      </c>
      <c r="D319" s="10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103"/>
      <c r="B320" s="103"/>
      <c r="C320" s="104" t="e">
        <v>#REF!</v>
      </c>
      <c r="D320" s="10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103"/>
      <c r="B321" s="103"/>
      <c r="C321" s="104" t="e">
        <v>#REF!</v>
      </c>
      <c r="D321" s="10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103"/>
      <c r="B322" s="103"/>
      <c r="C322" s="104" t="e">
        <v>#REF!</v>
      </c>
      <c r="D322" s="10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103"/>
      <c r="B323" s="103"/>
      <c r="C323" s="104" t="e">
        <v>#REF!</v>
      </c>
      <c r="D323" s="10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103"/>
      <c r="B324" s="103"/>
      <c r="C324" s="104" t="e">
        <v>#REF!</v>
      </c>
      <c r="D324" s="10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103"/>
      <c r="B325" s="103"/>
      <c r="C325" s="104" t="e">
        <v>#REF!</v>
      </c>
      <c r="D325" s="10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103"/>
      <c r="B326" s="103"/>
      <c r="C326" s="104" t="e">
        <v>#REF!</v>
      </c>
      <c r="D326" s="10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103"/>
      <c r="B327" s="103"/>
      <c r="C327" s="104" t="e">
        <v>#REF!</v>
      </c>
      <c r="D327" s="10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103"/>
      <c r="B328" s="103"/>
      <c r="C328" s="104" t="e">
        <v>#REF!</v>
      </c>
      <c r="D328" s="10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103"/>
      <c r="B329" s="103"/>
      <c r="C329" s="104" t="e">
        <v>#REF!</v>
      </c>
      <c r="D329" s="10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103"/>
      <c r="B330" s="103"/>
      <c r="C330" s="104" t="e">
        <v>#REF!</v>
      </c>
      <c r="D330" s="10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103"/>
      <c r="B331" s="103"/>
      <c r="C331" s="104" t="e">
        <v>#REF!</v>
      </c>
      <c r="D331" s="10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103"/>
      <c r="B332" s="103"/>
      <c r="C332" s="104" t="e">
        <v>#REF!</v>
      </c>
      <c r="D332" s="10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103"/>
      <c r="B333" s="103"/>
      <c r="C333" s="104" t="e">
        <v>#REF!</v>
      </c>
      <c r="D333" s="10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103"/>
      <c r="B334" s="103"/>
      <c r="C334" s="104" t="e">
        <v>#REF!</v>
      </c>
      <c r="D334" s="10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103"/>
      <c r="B335" s="103"/>
      <c r="C335" s="104" t="e">
        <v>#REF!</v>
      </c>
      <c r="D335" s="10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103"/>
      <c r="B336" s="103"/>
      <c r="C336" s="104" t="e">
        <v>#REF!</v>
      </c>
      <c r="D336" s="10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103"/>
      <c r="B337" s="103"/>
      <c r="C337" s="104" t="e">
        <v>#REF!</v>
      </c>
      <c r="D337" s="10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103"/>
      <c r="B338" s="103"/>
      <c r="C338" s="104" t="e">
        <v>#REF!</v>
      </c>
      <c r="D338" s="10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103"/>
      <c r="B339" s="103"/>
      <c r="C339" s="104" t="e">
        <v>#REF!</v>
      </c>
      <c r="D339" s="10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103"/>
      <c r="B340" s="103"/>
      <c r="C340" s="104" t="e">
        <v>#REF!</v>
      </c>
      <c r="D340" s="10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103"/>
      <c r="B341" s="103"/>
      <c r="C341" s="104" t="e">
        <v>#REF!</v>
      </c>
      <c r="D341" s="10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103"/>
      <c r="B342" s="103"/>
      <c r="C342" s="104" t="e">
        <v>#REF!</v>
      </c>
      <c r="D342" s="10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103"/>
      <c r="B343" s="103"/>
      <c r="C343" s="104" t="e">
        <v>#REF!</v>
      </c>
      <c r="D343" s="10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103"/>
      <c r="B344" s="103"/>
      <c r="C344" s="104" t="e">
        <v>#REF!</v>
      </c>
      <c r="D344" s="10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103"/>
      <c r="B345" s="103"/>
      <c r="C345" s="104" t="e">
        <v>#REF!</v>
      </c>
      <c r="D345" s="10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103"/>
      <c r="B346" s="103"/>
      <c r="C346" s="104" t="e">
        <v>#REF!</v>
      </c>
      <c r="D346" s="10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103"/>
      <c r="B347" s="103"/>
      <c r="C347" s="104" t="e">
        <v>#REF!</v>
      </c>
      <c r="D347" s="10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103"/>
      <c r="B348" s="103"/>
      <c r="C348" s="104" t="e">
        <v>#REF!</v>
      </c>
      <c r="D348" s="10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103"/>
      <c r="B349" s="103"/>
      <c r="C349" s="104" t="e">
        <v>#REF!</v>
      </c>
      <c r="D349" s="10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103"/>
      <c r="B350" s="103"/>
      <c r="C350" s="104" t="e">
        <v>#REF!</v>
      </c>
      <c r="D350" s="10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103"/>
      <c r="B351" s="103"/>
      <c r="C351" s="104" t="e">
        <v>#REF!</v>
      </c>
      <c r="D351" s="10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103"/>
      <c r="B352" s="103"/>
      <c r="C352" s="104" t="e">
        <v>#REF!</v>
      </c>
      <c r="D352" s="10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103"/>
      <c r="B353" s="103"/>
      <c r="C353" s="104" t="e">
        <v>#REF!</v>
      </c>
      <c r="D353" s="10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103"/>
      <c r="B354" s="103"/>
      <c r="C354" s="104" t="e">
        <v>#REF!</v>
      </c>
      <c r="D354" s="10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103"/>
      <c r="B355" s="103"/>
      <c r="C355" s="104" t="e">
        <v>#REF!</v>
      </c>
      <c r="D355" s="10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103"/>
      <c r="B356" s="103"/>
      <c r="C356" s="104" t="e">
        <v>#REF!</v>
      </c>
      <c r="D356" s="10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103"/>
      <c r="B357" s="103"/>
      <c r="C357" s="104" t="e">
        <v>#REF!</v>
      </c>
      <c r="D357" s="10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103"/>
      <c r="B358" s="103"/>
      <c r="C358" s="104" t="e">
        <v>#REF!</v>
      </c>
      <c r="D358" s="10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103"/>
      <c r="B359" s="103"/>
      <c r="C359" s="104" t="e">
        <v>#REF!</v>
      </c>
      <c r="D359" s="10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103"/>
      <c r="B360" s="103"/>
      <c r="C360" s="104" t="e">
        <v>#REF!</v>
      </c>
      <c r="D360" s="10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103"/>
      <c r="B361" s="103"/>
      <c r="C361" s="104" t="e">
        <v>#REF!</v>
      </c>
      <c r="D361" s="10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103"/>
      <c r="B362" s="103"/>
      <c r="C362" s="104" t="e">
        <v>#REF!</v>
      </c>
      <c r="D362" s="10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103"/>
      <c r="B363" s="103"/>
      <c r="C363" s="104" t="e">
        <v>#REF!</v>
      </c>
      <c r="D363" s="10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103"/>
      <c r="B364" s="103"/>
      <c r="C364" s="104" t="e">
        <v>#REF!</v>
      </c>
      <c r="D364" s="10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103"/>
      <c r="B365" s="103"/>
      <c r="C365" s="104" t="e">
        <v>#REF!</v>
      </c>
      <c r="D365" s="10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103"/>
      <c r="B366" s="103"/>
      <c r="C366" s="104" t="e">
        <v>#REF!</v>
      </c>
      <c r="D366" s="10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103"/>
      <c r="B367" s="103"/>
      <c r="C367" s="104" t="e">
        <v>#REF!</v>
      </c>
      <c r="D367" s="10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103"/>
      <c r="B368" s="103"/>
      <c r="C368" s="104" t="e">
        <v>#REF!</v>
      </c>
      <c r="D368" s="10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103"/>
      <c r="B369" s="103"/>
      <c r="C369" s="104" t="e">
        <v>#REF!</v>
      </c>
      <c r="D369" s="10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103"/>
      <c r="B370" s="103"/>
      <c r="C370" s="104" t="e">
        <v>#REF!</v>
      </c>
      <c r="D370" s="10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103"/>
      <c r="B371" s="103"/>
      <c r="C371" s="104" t="e">
        <v>#REF!</v>
      </c>
      <c r="D371" s="10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103"/>
      <c r="B372" s="103"/>
      <c r="C372" s="104" t="e">
        <v>#REF!</v>
      </c>
      <c r="D372" s="10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103"/>
      <c r="B373" s="103"/>
      <c r="C373" s="104" t="e">
        <v>#REF!</v>
      </c>
      <c r="D373" s="10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103"/>
      <c r="B374" s="103"/>
      <c r="C374" s="104" t="e">
        <v>#REF!</v>
      </c>
      <c r="D374" s="10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103"/>
      <c r="B375" s="103"/>
      <c r="C375" s="104" t="e">
        <v>#REF!</v>
      </c>
      <c r="D375" s="10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103"/>
      <c r="B376" s="103"/>
      <c r="C376" s="104" t="e">
        <v>#REF!</v>
      </c>
      <c r="D376" s="10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103"/>
      <c r="B377" s="103"/>
      <c r="C377" s="104" t="e">
        <v>#REF!</v>
      </c>
      <c r="D377" s="10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103"/>
      <c r="B378" s="103"/>
      <c r="C378" s="104" t="e">
        <v>#REF!</v>
      </c>
      <c r="D378" s="10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103"/>
      <c r="B379" s="103"/>
      <c r="C379" s="104" t="e">
        <v>#REF!</v>
      </c>
      <c r="D379" s="10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103"/>
      <c r="B380" s="103"/>
      <c r="C380" s="104" t="e">
        <v>#REF!</v>
      </c>
      <c r="D380" s="10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103"/>
      <c r="B381" s="103"/>
      <c r="C381" s="104" t="e">
        <v>#REF!</v>
      </c>
      <c r="D381" s="10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103"/>
      <c r="B382" s="103"/>
      <c r="C382" s="104" t="e">
        <v>#REF!</v>
      </c>
      <c r="D382" s="10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103"/>
      <c r="B383" s="103"/>
      <c r="C383" s="104" t="e">
        <v>#REF!</v>
      </c>
      <c r="D383" s="10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103"/>
      <c r="B384" s="103"/>
      <c r="C384" s="104" t="e">
        <v>#REF!</v>
      </c>
      <c r="D384" s="10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103"/>
      <c r="B385" s="103"/>
      <c r="C385" s="104" t="e">
        <v>#REF!</v>
      </c>
      <c r="D385" s="10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103"/>
      <c r="B386" s="103"/>
      <c r="C386" s="104" t="e">
        <v>#REF!</v>
      </c>
      <c r="D386" s="10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103"/>
      <c r="B387" s="103"/>
      <c r="C387" s="104" t="e">
        <v>#REF!</v>
      </c>
      <c r="D387" s="10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103"/>
      <c r="B388" s="103"/>
      <c r="C388" s="104" t="e">
        <v>#REF!</v>
      </c>
      <c r="D388" s="10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103"/>
      <c r="B389" s="103"/>
      <c r="C389" s="104" t="e">
        <v>#REF!</v>
      </c>
      <c r="D389" s="10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103"/>
      <c r="B390" s="103"/>
      <c r="C390" s="104" t="e">
        <v>#REF!</v>
      </c>
      <c r="D390" s="10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103"/>
      <c r="B391" s="103"/>
      <c r="C391" s="104" t="e">
        <v>#REF!</v>
      </c>
      <c r="D391" s="10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103"/>
      <c r="B392" s="103"/>
      <c r="C392" s="104" t="e">
        <v>#REF!</v>
      </c>
      <c r="D392" s="10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103"/>
      <c r="B393" s="103"/>
      <c r="C393" s="104" t="e">
        <v>#REF!</v>
      </c>
      <c r="D393" s="10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103"/>
      <c r="B394" s="103"/>
      <c r="C394" s="104" t="e">
        <v>#REF!</v>
      </c>
      <c r="D394" s="10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103"/>
      <c r="B395" s="103"/>
      <c r="C395" s="104" t="e">
        <v>#REF!</v>
      </c>
      <c r="D395" s="10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103"/>
      <c r="B396" s="103"/>
      <c r="C396" s="104" t="e">
        <v>#REF!</v>
      </c>
      <c r="D396" s="10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103"/>
      <c r="B397" s="103"/>
      <c r="C397" s="104" t="e">
        <v>#REF!</v>
      </c>
      <c r="D397" s="10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103"/>
      <c r="B398" s="103"/>
      <c r="C398" s="104" t="e">
        <v>#REF!</v>
      </c>
      <c r="D398" s="10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103"/>
      <c r="B399" s="103"/>
      <c r="C399" s="104" t="e">
        <v>#REF!</v>
      </c>
      <c r="D399" s="10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103"/>
      <c r="B400" s="103"/>
      <c r="C400" s="104" t="e">
        <v>#REF!</v>
      </c>
      <c r="D400" s="10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103"/>
      <c r="B401" s="103"/>
      <c r="C401" s="104" t="e">
        <v>#REF!</v>
      </c>
      <c r="D401" s="10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103"/>
      <c r="B402" s="103"/>
      <c r="C402" s="104" t="e">
        <v>#REF!</v>
      </c>
      <c r="D402" s="10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103"/>
      <c r="B403" s="103"/>
      <c r="C403" s="104" t="e">
        <v>#REF!</v>
      </c>
      <c r="D403" s="10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103"/>
      <c r="B404" s="103"/>
      <c r="C404" s="104" t="e">
        <v>#REF!</v>
      </c>
      <c r="D404" s="10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103"/>
      <c r="B405" s="103"/>
      <c r="C405" s="104" t="e">
        <v>#REF!</v>
      </c>
      <c r="D405" s="10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103"/>
      <c r="B406" s="103"/>
      <c r="C406" s="104" t="e">
        <v>#REF!</v>
      </c>
      <c r="D406" s="10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103"/>
      <c r="B407" s="103"/>
      <c r="C407" s="104" t="e">
        <v>#REF!</v>
      </c>
      <c r="D407" s="10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103"/>
      <c r="B408" s="103"/>
      <c r="C408" s="104" t="e">
        <v>#REF!</v>
      </c>
      <c r="D408" s="10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103"/>
      <c r="B409" s="103"/>
      <c r="C409" s="104" t="e">
        <v>#REF!</v>
      </c>
      <c r="D409" s="10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103"/>
      <c r="B410" s="103"/>
      <c r="C410" s="104" t="e">
        <v>#REF!</v>
      </c>
      <c r="D410" s="10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103"/>
      <c r="B411" s="103"/>
      <c r="C411" s="104" t="e">
        <v>#REF!</v>
      </c>
      <c r="D411" s="10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103"/>
      <c r="B412" s="103"/>
      <c r="C412" s="104" t="e">
        <v>#REF!</v>
      </c>
      <c r="D412" s="10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103"/>
      <c r="B413" s="103"/>
      <c r="C413" s="104" t="e">
        <v>#REF!</v>
      </c>
      <c r="D413" s="10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103"/>
      <c r="B414" s="103"/>
      <c r="C414" s="104" t="e">
        <v>#REF!</v>
      </c>
      <c r="D414" s="10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103"/>
      <c r="B415" s="103"/>
      <c r="C415" s="104" t="e">
        <v>#REF!</v>
      </c>
      <c r="D415" s="10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103"/>
      <c r="B416" s="103"/>
      <c r="C416" s="104" t="e">
        <v>#REF!</v>
      </c>
      <c r="D416" s="10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103"/>
      <c r="B417" s="103"/>
      <c r="C417" s="104" t="e">
        <v>#REF!</v>
      </c>
      <c r="D417" s="10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103"/>
      <c r="B418" s="103"/>
      <c r="C418" s="104" t="e">
        <v>#REF!</v>
      </c>
      <c r="D418" s="10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103"/>
      <c r="B419" s="103"/>
      <c r="C419" s="104" t="e">
        <v>#REF!</v>
      </c>
      <c r="D419" s="10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103"/>
      <c r="B420" s="103"/>
      <c r="C420" s="104" t="e">
        <v>#REF!</v>
      </c>
      <c r="D420" s="10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103"/>
      <c r="B421" s="103"/>
      <c r="C421" s="104" t="e">
        <v>#REF!</v>
      </c>
      <c r="D421" s="10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103"/>
      <c r="B422" s="103"/>
      <c r="C422" s="104" t="e">
        <v>#REF!</v>
      </c>
      <c r="D422" s="10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103"/>
      <c r="B423" s="103"/>
      <c r="C423" s="104" t="e">
        <v>#REF!</v>
      </c>
      <c r="D423" s="10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103"/>
      <c r="B424" s="103"/>
      <c r="C424" s="104" t="e">
        <v>#REF!</v>
      </c>
      <c r="D424" s="10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103"/>
      <c r="B425" s="103"/>
      <c r="C425" s="104" t="e">
        <v>#REF!</v>
      </c>
      <c r="D425" s="10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103"/>
      <c r="B426" s="103"/>
      <c r="C426" s="104" t="e">
        <v>#REF!</v>
      </c>
      <c r="D426" s="10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103"/>
      <c r="B427" s="103"/>
      <c r="C427" s="104" t="e">
        <v>#REF!</v>
      </c>
      <c r="D427" s="10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103"/>
      <c r="B428" s="103"/>
      <c r="C428" s="104" t="e">
        <v>#REF!</v>
      </c>
      <c r="D428" s="10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103"/>
      <c r="B429" s="103"/>
      <c r="C429" s="104" t="e">
        <v>#REF!</v>
      </c>
      <c r="D429" s="10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103"/>
      <c r="B430" s="103"/>
      <c r="C430" s="104" t="e">
        <v>#REF!</v>
      </c>
      <c r="D430" s="10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103"/>
      <c r="B431" s="103"/>
      <c r="C431" s="104" t="e">
        <v>#REF!</v>
      </c>
      <c r="D431" s="10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103"/>
      <c r="B432" s="103"/>
      <c r="C432" s="104" t="e">
        <v>#REF!</v>
      </c>
      <c r="D432" s="10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103"/>
      <c r="B433" s="103"/>
      <c r="C433" s="104" t="e">
        <v>#REF!</v>
      </c>
      <c r="D433" s="10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103"/>
      <c r="B434" s="103"/>
      <c r="C434" s="104" t="e">
        <v>#REF!</v>
      </c>
      <c r="D434" s="10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103"/>
      <c r="B435" s="103"/>
      <c r="C435" s="104" t="e">
        <v>#REF!</v>
      </c>
      <c r="D435" s="10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103"/>
      <c r="B436" s="103"/>
      <c r="C436" s="104" t="e">
        <v>#REF!</v>
      </c>
      <c r="D436" s="10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103"/>
      <c r="B437" s="103"/>
      <c r="C437" s="104" t="e">
        <v>#REF!</v>
      </c>
      <c r="D437" s="10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103"/>
      <c r="B438" s="103"/>
      <c r="C438" s="104" t="e">
        <v>#REF!</v>
      </c>
      <c r="D438" s="10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103"/>
      <c r="B439" s="103"/>
      <c r="C439" s="104" t="e">
        <v>#REF!</v>
      </c>
      <c r="D439" s="10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103"/>
      <c r="B440" s="103"/>
      <c r="C440" s="104" t="e">
        <v>#REF!</v>
      </c>
      <c r="D440" s="10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103"/>
      <c r="B441" s="103"/>
      <c r="C441" s="104" t="e">
        <v>#REF!</v>
      </c>
      <c r="D441" s="10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103"/>
      <c r="B442" s="103"/>
      <c r="C442" s="104" t="e">
        <v>#REF!</v>
      </c>
      <c r="D442" s="10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103"/>
      <c r="B443" s="103"/>
      <c r="C443" s="104" t="e">
        <v>#REF!</v>
      </c>
      <c r="D443" s="10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103"/>
      <c r="B444" s="103"/>
      <c r="C444" s="104" t="e">
        <v>#REF!</v>
      </c>
      <c r="D444" s="10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103"/>
      <c r="B445" s="103"/>
      <c r="C445" s="104" t="e">
        <v>#REF!</v>
      </c>
      <c r="D445" s="10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103"/>
      <c r="B446" s="103"/>
      <c r="C446" s="104" t="e">
        <v>#REF!</v>
      </c>
      <c r="D446" s="10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103"/>
      <c r="B447" s="103"/>
      <c r="C447" s="104" t="e">
        <v>#REF!</v>
      </c>
      <c r="D447" s="10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103"/>
      <c r="B448" s="103"/>
      <c r="C448" s="104" t="e">
        <v>#REF!</v>
      </c>
      <c r="D448" s="10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103"/>
      <c r="B449" s="103"/>
      <c r="C449" s="104" t="e">
        <v>#REF!</v>
      </c>
      <c r="D449" s="10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103"/>
      <c r="B450" s="103"/>
      <c r="C450" s="104" t="e">
        <v>#REF!</v>
      </c>
      <c r="D450" s="10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103"/>
      <c r="B451" s="103"/>
      <c r="C451" s="104" t="e">
        <v>#REF!</v>
      </c>
      <c r="D451" s="10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103"/>
      <c r="B452" s="103"/>
      <c r="C452" s="104" t="e">
        <v>#REF!</v>
      </c>
      <c r="D452" s="10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103"/>
      <c r="B453" s="103"/>
      <c r="C453" s="104" t="e">
        <v>#REF!</v>
      </c>
      <c r="D453" s="10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103"/>
      <c r="B454" s="103"/>
      <c r="C454" s="104" t="e">
        <v>#REF!</v>
      </c>
      <c r="D454" s="10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103"/>
      <c r="B455" s="103"/>
      <c r="C455" s="104" t="e">
        <v>#REF!</v>
      </c>
      <c r="D455" s="10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103"/>
      <c r="B456" s="103"/>
      <c r="C456" s="104" t="e">
        <v>#REF!</v>
      </c>
      <c r="D456" s="10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103"/>
      <c r="B457" s="103"/>
      <c r="C457" s="104" t="e">
        <v>#REF!</v>
      </c>
      <c r="D457" s="10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103"/>
      <c r="B458" s="103"/>
      <c r="C458" s="104" t="e">
        <v>#REF!</v>
      </c>
      <c r="D458" s="10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103"/>
      <c r="B459" s="103"/>
      <c r="C459" s="104" t="e">
        <v>#REF!</v>
      </c>
      <c r="D459" s="10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103"/>
      <c r="B460" s="103"/>
      <c r="C460" s="104" t="e">
        <v>#REF!</v>
      </c>
      <c r="D460" s="10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103"/>
      <c r="B461" s="103"/>
      <c r="C461" s="104" t="e">
        <v>#REF!</v>
      </c>
      <c r="D461" s="10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103"/>
      <c r="B462" s="103"/>
      <c r="C462" s="104" t="e">
        <v>#REF!</v>
      </c>
      <c r="D462" s="10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103"/>
      <c r="B463" s="103"/>
      <c r="C463" s="104" t="e">
        <v>#REF!</v>
      </c>
      <c r="D463" s="10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103"/>
      <c r="B464" s="103"/>
      <c r="C464" s="104" t="e">
        <v>#REF!</v>
      </c>
      <c r="D464" s="10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103"/>
      <c r="B465" s="103"/>
      <c r="C465" s="104" t="e">
        <v>#REF!</v>
      </c>
      <c r="D465" s="10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103"/>
      <c r="B466" s="103"/>
      <c r="C466" s="104" t="e">
        <v>#REF!</v>
      </c>
      <c r="D466" s="10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103"/>
      <c r="B467" s="103"/>
      <c r="C467" s="104" t="e">
        <v>#REF!</v>
      </c>
      <c r="D467" s="10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103"/>
      <c r="B468" s="103"/>
      <c r="C468" s="104" t="e">
        <v>#REF!</v>
      </c>
      <c r="D468" s="10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103"/>
      <c r="B469" s="103"/>
      <c r="C469" s="104" t="e">
        <v>#REF!</v>
      </c>
      <c r="D469" s="10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103"/>
      <c r="B470" s="103"/>
      <c r="C470" s="104" t="e">
        <v>#REF!</v>
      </c>
      <c r="D470" s="10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103"/>
      <c r="B471" s="103"/>
      <c r="C471" s="104" t="e">
        <v>#REF!</v>
      </c>
      <c r="D471" s="10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103"/>
      <c r="B472" s="103"/>
      <c r="C472" s="104" t="e">
        <v>#REF!</v>
      </c>
      <c r="D472" s="10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103"/>
      <c r="B473" s="103"/>
      <c r="C473" s="104" t="e">
        <v>#REF!</v>
      </c>
      <c r="D473" s="10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103"/>
      <c r="B474" s="103"/>
      <c r="C474" s="104" t="e">
        <v>#REF!</v>
      </c>
      <c r="D474" s="10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103"/>
      <c r="B475" s="103"/>
      <c r="C475" s="104" t="e">
        <v>#REF!</v>
      </c>
      <c r="D475" s="10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103"/>
      <c r="B476" s="103"/>
      <c r="C476" s="104" t="e">
        <v>#REF!</v>
      </c>
      <c r="D476" s="10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103"/>
      <c r="B477" s="103"/>
      <c r="C477" s="104" t="e">
        <v>#REF!</v>
      </c>
      <c r="D477" s="10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103"/>
      <c r="B478" s="103"/>
      <c r="C478" s="104" t="e">
        <v>#REF!</v>
      </c>
      <c r="D478" s="10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103"/>
      <c r="B479" s="103"/>
      <c r="C479" s="104" t="e">
        <v>#REF!</v>
      </c>
      <c r="D479" s="10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103"/>
      <c r="B480" s="103"/>
      <c r="C480" s="104" t="e">
        <v>#REF!</v>
      </c>
      <c r="D480" s="10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103"/>
      <c r="B481" s="103"/>
      <c r="C481" s="104" t="e">
        <v>#REF!</v>
      </c>
      <c r="D481" s="10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103"/>
      <c r="B482" s="103"/>
      <c r="C482" s="104" t="e">
        <v>#REF!</v>
      </c>
      <c r="D482" s="10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103"/>
      <c r="B483" s="103"/>
      <c r="C483" s="104" t="e">
        <v>#REF!</v>
      </c>
      <c r="D483" s="10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103"/>
      <c r="B484" s="103"/>
      <c r="C484" s="104" t="e">
        <v>#REF!</v>
      </c>
      <c r="D484" s="10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103"/>
      <c r="B485" s="103"/>
      <c r="C485" s="104" t="e">
        <v>#REF!</v>
      </c>
      <c r="D485" s="10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103"/>
      <c r="B486" s="103"/>
      <c r="C486" s="104" t="e">
        <v>#REF!</v>
      </c>
      <c r="D486" s="10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103"/>
      <c r="B487" s="103"/>
      <c r="C487" s="104" t="e">
        <v>#REF!</v>
      </c>
      <c r="D487" s="10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103"/>
      <c r="B488" s="103"/>
      <c r="C488" s="104" t="e">
        <v>#REF!</v>
      </c>
      <c r="D488" s="10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103"/>
      <c r="B489" s="103"/>
      <c r="C489" s="104" t="e">
        <v>#REF!</v>
      </c>
      <c r="D489" s="10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103"/>
      <c r="B490" s="103"/>
      <c r="C490" s="104" t="e">
        <v>#REF!</v>
      </c>
      <c r="D490" s="10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103"/>
      <c r="B491" s="103"/>
      <c r="C491" s="104" t="e">
        <v>#REF!</v>
      </c>
      <c r="D491" s="10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103"/>
      <c r="B492" s="103"/>
      <c r="C492" s="104" t="e">
        <v>#REF!</v>
      </c>
      <c r="D492" s="10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103"/>
      <c r="B493" s="103"/>
      <c r="C493" s="104" t="e">
        <v>#REF!</v>
      </c>
      <c r="D493" s="10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103"/>
      <c r="B494" s="103"/>
      <c r="C494" s="104" t="e">
        <v>#REF!</v>
      </c>
      <c r="D494" s="10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103"/>
      <c r="B495" s="103"/>
      <c r="C495" s="104" t="e">
        <v>#REF!</v>
      </c>
      <c r="D495" s="10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103"/>
      <c r="B496" s="103"/>
      <c r="C496" s="104" t="e">
        <v>#REF!</v>
      </c>
      <c r="D496" s="10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103"/>
      <c r="B497" s="103"/>
      <c r="C497" s="104" t="e">
        <v>#REF!</v>
      </c>
      <c r="D497" s="10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103"/>
      <c r="B498" s="103"/>
      <c r="C498" s="104" t="e">
        <v>#REF!</v>
      </c>
      <c r="D498" s="10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103"/>
      <c r="B499" s="103"/>
      <c r="C499" s="104" t="e">
        <v>#REF!</v>
      </c>
      <c r="D499" s="10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103"/>
      <c r="B500" s="103"/>
      <c r="C500" s="104" t="e">
        <v>#REF!</v>
      </c>
      <c r="D500" s="10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103"/>
      <c r="B501" s="103"/>
      <c r="C501" s="104" t="e">
        <v>#REF!</v>
      </c>
      <c r="D501" s="10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103"/>
      <c r="B502" s="103"/>
      <c r="C502" s="104" t="e">
        <v>#REF!</v>
      </c>
      <c r="D502" s="10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103"/>
      <c r="B503" s="103"/>
      <c r="C503" s="104" t="e">
        <v>#REF!</v>
      </c>
      <c r="D503" s="10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103"/>
      <c r="B504" s="103"/>
      <c r="C504" s="104" t="e">
        <v>#REF!</v>
      </c>
      <c r="D504" s="10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103"/>
      <c r="B505" s="103"/>
      <c r="C505" s="104" t="e">
        <v>#REF!</v>
      </c>
      <c r="D505" s="10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103"/>
      <c r="B506" s="103"/>
      <c r="C506" s="104" t="e">
        <v>#REF!</v>
      </c>
      <c r="D506" s="10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103"/>
      <c r="B507" s="103"/>
      <c r="C507" s="104" t="e">
        <v>#REF!</v>
      </c>
      <c r="D507" s="10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103"/>
      <c r="B508" s="103"/>
      <c r="C508" s="104" t="e">
        <v>#REF!</v>
      </c>
      <c r="D508" s="10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103"/>
      <c r="B509" s="103"/>
      <c r="C509" s="104" t="e">
        <v>#REF!</v>
      </c>
      <c r="D509" s="10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103"/>
      <c r="B510" s="103"/>
      <c r="C510" s="104" t="e">
        <v>#REF!</v>
      </c>
      <c r="D510" s="10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103"/>
      <c r="B511" s="103"/>
      <c r="C511" s="104" t="e">
        <v>#REF!</v>
      </c>
      <c r="D511" s="10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103"/>
      <c r="B512" s="103"/>
      <c r="C512" s="104" t="e">
        <v>#REF!</v>
      </c>
      <c r="D512" s="10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103"/>
      <c r="B513" s="103"/>
      <c r="C513" s="104" t="e">
        <v>#REF!</v>
      </c>
      <c r="D513" s="10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103"/>
      <c r="B514" s="103"/>
      <c r="C514" s="104" t="e">
        <v>#REF!</v>
      </c>
      <c r="D514" s="10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103"/>
      <c r="B515" s="103"/>
      <c r="C515" s="104" t="e">
        <v>#REF!</v>
      </c>
      <c r="D515" s="10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103"/>
      <c r="B516" s="103"/>
      <c r="C516" s="104" t="e">
        <v>#REF!</v>
      </c>
      <c r="D516" s="10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103"/>
      <c r="B517" s="103"/>
      <c r="C517" s="104" t="e">
        <v>#REF!</v>
      </c>
      <c r="D517" s="10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103"/>
      <c r="B518" s="103"/>
      <c r="C518" s="104" t="e">
        <v>#REF!</v>
      </c>
      <c r="D518" s="10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103"/>
      <c r="B519" s="103"/>
      <c r="C519" s="104" t="e">
        <v>#REF!</v>
      </c>
      <c r="D519" s="10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103"/>
      <c r="B520" s="103"/>
      <c r="C520" s="104" t="e">
        <v>#REF!</v>
      </c>
      <c r="D520" s="10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103"/>
      <c r="B521" s="103"/>
      <c r="C521" s="104" t="e">
        <v>#REF!</v>
      </c>
      <c r="D521" s="10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103"/>
      <c r="B522" s="103"/>
      <c r="C522" s="104" t="e">
        <v>#REF!</v>
      </c>
      <c r="D522" s="10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103"/>
      <c r="B523" s="103"/>
      <c r="C523" s="104" t="e">
        <v>#REF!</v>
      </c>
      <c r="D523" s="10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103"/>
      <c r="B524" s="103"/>
      <c r="C524" s="104" t="e">
        <v>#REF!</v>
      </c>
      <c r="D524" s="10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103"/>
      <c r="B525" s="103"/>
      <c r="C525" s="104" t="e">
        <v>#REF!</v>
      </c>
      <c r="D525" s="10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103"/>
      <c r="B526" s="103"/>
      <c r="C526" s="104" t="e">
        <v>#REF!</v>
      </c>
      <c r="D526" s="10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103"/>
      <c r="B527" s="103"/>
      <c r="C527" s="104" t="e">
        <v>#REF!</v>
      </c>
      <c r="D527" s="10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103"/>
      <c r="B528" s="103"/>
      <c r="C528" s="104" t="e">
        <v>#REF!</v>
      </c>
      <c r="D528" s="10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103"/>
      <c r="B529" s="103"/>
      <c r="C529" s="104" t="e">
        <v>#REF!</v>
      </c>
      <c r="D529" s="10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103"/>
      <c r="B530" s="103"/>
      <c r="C530" s="104" t="e">
        <v>#REF!</v>
      </c>
      <c r="D530" s="10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103"/>
      <c r="B531" s="103"/>
      <c r="C531" s="104" t="e">
        <v>#REF!</v>
      </c>
      <c r="D531" s="10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103"/>
      <c r="B532" s="103"/>
      <c r="C532" s="104" t="e">
        <v>#REF!</v>
      </c>
      <c r="D532" s="10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103"/>
      <c r="B533" s="103"/>
      <c r="C533" s="104" t="e">
        <v>#REF!</v>
      </c>
      <c r="D533" s="10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103"/>
      <c r="B534" s="103"/>
      <c r="C534" s="104" t="e">
        <v>#REF!</v>
      </c>
      <c r="D534" s="10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103"/>
      <c r="B535" s="103"/>
      <c r="C535" s="104" t="e">
        <v>#REF!</v>
      </c>
      <c r="D535" s="10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103"/>
      <c r="B536" s="103"/>
      <c r="C536" s="104" t="e">
        <v>#REF!</v>
      </c>
      <c r="D536" s="10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103"/>
      <c r="B537" s="103"/>
      <c r="C537" s="104" t="e">
        <v>#REF!</v>
      </c>
      <c r="D537" s="10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103"/>
      <c r="B538" s="103"/>
      <c r="C538" s="104" t="e">
        <v>#REF!</v>
      </c>
      <c r="D538" s="10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103"/>
      <c r="B539" s="103"/>
      <c r="C539" s="104" t="e">
        <v>#REF!</v>
      </c>
      <c r="D539" s="10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103"/>
      <c r="B540" s="103"/>
      <c r="C540" s="104" t="e">
        <v>#REF!</v>
      </c>
      <c r="D540" s="10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103"/>
      <c r="B541" s="103"/>
      <c r="C541" s="104" t="e">
        <v>#REF!</v>
      </c>
      <c r="D541" s="10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103"/>
      <c r="B542" s="103"/>
      <c r="C542" s="104" t="e">
        <v>#REF!</v>
      </c>
      <c r="D542" s="10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103"/>
      <c r="B543" s="103"/>
      <c r="C543" s="104" t="e">
        <v>#REF!</v>
      </c>
      <c r="D543" s="10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103"/>
      <c r="B544" s="103"/>
      <c r="C544" s="104" t="e">
        <v>#REF!</v>
      </c>
      <c r="D544" s="10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103"/>
      <c r="B545" s="103"/>
      <c r="C545" s="104" t="e">
        <v>#REF!</v>
      </c>
      <c r="D545" s="10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103"/>
      <c r="B546" s="103"/>
      <c r="C546" s="104" t="e">
        <v>#REF!</v>
      </c>
      <c r="D546" s="10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103"/>
      <c r="B547" s="103"/>
      <c r="C547" s="104" t="e">
        <v>#REF!</v>
      </c>
      <c r="D547" s="10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103"/>
      <c r="B548" s="103"/>
      <c r="C548" s="104" t="e">
        <v>#REF!</v>
      </c>
      <c r="D548" s="10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103"/>
      <c r="B549" s="103"/>
      <c r="C549" s="104" t="e">
        <v>#REF!</v>
      </c>
      <c r="D549" s="10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103"/>
      <c r="B550" s="103"/>
      <c r="C550" s="104" t="e">
        <v>#REF!</v>
      </c>
      <c r="D550" s="10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103"/>
      <c r="B551" s="103"/>
      <c r="C551" s="104" t="e">
        <v>#REF!</v>
      </c>
      <c r="D551" s="10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103"/>
      <c r="B552" s="103"/>
      <c r="C552" s="104" t="e">
        <v>#REF!</v>
      </c>
      <c r="D552" s="10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103"/>
      <c r="B553" s="103"/>
      <c r="C553" s="104" t="e">
        <v>#REF!</v>
      </c>
      <c r="D553" s="10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103"/>
      <c r="B554" s="103"/>
      <c r="C554" s="104" t="e">
        <v>#REF!</v>
      </c>
      <c r="D554" s="10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103"/>
      <c r="B555" s="103"/>
      <c r="C555" s="104" t="e">
        <v>#REF!</v>
      </c>
      <c r="D555" s="10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103"/>
      <c r="B556" s="103"/>
      <c r="C556" s="104" t="e">
        <v>#REF!</v>
      </c>
      <c r="D556" s="10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103"/>
      <c r="B557" s="103"/>
      <c r="C557" s="104" t="e">
        <v>#REF!</v>
      </c>
      <c r="D557" s="10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103"/>
      <c r="B558" s="103"/>
      <c r="C558" s="104" t="e">
        <v>#REF!</v>
      </c>
      <c r="D558" s="10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103"/>
      <c r="B559" s="103"/>
      <c r="C559" s="104" t="e">
        <v>#REF!</v>
      </c>
      <c r="D559" s="10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103"/>
      <c r="B560" s="103"/>
      <c r="C560" s="104" t="e">
        <v>#REF!</v>
      </c>
      <c r="D560" s="10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103"/>
      <c r="B561" s="103"/>
      <c r="C561" s="104" t="e">
        <v>#REF!</v>
      </c>
      <c r="D561" s="10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103"/>
      <c r="B562" s="103"/>
      <c r="C562" s="104" t="e">
        <v>#REF!</v>
      </c>
      <c r="D562" s="10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103"/>
      <c r="B563" s="103"/>
      <c r="C563" s="104" t="e">
        <v>#REF!</v>
      </c>
      <c r="D563" s="10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103"/>
      <c r="B564" s="103"/>
      <c r="C564" s="104" t="e">
        <v>#REF!</v>
      </c>
      <c r="D564" s="10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103"/>
      <c r="B565" s="103"/>
      <c r="C565" s="104" t="e">
        <v>#REF!</v>
      </c>
      <c r="D565" s="10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103"/>
      <c r="B566" s="103"/>
      <c r="C566" s="104" t="e">
        <v>#REF!</v>
      </c>
      <c r="D566" s="10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103"/>
      <c r="B567" s="103"/>
      <c r="C567" s="104" t="e">
        <v>#REF!</v>
      </c>
      <c r="D567" s="10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103"/>
      <c r="B568" s="103"/>
      <c r="C568" s="104" t="e">
        <v>#REF!</v>
      </c>
      <c r="D568" s="10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103"/>
      <c r="B569" s="103"/>
      <c r="C569" s="104" t="e">
        <v>#REF!</v>
      </c>
      <c r="D569" s="10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103"/>
      <c r="B570" s="103"/>
      <c r="C570" s="104" t="e">
        <v>#REF!</v>
      </c>
      <c r="D570" s="10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103"/>
      <c r="B571" s="103"/>
      <c r="C571" s="104" t="e">
        <v>#REF!</v>
      </c>
      <c r="D571" s="10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103"/>
      <c r="B572" s="103"/>
      <c r="C572" s="104" t="e">
        <v>#REF!</v>
      </c>
      <c r="D572" s="10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103"/>
      <c r="B573" s="103"/>
      <c r="C573" s="104" t="e">
        <v>#REF!</v>
      </c>
      <c r="D573" s="10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103"/>
      <c r="B574" s="103"/>
      <c r="C574" s="104" t="e">
        <v>#REF!</v>
      </c>
      <c r="D574" s="10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103"/>
      <c r="B575" s="103"/>
      <c r="C575" s="104" t="e">
        <v>#REF!</v>
      </c>
      <c r="D575" s="10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103"/>
      <c r="B576" s="103"/>
      <c r="C576" s="104" t="e">
        <v>#REF!</v>
      </c>
      <c r="D576" s="10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103"/>
      <c r="B577" s="103"/>
      <c r="C577" s="104" t="e">
        <v>#REF!</v>
      </c>
      <c r="D577" s="10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103"/>
      <c r="B578" s="103"/>
      <c r="C578" s="104" t="e">
        <v>#REF!</v>
      </c>
      <c r="D578" s="10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103"/>
      <c r="B579" s="103"/>
      <c r="C579" s="104" t="e">
        <v>#REF!</v>
      </c>
      <c r="D579" s="10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103"/>
      <c r="B580" s="103"/>
      <c r="C580" s="104" t="e">
        <v>#REF!</v>
      </c>
      <c r="D580" s="10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103"/>
      <c r="B581" s="103"/>
      <c r="C581" s="104" t="e">
        <v>#REF!</v>
      </c>
      <c r="D581" s="10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103"/>
      <c r="B582" s="103"/>
      <c r="C582" s="104" t="e">
        <v>#REF!</v>
      </c>
      <c r="D582" s="10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103"/>
      <c r="B583" s="103"/>
      <c r="C583" s="104" t="e">
        <v>#REF!</v>
      </c>
      <c r="D583" s="10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103"/>
      <c r="B584" s="103"/>
      <c r="C584" s="104" t="e">
        <v>#REF!</v>
      </c>
      <c r="D584" s="10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103"/>
      <c r="B585" s="103"/>
      <c r="C585" s="104" t="e">
        <v>#REF!</v>
      </c>
      <c r="D585" s="10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103"/>
      <c r="B586" s="103"/>
      <c r="C586" s="104" t="e">
        <v>#REF!</v>
      </c>
      <c r="D586" s="10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103"/>
      <c r="B587" s="103"/>
      <c r="C587" s="104" t="e">
        <v>#REF!</v>
      </c>
      <c r="D587" s="10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103"/>
      <c r="B588" s="103"/>
      <c r="C588" s="104" t="e">
        <v>#REF!</v>
      </c>
      <c r="D588" s="10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103"/>
      <c r="B589" s="103"/>
      <c r="C589" s="104" t="e">
        <v>#REF!</v>
      </c>
      <c r="D589" s="10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103"/>
      <c r="B590" s="103"/>
      <c r="C590" s="104" t="e">
        <v>#REF!</v>
      </c>
      <c r="D590" s="10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103"/>
      <c r="B591" s="103"/>
      <c r="C591" s="104" t="e">
        <v>#REF!</v>
      </c>
      <c r="D591" s="10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103"/>
      <c r="B592" s="103"/>
      <c r="C592" s="104" t="e">
        <v>#REF!</v>
      </c>
      <c r="D592" s="10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103"/>
      <c r="B593" s="103"/>
      <c r="C593" s="104" t="e">
        <v>#REF!</v>
      </c>
      <c r="D593" s="10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103"/>
      <c r="B594" s="103"/>
      <c r="C594" s="104" t="e">
        <v>#REF!</v>
      </c>
      <c r="D594" s="10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103"/>
      <c r="B595" s="103"/>
      <c r="C595" s="104" t="e">
        <v>#REF!</v>
      </c>
      <c r="D595" s="10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103"/>
      <c r="B596" s="103"/>
      <c r="C596" s="104" t="e">
        <v>#REF!</v>
      </c>
      <c r="D596" s="10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103"/>
      <c r="B597" s="103"/>
      <c r="C597" s="104" t="e">
        <v>#REF!</v>
      </c>
      <c r="D597" s="10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103"/>
      <c r="B598" s="103"/>
      <c r="C598" s="104" t="e">
        <v>#REF!</v>
      </c>
      <c r="D598" s="10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103"/>
      <c r="B599" s="103"/>
      <c r="C599" s="104" t="e">
        <v>#REF!</v>
      </c>
      <c r="D599" s="10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103"/>
      <c r="B600" s="103"/>
      <c r="C600" s="104" t="e">
        <v>#REF!</v>
      </c>
      <c r="D600" s="10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103"/>
      <c r="B601" s="103"/>
      <c r="C601" s="104" t="e">
        <v>#REF!</v>
      </c>
      <c r="D601" s="10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103"/>
      <c r="B602" s="103"/>
      <c r="C602" s="104" t="e">
        <v>#REF!</v>
      </c>
      <c r="D602" s="10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103"/>
      <c r="B603" s="103"/>
      <c r="C603" s="104" t="e">
        <v>#REF!</v>
      </c>
      <c r="D603" s="10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103"/>
      <c r="B604" s="103"/>
      <c r="C604" s="104" t="e">
        <v>#REF!</v>
      </c>
      <c r="D604" s="10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103"/>
      <c r="B605" s="103"/>
      <c r="C605" s="104" t="e">
        <v>#REF!</v>
      </c>
      <c r="D605" s="10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103"/>
      <c r="B606" s="103"/>
      <c r="C606" s="104" t="e">
        <v>#REF!</v>
      </c>
      <c r="D606" s="10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103"/>
      <c r="B607" s="103"/>
      <c r="C607" s="104" t="e">
        <v>#REF!</v>
      </c>
      <c r="D607" s="10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103"/>
      <c r="B608" s="103"/>
      <c r="C608" s="104" t="e">
        <v>#REF!</v>
      </c>
      <c r="D608" s="10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103"/>
      <c r="B609" s="103"/>
      <c r="C609" s="104" t="e">
        <v>#REF!</v>
      </c>
      <c r="D609" s="10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103"/>
      <c r="B610" s="103"/>
      <c r="C610" s="104" t="e">
        <v>#REF!</v>
      </c>
      <c r="D610" s="10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103"/>
      <c r="B611" s="103"/>
      <c r="C611" s="104" t="e">
        <v>#REF!</v>
      </c>
      <c r="D611" s="10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103"/>
      <c r="B612" s="103"/>
      <c r="C612" s="104" t="e">
        <v>#REF!</v>
      </c>
      <c r="D612" s="10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103"/>
      <c r="B613" s="103"/>
      <c r="C613" s="104" t="e">
        <v>#REF!</v>
      </c>
      <c r="D613" s="10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103"/>
      <c r="B614" s="103"/>
      <c r="C614" s="104" t="e">
        <v>#REF!</v>
      </c>
      <c r="D614" s="10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103"/>
      <c r="B615" s="103"/>
      <c r="C615" s="104" t="e">
        <v>#REF!</v>
      </c>
      <c r="D615" s="10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103"/>
      <c r="B616" s="103"/>
      <c r="C616" s="104" t="e">
        <v>#REF!</v>
      </c>
      <c r="D616" s="10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103"/>
      <c r="B617" s="103"/>
      <c r="C617" s="104" t="e">
        <v>#REF!</v>
      </c>
      <c r="D617" s="10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103"/>
      <c r="B618" s="103"/>
      <c r="C618" s="104" t="e">
        <v>#REF!</v>
      </c>
      <c r="D618" s="10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103"/>
      <c r="B619" s="103"/>
      <c r="C619" s="104" t="e">
        <v>#REF!</v>
      </c>
      <c r="D619" s="10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103"/>
      <c r="B620" s="103"/>
      <c r="C620" s="104" t="e">
        <v>#REF!</v>
      </c>
      <c r="D620" s="10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103"/>
      <c r="B621" s="103"/>
      <c r="C621" s="104" t="e">
        <v>#REF!</v>
      </c>
      <c r="D621" s="10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103"/>
      <c r="B622" s="103"/>
      <c r="C622" s="104" t="e">
        <v>#REF!</v>
      </c>
      <c r="D622" s="10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103"/>
      <c r="B623" s="103"/>
      <c r="C623" s="104" t="e">
        <v>#REF!</v>
      </c>
      <c r="D623" s="10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103"/>
      <c r="B624" s="103"/>
      <c r="C624" s="104" t="e">
        <v>#REF!</v>
      </c>
      <c r="D624" s="10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103"/>
      <c r="B625" s="103"/>
      <c r="C625" s="104" t="e">
        <v>#REF!</v>
      </c>
      <c r="D625" s="10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103"/>
      <c r="B626" s="103"/>
      <c r="C626" s="104" t="e">
        <v>#REF!</v>
      </c>
      <c r="D626" s="10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103"/>
      <c r="B627" s="103"/>
      <c r="C627" s="104" t="e">
        <v>#REF!</v>
      </c>
      <c r="D627" s="10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103"/>
      <c r="B628" s="103"/>
      <c r="C628" s="104" t="e">
        <v>#REF!</v>
      </c>
      <c r="D628" s="10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103"/>
      <c r="B629" s="103"/>
      <c r="C629" s="104" t="e">
        <v>#REF!</v>
      </c>
      <c r="D629" s="10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103"/>
      <c r="B630" s="103"/>
      <c r="C630" s="104" t="e">
        <v>#REF!</v>
      </c>
      <c r="D630" s="10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103"/>
      <c r="B631" s="103"/>
      <c r="C631" s="104" t="e">
        <v>#REF!</v>
      </c>
      <c r="D631" s="10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103"/>
      <c r="B632" s="103"/>
      <c r="C632" s="104" t="e">
        <v>#REF!</v>
      </c>
      <c r="D632" s="10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103"/>
      <c r="B633" s="103"/>
      <c r="C633" s="104" t="e">
        <v>#REF!</v>
      </c>
      <c r="D633" s="10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103"/>
      <c r="B634" s="103"/>
      <c r="C634" s="104" t="e">
        <v>#REF!</v>
      </c>
      <c r="D634" s="10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103"/>
      <c r="B635" s="103"/>
      <c r="C635" s="104" t="e">
        <v>#REF!</v>
      </c>
      <c r="D635" s="10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103"/>
      <c r="B636" s="103"/>
      <c r="C636" s="104" t="e">
        <v>#REF!</v>
      </c>
      <c r="D636" s="10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103"/>
      <c r="B637" s="103"/>
      <c r="C637" s="104" t="e">
        <v>#REF!</v>
      </c>
      <c r="D637" s="10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103"/>
      <c r="B638" s="103"/>
      <c r="C638" s="104" t="e">
        <v>#REF!</v>
      </c>
      <c r="D638" s="10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103"/>
      <c r="B639" s="103"/>
      <c r="C639" s="104" t="e">
        <v>#REF!</v>
      </c>
      <c r="D639" s="10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103"/>
      <c r="B640" s="103"/>
      <c r="C640" s="104" t="e">
        <v>#REF!</v>
      </c>
      <c r="D640" s="10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103"/>
      <c r="B641" s="103"/>
      <c r="C641" s="104" t="e">
        <v>#REF!</v>
      </c>
      <c r="D641" s="10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103"/>
      <c r="B642" s="103"/>
      <c r="C642" s="104" t="e">
        <v>#REF!</v>
      </c>
      <c r="D642" s="10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103"/>
      <c r="B643" s="103"/>
      <c r="C643" s="104" t="e">
        <v>#REF!</v>
      </c>
      <c r="D643" s="10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103"/>
      <c r="B644" s="103"/>
      <c r="C644" s="104" t="e">
        <v>#REF!</v>
      </c>
      <c r="D644" s="10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103"/>
      <c r="B645" s="103"/>
      <c r="C645" s="104" t="e">
        <v>#REF!</v>
      </c>
      <c r="D645" s="10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103"/>
      <c r="B646" s="103"/>
      <c r="C646" s="104" t="e">
        <v>#REF!</v>
      </c>
      <c r="D646" s="10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103"/>
      <c r="B647" s="103"/>
      <c r="C647" s="104" t="e">
        <v>#REF!</v>
      </c>
      <c r="D647" s="10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103"/>
      <c r="B648" s="103"/>
      <c r="C648" s="104" t="e">
        <v>#REF!</v>
      </c>
      <c r="D648" s="10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103"/>
      <c r="B649" s="103"/>
      <c r="C649" s="104" t="e">
        <v>#REF!</v>
      </c>
      <c r="D649" s="10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103"/>
      <c r="B650" s="103"/>
      <c r="C650" s="104" t="e">
        <v>#REF!</v>
      </c>
      <c r="D650" s="10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103"/>
      <c r="B651" s="103"/>
      <c r="C651" s="104" t="e">
        <v>#REF!</v>
      </c>
      <c r="D651" s="10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103"/>
      <c r="B652" s="103"/>
      <c r="C652" s="104" t="e">
        <v>#REF!</v>
      </c>
      <c r="D652" s="10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103"/>
      <c r="B653" s="103"/>
      <c r="C653" s="104" t="e">
        <v>#REF!</v>
      </c>
      <c r="D653" s="10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103"/>
      <c r="B654" s="103"/>
      <c r="C654" s="104" t="e">
        <v>#REF!</v>
      </c>
      <c r="D654" s="10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103"/>
      <c r="B655" s="103"/>
      <c r="C655" s="104" t="e">
        <v>#REF!</v>
      </c>
      <c r="D655" s="10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103"/>
      <c r="B656" s="103"/>
      <c r="C656" s="104" t="e">
        <v>#REF!</v>
      </c>
      <c r="D656" s="10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103"/>
      <c r="B657" s="103"/>
      <c r="C657" s="104" t="e">
        <v>#REF!</v>
      </c>
      <c r="D657" s="10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103"/>
      <c r="B658" s="103"/>
      <c r="C658" s="104" t="e">
        <v>#REF!</v>
      </c>
      <c r="D658" s="10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103"/>
      <c r="B659" s="103"/>
      <c r="C659" s="104" t="e">
        <v>#REF!</v>
      </c>
      <c r="D659" s="10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103"/>
      <c r="B660" s="103"/>
      <c r="C660" s="104" t="e">
        <v>#REF!</v>
      </c>
      <c r="D660" s="10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103"/>
      <c r="B661" s="103"/>
      <c r="C661" s="104" t="e">
        <v>#REF!</v>
      </c>
      <c r="D661" s="10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103"/>
      <c r="B662" s="103"/>
      <c r="C662" s="104" t="e">
        <v>#REF!</v>
      </c>
      <c r="D662" s="10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103"/>
      <c r="B663" s="103"/>
      <c r="C663" s="104" t="e">
        <v>#REF!</v>
      </c>
      <c r="D663" s="10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103"/>
      <c r="B664" s="103"/>
      <c r="C664" s="104" t="e">
        <v>#REF!</v>
      </c>
      <c r="D664" s="10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103"/>
      <c r="B665" s="103"/>
      <c r="C665" s="104" t="e">
        <v>#REF!</v>
      </c>
      <c r="D665" s="10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103"/>
      <c r="B666" s="103"/>
      <c r="C666" s="104" t="e">
        <v>#REF!</v>
      </c>
      <c r="D666" s="10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103"/>
      <c r="B667" s="103"/>
      <c r="C667" s="104" t="e">
        <v>#REF!</v>
      </c>
      <c r="D667" s="10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103"/>
      <c r="B668" s="103"/>
      <c r="C668" s="104" t="e">
        <v>#REF!</v>
      </c>
      <c r="D668" s="10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103"/>
      <c r="B669" s="103"/>
      <c r="C669" s="104" t="e">
        <v>#REF!</v>
      </c>
      <c r="D669" s="10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103"/>
      <c r="B670" s="103"/>
      <c r="C670" s="104" t="e">
        <v>#REF!</v>
      </c>
      <c r="D670" s="10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103"/>
      <c r="B671" s="103"/>
      <c r="C671" s="104" t="e">
        <v>#REF!</v>
      </c>
      <c r="D671" s="10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103"/>
      <c r="B672" s="103"/>
      <c r="C672" s="104" t="e">
        <v>#REF!</v>
      </c>
      <c r="D672" s="10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103"/>
      <c r="B673" s="103"/>
      <c r="C673" s="104" t="e">
        <v>#REF!</v>
      </c>
      <c r="D673" s="10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103"/>
      <c r="B674" s="103"/>
      <c r="C674" s="104" t="e">
        <v>#REF!</v>
      </c>
      <c r="D674" s="10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103"/>
      <c r="B675" s="103"/>
      <c r="C675" s="104" t="e">
        <v>#REF!</v>
      </c>
      <c r="D675" s="10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103"/>
      <c r="B676" s="103"/>
      <c r="C676" s="104" t="e">
        <v>#REF!</v>
      </c>
      <c r="D676" s="10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103"/>
      <c r="B677" s="103"/>
      <c r="C677" s="104" t="e">
        <v>#REF!</v>
      </c>
      <c r="D677" s="10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103"/>
      <c r="B678" s="103"/>
      <c r="C678" s="104" t="e">
        <v>#REF!</v>
      </c>
      <c r="D678" s="10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103"/>
      <c r="B679" s="103"/>
      <c r="C679" s="104" t="e">
        <v>#REF!</v>
      </c>
      <c r="D679" s="10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103"/>
      <c r="B680" s="103"/>
      <c r="C680" s="104" t="e">
        <v>#REF!</v>
      </c>
      <c r="D680" s="10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103"/>
      <c r="B681" s="103"/>
      <c r="C681" s="104" t="e">
        <v>#REF!</v>
      </c>
      <c r="D681" s="10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103"/>
      <c r="B682" s="103"/>
      <c r="C682" s="104" t="e">
        <v>#REF!</v>
      </c>
      <c r="D682" s="10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103"/>
      <c r="B683" s="103"/>
      <c r="C683" s="104" t="e">
        <v>#REF!</v>
      </c>
      <c r="D683" s="10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103"/>
      <c r="B684" s="103"/>
      <c r="C684" s="104" t="e">
        <v>#REF!</v>
      </c>
      <c r="D684" s="10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103"/>
      <c r="B685" s="103"/>
      <c r="C685" s="104" t="e">
        <v>#REF!</v>
      </c>
      <c r="D685" s="10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103"/>
      <c r="B686" s="103"/>
      <c r="C686" s="104" t="e">
        <v>#REF!</v>
      </c>
      <c r="D686" s="10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103"/>
      <c r="B687" s="103"/>
      <c r="C687" s="104" t="e">
        <v>#REF!</v>
      </c>
      <c r="D687" s="10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103"/>
      <c r="B688" s="103"/>
      <c r="C688" s="104" t="e">
        <v>#REF!</v>
      </c>
      <c r="D688" s="10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103"/>
      <c r="B689" s="103"/>
      <c r="C689" s="104" t="e">
        <v>#REF!</v>
      </c>
      <c r="D689" s="10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103"/>
      <c r="B690" s="103"/>
      <c r="C690" s="104" t="e">
        <v>#REF!</v>
      </c>
      <c r="D690" s="10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103"/>
      <c r="B691" s="103"/>
      <c r="C691" s="104" t="e">
        <v>#REF!</v>
      </c>
      <c r="D691" s="10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103"/>
      <c r="B692" s="103"/>
      <c r="C692" s="104" t="e">
        <v>#REF!</v>
      </c>
      <c r="D692" s="10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103"/>
      <c r="B693" s="103"/>
      <c r="C693" s="104" t="e">
        <v>#REF!</v>
      </c>
      <c r="D693" s="10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103"/>
      <c r="B694" s="103"/>
      <c r="C694" s="104" t="e">
        <v>#REF!</v>
      </c>
      <c r="D694" s="10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103"/>
      <c r="B695" s="103"/>
      <c r="C695" s="104" t="e">
        <v>#REF!</v>
      </c>
      <c r="D695" s="10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103"/>
      <c r="B696" s="103"/>
      <c r="C696" s="104" t="e">
        <v>#REF!</v>
      </c>
      <c r="D696" s="10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103"/>
      <c r="B697" s="103"/>
      <c r="C697" s="104" t="e">
        <v>#REF!</v>
      </c>
      <c r="D697" s="10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103"/>
      <c r="B698" s="103"/>
      <c r="C698" s="104" t="e">
        <v>#REF!</v>
      </c>
      <c r="D698" s="10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103"/>
      <c r="B699" s="103"/>
      <c r="C699" s="104" t="e">
        <v>#REF!</v>
      </c>
      <c r="D699" s="10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103"/>
      <c r="B700" s="103"/>
      <c r="C700" s="104" t="e">
        <v>#REF!</v>
      </c>
      <c r="D700" s="10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103"/>
      <c r="B701" s="103"/>
      <c r="C701" s="104" t="e">
        <v>#REF!</v>
      </c>
      <c r="D701" s="10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103"/>
      <c r="B702" s="103"/>
      <c r="C702" s="104" t="e">
        <v>#REF!</v>
      </c>
      <c r="D702" s="10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103"/>
      <c r="B703" s="103"/>
      <c r="C703" s="104" t="e">
        <v>#REF!</v>
      </c>
      <c r="D703" s="10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103"/>
      <c r="B704" s="103"/>
      <c r="C704" s="104" t="e">
        <v>#REF!</v>
      </c>
      <c r="D704" s="10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103"/>
      <c r="B705" s="103"/>
      <c r="C705" s="104" t="e">
        <v>#REF!</v>
      </c>
      <c r="D705" s="10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103"/>
      <c r="B706" s="103"/>
      <c r="C706" s="104" t="e">
        <v>#REF!</v>
      </c>
      <c r="D706" s="10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103"/>
      <c r="B707" s="103"/>
      <c r="C707" s="104" t="e">
        <v>#REF!</v>
      </c>
      <c r="D707" s="10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103"/>
      <c r="B708" s="103"/>
      <c r="C708" s="104" t="e">
        <v>#REF!</v>
      </c>
      <c r="D708" s="10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103"/>
      <c r="B709" s="103"/>
      <c r="C709" s="104" t="e">
        <v>#REF!</v>
      </c>
      <c r="D709" s="10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103"/>
      <c r="B710" s="103"/>
      <c r="C710" s="104" t="e">
        <v>#REF!</v>
      </c>
      <c r="D710" s="10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103"/>
      <c r="B711" s="103"/>
      <c r="C711" s="104" t="e">
        <v>#REF!</v>
      </c>
      <c r="D711" s="10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103"/>
      <c r="B712" s="103"/>
      <c r="C712" s="104" t="e">
        <v>#REF!</v>
      </c>
      <c r="D712" s="10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103"/>
      <c r="B713" s="103"/>
      <c r="C713" s="104" t="e">
        <v>#REF!</v>
      </c>
      <c r="D713" s="10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103"/>
      <c r="B714" s="103"/>
      <c r="C714" s="104" t="e">
        <v>#REF!</v>
      </c>
      <c r="D714" s="10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103"/>
      <c r="B715" s="103"/>
      <c r="C715" s="104" t="e">
        <v>#REF!</v>
      </c>
      <c r="D715" s="10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103"/>
      <c r="B716" s="103"/>
      <c r="C716" s="104" t="e">
        <v>#REF!</v>
      </c>
      <c r="D716" s="10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103"/>
      <c r="B717" s="103"/>
      <c r="C717" s="104" t="e">
        <v>#REF!</v>
      </c>
      <c r="D717" s="10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103"/>
      <c r="B718" s="103"/>
      <c r="C718" s="104" t="e">
        <v>#REF!</v>
      </c>
      <c r="D718" s="10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103"/>
      <c r="B719" s="103"/>
      <c r="C719" s="104" t="e">
        <v>#REF!</v>
      </c>
      <c r="D719" s="10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103"/>
      <c r="B720" s="103"/>
      <c r="C720" s="104" t="e">
        <v>#REF!</v>
      </c>
      <c r="D720" s="10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103"/>
      <c r="B721" s="103"/>
      <c r="C721" s="104" t="e">
        <v>#REF!</v>
      </c>
      <c r="D721" s="10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103"/>
      <c r="B722" s="103"/>
      <c r="C722" s="104" t="e">
        <v>#REF!</v>
      </c>
      <c r="D722" s="10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103"/>
      <c r="B723" s="103"/>
      <c r="C723" s="104" t="e">
        <v>#REF!</v>
      </c>
      <c r="D723" s="10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103"/>
      <c r="B724" s="103"/>
      <c r="C724" s="104" t="e">
        <v>#REF!</v>
      </c>
      <c r="D724" s="10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103"/>
      <c r="B725" s="103"/>
      <c r="C725" s="104" t="e">
        <v>#REF!</v>
      </c>
      <c r="D725" s="10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103"/>
      <c r="B726" s="103"/>
      <c r="C726" s="104" t="e">
        <v>#REF!</v>
      </c>
      <c r="D726" s="10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103"/>
      <c r="B727" s="103"/>
      <c r="C727" s="104" t="e">
        <v>#REF!</v>
      </c>
      <c r="D727" s="10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103"/>
      <c r="B728" s="103"/>
      <c r="C728" s="104" t="e">
        <v>#REF!</v>
      </c>
      <c r="D728" s="10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103"/>
      <c r="B729" s="103"/>
      <c r="C729" s="104" t="e">
        <v>#REF!</v>
      </c>
      <c r="D729" s="10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103"/>
      <c r="B730" s="103"/>
      <c r="C730" s="104" t="e">
        <v>#REF!</v>
      </c>
      <c r="D730" s="10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103"/>
      <c r="B731" s="103"/>
      <c r="C731" s="104" t="e">
        <v>#REF!</v>
      </c>
      <c r="D731" s="10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103"/>
      <c r="B732" s="103"/>
      <c r="C732" s="104" t="e">
        <v>#REF!</v>
      </c>
      <c r="D732" s="10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103"/>
      <c r="B733" s="103"/>
      <c r="C733" s="104" t="e">
        <v>#REF!</v>
      </c>
      <c r="D733" s="10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103"/>
      <c r="B734" s="103"/>
      <c r="C734" s="104" t="e">
        <v>#REF!</v>
      </c>
      <c r="D734" s="10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103"/>
      <c r="B735" s="103"/>
      <c r="C735" s="104" t="e">
        <v>#REF!</v>
      </c>
      <c r="D735" s="10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103"/>
      <c r="B736" s="103"/>
      <c r="C736" s="104" t="e">
        <v>#REF!</v>
      </c>
      <c r="D736" s="10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103"/>
      <c r="B737" s="103"/>
      <c r="C737" s="104" t="e">
        <v>#REF!</v>
      </c>
      <c r="D737" s="10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103"/>
      <c r="B738" s="103"/>
      <c r="C738" s="104" t="e">
        <v>#REF!</v>
      </c>
      <c r="D738" s="10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103"/>
      <c r="B739" s="103"/>
      <c r="C739" s="104" t="e">
        <v>#REF!</v>
      </c>
      <c r="D739" s="10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103"/>
      <c r="B740" s="103"/>
      <c r="C740" s="104" t="e">
        <v>#REF!</v>
      </c>
      <c r="D740" s="10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103"/>
      <c r="B741" s="103"/>
      <c r="C741" s="104" t="e">
        <v>#REF!</v>
      </c>
      <c r="D741" s="10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103"/>
      <c r="B742" s="103"/>
      <c r="C742" s="104" t="e">
        <v>#REF!</v>
      </c>
      <c r="D742" s="10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103"/>
      <c r="B743" s="103"/>
      <c r="C743" s="104" t="e">
        <v>#REF!</v>
      </c>
      <c r="D743" s="10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103"/>
      <c r="B744" s="103"/>
      <c r="C744" s="104" t="e">
        <v>#REF!</v>
      </c>
      <c r="D744" s="10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103"/>
      <c r="B745" s="103"/>
      <c r="C745" s="104" t="e">
        <v>#REF!</v>
      </c>
      <c r="D745" s="10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103"/>
      <c r="B746" s="103"/>
      <c r="C746" s="104" t="e">
        <v>#REF!</v>
      </c>
      <c r="D746" s="10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103"/>
      <c r="B747" s="103"/>
      <c r="C747" s="104" t="e">
        <v>#REF!</v>
      </c>
      <c r="D747" s="10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103"/>
      <c r="B748" s="103"/>
      <c r="C748" s="104" t="e">
        <v>#REF!</v>
      </c>
      <c r="D748" s="10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103"/>
      <c r="B749" s="103"/>
      <c r="C749" s="104" t="e">
        <v>#REF!</v>
      </c>
      <c r="D749" s="10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103"/>
      <c r="B750" s="103"/>
      <c r="C750" s="104" t="e">
        <v>#REF!</v>
      </c>
      <c r="D750" s="10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103"/>
      <c r="B751" s="103"/>
      <c r="C751" s="104" t="e">
        <v>#REF!</v>
      </c>
      <c r="D751" s="10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103"/>
      <c r="B752" s="103"/>
      <c r="C752" s="104" t="e">
        <v>#REF!</v>
      </c>
      <c r="D752" s="10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103"/>
      <c r="B753" s="103"/>
      <c r="C753" s="104" t="e">
        <v>#REF!</v>
      </c>
      <c r="D753" s="10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103"/>
      <c r="B754" s="103"/>
      <c r="C754" s="104" t="e">
        <v>#REF!</v>
      </c>
      <c r="D754" s="10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103"/>
      <c r="B755" s="103"/>
      <c r="C755" s="104" t="e">
        <v>#REF!</v>
      </c>
      <c r="D755" s="10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103"/>
      <c r="B756" s="103"/>
      <c r="C756" s="104" t="e">
        <v>#REF!</v>
      </c>
      <c r="D756" s="10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103"/>
      <c r="B757" s="103"/>
      <c r="C757" s="104" t="e">
        <v>#REF!</v>
      </c>
      <c r="D757" s="10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103"/>
      <c r="B758" s="103"/>
      <c r="C758" s="104" t="e">
        <v>#REF!</v>
      </c>
      <c r="D758" s="10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103"/>
      <c r="B759" s="103"/>
      <c r="C759" s="104" t="e">
        <v>#REF!</v>
      </c>
      <c r="D759" s="10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103"/>
      <c r="B760" s="103"/>
      <c r="C760" s="104" t="e">
        <v>#REF!</v>
      </c>
      <c r="D760" s="10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103"/>
      <c r="B761" s="103"/>
      <c r="C761" s="104" t="e">
        <v>#REF!</v>
      </c>
      <c r="D761" s="10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103"/>
      <c r="B762" s="103"/>
      <c r="C762" s="104" t="e">
        <v>#REF!</v>
      </c>
      <c r="D762" s="10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103"/>
      <c r="B763" s="103"/>
      <c r="C763" s="104" t="e">
        <v>#REF!</v>
      </c>
      <c r="D763" s="10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103"/>
      <c r="B764" s="103"/>
      <c r="C764" s="104" t="e">
        <v>#REF!</v>
      </c>
      <c r="D764" s="10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103"/>
      <c r="B765" s="103"/>
      <c r="C765" s="104" t="e">
        <v>#REF!</v>
      </c>
      <c r="D765" s="10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103"/>
      <c r="B766" s="103"/>
      <c r="C766" s="104" t="e">
        <v>#REF!</v>
      </c>
      <c r="D766" s="10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103"/>
      <c r="B767" s="103"/>
      <c r="C767" s="104" t="e">
        <v>#REF!</v>
      </c>
      <c r="D767" s="10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103"/>
      <c r="B768" s="103"/>
      <c r="C768" s="104" t="e">
        <v>#REF!</v>
      </c>
      <c r="D768" s="10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103"/>
      <c r="B769" s="103"/>
      <c r="C769" s="104" t="e">
        <v>#REF!</v>
      </c>
      <c r="D769" s="10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103"/>
      <c r="B770" s="103"/>
      <c r="C770" s="104" t="e">
        <v>#REF!</v>
      </c>
      <c r="D770" s="10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103"/>
      <c r="B771" s="103"/>
      <c r="C771" s="104" t="e">
        <v>#REF!</v>
      </c>
      <c r="D771" s="10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103"/>
      <c r="B772" s="103"/>
      <c r="C772" s="104" t="e">
        <v>#REF!</v>
      </c>
      <c r="D772" s="10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103"/>
      <c r="B773" s="103"/>
      <c r="C773" s="104" t="e">
        <v>#REF!</v>
      </c>
      <c r="D773" s="10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103"/>
      <c r="B774" s="103"/>
      <c r="C774" s="104" t="e">
        <v>#REF!</v>
      </c>
      <c r="D774" s="10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103"/>
      <c r="B775" s="103"/>
      <c r="C775" s="104" t="e">
        <v>#REF!</v>
      </c>
      <c r="D775" s="10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103"/>
      <c r="B776" s="103"/>
      <c r="C776" s="104" t="e">
        <v>#REF!</v>
      </c>
      <c r="D776" s="10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103"/>
      <c r="B777" s="103"/>
      <c r="C777" s="104" t="e">
        <v>#REF!</v>
      </c>
      <c r="D777" s="10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103"/>
      <c r="B778" s="103"/>
      <c r="C778" s="104" t="e">
        <v>#REF!</v>
      </c>
      <c r="D778" s="10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103"/>
      <c r="B779" s="103"/>
      <c r="C779" s="104" t="e">
        <v>#REF!</v>
      </c>
      <c r="D779" s="10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103"/>
      <c r="B780" s="103"/>
      <c r="C780" s="104" t="e">
        <v>#REF!</v>
      </c>
      <c r="D780" s="10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103"/>
      <c r="B781" s="103"/>
      <c r="C781" s="104" t="e">
        <v>#REF!</v>
      </c>
      <c r="D781" s="10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103"/>
      <c r="B782" s="103"/>
      <c r="C782" s="104" t="e">
        <v>#REF!</v>
      </c>
      <c r="D782" s="10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103"/>
      <c r="B783" s="103"/>
      <c r="C783" s="104" t="e">
        <v>#REF!</v>
      </c>
      <c r="D783" s="10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103"/>
      <c r="B784" s="103"/>
      <c r="C784" s="104" t="e">
        <v>#REF!</v>
      </c>
      <c r="D784" s="10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103"/>
      <c r="B785" s="103"/>
      <c r="C785" s="104" t="e">
        <v>#REF!</v>
      </c>
      <c r="D785" s="10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103"/>
      <c r="B786" s="103"/>
      <c r="C786" s="104" t="e">
        <v>#REF!</v>
      </c>
      <c r="D786" s="10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103"/>
      <c r="B787" s="103"/>
      <c r="C787" s="104" t="e">
        <v>#REF!</v>
      </c>
      <c r="D787" s="10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103"/>
      <c r="B788" s="103"/>
      <c r="C788" s="104" t="e">
        <v>#REF!</v>
      </c>
      <c r="D788" s="10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103"/>
      <c r="B789" s="103"/>
      <c r="C789" s="104" t="e">
        <v>#REF!</v>
      </c>
      <c r="D789" s="10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103"/>
      <c r="B790" s="103"/>
      <c r="C790" s="104" t="e">
        <v>#REF!</v>
      </c>
      <c r="D790" s="10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103"/>
      <c r="B791" s="103"/>
      <c r="C791" s="104" t="e">
        <v>#REF!</v>
      </c>
      <c r="D791" s="10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103"/>
      <c r="B792" s="103"/>
      <c r="C792" s="104" t="e">
        <v>#REF!</v>
      </c>
      <c r="D792" s="10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103"/>
      <c r="B793" s="103"/>
      <c r="C793" s="104" t="e">
        <v>#REF!</v>
      </c>
      <c r="D793" s="10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103"/>
      <c r="B794" s="103"/>
      <c r="C794" s="104" t="e">
        <v>#REF!</v>
      </c>
      <c r="D794" s="10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103"/>
      <c r="B795" s="103"/>
      <c r="C795" s="104" t="e">
        <v>#REF!</v>
      </c>
      <c r="D795" s="10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103"/>
      <c r="B796" s="103"/>
      <c r="C796" s="104" t="e">
        <v>#REF!</v>
      </c>
      <c r="D796" s="10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103"/>
      <c r="B797" s="103"/>
      <c r="C797" s="104" t="e">
        <v>#REF!</v>
      </c>
      <c r="D797" s="10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103"/>
      <c r="B798" s="103"/>
      <c r="C798" s="104" t="e">
        <v>#REF!</v>
      </c>
      <c r="D798" s="10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103"/>
      <c r="B799" s="103"/>
      <c r="C799" s="104" t="e">
        <v>#REF!</v>
      </c>
      <c r="D799" s="10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103"/>
      <c r="B800" s="103"/>
      <c r="C800" s="104" t="e">
        <v>#REF!</v>
      </c>
      <c r="D800" s="10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103"/>
      <c r="B801" s="103"/>
      <c r="C801" s="104" t="e">
        <v>#REF!</v>
      </c>
      <c r="D801" s="10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103"/>
      <c r="B802" s="103"/>
      <c r="C802" s="104" t="e">
        <v>#REF!</v>
      </c>
      <c r="D802" s="10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103"/>
      <c r="B803" s="103"/>
      <c r="C803" s="104" t="e">
        <v>#REF!</v>
      </c>
      <c r="D803" s="10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103"/>
      <c r="B804" s="103"/>
      <c r="C804" s="104" t="e">
        <v>#REF!</v>
      </c>
      <c r="D804" s="10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103"/>
      <c r="B805" s="103"/>
      <c r="C805" s="104" t="e">
        <v>#REF!</v>
      </c>
      <c r="D805" s="10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103"/>
      <c r="B806" s="103"/>
      <c r="C806" s="104" t="e">
        <v>#REF!</v>
      </c>
      <c r="D806" s="10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103"/>
      <c r="B807" s="103"/>
      <c r="C807" s="104" t="e">
        <v>#REF!</v>
      </c>
      <c r="D807" s="10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103"/>
      <c r="B808" s="103"/>
      <c r="C808" s="104" t="e">
        <v>#REF!</v>
      </c>
      <c r="D808" s="10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103"/>
      <c r="B809" s="103"/>
      <c r="C809" s="104" t="e">
        <v>#REF!</v>
      </c>
      <c r="D809" s="10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103"/>
      <c r="B810" s="103"/>
      <c r="C810" s="104" t="e">
        <v>#REF!</v>
      </c>
      <c r="D810" s="10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103"/>
      <c r="B811" s="103"/>
      <c r="C811" s="104" t="e">
        <v>#REF!</v>
      </c>
      <c r="D811" s="10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103"/>
      <c r="B812" s="103"/>
      <c r="C812" s="104" t="e">
        <v>#REF!</v>
      </c>
      <c r="D812" s="10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103"/>
      <c r="B813" s="103"/>
      <c r="C813" s="104" t="e">
        <v>#REF!</v>
      </c>
      <c r="D813" s="10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103"/>
      <c r="B814" s="103"/>
      <c r="C814" s="104" t="e">
        <v>#REF!</v>
      </c>
      <c r="D814" s="10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103"/>
      <c r="B815" s="103"/>
      <c r="C815" s="104" t="e">
        <v>#REF!</v>
      </c>
      <c r="D815" s="10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103"/>
      <c r="B816" s="103"/>
      <c r="C816" s="104" t="e">
        <v>#REF!</v>
      </c>
      <c r="D816" s="10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103"/>
      <c r="B817" s="103"/>
      <c r="C817" s="104" t="e">
        <v>#REF!</v>
      </c>
      <c r="D817" s="10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103"/>
      <c r="B818" s="103"/>
      <c r="C818" s="104" t="e">
        <v>#REF!</v>
      </c>
      <c r="D818" s="10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103"/>
      <c r="B819" s="103"/>
      <c r="C819" s="104" t="e">
        <v>#REF!</v>
      </c>
      <c r="D819" s="10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103"/>
      <c r="B820" s="103"/>
      <c r="C820" s="104" t="e">
        <v>#REF!</v>
      </c>
      <c r="D820" s="10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103"/>
      <c r="B821" s="103"/>
      <c r="C821" s="104" t="e">
        <v>#REF!</v>
      </c>
      <c r="D821" s="10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103"/>
      <c r="B822" s="103"/>
      <c r="C822" s="104" t="e">
        <v>#REF!</v>
      </c>
      <c r="D822" s="10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103"/>
      <c r="B823" s="103"/>
      <c r="C823" s="104" t="e">
        <v>#REF!</v>
      </c>
      <c r="D823" s="10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103"/>
      <c r="B824" s="103"/>
      <c r="C824" s="104" t="e">
        <v>#REF!</v>
      </c>
      <c r="D824" s="10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103"/>
      <c r="B825" s="103"/>
      <c r="C825" s="104" t="e">
        <v>#REF!</v>
      </c>
      <c r="D825" s="10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103"/>
      <c r="B826" s="103"/>
      <c r="C826" s="104" t="e">
        <v>#REF!</v>
      </c>
      <c r="D826" s="10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103"/>
      <c r="B827" s="103"/>
      <c r="C827" s="104" t="e">
        <v>#REF!</v>
      </c>
      <c r="D827" s="10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103"/>
      <c r="B828" s="103"/>
      <c r="C828" s="104" t="e">
        <v>#REF!</v>
      </c>
      <c r="D828" s="10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103"/>
      <c r="B829" s="103"/>
      <c r="C829" s="104" t="e">
        <v>#REF!</v>
      </c>
      <c r="D829" s="10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103"/>
      <c r="B830" s="103"/>
      <c r="C830" s="104" t="e">
        <v>#REF!</v>
      </c>
      <c r="D830" s="10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103"/>
      <c r="B831" s="103"/>
      <c r="C831" s="104" t="e">
        <v>#REF!</v>
      </c>
      <c r="D831" s="10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103"/>
      <c r="B832" s="103"/>
      <c r="C832" s="104" t="e">
        <v>#REF!</v>
      </c>
      <c r="D832" s="10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103"/>
      <c r="B833" s="103"/>
      <c r="C833" s="104" t="e">
        <v>#REF!</v>
      </c>
      <c r="D833" s="10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103"/>
      <c r="B834" s="103"/>
      <c r="C834" s="104" t="e">
        <v>#REF!</v>
      </c>
      <c r="D834" s="10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103"/>
      <c r="B835" s="103"/>
      <c r="C835" s="104" t="e">
        <v>#REF!</v>
      </c>
      <c r="D835" s="10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103"/>
      <c r="B836" s="103"/>
      <c r="C836" s="104" t="e">
        <v>#REF!</v>
      </c>
      <c r="D836" s="10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103"/>
      <c r="B837" s="103"/>
      <c r="C837" s="104" t="e">
        <v>#REF!</v>
      </c>
      <c r="D837" s="10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103"/>
      <c r="B838" s="103"/>
      <c r="C838" s="104" t="e">
        <v>#REF!</v>
      </c>
      <c r="D838" s="10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103"/>
      <c r="B839" s="103"/>
      <c r="C839" s="104" t="e">
        <v>#REF!</v>
      </c>
      <c r="D839" s="10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103"/>
      <c r="B840" s="103"/>
      <c r="C840" s="104" t="e">
        <v>#REF!</v>
      </c>
      <c r="D840" s="10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103"/>
      <c r="B841" s="103"/>
      <c r="C841" s="104" t="e">
        <v>#REF!</v>
      </c>
      <c r="D841" s="10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103"/>
      <c r="B842" s="103"/>
      <c r="C842" s="104" t="e">
        <v>#REF!</v>
      </c>
      <c r="D842" s="10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103"/>
      <c r="B843" s="103"/>
      <c r="C843" s="104" t="e">
        <v>#REF!</v>
      </c>
      <c r="D843" s="10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103"/>
      <c r="B844" s="103"/>
      <c r="C844" s="104" t="e">
        <v>#REF!</v>
      </c>
      <c r="D844" s="10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103"/>
      <c r="B845" s="103"/>
      <c r="C845" s="104" t="e">
        <v>#REF!</v>
      </c>
      <c r="D845" s="10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103"/>
      <c r="B846" s="103"/>
      <c r="C846" s="104" t="e">
        <v>#REF!</v>
      </c>
      <c r="D846" s="10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103"/>
      <c r="B847" s="103"/>
      <c r="C847" s="104" t="e">
        <v>#REF!</v>
      </c>
      <c r="D847" s="10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103"/>
      <c r="B848" s="103"/>
      <c r="C848" s="104" t="e">
        <v>#REF!</v>
      </c>
      <c r="D848" s="10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103"/>
      <c r="B849" s="103"/>
      <c r="C849" s="104" t="e">
        <v>#REF!</v>
      </c>
      <c r="D849" s="10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103"/>
      <c r="B850" s="103"/>
      <c r="C850" s="104" t="e">
        <v>#REF!</v>
      </c>
      <c r="D850" s="10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103"/>
      <c r="B851" s="103"/>
      <c r="C851" s="104" t="e">
        <v>#REF!</v>
      </c>
      <c r="D851" s="10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103"/>
      <c r="B852" s="103"/>
      <c r="C852" s="104" t="e">
        <v>#REF!</v>
      </c>
      <c r="D852" s="10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103"/>
      <c r="B853" s="103"/>
      <c r="C853" s="104" t="e">
        <v>#REF!</v>
      </c>
      <c r="D853" s="10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103"/>
      <c r="B854" s="103"/>
      <c r="C854" s="104" t="e">
        <v>#REF!</v>
      </c>
      <c r="D854" s="10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103"/>
      <c r="B855" s="103"/>
      <c r="C855" s="104" t="e">
        <v>#REF!</v>
      </c>
      <c r="D855" s="10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103"/>
      <c r="B856" s="103"/>
      <c r="C856" s="104" t="e">
        <v>#REF!</v>
      </c>
      <c r="D856" s="10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103"/>
      <c r="B857" s="103"/>
      <c r="C857" s="104" t="e">
        <v>#REF!</v>
      </c>
      <c r="D857" s="10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103"/>
      <c r="B858" s="103"/>
      <c r="C858" s="104" t="e">
        <v>#REF!</v>
      </c>
      <c r="D858" s="10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103"/>
      <c r="B859" s="103"/>
      <c r="C859" s="104" t="e">
        <v>#REF!</v>
      </c>
      <c r="D859" s="10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103"/>
      <c r="B860" s="103"/>
      <c r="C860" s="104" t="e">
        <v>#REF!</v>
      </c>
      <c r="D860" s="10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103"/>
      <c r="B861" s="103"/>
      <c r="C861" s="104" t="e">
        <v>#REF!</v>
      </c>
      <c r="D861" s="10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103"/>
      <c r="B862" s="103"/>
      <c r="C862" s="104" t="e">
        <v>#REF!</v>
      </c>
      <c r="D862" s="10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103"/>
      <c r="B863" s="103"/>
      <c r="C863" s="104" t="e">
        <v>#REF!</v>
      </c>
      <c r="D863" s="10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103"/>
      <c r="B864" s="103"/>
      <c r="C864" s="104" t="e">
        <v>#REF!</v>
      </c>
      <c r="D864" s="10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103"/>
      <c r="B865" s="103"/>
      <c r="C865" s="104" t="e">
        <v>#REF!</v>
      </c>
      <c r="D865" s="10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103"/>
      <c r="B866" s="103"/>
      <c r="C866" s="104" t="e">
        <v>#REF!</v>
      </c>
      <c r="D866" s="10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103"/>
      <c r="B867" s="103"/>
      <c r="C867" s="104" t="e">
        <v>#REF!</v>
      </c>
      <c r="D867" s="10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103"/>
      <c r="B868" s="103"/>
      <c r="C868" s="104" t="e">
        <v>#REF!</v>
      </c>
      <c r="D868" s="10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103"/>
      <c r="B869" s="103"/>
      <c r="C869" s="104" t="e">
        <v>#REF!</v>
      </c>
      <c r="D869" s="10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103"/>
      <c r="B870" s="103"/>
      <c r="C870" s="104" t="e">
        <v>#REF!</v>
      </c>
      <c r="D870" s="10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103"/>
      <c r="B871" s="103"/>
      <c r="C871" s="104" t="e">
        <v>#REF!</v>
      </c>
      <c r="D871" s="10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103"/>
      <c r="B872" s="103"/>
      <c r="C872" s="104" t="e">
        <v>#REF!</v>
      </c>
      <c r="D872" s="10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103"/>
      <c r="B873" s="103"/>
      <c r="C873" s="104" t="e">
        <v>#REF!</v>
      </c>
      <c r="D873" s="10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103"/>
      <c r="B874" s="103"/>
      <c r="C874" s="104" t="e">
        <v>#REF!</v>
      </c>
      <c r="D874" s="10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103"/>
      <c r="B875" s="103"/>
      <c r="C875" s="104" t="e">
        <v>#REF!</v>
      </c>
      <c r="D875" s="10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103"/>
      <c r="B876" s="103"/>
      <c r="C876" s="104" t="e">
        <v>#REF!</v>
      </c>
      <c r="D876" s="10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103"/>
      <c r="B877" s="103"/>
      <c r="C877" s="104" t="e">
        <v>#REF!</v>
      </c>
      <c r="D877" s="10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103"/>
      <c r="B878" s="103"/>
      <c r="C878" s="104" t="e">
        <v>#REF!</v>
      </c>
      <c r="D878" s="10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103"/>
      <c r="B879" s="103"/>
      <c r="C879" s="104" t="e">
        <v>#REF!</v>
      </c>
      <c r="D879" s="10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103"/>
      <c r="B880" s="103"/>
      <c r="C880" s="104" t="e">
        <v>#REF!</v>
      </c>
      <c r="D880" s="10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103"/>
      <c r="B881" s="103"/>
      <c r="C881" s="104" t="e">
        <v>#REF!</v>
      </c>
      <c r="D881" s="10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103"/>
      <c r="B882" s="103"/>
      <c r="C882" s="104" t="e">
        <v>#REF!</v>
      </c>
      <c r="D882" s="10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103"/>
      <c r="B883" s="103"/>
      <c r="C883" s="104" t="e">
        <v>#REF!</v>
      </c>
      <c r="D883" s="10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103"/>
      <c r="B884" s="103"/>
      <c r="C884" s="104" t="e">
        <v>#REF!</v>
      </c>
      <c r="D884" s="10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103"/>
      <c r="B885" s="103"/>
      <c r="C885" s="104" t="e">
        <v>#REF!</v>
      </c>
      <c r="D885" s="10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103"/>
      <c r="B886" s="103"/>
      <c r="C886" s="104" t="e">
        <v>#REF!</v>
      </c>
      <c r="D886" s="10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103"/>
      <c r="B887" s="103"/>
      <c r="C887" s="104" t="e">
        <v>#REF!</v>
      </c>
      <c r="D887" s="10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103"/>
      <c r="B888" s="103"/>
      <c r="C888" s="104" t="e">
        <v>#REF!</v>
      </c>
      <c r="D888" s="10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103"/>
      <c r="B889" s="103"/>
      <c r="C889" s="104" t="e">
        <v>#REF!</v>
      </c>
      <c r="D889" s="10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103"/>
      <c r="B890" s="103"/>
      <c r="C890" s="104" t="e">
        <v>#REF!</v>
      </c>
      <c r="D890" s="10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103"/>
      <c r="B891" s="103"/>
      <c r="C891" s="104" t="e">
        <v>#REF!</v>
      </c>
      <c r="D891" s="10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103"/>
      <c r="B892" s="103"/>
      <c r="C892" s="104" t="e">
        <v>#REF!</v>
      </c>
      <c r="D892" s="10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103"/>
      <c r="B893" s="103"/>
      <c r="C893" s="104" t="e">
        <v>#REF!</v>
      </c>
      <c r="D893" s="10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103"/>
      <c r="B894" s="103"/>
      <c r="C894" s="104" t="e">
        <v>#REF!</v>
      </c>
      <c r="D894" s="10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103"/>
      <c r="B895" s="103"/>
      <c r="C895" s="104" t="e">
        <v>#REF!</v>
      </c>
      <c r="D895" s="10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103"/>
      <c r="B896" s="103"/>
      <c r="C896" s="104" t="e">
        <v>#REF!</v>
      </c>
      <c r="D896" s="10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103"/>
      <c r="B897" s="103"/>
      <c r="C897" s="104" t="e">
        <v>#REF!</v>
      </c>
      <c r="D897" s="10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103"/>
      <c r="B898" s="103"/>
      <c r="C898" s="104" t="e">
        <v>#REF!</v>
      </c>
      <c r="D898" s="10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103"/>
      <c r="B899" s="103"/>
      <c r="C899" s="104" t="e">
        <v>#REF!</v>
      </c>
      <c r="D899" s="10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103"/>
      <c r="B900" s="103"/>
      <c r="C900" s="104" t="e">
        <v>#REF!</v>
      </c>
      <c r="D900" s="10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103"/>
      <c r="B901" s="103"/>
      <c r="C901" s="104" t="e">
        <v>#REF!</v>
      </c>
      <c r="D901" s="10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103"/>
      <c r="B902" s="103"/>
      <c r="C902" s="104" t="e">
        <v>#REF!</v>
      </c>
      <c r="D902" s="10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103"/>
      <c r="B903" s="103"/>
      <c r="C903" s="104" t="e">
        <v>#REF!</v>
      </c>
      <c r="D903" s="10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103"/>
      <c r="B904" s="103"/>
      <c r="C904" s="104" t="e">
        <v>#REF!</v>
      </c>
      <c r="D904" s="10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103"/>
      <c r="B905" s="103"/>
      <c r="C905" s="104" t="e">
        <v>#REF!</v>
      </c>
      <c r="D905" s="10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103"/>
      <c r="B906" s="103"/>
      <c r="C906" s="104" t="e">
        <v>#REF!</v>
      </c>
      <c r="D906" s="10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103"/>
      <c r="B907" s="103"/>
      <c r="C907" s="104" t="e">
        <v>#REF!</v>
      </c>
      <c r="D907" s="10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103"/>
      <c r="B908" s="103"/>
      <c r="C908" s="104" t="e">
        <v>#REF!</v>
      </c>
      <c r="D908" s="10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103"/>
      <c r="B909" s="103"/>
      <c r="C909" s="104" t="e">
        <v>#REF!</v>
      </c>
      <c r="D909" s="10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103"/>
      <c r="B910" s="103"/>
      <c r="C910" s="104" t="e">
        <v>#REF!</v>
      </c>
      <c r="D910" s="10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103"/>
      <c r="B911" s="103"/>
      <c r="C911" s="104" t="e">
        <v>#REF!</v>
      </c>
      <c r="D911" s="10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103"/>
      <c r="B912" s="103"/>
      <c r="C912" s="104" t="e">
        <v>#REF!</v>
      </c>
      <c r="D912" s="10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103"/>
      <c r="B913" s="103"/>
      <c r="C913" s="104" t="e">
        <v>#REF!</v>
      </c>
      <c r="D913" s="10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103"/>
      <c r="B914" s="103"/>
      <c r="C914" s="104" t="e">
        <v>#REF!</v>
      </c>
      <c r="D914" s="10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103"/>
      <c r="B915" s="103"/>
      <c r="C915" s="104" t="e">
        <v>#REF!</v>
      </c>
      <c r="D915" s="10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103"/>
      <c r="B916" s="103"/>
      <c r="C916" s="104" t="e">
        <v>#REF!</v>
      </c>
      <c r="D916" s="10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103"/>
      <c r="B917" s="103"/>
      <c r="C917" s="104" t="e">
        <v>#REF!</v>
      </c>
      <c r="D917" s="10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103"/>
      <c r="B918" s="103"/>
      <c r="C918" s="104" t="e">
        <v>#REF!</v>
      </c>
      <c r="D918" s="10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103"/>
      <c r="B919" s="103"/>
      <c r="C919" s="104" t="e">
        <v>#REF!</v>
      </c>
      <c r="D919" s="10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103"/>
      <c r="B920" s="103"/>
      <c r="C920" s="104" t="e">
        <v>#REF!</v>
      </c>
      <c r="D920" s="10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103"/>
      <c r="B921" s="103"/>
      <c r="C921" s="104" t="e">
        <v>#REF!</v>
      </c>
      <c r="D921" s="10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103"/>
      <c r="B922" s="103"/>
      <c r="C922" s="104" t="e">
        <v>#REF!</v>
      </c>
      <c r="D922" s="10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103"/>
      <c r="B923" s="103"/>
      <c r="C923" s="104" t="e">
        <v>#REF!</v>
      </c>
      <c r="D923" s="10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103"/>
      <c r="B924" s="103"/>
      <c r="C924" s="104" t="e">
        <v>#REF!</v>
      </c>
      <c r="D924" s="10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103"/>
      <c r="B925" s="103"/>
      <c r="C925" s="104" t="e">
        <v>#REF!</v>
      </c>
      <c r="D925" s="10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103"/>
      <c r="B926" s="103"/>
      <c r="C926" s="104" t="e">
        <v>#REF!</v>
      </c>
      <c r="D926" s="10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103"/>
      <c r="B927" s="103"/>
      <c r="C927" s="104" t="e">
        <v>#REF!</v>
      </c>
      <c r="D927" s="10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103"/>
      <c r="B928" s="103"/>
      <c r="C928" s="104" t="e">
        <v>#REF!</v>
      </c>
      <c r="D928" s="10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103"/>
      <c r="B929" s="103"/>
      <c r="C929" s="104" t="e">
        <v>#REF!</v>
      </c>
      <c r="D929" s="10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103"/>
      <c r="B930" s="103"/>
      <c r="C930" s="104" t="e">
        <v>#REF!</v>
      </c>
      <c r="D930" s="10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103"/>
      <c r="B931" s="103"/>
      <c r="C931" s="104" t="e">
        <v>#REF!</v>
      </c>
      <c r="D931" s="10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103"/>
      <c r="B932" s="103"/>
      <c r="C932" s="104" t="e">
        <v>#REF!</v>
      </c>
      <c r="D932" s="10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103"/>
      <c r="B933" s="103"/>
      <c r="C933" s="104" t="e">
        <v>#REF!</v>
      </c>
      <c r="D933" s="10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103"/>
      <c r="B934" s="103"/>
      <c r="C934" s="104" t="e">
        <v>#REF!</v>
      </c>
      <c r="D934" s="10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103"/>
      <c r="B935" s="103"/>
      <c r="C935" s="104" t="e">
        <v>#REF!</v>
      </c>
      <c r="D935" s="10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103"/>
      <c r="B936" s="103"/>
      <c r="C936" s="104" t="e">
        <v>#REF!</v>
      </c>
      <c r="D936" s="10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103"/>
      <c r="B937" s="103"/>
      <c r="C937" s="104" t="e">
        <v>#REF!</v>
      </c>
      <c r="D937" s="10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103"/>
      <c r="B938" s="103"/>
      <c r="C938" s="104" t="e">
        <v>#REF!</v>
      </c>
      <c r="D938" s="10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103"/>
      <c r="B939" s="103"/>
      <c r="C939" s="104" t="e">
        <v>#REF!</v>
      </c>
      <c r="D939" s="10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103"/>
      <c r="B940" s="103"/>
      <c r="C940" s="104" t="e">
        <v>#REF!</v>
      </c>
      <c r="D940" s="10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103"/>
      <c r="B941" s="103"/>
      <c r="C941" s="104" t="e">
        <v>#REF!</v>
      </c>
      <c r="D941" s="10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103"/>
      <c r="B942" s="103"/>
      <c r="C942" s="104" t="e">
        <v>#REF!</v>
      </c>
      <c r="D942" s="10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103"/>
      <c r="B943" s="103"/>
      <c r="C943" s="104" t="e">
        <v>#REF!</v>
      </c>
      <c r="D943" s="10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103"/>
      <c r="B944" s="103"/>
      <c r="C944" s="104" t="e">
        <v>#REF!</v>
      </c>
      <c r="D944" s="10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103"/>
      <c r="B945" s="103"/>
      <c r="C945" s="104" t="e">
        <v>#REF!</v>
      </c>
      <c r="D945" s="10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103"/>
      <c r="B946" s="103"/>
      <c r="C946" s="104" t="e">
        <v>#REF!</v>
      </c>
      <c r="D946" s="10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103"/>
      <c r="B947" s="103"/>
      <c r="C947" s="104" t="e">
        <v>#REF!</v>
      </c>
      <c r="D947" s="10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103"/>
      <c r="B948" s="103"/>
      <c r="C948" s="104" t="e">
        <v>#REF!</v>
      </c>
      <c r="D948" s="10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103"/>
      <c r="B949" s="103"/>
      <c r="C949" s="104" t="e">
        <v>#REF!</v>
      </c>
      <c r="D949" s="10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103"/>
      <c r="B950" s="103"/>
      <c r="C950" s="104" t="e">
        <v>#REF!</v>
      </c>
      <c r="D950" s="10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103"/>
      <c r="B951" s="103"/>
      <c r="C951" s="104" t="e">
        <v>#REF!</v>
      </c>
      <c r="D951" s="10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103"/>
      <c r="B952" s="103"/>
      <c r="C952" s="104" t="e">
        <v>#REF!</v>
      </c>
      <c r="D952" s="10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103"/>
      <c r="B953" s="103"/>
      <c r="C953" s="104" t="e">
        <v>#REF!</v>
      </c>
      <c r="D953" s="10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103"/>
      <c r="B954" s="103"/>
      <c r="C954" s="104" t="e">
        <v>#REF!</v>
      </c>
      <c r="D954" s="10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103"/>
      <c r="B955" s="103"/>
      <c r="C955" s="104" t="e">
        <v>#REF!</v>
      </c>
      <c r="D955" s="10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103"/>
      <c r="B956" s="103"/>
      <c r="C956" s="104" t="e">
        <v>#REF!</v>
      </c>
      <c r="D956" s="10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103"/>
      <c r="B957" s="103"/>
      <c r="C957" s="104" t="e">
        <v>#REF!</v>
      </c>
      <c r="D957" s="10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103"/>
      <c r="B958" s="103"/>
      <c r="C958" s="104" t="e">
        <v>#REF!</v>
      </c>
      <c r="D958" s="10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103"/>
      <c r="B959" s="103"/>
      <c r="C959" s="104" t="e">
        <v>#REF!</v>
      </c>
      <c r="D959" s="10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103"/>
      <c r="B960" s="103"/>
      <c r="C960" s="104" t="e">
        <v>#REF!</v>
      </c>
      <c r="D960" s="10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103"/>
      <c r="B961" s="103"/>
      <c r="C961" s="104" t="e">
        <v>#REF!</v>
      </c>
      <c r="D961" s="10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103"/>
      <c r="B962" s="103"/>
      <c r="C962" s="104" t="e">
        <v>#REF!</v>
      </c>
      <c r="D962" s="10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5.75" customHeight="1">
      <c r="A963" s="103"/>
      <c r="B963" s="103"/>
      <c r="C963" s="104" t="e">
        <v>#REF!</v>
      </c>
      <c r="D963" s="10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5.75" customHeight="1">
      <c r="A964" s="103"/>
      <c r="B964" s="103"/>
      <c r="C964" s="104" t="e">
        <v>#REF!</v>
      </c>
      <c r="D964" s="10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5.75" customHeight="1">
      <c r="A965" s="103"/>
      <c r="B965" s="103"/>
      <c r="C965" s="104" t="e">
        <v>#REF!</v>
      </c>
      <c r="D965" s="10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5.75" customHeight="1">
      <c r="A966" s="103"/>
      <c r="B966" s="103"/>
      <c r="C966" s="104" t="e">
        <v>#REF!</v>
      </c>
      <c r="D966" s="10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5.75" customHeight="1">
      <c r="A967" s="103"/>
      <c r="B967" s="103"/>
      <c r="C967" s="104" t="e">
        <v>#REF!</v>
      </c>
      <c r="D967" s="10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5.75" customHeight="1">
      <c r="A968" s="103"/>
      <c r="B968" s="103"/>
      <c r="C968" s="104" t="e">
        <v>#REF!</v>
      </c>
      <c r="D968" s="10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5.75" customHeight="1">
      <c r="A969" s="103"/>
      <c r="B969" s="103"/>
      <c r="C969" s="104" t="e">
        <v>#REF!</v>
      </c>
      <c r="D969" s="10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5.75" customHeight="1">
      <c r="A970" s="103"/>
      <c r="B970" s="103"/>
      <c r="C970" s="104" t="e">
        <v>#REF!</v>
      </c>
      <c r="D970" s="10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5.75" customHeight="1">
      <c r="A971" s="103"/>
      <c r="B971" s="103"/>
      <c r="C971" s="104" t="e">
        <v>#REF!</v>
      </c>
      <c r="D971" s="10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5.75" customHeight="1">
      <c r="A972" s="103"/>
      <c r="B972" s="103"/>
      <c r="C972" s="104" t="e">
        <v>#REF!</v>
      </c>
      <c r="D972" s="10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5.75" customHeight="1">
      <c r="A973" s="103"/>
      <c r="B973" s="103"/>
      <c r="C973" s="104" t="e">
        <v>#REF!</v>
      </c>
      <c r="D973" s="10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5.75" customHeight="1">
      <c r="A974" s="103"/>
      <c r="B974" s="103"/>
      <c r="C974" s="104" t="e">
        <v>#REF!</v>
      </c>
      <c r="D974" s="10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5.75" customHeight="1">
      <c r="A975" s="103"/>
      <c r="B975" s="103"/>
      <c r="C975" s="104" t="e">
        <v>#REF!</v>
      </c>
      <c r="D975" s="10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5.75" customHeight="1">
      <c r="A976" s="103"/>
      <c r="B976" s="103"/>
      <c r="C976" s="104" t="e">
        <v>#REF!</v>
      </c>
      <c r="D976" s="10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5.75" customHeight="1">
      <c r="A977" s="103"/>
      <c r="B977" s="103"/>
      <c r="C977" s="104" t="e">
        <v>#REF!</v>
      </c>
      <c r="D977" s="10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5.75" customHeight="1">
      <c r="A978" s="103"/>
      <c r="B978" s="103"/>
      <c r="C978" s="104" t="e">
        <v>#REF!</v>
      </c>
      <c r="D978" s="10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5.75" customHeight="1">
      <c r="A979" s="103"/>
      <c r="B979" s="103"/>
      <c r="C979" s="104" t="e">
        <v>#REF!</v>
      </c>
      <c r="D979" s="10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5.75" customHeight="1">
      <c r="A980" s="103"/>
      <c r="B980" s="103"/>
      <c r="C980" s="104" t="e">
        <v>#REF!</v>
      </c>
      <c r="D980" s="10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5.75" customHeight="1">
      <c r="A981" s="103"/>
      <c r="B981" s="103"/>
      <c r="C981" s="104" t="e">
        <v>#REF!</v>
      </c>
      <c r="D981" s="10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5.75" customHeight="1">
      <c r="A982" s="103"/>
      <c r="B982" s="103"/>
      <c r="C982" s="104" t="e">
        <v>#REF!</v>
      </c>
      <c r="D982" s="10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5.75" customHeight="1">
      <c r="A983" s="103"/>
      <c r="B983" s="103"/>
      <c r="C983" s="104" t="e">
        <v>#REF!</v>
      </c>
      <c r="D983" s="10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5.75" customHeight="1">
      <c r="A984" s="103"/>
      <c r="B984" s="103"/>
      <c r="C984" s="104" t="e">
        <v>#REF!</v>
      </c>
      <c r="D984" s="10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5.75" customHeight="1">
      <c r="A985" s="103"/>
      <c r="B985" s="103"/>
      <c r="C985" s="104" t="e">
        <v>#REF!</v>
      </c>
      <c r="D985" s="10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5.75" customHeight="1">
      <c r="A986" s="103"/>
      <c r="B986" s="103"/>
      <c r="C986" s="104" t="e">
        <v>#REF!</v>
      </c>
      <c r="D986" s="10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5.75" customHeight="1">
      <c r="A987" s="103"/>
      <c r="B987" s="103"/>
      <c r="C987" s="104" t="e">
        <v>#REF!</v>
      </c>
      <c r="D987" s="10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5.75" customHeight="1">
      <c r="A988" s="103"/>
      <c r="B988" s="103"/>
      <c r="C988" s="104" t="e">
        <v>#REF!</v>
      </c>
      <c r="D988" s="10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5.75" customHeight="1">
      <c r="A989" s="103"/>
      <c r="B989" s="103"/>
      <c r="C989" s="104" t="e">
        <v>#REF!</v>
      </c>
      <c r="D989" s="10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5.75" customHeight="1">
      <c r="A990" s="103"/>
      <c r="B990" s="103"/>
      <c r="C990" s="104" t="e">
        <v>#REF!</v>
      </c>
      <c r="D990" s="10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5.75" customHeight="1">
      <c r="A991" s="103"/>
      <c r="B991" s="103"/>
      <c r="C991" s="104" t="e">
        <v>#REF!</v>
      </c>
      <c r="D991" s="10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5.75" customHeight="1">
      <c r="A992" s="103"/>
      <c r="B992" s="103"/>
      <c r="C992" s="104" t="e">
        <v>#REF!</v>
      </c>
      <c r="D992" s="10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5.75" customHeight="1">
      <c r="A993" s="103"/>
      <c r="B993" s="103"/>
      <c r="C993" s="104" t="e">
        <v>#REF!</v>
      </c>
      <c r="D993" s="10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5.75" customHeight="1">
      <c r="A994" s="103"/>
      <c r="B994" s="103"/>
      <c r="C994" s="104" t="e">
        <v>#REF!</v>
      </c>
      <c r="D994" s="10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5.75" customHeight="1">
      <c r="A995" s="103"/>
      <c r="B995" s="103"/>
      <c r="C995" s="104" t="e">
        <v>#REF!</v>
      </c>
      <c r="D995" s="10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5.75" customHeight="1">
      <c r="A996" s="103"/>
      <c r="B996" s="103"/>
      <c r="C996" s="104" t="e">
        <v>#REF!</v>
      </c>
      <c r="D996" s="10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5.75" customHeight="1">
      <c r="A997" s="103"/>
      <c r="B997" s="103"/>
      <c r="C997" s="104" t="e">
        <v>#REF!</v>
      </c>
      <c r="D997" s="10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5.75" customHeight="1">
      <c r="A998" s="103"/>
      <c r="B998" s="103"/>
      <c r="C998" s="104" t="e">
        <v>#REF!</v>
      </c>
      <c r="D998" s="10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5.75" customHeight="1">
      <c r="A999" s="103"/>
      <c r="B999" s="103"/>
      <c r="C999" s="104" t="e">
        <v>#REF!</v>
      </c>
      <c r="D999" s="10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5.75" customHeight="1">
      <c r="A1000" s="103"/>
      <c r="B1000" s="103"/>
      <c r="C1000" s="104" t="e">
        <v>#REF!</v>
      </c>
      <c r="D1000" s="10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  <row r="1001" spans="1:26" ht="15.75" customHeight="1">
      <c r="A1001" s="103"/>
      <c r="B1001" s="103"/>
      <c r="C1001" s="104" t="e">
        <v>#REF!</v>
      </c>
      <c r="D1001" s="10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</row>
    <row r="1002" spans="1:26" ht="15.75" customHeight="1">
      <c r="A1002" s="103"/>
      <c r="B1002" s="103"/>
      <c r="C1002" s="104" t="e">
        <v>#REF!</v>
      </c>
      <c r="D1002" s="10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</row>
    <row r="1003" spans="1:26" ht="15.75" customHeight="1">
      <c r="A1003" s="103"/>
      <c r="B1003" s="103"/>
      <c r="C1003" s="104" t="e">
        <v>#REF!</v>
      </c>
      <c r="D1003" s="10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</row>
    <row r="1004" spans="1:26" ht="15.75" customHeight="1">
      <c r="A1004" s="103"/>
      <c r="B1004" s="103"/>
      <c r="C1004" s="104" t="e">
        <v>#REF!</v>
      </c>
      <c r="D1004" s="10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</row>
    <row r="1005" spans="1:26" ht="15.75" customHeight="1">
      <c r="A1005" s="103"/>
      <c r="B1005" s="103"/>
      <c r="C1005" s="104" t="e">
        <v>#REF!</v>
      </c>
      <c r="D1005" s="10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</row>
    <row r="1006" spans="1:26" ht="15.75" customHeight="1">
      <c r="A1006" s="103"/>
      <c r="B1006" s="103"/>
      <c r="C1006" s="104" t="e">
        <v>#REF!</v>
      </c>
      <c r="D1006" s="10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</row>
    <row r="1007" spans="1:26" ht="15.75" customHeight="1">
      <c r="A1007" s="103"/>
      <c r="B1007" s="103"/>
      <c r="C1007" s="104" t="e">
        <v>#REF!</v>
      </c>
      <c r="D1007" s="10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</row>
    <row r="1008" spans="1:26" ht="15.75" customHeight="1">
      <c r="A1008" s="103"/>
      <c r="B1008" s="103"/>
      <c r="C1008" s="104" t="e">
        <v>#REF!</v>
      </c>
      <c r="D1008" s="10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</row>
    <row r="1009" spans="1:26" ht="15.75" customHeight="1">
      <c r="A1009" s="103"/>
      <c r="B1009" s="103"/>
      <c r="C1009" s="104" t="e">
        <v>#REF!</v>
      </c>
      <c r="D1009" s="10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</row>
    <row r="1010" spans="1:26" ht="15.75" customHeight="1">
      <c r="A1010" s="103"/>
      <c r="B1010" s="103"/>
      <c r="C1010" s="104" t="e">
        <v>#REF!</v>
      </c>
      <c r="D1010" s="10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</row>
    <row r="1011" spans="1:26" ht="15.75" customHeight="1">
      <c r="A1011" s="103"/>
      <c r="B1011" s="103"/>
      <c r="C1011" s="104" t="e">
        <v>#REF!</v>
      </c>
      <c r="D1011" s="10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  <c r="Z1011" s="53"/>
    </row>
    <row r="1012" spans="1:26" ht="15.75" customHeight="1">
      <c r="A1012" s="103"/>
      <c r="B1012" s="103"/>
      <c r="C1012" s="104" t="e">
        <v>#REF!</v>
      </c>
      <c r="D1012" s="10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  <c r="Z1012" s="53"/>
    </row>
    <row r="1013" spans="1:26" ht="15.75" customHeight="1">
      <c r="A1013" s="103"/>
      <c r="B1013" s="103"/>
      <c r="C1013" s="104" t="e">
        <v>#REF!</v>
      </c>
      <c r="D1013" s="10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  <c r="X1013" s="53"/>
      <c r="Y1013" s="53"/>
      <c r="Z1013" s="53"/>
    </row>
    <row r="1014" spans="1:26" ht="15.75" customHeight="1">
      <c r="A1014" s="103"/>
      <c r="B1014" s="103"/>
      <c r="C1014" s="104" t="e">
        <v>#REF!</v>
      </c>
      <c r="D1014" s="10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  <c r="Z1014" s="53"/>
    </row>
    <row r="1015" spans="1:26" ht="15.75" customHeight="1">
      <c r="A1015" s="103"/>
      <c r="B1015" s="103"/>
      <c r="C1015" s="104" t="e">
        <v>#REF!</v>
      </c>
      <c r="D1015" s="10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  <c r="X1015" s="53"/>
      <c r="Y1015" s="53"/>
      <c r="Z1015" s="53"/>
    </row>
    <row r="1016" spans="1:26" ht="15.75" customHeight="1">
      <c r="A1016" s="103"/>
      <c r="B1016" s="103"/>
      <c r="C1016" s="104" t="e">
        <v>#REF!</v>
      </c>
      <c r="D1016" s="10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  <c r="Z1016" s="53"/>
    </row>
    <row r="1017" spans="1:26" ht="15.75" customHeight="1">
      <c r="A1017" s="103"/>
      <c r="B1017" s="103"/>
      <c r="C1017" s="104" t="e">
        <v>#REF!</v>
      </c>
      <c r="D1017" s="103"/>
      <c r="E1017" s="53"/>
      <c r="F1017" s="53"/>
      <c r="G1017" s="53"/>
      <c r="H1017" s="53"/>
      <c r="I1017" s="53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  <c r="W1017" s="53"/>
      <c r="X1017" s="53"/>
      <c r="Y1017" s="53"/>
      <c r="Z1017" s="53"/>
    </row>
    <row r="1018" spans="1:26" ht="15.75" customHeight="1">
      <c r="A1018" s="103"/>
      <c r="B1018" s="103"/>
      <c r="C1018" s="104" t="e">
        <v>#REF!</v>
      </c>
      <c r="D1018" s="103"/>
      <c r="E1018" s="53"/>
      <c r="F1018" s="53"/>
      <c r="G1018" s="53"/>
      <c r="H1018" s="53"/>
      <c r="I1018" s="53"/>
      <c r="J1018" s="53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  <c r="W1018" s="53"/>
      <c r="X1018" s="53"/>
      <c r="Y1018" s="53"/>
      <c r="Z1018" s="53"/>
    </row>
    <row r="1019" spans="1:26" ht="15.75" customHeight="1">
      <c r="A1019" s="103"/>
      <c r="B1019" s="103"/>
      <c r="C1019" s="104" t="e">
        <v>#REF!</v>
      </c>
      <c r="D1019" s="103"/>
      <c r="E1019" s="53"/>
      <c r="F1019" s="53"/>
      <c r="G1019" s="53"/>
      <c r="H1019" s="53"/>
      <c r="I1019" s="53"/>
      <c r="J1019" s="53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  <c r="W1019" s="53"/>
      <c r="X1019" s="53"/>
      <c r="Y1019" s="53"/>
      <c r="Z1019" s="53"/>
    </row>
    <row r="1020" spans="1:26" ht="15.75" customHeight="1">
      <c r="A1020" s="103"/>
      <c r="B1020" s="103"/>
      <c r="C1020" s="104" t="e">
        <v>#REF!</v>
      </c>
      <c r="D1020" s="103"/>
      <c r="E1020" s="53"/>
      <c r="F1020" s="53"/>
      <c r="G1020" s="53"/>
      <c r="H1020" s="53"/>
      <c r="I1020" s="53"/>
      <c r="J1020" s="53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  <c r="X1020" s="53"/>
      <c r="Y1020" s="53"/>
      <c r="Z1020" s="53"/>
    </row>
    <row r="1021" spans="1:26" ht="15.75" customHeight="1">
      <c r="A1021" s="103"/>
      <c r="B1021" s="103"/>
      <c r="C1021" s="104" t="e">
        <v>#REF!</v>
      </c>
      <c r="D1021" s="103"/>
      <c r="E1021" s="53"/>
      <c r="F1021" s="53"/>
      <c r="G1021" s="53"/>
      <c r="H1021" s="53"/>
      <c r="I1021" s="53"/>
      <c r="J1021" s="53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  <c r="W1021" s="53"/>
      <c r="X1021" s="53"/>
      <c r="Y1021" s="53"/>
      <c r="Z1021" s="53"/>
    </row>
    <row r="1022" spans="1:26" ht="15.75" customHeight="1">
      <c r="A1022" s="103"/>
      <c r="B1022" s="103"/>
      <c r="C1022" s="104" t="e">
        <v>#REF!</v>
      </c>
      <c r="D1022" s="103"/>
      <c r="E1022" s="53"/>
      <c r="F1022" s="53"/>
      <c r="G1022" s="53"/>
      <c r="H1022" s="53"/>
      <c r="I1022" s="53"/>
      <c r="J1022" s="53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  <c r="W1022" s="53"/>
      <c r="X1022" s="53"/>
      <c r="Y1022" s="53"/>
      <c r="Z1022" s="53"/>
    </row>
    <row r="1023" spans="1:26" ht="15.75" customHeight="1">
      <c r="A1023" s="103"/>
      <c r="B1023" s="103"/>
      <c r="C1023" s="104" t="e">
        <v>#REF!</v>
      </c>
      <c r="D1023" s="103"/>
      <c r="E1023" s="53"/>
      <c r="F1023" s="53"/>
      <c r="G1023" s="53"/>
      <c r="H1023" s="53"/>
      <c r="I1023" s="53"/>
      <c r="J1023" s="53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  <c r="W1023" s="53"/>
      <c r="X1023" s="53"/>
      <c r="Y1023" s="53"/>
      <c r="Z1023" s="53"/>
    </row>
    <row r="1024" spans="1:26" ht="15.75" customHeight="1">
      <c r="A1024" s="103"/>
      <c r="B1024" s="103"/>
      <c r="C1024" s="104" t="e">
        <v>#REF!</v>
      </c>
      <c r="D1024" s="103"/>
      <c r="E1024" s="53"/>
      <c r="F1024" s="53"/>
      <c r="G1024" s="53"/>
      <c r="H1024" s="53"/>
      <c r="I1024" s="53"/>
      <c r="J1024" s="53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  <c r="W1024" s="53"/>
      <c r="X1024" s="53"/>
      <c r="Y1024" s="53"/>
      <c r="Z1024" s="53"/>
    </row>
    <row r="1025" spans="1:26" ht="15.75" customHeight="1">
      <c r="A1025" s="103"/>
      <c r="B1025" s="103"/>
      <c r="C1025" s="104" t="e">
        <v>#REF!</v>
      </c>
      <c r="D1025" s="103"/>
      <c r="E1025" s="53"/>
      <c r="F1025" s="53"/>
      <c r="G1025" s="53"/>
      <c r="H1025" s="53"/>
      <c r="I1025" s="53"/>
      <c r="J1025" s="53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  <c r="W1025" s="53"/>
      <c r="X1025" s="53"/>
      <c r="Y1025" s="53"/>
      <c r="Z1025" s="53"/>
    </row>
    <row r="1026" spans="1:26" ht="15.75" customHeight="1">
      <c r="A1026" s="103"/>
      <c r="B1026" s="103"/>
      <c r="C1026" s="104" t="e">
        <v>#REF!</v>
      </c>
      <c r="D1026" s="103"/>
      <c r="E1026" s="53"/>
      <c r="F1026" s="53"/>
      <c r="G1026" s="53"/>
      <c r="H1026" s="53"/>
      <c r="I1026" s="53"/>
      <c r="J1026" s="53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  <c r="W1026" s="53"/>
      <c r="X1026" s="53"/>
      <c r="Y1026" s="53"/>
      <c r="Z1026" s="53"/>
    </row>
    <row r="1027" spans="1:26" ht="15.75" customHeight="1">
      <c r="A1027" s="103"/>
      <c r="B1027" s="103"/>
      <c r="C1027" s="104" t="e">
        <v>#REF!</v>
      </c>
      <c r="D1027" s="103"/>
      <c r="E1027" s="53"/>
      <c r="F1027" s="53"/>
      <c r="G1027" s="53"/>
      <c r="H1027" s="53"/>
      <c r="I1027" s="53"/>
      <c r="J1027" s="53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  <c r="W1027" s="53"/>
      <c r="X1027" s="53"/>
      <c r="Y1027" s="53"/>
      <c r="Z1027" s="53"/>
    </row>
    <row r="1028" spans="1:26" ht="15.75" customHeight="1">
      <c r="A1028" s="103"/>
      <c r="B1028" s="103"/>
      <c r="C1028" s="104" t="e">
        <v>#REF!</v>
      </c>
      <c r="D1028" s="103"/>
      <c r="E1028" s="53"/>
      <c r="F1028" s="53"/>
      <c r="G1028" s="53"/>
      <c r="H1028" s="53"/>
      <c r="I1028" s="53"/>
      <c r="J1028" s="53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  <c r="W1028" s="53"/>
      <c r="X1028" s="53"/>
      <c r="Y1028" s="53"/>
      <c r="Z1028" s="53"/>
    </row>
    <row r="1029" spans="1:26" ht="15.75" customHeight="1">
      <c r="A1029" s="103"/>
      <c r="B1029" s="103"/>
      <c r="C1029" s="104" t="e">
        <v>#REF!</v>
      </c>
      <c r="D1029" s="103"/>
      <c r="E1029" s="53"/>
      <c r="F1029" s="53"/>
      <c r="G1029" s="53"/>
      <c r="H1029" s="53"/>
      <c r="I1029" s="53"/>
      <c r="J1029" s="53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  <c r="W1029" s="53"/>
      <c r="X1029" s="53"/>
      <c r="Y1029" s="53"/>
      <c r="Z1029" s="53"/>
    </row>
    <row r="1030" spans="1:26" ht="15.75" customHeight="1">
      <c r="A1030" s="103"/>
      <c r="B1030" s="103"/>
      <c r="C1030" s="104" t="e">
        <v>#REF!</v>
      </c>
      <c r="D1030" s="103"/>
      <c r="E1030" s="53"/>
      <c r="F1030" s="53"/>
      <c r="G1030" s="53"/>
      <c r="H1030" s="53"/>
      <c r="I1030" s="53"/>
      <c r="J1030" s="53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  <c r="W1030" s="53"/>
      <c r="X1030" s="53"/>
      <c r="Y1030" s="53"/>
      <c r="Z1030" s="53"/>
    </row>
    <row r="1031" spans="1:26" ht="15.75" customHeight="1">
      <c r="A1031" s="103"/>
      <c r="B1031" s="103"/>
      <c r="C1031" s="104" t="e">
        <v>#REF!</v>
      </c>
      <c r="D1031" s="103"/>
      <c r="E1031" s="53"/>
      <c r="F1031" s="53"/>
      <c r="G1031" s="53"/>
      <c r="H1031" s="53"/>
      <c r="I1031" s="53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3"/>
      <c r="X1031" s="53"/>
      <c r="Y1031" s="53"/>
      <c r="Z1031" s="53"/>
    </row>
    <row r="1032" spans="1:26" ht="15.75" customHeight="1">
      <c r="A1032" s="103"/>
      <c r="B1032" s="103"/>
      <c r="C1032" s="104" t="e">
        <v>#REF!</v>
      </c>
      <c r="D1032" s="103"/>
      <c r="E1032" s="53"/>
      <c r="F1032" s="53"/>
      <c r="G1032" s="53"/>
      <c r="H1032" s="53"/>
      <c r="I1032" s="53"/>
      <c r="J1032" s="53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3"/>
      <c r="X1032" s="53"/>
      <c r="Y1032" s="53"/>
      <c r="Z1032" s="53"/>
    </row>
    <row r="1033" spans="1:26" ht="15.75" customHeight="1">
      <c r="A1033" s="103"/>
      <c r="B1033" s="103"/>
      <c r="C1033" s="104" t="e">
        <v>#REF!</v>
      </c>
      <c r="D1033" s="103"/>
      <c r="E1033" s="53"/>
      <c r="F1033" s="53"/>
      <c r="G1033" s="53"/>
      <c r="H1033" s="53"/>
      <c r="I1033" s="53"/>
      <c r="J1033" s="53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  <c r="W1033" s="53"/>
      <c r="X1033" s="53"/>
      <c r="Y1033" s="53"/>
      <c r="Z1033" s="53"/>
    </row>
    <row r="1034" spans="1:26" ht="15.75" customHeight="1">
      <c r="A1034" s="103"/>
      <c r="B1034" s="103"/>
      <c r="C1034" s="104" t="e">
        <v>#REF!</v>
      </c>
      <c r="D1034" s="103"/>
      <c r="E1034" s="53"/>
      <c r="F1034" s="53"/>
      <c r="G1034" s="53"/>
      <c r="H1034" s="53"/>
      <c r="I1034" s="53"/>
      <c r="J1034" s="53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  <c r="W1034" s="53"/>
      <c r="X1034" s="53"/>
      <c r="Y1034" s="53"/>
      <c r="Z1034" s="53"/>
    </row>
    <row r="1035" spans="1:26" ht="15.75" customHeight="1">
      <c r="A1035" s="103"/>
      <c r="B1035" s="103"/>
      <c r="C1035" s="104" t="e">
        <v>#REF!</v>
      </c>
      <c r="D1035" s="103"/>
      <c r="E1035" s="53"/>
      <c r="F1035" s="53"/>
      <c r="G1035" s="53"/>
      <c r="H1035" s="53"/>
      <c r="I1035" s="53"/>
      <c r="J1035" s="53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  <c r="W1035" s="53"/>
      <c r="X1035" s="53"/>
      <c r="Y1035" s="53"/>
      <c r="Z1035" s="53"/>
    </row>
    <row r="1036" spans="1:26" ht="15.75" customHeight="1">
      <c r="A1036" s="103"/>
      <c r="B1036" s="103"/>
      <c r="C1036" s="104" t="e">
        <v>#REF!</v>
      </c>
      <c r="D1036" s="103"/>
      <c r="E1036" s="53"/>
      <c r="F1036" s="53"/>
      <c r="G1036" s="53"/>
      <c r="H1036" s="53"/>
      <c r="I1036" s="53"/>
      <c r="J1036" s="53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  <c r="W1036" s="53"/>
      <c r="X1036" s="53"/>
      <c r="Y1036" s="53"/>
      <c r="Z1036" s="53"/>
    </row>
    <row r="1037" spans="1:26" ht="15.75" customHeight="1">
      <c r="A1037" s="103"/>
      <c r="B1037" s="103"/>
      <c r="C1037" s="104" t="e">
        <v>#REF!</v>
      </c>
      <c r="D1037" s="103"/>
      <c r="E1037" s="53"/>
      <c r="F1037" s="53"/>
      <c r="G1037" s="53"/>
      <c r="H1037" s="53"/>
      <c r="I1037" s="53"/>
      <c r="J1037" s="53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  <c r="W1037" s="53"/>
      <c r="X1037" s="53"/>
      <c r="Y1037" s="53"/>
      <c r="Z1037" s="53"/>
    </row>
    <row r="1038" spans="1:26" ht="15.75" customHeight="1">
      <c r="A1038" s="103"/>
      <c r="B1038" s="103"/>
      <c r="C1038" s="104" t="e">
        <v>#REF!</v>
      </c>
      <c r="D1038" s="103"/>
      <c r="E1038" s="53"/>
      <c r="F1038" s="53"/>
      <c r="G1038" s="53"/>
      <c r="H1038" s="53"/>
      <c r="I1038" s="53"/>
      <c r="J1038" s="53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  <c r="W1038" s="53"/>
      <c r="X1038" s="53"/>
      <c r="Y1038" s="53"/>
      <c r="Z1038" s="53"/>
    </row>
    <row r="1039" spans="1:26" ht="15.75" customHeight="1">
      <c r="A1039" s="103"/>
      <c r="B1039" s="103"/>
      <c r="C1039" s="104" t="e">
        <v>#REF!</v>
      </c>
      <c r="D1039" s="103"/>
      <c r="E1039" s="53"/>
      <c r="F1039" s="53"/>
      <c r="G1039" s="53"/>
      <c r="H1039" s="53"/>
      <c r="I1039" s="53"/>
      <c r="J1039" s="53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  <c r="W1039" s="53"/>
      <c r="X1039" s="53"/>
      <c r="Y1039" s="53"/>
      <c r="Z1039" s="53"/>
    </row>
    <row r="1040" spans="1:26" ht="15.75" customHeight="1">
      <c r="A1040" s="103"/>
      <c r="B1040" s="103"/>
      <c r="C1040" s="104" t="e">
        <v>#REF!</v>
      </c>
      <c r="D1040" s="103"/>
      <c r="E1040" s="53"/>
      <c r="F1040" s="53"/>
      <c r="G1040" s="53"/>
      <c r="H1040" s="53"/>
      <c r="I1040" s="53"/>
      <c r="J1040" s="53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  <c r="W1040" s="53"/>
      <c r="X1040" s="53"/>
      <c r="Y1040" s="53"/>
      <c r="Z1040" s="53"/>
    </row>
    <row r="1041" spans="1:26" ht="15.75" customHeight="1">
      <c r="A1041" s="103"/>
      <c r="B1041" s="103"/>
      <c r="C1041" s="104" t="e">
        <v>#REF!</v>
      </c>
      <c r="D1041" s="103"/>
      <c r="E1041" s="53"/>
      <c r="F1041" s="53"/>
      <c r="G1041" s="53"/>
      <c r="H1041" s="53"/>
      <c r="I1041" s="53"/>
      <c r="J1041" s="53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  <c r="W1041" s="53"/>
      <c r="X1041" s="53"/>
      <c r="Y1041" s="53"/>
      <c r="Z1041" s="53"/>
    </row>
    <row r="1042" spans="1:26" ht="15.75" customHeight="1">
      <c r="A1042" s="103"/>
      <c r="B1042" s="103"/>
      <c r="C1042" s="104" t="e">
        <v>#REF!</v>
      </c>
      <c r="D1042" s="103"/>
      <c r="E1042" s="53"/>
      <c r="F1042" s="53"/>
      <c r="G1042" s="53"/>
      <c r="H1042" s="53"/>
      <c r="I1042" s="53"/>
      <c r="J1042" s="53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  <c r="W1042" s="53"/>
      <c r="X1042" s="53"/>
      <c r="Y1042" s="53"/>
      <c r="Z1042" s="53"/>
    </row>
    <row r="1043" spans="1:26" ht="15.75" customHeight="1">
      <c r="A1043" s="103"/>
      <c r="B1043" s="103"/>
      <c r="C1043" s="104" t="e">
        <v>#REF!</v>
      </c>
      <c r="D1043" s="10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</row>
    <row r="1044" spans="1:26" ht="15.75" customHeight="1">
      <c r="A1044" s="103"/>
      <c r="B1044" s="103"/>
      <c r="C1044" s="104" t="e">
        <v>#REF!</v>
      </c>
      <c r="D1044" s="103"/>
      <c r="E1044" s="53"/>
      <c r="F1044" s="53"/>
      <c r="G1044" s="53"/>
      <c r="H1044" s="53"/>
      <c r="I1044" s="53"/>
      <c r="J1044" s="53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  <c r="W1044" s="53"/>
      <c r="X1044" s="53"/>
      <c r="Y1044" s="53"/>
      <c r="Z1044" s="53"/>
    </row>
    <row r="1045" spans="1:26" ht="15.75" customHeight="1">
      <c r="A1045" s="103"/>
      <c r="B1045" s="103"/>
      <c r="C1045" s="104" t="e">
        <v>#REF!</v>
      </c>
      <c r="D1045" s="103"/>
      <c r="E1045" s="53"/>
      <c r="F1045" s="53"/>
      <c r="G1045" s="53"/>
      <c r="H1045" s="53"/>
      <c r="I1045" s="53"/>
      <c r="J1045" s="53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  <c r="W1045" s="53"/>
      <c r="X1045" s="53"/>
      <c r="Y1045" s="53"/>
      <c r="Z1045" s="53"/>
    </row>
    <row r="1046" spans="1:26" ht="15.75" customHeight="1">
      <c r="A1046" s="103"/>
      <c r="B1046" s="103"/>
      <c r="C1046" s="104" t="e">
        <v>#REF!</v>
      </c>
      <c r="D1046" s="103"/>
      <c r="E1046" s="53"/>
      <c r="F1046" s="53"/>
      <c r="G1046" s="53"/>
      <c r="H1046" s="53"/>
      <c r="I1046" s="53"/>
      <c r="J1046" s="53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  <c r="W1046" s="53"/>
      <c r="X1046" s="53"/>
      <c r="Y1046" s="53"/>
      <c r="Z1046" s="53"/>
    </row>
    <row r="1047" spans="1:26" ht="15.75" customHeight="1">
      <c r="A1047" s="103"/>
      <c r="B1047" s="103"/>
      <c r="C1047" s="104" t="e">
        <v>#REF!</v>
      </c>
      <c r="D1047" s="103"/>
      <c r="E1047" s="53"/>
      <c r="F1047" s="53"/>
      <c r="G1047" s="53"/>
      <c r="H1047" s="53"/>
      <c r="I1047" s="53"/>
      <c r="J1047" s="53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  <c r="W1047" s="53"/>
      <c r="X1047" s="53"/>
      <c r="Y1047" s="53"/>
      <c r="Z1047" s="53"/>
    </row>
    <row r="1048" spans="1:26" ht="15.75" customHeight="1">
      <c r="A1048" s="103"/>
      <c r="B1048" s="103"/>
      <c r="C1048" s="104" t="e">
        <v>#REF!</v>
      </c>
      <c r="D1048" s="10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  <c r="W1048" s="53"/>
      <c r="X1048" s="53"/>
      <c r="Y1048" s="53"/>
      <c r="Z1048" s="53"/>
    </row>
    <row r="1049" spans="1:26" ht="15.75" customHeight="1">
      <c r="A1049" s="103"/>
      <c r="B1049" s="103"/>
      <c r="C1049" s="104" t="e">
        <v>#REF!</v>
      </c>
      <c r="D1049" s="103"/>
      <c r="E1049" s="53"/>
      <c r="F1049" s="53"/>
      <c r="G1049" s="53"/>
      <c r="H1049" s="53"/>
      <c r="I1049" s="53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  <c r="W1049" s="53"/>
      <c r="X1049" s="53"/>
      <c r="Y1049" s="53"/>
      <c r="Z1049" s="53"/>
    </row>
    <row r="1050" spans="1:26" ht="15.75" customHeight="1">
      <c r="A1050" s="103"/>
      <c r="B1050" s="103"/>
      <c r="C1050" s="104" t="e">
        <v>#REF!</v>
      </c>
      <c r="D1050" s="103"/>
      <c r="E1050" s="53"/>
      <c r="F1050" s="53"/>
      <c r="G1050" s="53"/>
      <c r="H1050" s="53"/>
      <c r="I1050" s="53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3"/>
      <c r="X1050" s="53"/>
      <c r="Y1050" s="53"/>
      <c r="Z1050" s="53"/>
    </row>
    <row r="1051" spans="1:26" ht="15.75" customHeight="1">
      <c r="A1051" s="103"/>
      <c r="B1051" s="103"/>
      <c r="C1051" s="104" t="e">
        <v>#REF!</v>
      </c>
      <c r="D1051" s="103"/>
      <c r="E1051" s="53"/>
      <c r="F1051" s="53"/>
      <c r="G1051" s="53"/>
      <c r="H1051" s="53"/>
      <c r="I1051" s="53"/>
      <c r="J1051" s="53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</row>
    <row r="1052" spans="1:26" ht="15.75" customHeight="1">
      <c r="A1052" s="103"/>
      <c r="B1052" s="103"/>
      <c r="C1052" s="104" t="e">
        <v>#REF!</v>
      </c>
      <c r="D1052" s="103"/>
      <c r="E1052" s="53"/>
      <c r="F1052" s="53"/>
      <c r="G1052" s="53"/>
      <c r="H1052" s="53"/>
      <c r="I1052" s="53"/>
      <c r="J1052" s="53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  <c r="W1052" s="53"/>
      <c r="X1052" s="53"/>
      <c r="Y1052" s="53"/>
      <c r="Z1052" s="53"/>
    </row>
    <row r="1053" spans="1:26" ht="15.75" customHeight="1">
      <c r="A1053" s="103"/>
      <c r="B1053" s="103"/>
      <c r="C1053" s="104" t="e">
        <v>#REF!</v>
      </c>
      <c r="D1053" s="103"/>
      <c r="E1053" s="53"/>
      <c r="F1053" s="53"/>
      <c r="G1053" s="53"/>
      <c r="H1053" s="53"/>
      <c r="I1053" s="53"/>
      <c r="J1053" s="53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  <c r="W1053" s="53"/>
      <c r="X1053" s="53"/>
      <c r="Y1053" s="53"/>
      <c r="Z1053" s="53"/>
    </row>
    <row r="1054" spans="1:26" ht="15.75" customHeight="1">
      <c r="A1054" s="103"/>
      <c r="B1054" s="103"/>
      <c r="C1054" s="104" t="e">
        <v>#REF!</v>
      </c>
      <c r="D1054" s="103"/>
      <c r="E1054" s="53"/>
      <c r="F1054" s="53"/>
      <c r="G1054" s="53"/>
      <c r="H1054" s="53"/>
      <c r="I1054" s="53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</row>
    <row r="1055" spans="1:26" ht="15.75" customHeight="1">
      <c r="A1055" s="103"/>
      <c r="B1055" s="103"/>
      <c r="C1055" s="104" t="e">
        <v>#REF!</v>
      </c>
      <c r="D1055" s="103"/>
      <c r="E1055" s="53"/>
      <c r="F1055" s="53"/>
      <c r="G1055" s="53"/>
      <c r="H1055" s="53"/>
      <c r="I1055" s="53"/>
      <c r="J1055" s="53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  <c r="W1055" s="53"/>
      <c r="X1055" s="53"/>
      <c r="Y1055" s="53"/>
      <c r="Z1055" s="53"/>
    </row>
    <row r="1056" spans="1:26" ht="15.75" customHeight="1">
      <c r="A1056" s="103"/>
      <c r="B1056" s="103"/>
      <c r="C1056" s="104" t="e">
        <v>#REF!</v>
      </c>
      <c r="D1056" s="103"/>
      <c r="E1056" s="53"/>
      <c r="F1056" s="53"/>
      <c r="G1056" s="53"/>
      <c r="H1056" s="53"/>
      <c r="I1056" s="53"/>
      <c r="J1056" s="53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</row>
    <row r="1057" spans="1:26" ht="15.75" customHeight="1">
      <c r="A1057" s="103"/>
      <c r="B1057" s="103"/>
      <c r="C1057" s="104" t="e">
        <v>#REF!</v>
      </c>
      <c r="D1057" s="103"/>
      <c r="E1057" s="53"/>
      <c r="F1057" s="53"/>
      <c r="G1057" s="53"/>
      <c r="H1057" s="53"/>
      <c r="I1057" s="53"/>
      <c r="J1057" s="53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  <c r="W1057" s="53"/>
      <c r="X1057" s="53"/>
      <c r="Y1057" s="53"/>
      <c r="Z1057" s="53"/>
    </row>
    <row r="1058" spans="1:26" ht="15.75" customHeight="1">
      <c r="A1058" s="103"/>
      <c r="B1058" s="103"/>
      <c r="C1058" s="104" t="e">
        <v>#REF!</v>
      </c>
      <c r="D1058" s="103"/>
      <c r="E1058" s="53"/>
      <c r="F1058" s="53"/>
      <c r="G1058" s="53"/>
      <c r="H1058" s="53"/>
      <c r="I1058" s="53"/>
      <c r="J1058" s="53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</row>
    <row r="1059" spans="1:26" ht="15.75" customHeight="1">
      <c r="A1059" s="103"/>
      <c r="B1059" s="103"/>
      <c r="C1059" s="104" t="e">
        <v>#REF!</v>
      </c>
      <c r="D1059" s="103"/>
      <c r="E1059" s="53"/>
      <c r="F1059" s="53"/>
      <c r="G1059" s="53"/>
      <c r="H1059" s="53"/>
      <c r="I1059" s="53"/>
      <c r="J1059" s="53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  <c r="W1059" s="53"/>
      <c r="X1059" s="53"/>
      <c r="Y1059" s="53"/>
      <c r="Z1059" s="53"/>
    </row>
    <row r="1060" spans="1:26" ht="15.75" customHeight="1">
      <c r="A1060" s="103"/>
      <c r="B1060" s="103"/>
      <c r="C1060" s="104" t="e">
        <v>#REF!</v>
      </c>
      <c r="D1060" s="103"/>
      <c r="E1060" s="53"/>
      <c r="F1060" s="53"/>
      <c r="G1060" s="53"/>
      <c r="H1060" s="53"/>
      <c r="I1060" s="53"/>
      <c r="J1060" s="53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  <c r="W1060" s="53"/>
      <c r="X1060" s="53"/>
      <c r="Y1060" s="53"/>
      <c r="Z1060" s="53"/>
    </row>
    <row r="1061" spans="1:26" ht="15.75" customHeight="1">
      <c r="A1061" s="103"/>
      <c r="B1061" s="103"/>
      <c r="C1061" s="104" t="e">
        <v>#REF!</v>
      </c>
      <c r="D1061" s="103"/>
      <c r="E1061" s="53"/>
      <c r="F1061" s="53"/>
      <c r="G1061" s="53"/>
      <c r="H1061" s="53"/>
      <c r="I1061" s="53"/>
      <c r="J1061" s="53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  <c r="W1061" s="53"/>
      <c r="X1061" s="53"/>
      <c r="Y1061" s="53"/>
      <c r="Z1061" s="53"/>
    </row>
    <row r="1062" spans="1:26" ht="15.75" customHeight="1">
      <c r="A1062" s="103"/>
      <c r="B1062" s="103"/>
      <c r="C1062" s="104" t="e">
        <v>#REF!</v>
      </c>
      <c r="D1062" s="103"/>
      <c r="E1062" s="53"/>
      <c r="F1062" s="53"/>
      <c r="G1062" s="53"/>
      <c r="H1062" s="53"/>
      <c r="I1062" s="53"/>
      <c r="J1062" s="53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  <c r="W1062" s="53"/>
      <c r="X1062" s="53"/>
      <c r="Y1062" s="53"/>
      <c r="Z1062" s="53"/>
    </row>
    <row r="1063" spans="1:26" ht="15.75" customHeight="1">
      <c r="A1063" s="103"/>
      <c r="B1063" s="103"/>
      <c r="C1063" s="104" t="e">
        <v>#REF!</v>
      </c>
      <c r="D1063" s="103"/>
      <c r="E1063" s="53"/>
      <c r="F1063" s="53"/>
      <c r="G1063" s="53"/>
      <c r="H1063" s="53"/>
      <c r="I1063" s="53"/>
      <c r="J1063" s="53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  <c r="W1063" s="53"/>
      <c r="X1063" s="53"/>
      <c r="Y1063" s="53"/>
      <c r="Z1063" s="53"/>
    </row>
    <row r="1064" spans="1:26" ht="15.75" customHeight="1">
      <c r="A1064" s="103"/>
      <c r="B1064" s="103"/>
      <c r="C1064" s="104" t="e">
        <v>#REF!</v>
      </c>
      <c r="D1064" s="103"/>
      <c r="E1064" s="53"/>
      <c r="F1064" s="53"/>
      <c r="G1064" s="53"/>
      <c r="H1064" s="53"/>
      <c r="I1064" s="53"/>
      <c r="J1064" s="53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  <c r="W1064" s="53"/>
      <c r="X1064" s="53"/>
      <c r="Y1064" s="53"/>
      <c r="Z1064" s="53"/>
    </row>
    <row r="1065" spans="1:26" ht="15.75" customHeight="1">
      <c r="A1065" s="103"/>
      <c r="B1065" s="103"/>
      <c r="C1065" s="104" t="e">
        <v>#REF!</v>
      </c>
      <c r="D1065" s="103"/>
      <c r="E1065" s="53"/>
      <c r="F1065" s="53"/>
      <c r="G1065" s="53"/>
      <c r="H1065" s="53"/>
      <c r="I1065" s="53"/>
      <c r="J1065" s="53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  <c r="W1065" s="53"/>
      <c r="X1065" s="53"/>
      <c r="Y1065" s="53"/>
      <c r="Z1065" s="53"/>
    </row>
    <row r="1066" spans="1:26" ht="15.75" customHeight="1">
      <c r="A1066" s="103"/>
      <c r="B1066" s="103"/>
      <c r="C1066" s="104" t="e">
        <v>#REF!</v>
      </c>
      <c r="D1066" s="103"/>
      <c r="E1066" s="53"/>
      <c r="F1066" s="53"/>
      <c r="G1066" s="53"/>
      <c r="H1066" s="53"/>
      <c r="I1066" s="53"/>
      <c r="J1066" s="53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  <c r="W1066" s="53"/>
      <c r="X1066" s="53"/>
      <c r="Y1066" s="53"/>
      <c r="Z1066" s="53"/>
    </row>
    <row r="1067" spans="1:26" ht="15.75" customHeight="1">
      <c r="A1067" s="103"/>
      <c r="B1067" s="103"/>
      <c r="C1067" s="104" t="e">
        <v>#REF!</v>
      </c>
      <c r="D1067" s="103"/>
      <c r="E1067" s="53"/>
      <c r="F1067" s="53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3"/>
      <c r="X1067" s="53"/>
      <c r="Y1067" s="53"/>
      <c r="Z1067" s="53"/>
    </row>
    <row r="1068" spans="1:26" ht="15.75" customHeight="1">
      <c r="A1068" s="103"/>
      <c r="B1068" s="103"/>
      <c r="C1068" s="104" t="e">
        <v>#REF!</v>
      </c>
      <c r="D1068" s="103"/>
      <c r="E1068" s="53"/>
      <c r="F1068" s="53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3"/>
      <c r="X1068" s="53"/>
      <c r="Y1068" s="53"/>
      <c r="Z1068" s="53"/>
    </row>
    <row r="1069" spans="1:26" ht="15.75" customHeight="1">
      <c r="A1069" s="103"/>
      <c r="B1069" s="103"/>
      <c r="C1069" s="104" t="e">
        <v>#REF!</v>
      </c>
      <c r="D1069" s="103"/>
      <c r="E1069" s="53"/>
      <c r="F1069" s="53"/>
      <c r="G1069" s="53"/>
      <c r="H1069" s="53"/>
      <c r="I1069" s="53"/>
      <c r="J1069" s="53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  <c r="W1069" s="53"/>
      <c r="X1069" s="53"/>
      <c r="Y1069" s="53"/>
      <c r="Z1069" s="53"/>
    </row>
    <row r="1070" spans="1:26" ht="15.75" customHeight="1">
      <c r="A1070" s="103"/>
      <c r="B1070" s="103"/>
      <c r="C1070" s="104" t="e">
        <v>#REF!</v>
      </c>
      <c r="D1070" s="103"/>
      <c r="E1070" s="53"/>
      <c r="F1070" s="53"/>
      <c r="G1070" s="53"/>
      <c r="H1070" s="53"/>
      <c r="I1070" s="53"/>
      <c r="J1070" s="53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  <c r="W1070" s="53"/>
      <c r="X1070" s="53"/>
      <c r="Y1070" s="53"/>
      <c r="Z1070" s="53"/>
    </row>
    <row r="1071" spans="1:26" ht="15.75" customHeight="1">
      <c r="A1071" s="103"/>
      <c r="B1071" s="103"/>
      <c r="C1071" s="104" t="e">
        <v>#REF!</v>
      </c>
      <c r="D1071" s="103"/>
      <c r="E1071" s="53"/>
      <c r="F1071" s="53"/>
      <c r="G1071" s="53"/>
      <c r="H1071" s="53"/>
      <c r="I1071" s="53"/>
      <c r="J1071" s="53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  <c r="W1071" s="53"/>
      <c r="X1071" s="53"/>
      <c r="Y1071" s="53"/>
      <c r="Z1071" s="53"/>
    </row>
    <row r="1072" spans="1:26" ht="15.75" customHeight="1">
      <c r="A1072" s="103"/>
      <c r="B1072" s="103"/>
      <c r="C1072" s="104" t="e">
        <v>#REF!</v>
      </c>
      <c r="D1072" s="103"/>
      <c r="E1072" s="53"/>
      <c r="F1072" s="53"/>
      <c r="G1072" s="53"/>
      <c r="H1072" s="53"/>
      <c r="I1072" s="53"/>
      <c r="J1072" s="53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  <c r="W1072" s="53"/>
      <c r="X1072" s="53"/>
      <c r="Y1072" s="53"/>
      <c r="Z1072" s="53"/>
    </row>
    <row r="1073" spans="1:26" ht="15.75" customHeight="1">
      <c r="A1073" s="103"/>
      <c r="B1073" s="103"/>
      <c r="C1073" s="104" t="e">
        <v>#REF!</v>
      </c>
      <c r="D1073" s="103"/>
      <c r="E1073" s="53"/>
      <c r="F1073" s="53"/>
      <c r="G1073" s="53"/>
      <c r="H1073" s="53"/>
      <c r="I1073" s="53"/>
      <c r="J1073" s="53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  <c r="W1073" s="53"/>
      <c r="X1073" s="53"/>
      <c r="Y1073" s="53"/>
      <c r="Z1073" s="53"/>
    </row>
    <row r="1074" spans="1:26" ht="15.75" customHeight="1">
      <c r="A1074" s="103"/>
      <c r="B1074" s="103"/>
      <c r="C1074" s="104" t="e">
        <v>#REF!</v>
      </c>
      <c r="D1074" s="103"/>
      <c r="E1074" s="53"/>
      <c r="F1074" s="53"/>
      <c r="G1074" s="53"/>
      <c r="H1074" s="53"/>
      <c r="I1074" s="53"/>
      <c r="J1074" s="53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  <c r="W1074" s="53"/>
      <c r="X1074" s="53"/>
      <c r="Y1074" s="53"/>
      <c r="Z1074" s="53"/>
    </row>
    <row r="1075" spans="1:26" ht="15.75" customHeight="1">
      <c r="A1075" s="103"/>
      <c r="B1075" s="103"/>
      <c r="C1075" s="104" t="e">
        <v>#REF!</v>
      </c>
      <c r="D1075" s="103"/>
      <c r="E1075" s="53"/>
      <c r="F1075" s="53"/>
      <c r="G1075" s="53"/>
      <c r="H1075" s="53"/>
      <c r="I1075" s="53"/>
      <c r="J1075" s="53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  <c r="W1075" s="53"/>
      <c r="X1075" s="53"/>
      <c r="Y1075" s="53"/>
      <c r="Z1075" s="53"/>
    </row>
    <row r="1076" spans="1:26" ht="15.75" customHeight="1">
      <c r="A1076" s="103"/>
      <c r="B1076" s="103"/>
      <c r="C1076" s="104" t="e">
        <v>#REF!</v>
      </c>
      <c r="D1076" s="103"/>
      <c r="E1076" s="53"/>
      <c r="F1076" s="53"/>
      <c r="G1076" s="53"/>
      <c r="H1076" s="53"/>
      <c r="I1076" s="53"/>
      <c r="J1076" s="53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  <c r="W1076" s="53"/>
      <c r="X1076" s="53"/>
      <c r="Y1076" s="53"/>
      <c r="Z1076" s="53"/>
    </row>
    <row r="1077" spans="1:26" ht="15.75" customHeight="1">
      <c r="A1077" s="103"/>
      <c r="B1077" s="103"/>
      <c r="C1077" s="104" t="e">
        <v>#REF!</v>
      </c>
      <c r="D1077" s="103"/>
      <c r="E1077" s="53"/>
      <c r="F1077" s="53"/>
      <c r="G1077" s="53"/>
      <c r="H1077" s="53"/>
      <c r="I1077" s="53"/>
      <c r="J1077" s="53"/>
      <c r="K1077" s="53"/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  <c r="W1077" s="53"/>
      <c r="X1077" s="53"/>
      <c r="Y1077" s="53"/>
      <c r="Z1077" s="53"/>
    </row>
    <row r="1078" spans="1:26" ht="15.75" customHeight="1">
      <c r="A1078" s="103"/>
      <c r="B1078" s="103"/>
      <c r="C1078" s="104" t="e">
        <v>#REF!</v>
      </c>
      <c r="D1078" s="103"/>
      <c r="E1078" s="53"/>
      <c r="F1078" s="53"/>
      <c r="G1078" s="53"/>
      <c r="H1078" s="53"/>
      <c r="I1078" s="53"/>
      <c r="J1078" s="53"/>
      <c r="K1078" s="53"/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  <c r="W1078" s="53"/>
      <c r="X1078" s="53"/>
      <c r="Y1078" s="53"/>
      <c r="Z1078" s="53"/>
    </row>
    <row r="1079" spans="1:26" ht="15.75" customHeight="1">
      <c r="A1079" s="103"/>
      <c r="B1079" s="103"/>
      <c r="C1079" s="104" t="e">
        <v>#REF!</v>
      </c>
      <c r="D1079" s="103"/>
      <c r="E1079" s="53"/>
      <c r="F1079" s="53"/>
      <c r="G1079" s="53"/>
      <c r="H1079" s="53"/>
      <c r="I1079" s="53"/>
      <c r="J1079" s="53"/>
      <c r="K1079" s="53"/>
      <c r="L1079" s="53"/>
      <c r="M1079" s="53"/>
      <c r="N1079" s="53"/>
      <c r="O1079" s="53"/>
      <c r="P1079" s="53"/>
      <c r="Q1079" s="53"/>
      <c r="R1079" s="53"/>
      <c r="S1079" s="53"/>
      <c r="T1079" s="53"/>
      <c r="U1079" s="53"/>
      <c r="V1079" s="53"/>
      <c r="W1079" s="53"/>
      <c r="X1079" s="53"/>
      <c r="Y1079" s="53"/>
      <c r="Z1079" s="53"/>
    </row>
    <row r="1080" spans="1:26" ht="15.75" customHeight="1">
      <c r="A1080" s="103"/>
      <c r="B1080" s="103"/>
      <c r="C1080" s="104" t="e">
        <v>#REF!</v>
      </c>
      <c r="D1080" s="103"/>
      <c r="E1080" s="53"/>
      <c r="F1080" s="53"/>
      <c r="G1080" s="53"/>
      <c r="H1080" s="53"/>
      <c r="I1080" s="53"/>
      <c r="J1080" s="53"/>
      <c r="K1080" s="53"/>
      <c r="L1080" s="53"/>
      <c r="M1080" s="53"/>
      <c r="N1080" s="53"/>
      <c r="O1080" s="53"/>
      <c r="P1080" s="53"/>
      <c r="Q1080" s="53"/>
      <c r="R1080" s="53"/>
      <c r="S1080" s="53"/>
      <c r="T1080" s="53"/>
      <c r="U1080" s="53"/>
      <c r="V1080" s="53"/>
      <c r="W1080" s="53"/>
      <c r="X1080" s="53"/>
      <c r="Y1080" s="53"/>
      <c r="Z1080" s="53"/>
    </row>
    <row r="1081" spans="1:26" ht="15.75" customHeight="1">
      <c r="A1081" s="103"/>
      <c r="B1081" s="103"/>
      <c r="C1081" s="104" t="e">
        <v>#REF!</v>
      </c>
      <c r="D1081" s="103"/>
      <c r="E1081" s="53"/>
      <c r="F1081" s="53"/>
      <c r="G1081" s="53"/>
      <c r="H1081" s="53"/>
      <c r="I1081" s="53"/>
      <c r="J1081" s="53"/>
      <c r="K1081" s="53"/>
      <c r="L1081" s="53"/>
      <c r="M1081" s="53"/>
      <c r="N1081" s="53"/>
      <c r="O1081" s="53"/>
      <c r="P1081" s="53"/>
      <c r="Q1081" s="53"/>
      <c r="R1081" s="53"/>
      <c r="S1081" s="53"/>
      <c r="T1081" s="53"/>
      <c r="U1081" s="53"/>
      <c r="V1081" s="53"/>
      <c r="W1081" s="53"/>
      <c r="X1081" s="53"/>
      <c r="Y1081" s="53"/>
      <c r="Z1081" s="53"/>
    </row>
    <row r="1082" spans="1:26" ht="15.75" customHeight="1">
      <c r="A1082" s="103"/>
      <c r="B1082" s="103"/>
      <c r="C1082" s="104" t="e">
        <v>#REF!</v>
      </c>
      <c r="D1082" s="103"/>
      <c r="E1082" s="53"/>
      <c r="F1082" s="53"/>
      <c r="G1082" s="53"/>
      <c r="H1082" s="53"/>
      <c r="I1082" s="53"/>
      <c r="J1082" s="53"/>
      <c r="K1082" s="53"/>
      <c r="L1082" s="53"/>
      <c r="M1082" s="53"/>
      <c r="N1082" s="53"/>
      <c r="O1082" s="53"/>
      <c r="P1082" s="53"/>
      <c r="Q1082" s="53"/>
      <c r="R1082" s="53"/>
      <c r="S1082" s="53"/>
      <c r="T1082" s="53"/>
      <c r="U1082" s="53"/>
      <c r="V1082" s="53"/>
      <c r="W1082" s="53"/>
      <c r="X1082" s="53"/>
      <c r="Y1082" s="53"/>
      <c r="Z1082" s="53"/>
    </row>
    <row r="1083" spans="1:26" ht="15.75" customHeight="1">
      <c r="A1083" s="103"/>
      <c r="B1083" s="103"/>
      <c r="C1083" s="104" t="e">
        <v>#REF!</v>
      </c>
      <c r="D1083" s="103"/>
      <c r="E1083" s="53"/>
      <c r="F1083" s="53"/>
      <c r="G1083" s="53"/>
      <c r="H1083" s="53"/>
      <c r="I1083" s="53"/>
      <c r="J1083" s="53"/>
      <c r="K1083" s="53"/>
      <c r="L1083" s="53"/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  <c r="W1083" s="53"/>
      <c r="X1083" s="53"/>
      <c r="Y1083" s="53"/>
      <c r="Z1083" s="53"/>
    </row>
    <row r="1084" spans="1:26" ht="15.75" customHeight="1">
      <c r="A1084" s="103"/>
      <c r="B1084" s="103"/>
      <c r="C1084" s="104" t="e">
        <v>#REF!</v>
      </c>
      <c r="D1084" s="103"/>
      <c r="E1084" s="53"/>
      <c r="F1084" s="53"/>
      <c r="G1084" s="53"/>
      <c r="H1084" s="53"/>
      <c r="I1084" s="53"/>
      <c r="J1084" s="53"/>
      <c r="K1084" s="53"/>
      <c r="L1084" s="53"/>
      <c r="M1084" s="53"/>
      <c r="N1084" s="53"/>
      <c r="O1084" s="53"/>
      <c r="P1084" s="53"/>
      <c r="Q1084" s="53"/>
      <c r="R1084" s="53"/>
      <c r="S1084" s="53"/>
      <c r="T1084" s="53"/>
      <c r="U1084" s="53"/>
      <c r="V1084" s="53"/>
      <c r="W1084" s="53"/>
      <c r="X1084" s="53"/>
      <c r="Y1084" s="53"/>
      <c r="Z1084" s="53"/>
    </row>
    <row r="1085" spans="1:26" ht="15.75" customHeight="1">
      <c r="A1085" s="103"/>
      <c r="B1085" s="103"/>
      <c r="C1085" s="104" t="e">
        <v>#REF!</v>
      </c>
      <c r="D1085" s="103"/>
      <c r="E1085" s="53"/>
      <c r="F1085" s="53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3"/>
      <c r="X1085" s="53"/>
      <c r="Y1085" s="53"/>
      <c r="Z1085" s="53"/>
    </row>
    <row r="1086" spans="1:26" ht="15.75" customHeight="1">
      <c r="A1086" s="103"/>
      <c r="B1086" s="103"/>
      <c r="C1086" s="104" t="e">
        <v>#REF!</v>
      </c>
      <c r="D1086" s="103"/>
      <c r="E1086" s="53"/>
      <c r="F1086" s="53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  <c r="W1086" s="53"/>
      <c r="X1086" s="53"/>
      <c r="Y1086" s="53"/>
      <c r="Z1086" s="53"/>
    </row>
    <row r="1087" spans="1:26" ht="15.75" customHeight="1">
      <c r="A1087" s="103"/>
      <c r="B1087" s="103"/>
      <c r="C1087" s="104" t="e">
        <v>#REF!</v>
      </c>
      <c r="D1087" s="103"/>
      <c r="E1087" s="53"/>
      <c r="F1087" s="53"/>
      <c r="G1087" s="53"/>
      <c r="H1087" s="53"/>
      <c r="I1087" s="53"/>
      <c r="J1087" s="53"/>
      <c r="K1087" s="53"/>
      <c r="L1087" s="53"/>
      <c r="M1087" s="53"/>
      <c r="N1087" s="53"/>
      <c r="O1087" s="53"/>
      <c r="P1087" s="53"/>
      <c r="Q1087" s="53"/>
      <c r="R1087" s="53"/>
      <c r="S1087" s="53"/>
      <c r="T1087" s="53"/>
      <c r="U1087" s="53"/>
      <c r="V1087" s="53"/>
      <c r="W1087" s="53"/>
      <c r="X1087" s="53"/>
      <c r="Y1087" s="53"/>
      <c r="Z1087" s="53"/>
    </row>
    <row r="1088" spans="1:26" ht="15.75" customHeight="1">
      <c r="A1088" s="103"/>
      <c r="B1088" s="103"/>
      <c r="C1088" s="104" t="e">
        <v>#REF!</v>
      </c>
      <c r="D1088" s="103"/>
      <c r="E1088" s="53"/>
      <c r="F1088" s="53"/>
      <c r="G1088" s="53"/>
      <c r="H1088" s="53"/>
      <c r="I1088" s="53"/>
      <c r="J1088" s="53"/>
      <c r="K1088" s="53"/>
      <c r="L1088" s="53"/>
      <c r="M1088" s="53"/>
      <c r="N1088" s="53"/>
      <c r="O1088" s="53"/>
      <c r="P1088" s="53"/>
      <c r="Q1088" s="53"/>
      <c r="R1088" s="53"/>
      <c r="S1088" s="53"/>
      <c r="T1088" s="53"/>
      <c r="U1088" s="53"/>
      <c r="V1088" s="53"/>
      <c r="W1088" s="53"/>
      <c r="X1088" s="53"/>
      <c r="Y1088" s="53"/>
      <c r="Z1088" s="53"/>
    </row>
    <row r="1089" spans="1:26" ht="15.75" customHeight="1">
      <c r="A1089" s="103"/>
      <c r="B1089" s="103"/>
      <c r="C1089" s="104" t="e">
        <v>#REF!</v>
      </c>
      <c r="D1089" s="103"/>
      <c r="E1089" s="53"/>
      <c r="F1089" s="53"/>
      <c r="G1089" s="53"/>
      <c r="H1089" s="53"/>
      <c r="I1089" s="53"/>
      <c r="J1089" s="53"/>
      <c r="K1089" s="53"/>
      <c r="L1089" s="53"/>
      <c r="M1089" s="53"/>
      <c r="N1089" s="53"/>
      <c r="O1089" s="53"/>
      <c r="P1089" s="53"/>
      <c r="Q1089" s="53"/>
      <c r="R1089" s="53"/>
      <c r="S1089" s="53"/>
      <c r="T1089" s="53"/>
      <c r="U1089" s="53"/>
      <c r="V1089" s="53"/>
      <c r="W1089" s="53"/>
      <c r="X1089" s="53"/>
      <c r="Y1089" s="53"/>
      <c r="Z1089" s="53"/>
    </row>
    <row r="1090" spans="1:26" ht="15.75" customHeight="1">
      <c r="A1090" s="103"/>
      <c r="B1090" s="103"/>
      <c r="C1090" s="104" t="e">
        <v>#REF!</v>
      </c>
      <c r="D1090" s="103"/>
      <c r="E1090" s="53"/>
      <c r="F1090" s="53"/>
      <c r="G1090" s="53"/>
      <c r="H1090" s="53"/>
      <c r="I1090" s="53"/>
      <c r="J1090" s="53"/>
      <c r="K1090" s="53"/>
      <c r="L1090" s="53"/>
      <c r="M1090" s="53"/>
      <c r="N1090" s="53"/>
      <c r="O1090" s="53"/>
      <c r="P1090" s="53"/>
      <c r="Q1090" s="53"/>
      <c r="R1090" s="53"/>
      <c r="S1090" s="53"/>
      <c r="T1090" s="53"/>
      <c r="U1090" s="53"/>
      <c r="V1090" s="53"/>
      <c r="W1090" s="53"/>
      <c r="X1090" s="53"/>
      <c r="Y1090" s="53"/>
      <c r="Z1090" s="53"/>
    </row>
    <row r="1091" spans="1:26" ht="15.75" customHeight="1">
      <c r="A1091" s="103"/>
      <c r="B1091" s="103"/>
      <c r="C1091" s="104" t="e">
        <v>#REF!</v>
      </c>
      <c r="D1091" s="103"/>
      <c r="E1091" s="53"/>
      <c r="F1091" s="53"/>
      <c r="G1091" s="53"/>
      <c r="H1091" s="53"/>
      <c r="I1091" s="53"/>
      <c r="J1091" s="53"/>
      <c r="K1091" s="53"/>
      <c r="L1091" s="53"/>
      <c r="M1091" s="53"/>
      <c r="N1091" s="53"/>
      <c r="O1091" s="53"/>
      <c r="P1091" s="53"/>
      <c r="Q1091" s="53"/>
      <c r="R1091" s="53"/>
      <c r="S1091" s="53"/>
      <c r="T1091" s="53"/>
      <c r="U1091" s="53"/>
      <c r="V1091" s="53"/>
      <c r="W1091" s="53"/>
      <c r="X1091" s="53"/>
      <c r="Y1091" s="53"/>
      <c r="Z1091" s="53"/>
    </row>
    <row r="1092" spans="1:26" ht="15.75" customHeight="1">
      <c r="A1092" s="103"/>
      <c r="B1092" s="103"/>
      <c r="C1092" s="104" t="e">
        <v>#REF!</v>
      </c>
      <c r="D1092" s="103"/>
      <c r="E1092" s="53"/>
      <c r="F1092" s="53"/>
      <c r="G1092" s="53"/>
      <c r="H1092" s="53"/>
      <c r="I1092" s="53"/>
      <c r="J1092" s="53"/>
      <c r="K1092" s="53"/>
      <c r="L1092" s="53"/>
      <c r="M1092" s="53"/>
      <c r="N1092" s="53"/>
      <c r="O1092" s="53"/>
      <c r="P1092" s="53"/>
      <c r="Q1092" s="53"/>
      <c r="R1092" s="53"/>
      <c r="S1092" s="53"/>
      <c r="T1092" s="53"/>
      <c r="U1092" s="53"/>
      <c r="V1092" s="53"/>
      <c r="W1092" s="53"/>
      <c r="X1092" s="53"/>
      <c r="Y1092" s="53"/>
      <c r="Z1092" s="53"/>
    </row>
    <row r="1093" spans="1:26" ht="15.75" customHeight="1">
      <c r="A1093" s="103"/>
      <c r="B1093" s="103"/>
      <c r="C1093" s="104" t="e">
        <v>#REF!</v>
      </c>
      <c r="D1093" s="103"/>
      <c r="E1093" s="53"/>
      <c r="F1093" s="53"/>
      <c r="G1093" s="53"/>
      <c r="H1093" s="53"/>
      <c r="I1093" s="53"/>
      <c r="J1093" s="53"/>
      <c r="K1093" s="53"/>
      <c r="L1093" s="53"/>
      <c r="M1093" s="53"/>
      <c r="N1093" s="53"/>
      <c r="O1093" s="53"/>
      <c r="P1093" s="53"/>
      <c r="Q1093" s="53"/>
      <c r="R1093" s="53"/>
      <c r="S1093" s="53"/>
      <c r="T1093" s="53"/>
      <c r="U1093" s="53"/>
      <c r="V1093" s="53"/>
      <c r="W1093" s="53"/>
      <c r="X1093" s="53"/>
      <c r="Y1093" s="53"/>
      <c r="Z1093" s="53"/>
    </row>
    <row r="1094" spans="1:26" ht="15.75" customHeight="1">
      <c r="A1094" s="103"/>
      <c r="B1094" s="103"/>
      <c r="C1094" s="104" t="e">
        <v>#REF!</v>
      </c>
      <c r="D1094" s="103"/>
      <c r="E1094" s="53"/>
      <c r="F1094" s="53"/>
      <c r="G1094" s="53"/>
      <c r="H1094" s="53"/>
      <c r="I1094" s="53"/>
      <c r="J1094" s="53"/>
      <c r="K1094" s="53"/>
      <c r="L1094" s="53"/>
      <c r="M1094" s="53"/>
      <c r="N1094" s="53"/>
      <c r="O1094" s="53"/>
      <c r="P1094" s="53"/>
      <c r="Q1094" s="53"/>
      <c r="R1094" s="53"/>
      <c r="S1094" s="53"/>
      <c r="T1094" s="53"/>
      <c r="U1094" s="53"/>
      <c r="V1094" s="53"/>
      <c r="W1094" s="53"/>
      <c r="X1094" s="53"/>
      <c r="Y1094" s="53"/>
      <c r="Z1094" s="53"/>
    </row>
    <row r="1095" spans="1:26" ht="15.75" customHeight="1">
      <c r="A1095" s="103"/>
      <c r="B1095" s="103"/>
      <c r="C1095" s="104" t="e">
        <v>#REF!</v>
      </c>
      <c r="D1095" s="103"/>
      <c r="E1095" s="53"/>
      <c r="F1095" s="53"/>
      <c r="G1095" s="53"/>
      <c r="H1095" s="53"/>
      <c r="I1095" s="53"/>
      <c r="J1095" s="53"/>
      <c r="K1095" s="53"/>
      <c r="L1095" s="53"/>
      <c r="M1095" s="53"/>
      <c r="N1095" s="53"/>
      <c r="O1095" s="53"/>
      <c r="P1095" s="53"/>
      <c r="Q1095" s="53"/>
      <c r="R1095" s="53"/>
      <c r="S1095" s="53"/>
      <c r="T1095" s="53"/>
      <c r="U1095" s="53"/>
      <c r="V1095" s="53"/>
      <c r="W1095" s="53"/>
      <c r="X1095" s="53"/>
      <c r="Y1095" s="53"/>
      <c r="Z1095" s="53"/>
    </row>
    <row r="1096" spans="1:26" ht="15.75" customHeight="1">
      <c r="A1096" s="103"/>
      <c r="B1096" s="103"/>
      <c r="C1096" s="104" t="e">
        <v>#REF!</v>
      </c>
      <c r="D1096" s="10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</row>
    <row r="1097" spans="1:26" ht="15.75" customHeight="1">
      <c r="A1097" s="103"/>
      <c r="B1097" s="103"/>
      <c r="C1097" s="104" t="e">
        <v>#REF!</v>
      </c>
      <c r="D1097" s="103"/>
      <c r="E1097" s="53"/>
      <c r="F1097" s="53"/>
      <c r="G1097" s="53"/>
      <c r="H1097" s="53"/>
      <c r="I1097" s="53"/>
      <c r="J1097" s="53"/>
      <c r="K1097" s="53"/>
      <c r="L1097" s="53"/>
      <c r="M1097" s="53"/>
      <c r="N1097" s="53"/>
      <c r="O1097" s="53"/>
      <c r="P1097" s="53"/>
      <c r="Q1097" s="53"/>
      <c r="R1097" s="53"/>
      <c r="S1097" s="53"/>
      <c r="T1097" s="53"/>
      <c r="U1097" s="53"/>
      <c r="V1097" s="53"/>
      <c r="W1097" s="53"/>
      <c r="X1097" s="53"/>
      <c r="Y1097" s="53"/>
      <c r="Z1097" s="53"/>
    </row>
    <row r="1098" spans="1:26" ht="15.75" customHeight="1">
      <c r="A1098" s="103"/>
      <c r="B1098" s="103"/>
      <c r="C1098" s="104" t="e">
        <v>#REF!</v>
      </c>
      <c r="D1098" s="103"/>
      <c r="E1098" s="53"/>
      <c r="F1098" s="53"/>
      <c r="G1098" s="53"/>
      <c r="H1098" s="53"/>
      <c r="I1098" s="53"/>
      <c r="J1098" s="53"/>
      <c r="K1098" s="53"/>
      <c r="L1098" s="53"/>
      <c r="M1098" s="53"/>
      <c r="N1098" s="53"/>
      <c r="O1098" s="53"/>
      <c r="P1098" s="53"/>
      <c r="Q1098" s="53"/>
      <c r="R1098" s="53"/>
      <c r="S1098" s="53"/>
      <c r="T1098" s="53"/>
      <c r="U1098" s="53"/>
      <c r="V1098" s="53"/>
      <c r="W1098" s="53"/>
      <c r="X1098" s="53"/>
      <c r="Y1098" s="53"/>
      <c r="Z1098" s="53"/>
    </row>
    <row r="1099" spans="1:26" ht="15.75" customHeight="1">
      <c r="A1099" s="103"/>
      <c r="B1099" s="103"/>
      <c r="C1099" s="104" t="e">
        <v>#REF!</v>
      </c>
      <c r="D1099" s="103"/>
      <c r="E1099" s="53"/>
      <c r="F1099" s="53"/>
      <c r="G1099" s="53"/>
      <c r="H1099" s="53"/>
      <c r="I1099" s="53"/>
      <c r="J1099" s="53"/>
      <c r="K1099" s="53"/>
      <c r="L1099" s="53"/>
      <c r="M1099" s="53"/>
      <c r="N1099" s="53"/>
      <c r="O1099" s="53"/>
      <c r="P1099" s="53"/>
      <c r="Q1099" s="53"/>
      <c r="R1099" s="53"/>
      <c r="S1099" s="53"/>
      <c r="T1099" s="53"/>
      <c r="U1099" s="53"/>
      <c r="V1099" s="53"/>
      <c r="W1099" s="53"/>
      <c r="X1099" s="53"/>
      <c r="Y1099" s="53"/>
      <c r="Z1099" s="53"/>
    </row>
    <row r="1100" spans="1:26" ht="15.75" customHeight="1">
      <c r="A1100" s="103"/>
      <c r="B1100" s="103"/>
      <c r="C1100" s="104" t="e">
        <v>#REF!</v>
      </c>
      <c r="D1100" s="103"/>
      <c r="E1100" s="53"/>
      <c r="F1100" s="53"/>
      <c r="G1100" s="53"/>
      <c r="H1100" s="53"/>
      <c r="I1100" s="53"/>
      <c r="J1100" s="53"/>
      <c r="K1100" s="53"/>
      <c r="L1100" s="53"/>
      <c r="M1100" s="53"/>
      <c r="N1100" s="53"/>
      <c r="O1100" s="53"/>
      <c r="P1100" s="53"/>
      <c r="Q1100" s="53"/>
      <c r="R1100" s="53"/>
      <c r="S1100" s="53"/>
      <c r="T1100" s="53"/>
      <c r="U1100" s="53"/>
      <c r="V1100" s="53"/>
      <c r="W1100" s="53"/>
      <c r="X1100" s="53"/>
      <c r="Y1100" s="53"/>
      <c r="Z1100" s="53"/>
    </row>
    <row r="1101" spans="1:26" ht="15.75" customHeight="1">
      <c r="A1101" s="103"/>
      <c r="B1101" s="103"/>
      <c r="C1101" s="104" t="e">
        <v>#REF!</v>
      </c>
      <c r="D1101" s="10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53"/>
      <c r="T1101" s="53"/>
      <c r="U1101" s="53"/>
      <c r="V1101" s="53"/>
      <c r="W1101" s="53"/>
      <c r="X1101" s="53"/>
      <c r="Y1101" s="53"/>
      <c r="Z1101" s="53"/>
    </row>
    <row r="1102" spans="1:26" ht="15.75" customHeight="1">
      <c r="A1102" s="103"/>
      <c r="B1102" s="103"/>
      <c r="C1102" s="104" t="e">
        <v>#REF!</v>
      </c>
      <c r="D1102" s="103"/>
      <c r="E1102" s="53"/>
      <c r="F1102" s="53"/>
      <c r="G1102" s="53"/>
      <c r="H1102" s="53"/>
      <c r="I1102" s="53"/>
      <c r="J1102" s="53"/>
      <c r="K1102" s="53"/>
      <c r="L1102" s="53"/>
      <c r="M1102" s="53"/>
      <c r="N1102" s="53"/>
      <c r="O1102" s="53"/>
      <c r="P1102" s="53"/>
      <c r="Q1102" s="53"/>
      <c r="R1102" s="53"/>
      <c r="S1102" s="53"/>
      <c r="T1102" s="53"/>
      <c r="U1102" s="53"/>
      <c r="V1102" s="53"/>
      <c r="W1102" s="53"/>
      <c r="X1102" s="53"/>
      <c r="Y1102" s="53"/>
      <c r="Z1102" s="53"/>
    </row>
    <row r="1103" spans="1:26" ht="15.75" customHeight="1">
      <c r="A1103" s="103"/>
      <c r="B1103" s="103"/>
      <c r="C1103" s="104" t="e">
        <v>#REF!</v>
      </c>
      <c r="D1103" s="103"/>
      <c r="E1103" s="53"/>
      <c r="F1103" s="53"/>
      <c r="G1103" s="53"/>
      <c r="H1103" s="53"/>
      <c r="I1103" s="53"/>
      <c r="J1103" s="53"/>
      <c r="K1103" s="53"/>
      <c r="L1103" s="53"/>
      <c r="M1103" s="53"/>
      <c r="N1103" s="53"/>
      <c r="O1103" s="53"/>
      <c r="P1103" s="53"/>
      <c r="Q1103" s="53"/>
      <c r="R1103" s="53"/>
      <c r="S1103" s="53"/>
      <c r="T1103" s="53"/>
      <c r="U1103" s="53"/>
      <c r="V1103" s="53"/>
      <c r="W1103" s="53"/>
      <c r="X1103" s="53"/>
      <c r="Y1103" s="53"/>
      <c r="Z1103" s="53"/>
    </row>
    <row r="1104" spans="1:26" ht="15.75" customHeight="1">
      <c r="A1104" s="103"/>
      <c r="B1104" s="103"/>
      <c r="C1104" s="104" t="e">
        <v>#REF!</v>
      </c>
      <c r="D1104" s="103"/>
      <c r="E1104" s="53"/>
      <c r="F1104" s="53"/>
      <c r="G1104" s="53"/>
      <c r="H1104" s="53"/>
      <c r="I1104" s="53"/>
      <c r="J1104" s="53"/>
      <c r="K1104" s="53"/>
      <c r="L1104" s="53"/>
      <c r="M1104" s="53"/>
      <c r="N1104" s="53"/>
      <c r="O1104" s="53"/>
      <c r="P1104" s="53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</row>
    <row r="1105" spans="1:26" ht="15.75" customHeight="1">
      <c r="A1105" s="103"/>
      <c r="B1105" s="103"/>
      <c r="C1105" s="104" t="e">
        <v>#REF!</v>
      </c>
      <c r="D1105" s="103"/>
      <c r="E1105" s="53"/>
      <c r="F1105" s="53"/>
      <c r="G1105" s="53"/>
      <c r="H1105" s="53"/>
      <c r="I1105" s="53"/>
      <c r="J1105" s="53"/>
      <c r="K1105" s="53"/>
      <c r="L1105" s="53"/>
      <c r="M1105" s="53"/>
      <c r="N1105" s="53"/>
      <c r="O1105" s="53"/>
      <c r="P1105" s="53"/>
      <c r="Q1105" s="53"/>
      <c r="R1105" s="53"/>
      <c r="S1105" s="53"/>
      <c r="T1105" s="53"/>
      <c r="U1105" s="53"/>
      <c r="V1105" s="53"/>
      <c r="W1105" s="53"/>
      <c r="X1105" s="53"/>
      <c r="Y1105" s="53"/>
      <c r="Z1105" s="53"/>
    </row>
    <row r="1106" spans="1:26" ht="15.75" customHeight="1">
      <c r="A1106" s="103"/>
      <c r="B1106" s="103"/>
      <c r="C1106" s="104" t="e">
        <v>#REF!</v>
      </c>
      <c r="D1106" s="103"/>
      <c r="E1106" s="53"/>
      <c r="F1106" s="53"/>
      <c r="G1106" s="53"/>
      <c r="H1106" s="53"/>
      <c r="I1106" s="53"/>
      <c r="J1106" s="53"/>
      <c r="K1106" s="53"/>
      <c r="L1106" s="53"/>
      <c r="M1106" s="53"/>
      <c r="N1106" s="53"/>
      <c r="O1106" s="53"/>
      <c r="P1106" s="53"/>
      <c r="Q1106" s="53"/>
      <c r="R1106" s="53"/>
      <c r="S1106" s="53"/>
      <c r="T1106" s="53"/>
      <c r="U1106" s="53"/>
      <c r="V1106" s="53"/>
      <c r="W1106" s="53"/>
      <c r="X1106" s="53"/>
      <c r="Y1106" s="53"/>
      <c r="Z1106" s="53"/>
    </row>
    <row r="1107" spans="1:26" ht="15.75" customHeight="1">
      <c r="A1107" s="103"/>
      <c r="B1107" s="103"/>
      <c r="C1107" s="104" t="e">
        <v>#REF!</v>
      </c>
      <c r="D1107" s="103"/>
      <c r="E1107" s="53"/>
      <c r="F1107" s="53"/>
      <c r="G1107" s="53"/>
      <c r="H1107" s="53"/>
      <c r="I1107" s="53"/>
      <c r="J1107" s="53"/>
      <c r="K1107" s="53"/>
      <c r="L1107" s="53"/>
      <c r="M1107" s="53"/>
      <c r="N1107" s="53"/>
      <c r="O1107" s="53"/>
      <c r="P1107" s="53"/>
      <c r="Q1107" s="53"/>
      <c r="R1107" s="53"/>
      <c r="S1107" s="53"/>
      <c r="T1107" s="53"/>
      <c r="U1107" s="53"/>
      <c r="V1107" s="53"/>
      <c r="W1107" s="53"/>
      <c r="X1107" s="53"/>
      <c r="Y1107" s="53"/>
      <c r="Z1107" s="53"/>
    </row>
    <row r="1108" spans="1:26" ht="15.75" customHeight="1">
      <c r="A1108" s="103"/>
      <c r="B1108" s="103"/>
      <c r="C1108" s="104" t="e">
        <v>#REF!</v>
      </c>
      <c r="D1108" s="103"/>
      <c r="E1108" s="53"/>
      <c r="F1108" s="53"/>
      <c r="G1108" s="53"/>
      <c r="H1108" s="53"/>
      <c r="I1108" s="53"/>
      <c r="J1108" s="53"/>
      <c r="K1108" s="53"/>
      <c r="L1108" s="53"/>
      <c r="M1108" s="53"/>
      <c r="N1108" s="53"/>
      <c r="O1108" s="53"/>
      <c r="P1108" s="53"/>
      <c r="Q1108" s="53"/>
      <c r="R1108" s="53"/>
      <c r="S1108" s="53"/>
      <c r="T1108" s="53"/>
      <c r="U1108" s="53"/>
      <c r="V1108" s="53"/>
      <c r="W1108" s="53"/>
      <c r="X1108" s="53"/>
      <c r="Y1108" s="53"/>
      <c r="Z1108" s="53"/>
    </row>
    <row r="1109" spans="1:26" ht="15.75" customHeight="1">
      <c r="A1109" s="103"/>
      <c r="B1109" s="103"/>
      <c r="C1109" s="104" t="e">
        <v>#REF!</v>
      </c>
      <c r="D1109" s="103"/>
      <c r="E1109" s="53"/>
      <c r="F1109" s="53"/>
      <c r="G1109" s="53"/>
      <c r="H1109" s="53"/>
      <c r="I1109" s="53"/>
      <c r="J1109" s="53"/>
      <c r="K1109" s="53"/>
      <c r="L1109" s="53"/>
      <c r="M1109" s="53"/>
      <c r="N1109" s="53"/>
      <c r="O1109" s="53"/>
      <c r="P1109" s="53"/>
      <c r="Q1109" s="53"/>
      <c r="R1109" s="53"/>
      <c r="S1109" s="53"/>
      <c r="T1109" s="53"/>
      <c r="U1109" s="53"/>
      <c r="V1109" s="53"/>
      <c r="W1109" s="53"/>
      <c r="X1109" s="53"/>
      <c r="Y1109" s="53"/>
      <c r="Z1109" s="53"/>
    </row>
    <row r="1110" spans="1:26" ht="15.75" customHeight="1">
      <c r="A1110" s="103"/>
      <c r="B1110" s="103"/>
      <c r="C1110" s="104" t="e">
        <v>#REF!</v>
      </c>
      <c r="D1110" s="103"/>
      <c r="E1110" s="53"/>
      <c r="F1110" s="53"/>
      <c r="G1110" s="53"/>
      <c r="H1110" s="53"/>
      <c r="I1110" s="53"/>
      <c r="J1110" s="53"/>
      <c r="K1110" s="53"/>
      <c r="L1110" s="53"/>
      <c r="M1110" s="53"/>
      <c r="N1110" s="53"/>
      <c r="O1110" s="53"/>
      <c r="P1110" s="53"/>
      <c r="Q1110" s="53"/>
      <c r="R1110" s="53"/>
      <c r="S1110" s="53"/>
      <c r="T1110" s="53"/>
      <c r="U1110" s="53"/>
      <c r="V1110" s="53"/>
      <c r="W1110" s="53"/>
      <c r="X1110" s="53"/>
      <c r="Y1110" s="53"/>
      <c r="Z1110" s="53"/>
    </row>
    <row r="1111" spans="1:26" ht="15.75" customHeight="1">
      <c r="A1111" s="103"/>
      <c r="B1111" s="103"/>
      <c r="C1111" s="104" t="e">
        <v>#REF!</v>
      </c>
      <c r="D1111" s="103"/>
      <c r="E1111" s="53"/>
      <c r="F1111" s="53"/>
      <c r="G1111" s="53"/>
      <c r="H1111" s="53"/>
      <c r="I1111" s="53"/>
      <c r="J1111" s="53"/>
      <c r="K1111" s="53"/>
      <c r="L1111" s="53"/>
      <c r="M1111" s="53"/>
      <c r="N1111" s="53"/>
      <c r="O1111" s="53"/>
      <c r="P1111" s="53"/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</row>
    <row r="1112" spans="1:26" ht="15.75" customHeight="1">
      <c r="A1112" s="103"/>
      <c r="B1112" s="103"/>
      <c r="C1112" s="104" t="e">
        <v>#REF!</v>
      </c>
      <c r="D1112" s="103"/>
      <c r="E1112" s="53"/>
      <c r="F1112" s="53"/>
      <c r="G1112" s="53"/>
      <c r="H1112" s="53"/>
      <c r="I1112" s="53"/>
      <c r="J1112" s="53"/>
      <c r="K1112" s="53"/>
      <c r="L1112" s="53"/>
      <c r="M1112" s="53"/>
      <c r="N1112" s="53"/>
      <c r="O1112" s="53"/>
      <c r="P1112" s="53"/>
      <c r="Q1112" s="53"/>
      <c r="R1112" s="53"/>
      <c r="S1112" s="53"/>
      <c r="T1112" s="53"/>
      <c r="U1112" s="53"/>
      <c r="V1112" s="53"/>
      <c r="W1112" s="53"/>
      <c r="X1112" s="53"/>
      <c r="Y1112" s="53"/>
      <c r="Z1112" s="53"/>
    </row>
    <row r="1113" spans="1:26" ht="15.75" customHeight="1">
      <c r="A1113" s="103"/>
      <c r="B1113" s="103"/>
      <c r="C1113" s="104" t="e">
        <v>#REF!</v>
      </c>
      <c r="D1113" s="103"/>
      <c r="E1113" s="53"/>
      <c r="F1113" s="53"/>
      <c r="G1113" s="53"/>
      <c r="H1113" s="53"/>
      <c r="I1113" s="53"/>
      <c r="J1113" s="53"/>
      <c r="K1113" s="53"/>
      <c r="L1113" s="53"/>
      <c r="M1113" s="53"/>
      <c r="N1113" s="53"/>
      <c r="O1113" s="53"/>
      <c r="P1113" s="53"/>
      <c r="Q1113" s="53"/>
      <c r="R1113" s="53"/>
      <c r="S1113" s="53"/>
      <c r="T1113" s="53"/>
      <c r="U1113" s="53"/>
      <c r="V1113" s="53"/>
      <c r="W1113" s="53"/>
      <c r="X1113" s="53"/>
      <c r="Y1113" s="53"/>
      <c r="Z1113" s="53"/>
    </row>
    <row r="1114" spans="1:26" ht="15.75" customHeight="1">
      <c r="A1114" s="103"/>
      <c r="B1114" s="103"/>
      <c r="C1114" s="104" t="e">
        <v>#REF!</v>
      </c>
      <c r="D1114" s="103"/>
      <c r="E1114" s="53"/>
      <c r="F1114" s="53"/>
      <c r="G1114" s="53"/>
      <c r="H1114" s="53"/>
      <c r="I1114" s="53"/>
      <c r="J1114" s="53"/>
      <c r="K1114" s="53"/>
      <c r="L1114" s="53"/>
      <c r="M1114" s="53"/>
      <c r="N1114" s="53"/>
      <c r="O1114" s="53"/>
      <c r="P1114" s="53"/>
      <c r="Q1114" s="53"/>
      <c r="R1114" s="53"/>
      <c r="S1114" s="53"/>
      <c r="T1114" s="53"/>
      <c r="U1114" s="53"/>
      <c r="V1114" s="53"/>
      <c r="W1114" s="53"/>
      <c r="X1114" s="53"/>
      <c r="Y1114" s="53"/>
      <c r="Z1114" s="53"/>
    </row>
    <row r="1115" spans="1:26" ht="15.75" customHeight="1">
      <c r="A1115" s="103"/>
      <c r="B1115" s="103"/>
      <c r="C1115" s="104" t="e">
        <v>#REF!</v>
      </c>
      <c r="D1115" s="103"/>
      <c r="E1115" s="53"/>
      <c r="F1115" s="53"/>
      <c r="G1115" s="53"/>
      <c r="H1115" s="53"/>
      <c r="I1115" s="53"/>
      <c r="J1115" s="53"/>
      <c r="K1115" s="53"/>
      <c r="L1115" s="53"/>
      <c r="M1115" s="53"/>
      <c r="N1115" s="53"/>
      <c r="O1115" s="53"/>
      <c r="P1115" s="53"/>
      <c r="Q1115" s="53"/>
      <c r="R1115" s="53"/>
      <c r="S1115" s="53"/>
      <c r="T1115" s="53"/>
      <c r="U1115" s="53"/>
      <c r="V1115" s="53"/>
      <c r="W1115" s="53"/>
      <c r="X1115" s="53"/>
      <c r="Y1115" s="53"/>
      <c r="Z1115" s="53"/>
    </row>
    <row r="1116" spans="1:26" ht="15.75" customHeight="1">
      <c r="A1116" s="103"/>
      <c r="B1116" s="103"/>
      <c r="C1116" s="104" t="e">
        <v>#REF!</v>
      </c>
      <c r="D1116" s="103"/>
      <c r="E1116" s="53"/>
      <c r="F1116" s="53"/>
      <c r="G1116" s="53"/>
      <c r="H1116" s="53"/>
      <c r="I1116" s="53"/>
      <c r="J1116" s="53"/>
      <c r="K1116" s="53"/>
      <c r="L1116" s="53"/>
      <c r="M1116" s="53"/>
      <c r="N1116" s="53"/>
      <c r="O1116" s="53"/>
      <c r="P1116" s="53"/>
      <c r="Q1116" s="53"/>
      <c r="R1116" s="53"/>
      <c r="S1116" s="53"/>
      <c r="T1116" s="53"/>
      <c r="U1116" s="53"/>
      <c r="V1116" s="53"/>
      <c r="W1116" s="53"/>
      <c r="X1116" s="53"/>
      <c r="Y1116" s="53"/>
      <c r="Z1116" s="53"/>
    </row>
    <row r="1117" spans="1:26" ht="15.75" customHeight="1">
      <c r="A1117" s="103"/>
      <c r="B1117" s="103"/>
      <c r="C1117" s="104" t="e">
        <v>#REF!</v>
      </c>
      <c r="D1117" s="103"/>
      <c r="E1117" s="53"/>
      <c r="F1117" s="53"/>
      <c r="G1117" s="53"/>
      <c r="H1117" s="53"/>
      <c r="I1117" s="53"/>
      <c r="J1117" s="53"/>
      <c r="K1117" s="53"/>
      <c r="L1117" s="53"/>
      <c r="M1117" s="53"/>
      <c r="N1117" s="53"/>
      <c r="O1117" s="53"/>
      <c r="P1117" s="53"/>
      <c r="Q1117" s="53"/>
      <c r="R1117" s="53"/>
      <c r="S1117" s="53"/>
      <c r="T1117" s="53"/>
      <c r="U1117" s="53"/>
      <c r="V1117" s="53"/>
      <c r="W1117" s="53"/>
      <c r="X1117" s="53"/>
      <c r="Y1117" s="53"/>
      <c r="Z1117" s="53"/>
    </row>
    <row r="1118" spans="1:26" ht="15.75" customHeight="1">
      <c r="A1118" s="103"/>
      <c r="B1118" s="103"/>
      <c r="C1118" s="104" t="e">
        <v>#REF!</v>
      </c>
      <c r="D1118" s="103"/>
      <c r="E1118" s="53"/>
      <c r="F1118" s="53"/>
      <c r="G1118" s="53"/>
      <c r="H1118" s="53"/>
      <c r="I1118" s="53"/>
      <c r="J1118" s="53"/>
      <c r="K1118" s="53"/>
      <c r="L1118" s="53"/>
      <c r="M1118" s="53"/>
      <c r="N1118" s="53"/>
      <c r="O1118" s="53"/>
      <c r="P1118" s="53"/>
      <c r="Q1118" s="53"/>
      <c r="R1118" s="53"/>
      <c r="S1118" s="53"/>
      <c r="T1118" s="53"/>
      <c r="U1118" s="53"/>
      <c r="V1118" s="53"/>
      <c r="W1118" s="53"/>
      <c r="X1118" s="53"/>
      <c r="Y1118" s="53"/>
      <c r="Z1118" s="53"/>
    </row>
    <row r="1119" spans="1:26" ht="15.75" customHeight="1">
      <c r="A1119" s="103"/>
      <c r="B1119" s="103"/>
      <c r="C1119" s="104" t="e">
        <v>#REF!</v>
      </c>
      <c r="D1119" s="103"/>
      <c r="E1119" s="53"/>
      <c r="F1119" s="53"/>
      <c r="G1119" s="53"/>
      <c r="H1119" s="53"/>
      <c r="I1119" s="53"/>
      <c r="J1119" s="53"/>
      <c r="K1119" s="53"/>
      <c r="L1119" s="53"/>
      <c r="M1119" s="53"/>
      <c r="N1119" s="53"/>
      <c r="O1119" s="53"/>
      <c r="P1119" s="53"/>
      <c r="Q1119" s="53"/>
      <c r="R1119" s="53"/>
      <c r="S1119" s="53"/>
      <c r="T1119" s="53"/>
      <c r="U1119" s="53"/>
      <c r="V1119" s="53"/>
      <c r="W1119" s="53"/>
      <c r="X1119" s="53"/>
      <c r="Y1119" s="53"/>
      <c r="Z1119" s="53"/>
    </row>
    <row r="1120" spans="1:26" ht="15.75" customHeight="1">
      <c r="A1120" s="103"/>
      <c r="B1120" s="103"/>
      <c r="C1120" s="104" t="e">
        <v>#REF!</v>
      </c>
      <c r="D1120" s="103"/>
      <c r="E1120" s="53"/>
      <c r="F1120" s="53"/>
      <c r="G1120" s="53"/>
      <c r="H1120" s="53"/>
      <c r="I1120" s="53"/>
      <c r="J1120" s="53"/>
      <c r="K1120" s="53"/>
      <c r="L1120" s="53"/>
      <c r="M1120" s="53"/>
      <c r="N1120" s="53"/>
      <c r="O1120" s="53"/>
      <c r="P1120" s="53"/>
      <c r="Q1120" s="53"/>
      <c r="R1120" s="53"/>
      <c r="S1120" s="53"/>
      <c r="T1120" s="53"/>
      <c r="U1120" s="53"/>
      <c r="V1120" s="53"/>
      <c r="W1120" s="53"/>
      <c r="X1120" s="53"/>
      <c r="Y1120" s="53"/>
      <c r="Z1120" s="53"/>
    </row>
    <row r="1121" spans="1:26" ht="15.75" customHeight="1">
      <c r="A1121" s="103"/>
      <c r="B1121" s="103"/>
      <c r="C1121" s="104" t="e">
        <v>#REF!</v>
      </c>
      <c r="D1121" s="103"/>
      <c r="E1121" s="53"/>
      <c r="F1121" s="53"/>
      <c r="G1121" s="53"/>
      <c r="H1121" s="53"/>
      <c r="I1121" s="53"/>
      <c r="J1121" s="53"/>
      <c r="K1121" s="53"/>
      <c r="L1121" s="53"/>
      <c r="M1121" s="53"/>
      <c r="N1121" s="53"/>
      <c r="O1121" s="53"/>
      <c r="P1121" s="53"/>
      <c r="Q1121" s="53"/>
      <c r="R1121" s="53"/>
      <c r="S1121" s="53"/>
      <c r="T1121" s="53"/>
      <c r="U1121" s="53"/>
      <c r="V1121" s="53"/>
      <c r="W1121" s="53"/>
      <c r="X1121" s="53"/>
      <c r="Y1121" s="53"/>
      <c r="Z1121" s="53"/>
    </row>
    <row r="1122" spans="1:26" ht="15.75" customHeight="1">
      <c r="A1122" s="103"/>
      <c r="B1122" s="103"/>
      <c r="C1122" s="104" t="e">
        <v>#REF!</v>
      </c>
      <c r="D1122" s="103"/>
      <c r="E1122" s="53"/>
      <c r="F1122" s="53"/>
      <c r="G1122" s="53"/>
      <c r="H1122" s="53"/>
      <c r="I1122" s="53"/>
      <c r="J1122" s="53"/>
      <c r="K1122" s="53"/>
      <c r="L1122" s="53"/>
      <c r="M1122" s="53"/>
      <c r="N1122" s="53"/>
      <c r="O1122" s="53"/>
      <c r="P1122" s="53"/>
      <c r="Q1122" s="53"/>
      <c r="R1122" s="53"/>
      <c r="S1122" s="53"/>
      <c r="T1122" s="53"/>
      <c r="U1122" s="53"/>
      <c r="V1122" s="53"/>
      <c r="W1122" s="53"/>
      <c r="X1122" s="53"/>
      <c r="Y1122" s="53"/>
      <c r="Z1122" s="53"/>
    </row>
    <row r="1123" spans="1:26" ht="15.75" customHeight="1">
      <c r="A1123" s="103"/>
      <c r="B1123" s="103"/>
      <c r="C1123" s="104" t="e">
        <v>#REF!</v>
      </c>
      <c r="D1123" s="103"/>
      <c r="E1123" s="53"/>
      <c r="F1123" s="53"/>
      <c r="G1123" s="53"/>
      <c r="H1123" s="53"/>
      <c r="I1123" s="53"/>
      <c r="J1123" s="53"/>
      <c r="K1123" s="53"/>
      <c r="L1123" s="53"/>
      <c r="M1123" s="53"/>
      <c r="N1123" s="53"/>
      <c r="O1123" s="53"/>
      <c r="P1123" s="53"/>
      <c r="Q1123" s="53"/>
      <c r="R1123" s="53"/>
      <c r="S1123" s="53"/>
      <c r="T1123" s="53"/>
      <c r="U1123" s="53"/>
      <c r="V1123" s="53"/>
      <c r="W1123" s="53"/>
      <c r="X1123" s="53"/>
      <c r="Y1123" s="53"/>
      <c r="Z1123" s="53"/>
    </row>
    <row r="1124" spans="1:26" ht="15.75" customHeight="1">
      <c r="A1124" s="103"/>
      <c r="B1124" s="103"/>
      <c r="C1124" s="104" t="e">
        <v>#REF!</v>
      </c>
      <c r="D1124" s="103"/>
      <c r="E1124" s="53"/>
      <c r="F1124" s="53"/>
      <c r="G1124" s="53"/>
      <c r="H1124" s="53"/>
      <c r="I1124" s="53"/>
      <c r="J1124" s="53"/>
      <c r="K1124" s="53"/>
      <c r="L1124" s="53"/>
      <c r="M1124" s="53"/>
      <c r="N1124" s="53"/>
      <c r="O1124" s="53"/>
      <c r="P1124" s="53"/>
      <c r="Q1124" s="53"/>
      <c r="R1124" s="53"/>
      <c r="S1124" s="53"/>
      <c r="T1124" s="53"/>
      <c r="U1124" s="53"/>
      <c r="V1124" s="53"/>
      <c r="W1124" s="53"/>
      <c r="X1124" s="53"/>
      <c r="Y1124" s="53"/>
      <c r="Z1124" s="53"/>
    </row>
    <row r="1125" spans="1:26" ht="15.75" customHeight="1">
      <c r="A1125" s="103"/>
      <c r="B1125" s="103"/>
      <c r="C1125" s="104" t="e">
        <v>#REF!</v>
      </c>
      <c r="D1125" s="103"/>
      <c r="E1125" s="53"/>
      <c r="F1125" s="53"/>
      <c r="G1125" s="53"/>
      <c r="H1125" s="53"/>
      <c r="I1125" s="53"/>
      <c r="J1125" s="53"/>
      <c r="K1125" s="53"/>
      <c r="L1125" s="53"/>
      <c r="M1125" s="53"/>
      <c r="N1125" s="53"/>
      <c r="O1125" s="53"/>
      <c r="P1125" s="53"/>
      <c r="Q1125" s="53"/>
      <c r="R1125" s="53"/>
      <c r="S1125" s="53"/>
      <c r="T1125" s="53"/>
      <c r="U1125" s="53"/>
      <c r="V1125" s="53"/>
      <c r="W1125" s="53"/>
      <c r="X1125" s="53"/>
      <c r="Y1125" s="53"/>
      <c r="Z1125" s="53"/>
    </row>
    <row r="1126" spans="1:26" ht="15.75" customHeight="1">
      <c r="A1126" s="103"/>
      <c r="B1126" s="103"/>
      <c r="C1126" s="104" t="e">
        <v>#REF!</v>
      </c>
      <c r="D1126" s="103"/>
      <c r="E1126" s="53"/>
      <c r="F1126" s="53"/>
      <c r="G1126" s="53"/>
      <c r="H1126" s="53"/>
      <c r="I1126" s="53"/>
      <c r="J1126" s="53"/>
      <c r="K1126" s="53"/>
      <c r="L1126" s="53"/>
      <c r="M1126" s="53"/>
      <c r="N1126" s="53"/>
      <c r="O1126" s="53"/>
      <c r="P1126" s="53"/>
      <c r="Q1126" s="53"/>
      <c r="R1126" s="53"/>
      <c r="S1126" s="53"/>
      <c r="T1126" s="53"/>
      <c r="U1126" s="53"/>
      <c r="V1126" s="53"/>
      <c r="W1126" s="53"/>
      <c r="X1126" s="53"/>
      <c r="Y1126" s="53"/>
      <c r="Z1126" s="53"/>
    </row>
    <row r="1127" spans="1:26" ht="15.75" customHeight="1">
      <c r="A1127" s="103"/>
      <c r="B1127" s="103"/>
      <c r="C1127" s="104" t="e">
        <v>#REF!</v>
      </c>
      <c r="D1127" s="103"/>
      <c r="E1127" s="53"/>
      <c r="F1127" s="53"/>
      <c r="G1127" s="53"/>
      <c r="H1127" s="53"/>
      <c r="I1127" s="53"/>
      <c r="J1127" s="53"/>
      <c r="K1127" s="53"/>
      <c r="L1127" s="53"/>
      <c r="M1127" s="53"/>
      <c r="N1127" s="53"/>
      <c r="O1127" s="53"/>
      <c r="P1127" s="53"/>
      <c r="Q1127" s="53"/>
      <c r="R1127" s="53"/>
      <c r="S1127" s="53"/>
      <c r="T1127" s="53"/>
      <c r="U1127" s="53"/>
      <c r="V1127" s="53"/>
      <c r="W1127" s="53"/>
      <c r="X1127" s="53"/>
      <c r="Y1127" s="53"/>
      <c r="Z1127" s="53"/>
    </row>
    <row r="1128" spans="1:26" ht="15.75" customHeight="1">
      <c r="A1128" s="103"/>
      <c r="B1128" s="103"/>
      <c r="C1128" s="104" t="e">
        <v>#REF!</v>
      </c>
      <c r="D1128" s="103"/>
      <c r="E1128" s="53"/>
      <c r="F1128" s="53"/>
      <c r="G1128" s="53"/>
      <c r="H1128" s="53"/>
      <c r="I1128" s="53"/>
      <c r="J1128" s="53"/>
      <c r="K1128" s="53"/>
      <c r="L1128" s="53"/>
      <c r="M1128" s="53"/>
      <c r="N1128" s="53"/>
      <c r="O1128" s="53"/>
      <c r="P1128" s="53"/>
      <c r="Q1128" s="53"/>
      <c r="R1128" s="53"/>
      <c r="S1128" s="53"/>
      <c r="T1128" s="53"/>
      <c r="U1128" s="53"/>
      <c r="V1128" s="53"/>
      <c r="W1128" s="53"/>
      <c r="X1128" s="53"/>
      <c r="Y1128" s="53"/>
      <c r="Z1128" s="53"/>
    </row>
    <row r="1129" spans="1:26" ht="15.75" customHeight="1">
      <c r="A1129" s="103"/>
      <c r="B1129" s="103"/>
      <c r="C1129" s="104" t="e">
        <v>#REF!</v>
      </c>
      <c r="D1129" s="103"/>
      <c r="E1129" s="53"/>
      <c r="F1129" s="53"/>
      <c r="G1129" s="53"/>
      <c r="H1129" s="53"/>
      <c r="I1129" s="53"/>
      <c r="J1129" s="53"/>
      <c r="K1129" s="53"/>
      <c r="L1129" s="53"/>
      <c r="M1129" s="53"/>
      <c r="N1129" s="53"/>
      <c r="O1129" s="53"/>
      <c r="P1129" s="53"/>
      <c r="Q1129" s="53"/>
      <c r="R1129" s="53"/>
      <c r="S1129" s="53"/>
      <c r="T1129" s="53"/>
      <c r="U1129" s="53"/>
      <c r="V1129" s="53"/>
      <c r="W1129" s="53"/>
      <c r="X1129" s="53"/>
      <c r="Y1129" s="53"/>
      <c r="Z1129" s="53"/>
    </row>
    <row r="1130" spans="1:26" ht="15.75" customHeight="1">
      <c r="A1130" s="103"/>
      <c r="B1130" s="103"/>
      <c r="C1130" s="104" t="e">
        <v>#REF!</v>
      </c>
      <c r="D1130" s="103"/>
      <c r="E1130" s="53"/>
      <c r="F1130" s="53"/>
      <c r="G1130" s="53"/>
      <c r="H1130" s="53"/>
      <c r="I1130" s="53"/>
      <c r="J1130" s="53"/>
      <c r="K1130" s="53"/>
      <c r="L1130" s="53"/>
      <c r="M1130" s="53"/>
      <c r="N1130" s="53"/>
      <c r="O1130" s="53"/>
      <c r="P1130" s="53"/>
      <c r="Q1130" s="53"/>
      <c r="R1130" s="53"/>
      <c r="S1130" s="53"/>
      <c r="T1130" s="53"/>
      <c r="U1130" s="53"/>
      <c r="V1130" s="53"/>
      <c r="W1130" s="53"/>
      <c r="X1130" s="53"/>
      <c r="Y1130" s="53"/>
      <c r="Z1130" s="53"/>
    </row>
    <row r="1131" spans="1:26" ht="15.75" customHeight="1">
      <c r="A1131" s="103"/>
      <c r="B1131" s="103"/>
      <c r="C1131" s="104" t="e">
        <v>#REF!</v>
      </c>
      <c r="D1131" s="103"/>
      <c r="E1131" s="53"/>
      <c r="F1131" s="53"/>
      <c r="G1131" s="53"/>
      <c r="H1131" s="53"/>
      <c r="I1131" s="53"/>
      <c r="J1131" s="53"/>
      <c r="K1131" s="53"/>
      <c r="L1131" s="53"/>
      <c r="M1131" s="53"/>
      <c r="N1131" s="53"/>
      <c r="O1131" s="53"/>
      <c r="P1131" s="53"/>
      <c r="Q1131" s="53"/>
      <c r="R1131" s="53"/>
      <c r="S1131" s="53"/>
      <c r="T1131" s="53"/>
      <c r="U1131" s="53"/>
      <c r="V1131" s="53"/>
      <c r="W1131" s="53"/>
      <c r="X1131" s="53"/>
      <c r="Y1131" s="53"/>
      <c r="Z1131" s="53"/>
    </row>
    <row r="1132" spans="1:26" ht="15.75" customHeight="1">
      <c r="A1132" s="103"/>
      <c r="B1132" s="103"/>
      <c r="C1132" s="104" t="e">
        <v>#REF!</v>
      </c>
      <c r="D1132" s="103"/>
      <c r="E1132" s="53"/>
      <c r="F1132" s="53"/>
      <c r="G1132" s="53"/>
      <c r="H1132" s="53"/>
      <c r="I1132" s="53"/>
      <c r="J1132" s="53"/>
      <c r="K1132" s="53"/>
      <c r="L1132" s="53"/>
      <c r="M1132" s="53"/>
      <c r="N1132" s="53"/>
      <c r="O1132" s="53"/>
      <c r="P1132" s="53"/>
      <c r="Q1132" s="53"/>
      <c r="R1132" s="53"/>
      <c r="S1132" s="53"/>
      <c r="T1132" s="53"/>
      <c r="U1132" s="53"/>
      <c r="V1132" s="53"/>
      <c r="W1132" s="53"/>
      <c r="X1132" s="53"/>
      <c r="Y1132" s="53"/>
      <c r="Z1132" s="53"/>
    </row>
    <row r="1133" spans="1:26" ht="15.75" customHeight="1">
      <c r="A1133" s="103"/>
      <c r="B1133" s="103"/>
      <c r="C1133" s="104" t="e">
        <v>#REF!</v>
      </c>
      <c r="D1133" s="103"/>
      <c r="E1133" s="53"/>
      <c r="F1133" s="53"/>
      <c r="G1133" s="53"/>
      <c r="H1133" s="53"/>
      <c r="I1133" s="53"/>
      <c r="J1133" s="53"/>
      <c r="K1133" s="53"/>
      <c r="L1133" s="53"/>
      <c r="M1133" s="53"/>
      <c r="N1133" s="53"/>
      <c r="O1133" s="53"/>
      <c r="P1133" s="53"/>
      <c r="Q1133" s="53"/>
      <c r="R1133" s="53"/>
      <c r="S1133" s="53"/>
      <c r="T1133" s="53"/>
      <c r="U1133" s="53"/>
      <c r="V1133" s="53"/>
      <c r="W1133" s="53"/>
      <c r="X1133" s="53"/>
      <c r="Y1133" s="53"/>
      <c r="Z1133" s="53"/>
    </row>
    <row r="1134" spans="1:26" ht="15.75" customHeight="1">
      <c r="A1134" s="103"/>
      <c r="B1134" s="103"/>
      <c r="C1134" s="104" t="e">
        <v>#REF!</v>
      </c>
      <c r="D1134" s="103"/>
      <c r="E1134" s="53"/>
      <c r="F1134" s="53"/>
      <c r="G1134" s="53"/>
      <c r="H1134" s="53"/>
      <c r="I1134" s="53"/>
      <c r="J1134" s="53"/>
      <c r="K1134" s="53"/>
      <c r="L1134" s="53"/>
      <c r="M1134" s="53"/>
      <c r="N1134" s="53"/>
      <c r="O1134" s="53"/>
      <c r="P1134" s="53"/>
      <c r="Q1134" s="53"/>
      <c r="R1134" s="53"/>
      <c r="S1134" s="53"/>
      <c r="T1134" s="53"/>
      <c r="U1134" s="53"/>
      <c r="V1134" s="53"/>
      <c r="W1134" s="53"/>
      <c r="X1134" s="53"/>
      <c r="Y1134" s="53"/>
      <c r="Z1134" s="53"/>
    </row>
    <row r="1135" spans="1:26" ht="15.75" customHeight="1">
      <c r="A1135" s="103"/>
      <c r="B1135" s="103"/>
      <c r="C1135" s="104" t="e">
        <v>#REF!</v>
      </c>
      <c r="D1135" s="103"/>
      <c r="E1135" s="53"/>
      <c r="F1135" s="53"/>
      <c r="G1135" s="53"/>
      <c r="H1135" s="53"/>
      <c r="I1135" s="53"/>
      <c r="J1135" s="53"/>
      <c r="K1135" s="53"/>
      <c r="L1135" s="53"/>
      <c r="M1135" s="53"/>
      <c r="N1135" s="53"/>
      <c r="O1135" s="53"/>
      <c r="P1135" s="53"/>
      <c r="Q1135" s="53"/>
      <c r="R1135" s="53"/>
      <c r="S1135" s="53"/>
      <c r="T1135" s="53"/>
      <c r="U1135" s="53"/>
      <c r="V1135" s="53"/>
      <c r="W1135" s="53"/>
      <c r="X1135" s="53"/>
      <c r="Y1135" s="53"/>
      <c r="Z1135" s="53"/>
    </row>
    <row r="1136" spans="1:26" ht="15.75" customHeight="1">
      <c r="A1136" s="103"/>
      <c r="B1136" s="103"/>
      <c r="C1136" s="104" t="e">
        <v>#REF!</v>
      </c>
      <c r="D1136" s="103"/>
      <c r="E1136" s="53"/>
      <c r="F1136" s="53"/>
      <c r="G1136" s="53"/>
      <c r="H1136" s="53"/>
      <c r="I1136" s="53"/>
      <c r="J1136" s="53"/>
      <c r="K1136" s="53"/>
      <c r="L1136" s="53"/>
      <c r="M1136" s="53"/>
      <c r="N1136" s="53"/>
      <c r="O1136" s="53"/>
      <c r="P1136" s="53"/>
      <c r="Q1136" s="53"/>
      <c r="R1136" s="53"/>
      <c r="S1136" s="53"/>
      <c r="T1136" s="53"/>
      <c r="U1136" s="53"/>
      <c r="V1136" s="53"/>
      <c r="W1136" s="53"/>
      <c r="X1136" s="53"/>
      <c r="Y1136" s="53"/>
      <c r="Z1136" s="53"/>
    </row>
    <row r="1137" spans="1:26" ht="15.75" customHeight="1">
      <c r="A1137" s="103"/>
      <c r="B1137" s="103"/>
      <c r="C1137" s="104" t="e">
        <v>#REF!</v>
      </c>
      <c r="D1137" s="103"/>
      <c r="E1137" s="53"/>
      <c r="F1137" s="53"/>
      <c r="G1137" s="53"/>
      <c r="H1137" s="53"/>
      <c r="I1137" s="53"/>
      <c r="J1137" s="53"/>
      <c r="K1137" s="53"/>
      <c r="L1137" s="53"/>
      <c r="M1137" s="53"/>
      <c r="N1137" s="53"/>
      <c r="O1137" s="53"/>
      <c r="P1137" s="53"/>
      <c r="Q1137" s="53"/>
      <c r="R1137" s="53"/>
      <c r="S1137" s="53"/>
      <c r="T1137" s="53"/>
      <c r="U1137" s="53"/>
      <c r="V1137" s="53"/>
      <c r="W1137" s="53"/>
      <c r="X1137" s="53"/>
      <c r="Y1137" s="53"/>
      <c r="Z1137" s="53"/>
    </row>
    <row r="1138" spans="1:26" ht="15.75" customHeight="1">
      <c r="A1138" s="103"/>
      <c r="B1138" s="103"/>
      <c r="C1138" s="104" t="e">
        <v>#REF!</v>
      </c>
      <c r="D1138" s="103"/>
      <c r="E1138" s="53"/>
      <c r="F1138" s="53"/>
      <c r="G1138" s="53"/>
      <c r="H1138" s="53"/>
      <c r="I1138" s="53"/>
      <c r="J1138" s="53"/>
      <c r="K1138" s="53"/>
      <c r="L1138" s="53"/>
      <c r="M1138" s="53"/>
      <c r="N1138" s="53"/>
      <c r="O1138" s="53"/>
      <c r="P1138" s="53"/>
      <c r="Q1138" s="53"/>
      <c r="R1138" s="53"/>
      <c r="S1138" s="53"/>
      <c r="T1138" s="53"/>
      <c r="U1138" s="53"/>
      <c r="V1138" s="53"/>
      <c r="W1138" s="53"/>
      <c r="X1138" s="53"/>
      <c r="Y1138" s="53"/>
      <c r="Z1138" s="53"/>
    </row>
    <row r="1139" spans="1:26" ht="15.75" customHeight="1">
      <c r="A1139" s="103"/>
      <c r="B1139" s="103"/>
      <c r="C1139" s="104" t="e">
        <v>#REF!</v>
      </c>
      <c r="D1139" s="103"/>
      <c r="E1139" s="53"/>
      <c r="F1139" s="53"/>
      <c r="G1139" s="53"/>
      <c r="H1139" s="53"/>
      <c r="I1139" s="53"/>
      <c r="J1139" s="53"/>
      <c r="K1139" s="53"/>
      <c r="L1139" s="53"/>
      <c r="M1139" s="53"/>
      <c r="N1139" s="53"/>
      <c r="O1139" s="53"/>
      <c r="P1139" s="53"/>
      <c r="Q1139" s="53"/>
      <c r="R1139" s="53"/>
      <c r="S1139" s="53"/>
      <c r="T1139" s="53"/>
      <c r="U1139" s="53"/>
      <c r="V1139" s="53"/>
      <c r="W1139" s="53"/>
      <c r="X1139" s="53"/>
      <c r="Y1139" s="53"/>
      <c r="Z1139" s="53"/>
    </row>
    <row r="1140" spans="1:26" ht="15.75" customHeight="1">
      <c r="A1140" s="103"/>
      <c r="B1140" s="103"/>
      <c r="C1140" s="104" t="e">
        <v>#REF!</v>
      </c>
      <c r="D1140" s="103"/>
      <c r="E1140" s="53"/>
      <c r="F1140" s="53"/>
      <c r="G1140" s="53"/>
      <c r="H1140" s="53"/>
      <c r="I1140" s="53"/>
      <c r="J1140" s="53"/>
      <c r="K1140" s="53"/>
      <c r="L1140" s="53"/>
      <c r="M1140" s="53"/>
      <c r="N1140" s="53"/>
      <c r="O1140" s="53"/>
      <c r="P1140" s="53"/>
      <c r="Q1140" s="53"/>
      <c r="R1140" s="53"/>
      <c r="S1140" s="53"/>
      <c r="T1140" s="53"/>
      <c r="U1140" s="53"/>
      <c r="V1140" s="53"/>
      <c r="W1140" s="53"/>
      <c r="X1140" s="53"/>
      <c r="Y1140" s="53"/>
      <c r="Z1140" s="53"/>
    </row>
    <row r="1141" spans="1:26" ht="15.75" customHeight="1">
      <c r="A1141" s="103"/>
      <c r="B1141" s="103"/>
      <c r="C1141" s="104" t="e">
        <v>#REF!</v>
      </c>
      <c r="D1141" s="103"/>
      <c r="E1141" s="53"/>
      <c r="F1141" s="53"/>
      <c r="G1141" s="53"/>
      <c r="H1141" s="53"/>
      <c r="I1141" s="53"/>
      <c r="J1141" s="53"/>
      <c r="K1141" s="53"/>
      <c r="L1141" s="53"/>
      <c r="M1141" s="53"/>
      <c r="N1141" s="53"/>
      <c r="O1141" s="53"/>
      <c r="P1141" s="53"/>
      <c r="Q1141" s="53"/>
      <c r="R1141" s="53"/>
      <c r="S1141" s="53"/>
      <c r="T1141" s="53"/>
      <c r="U1141" s="53"/>
      <c r="V1141" s="53"/>
      <c r="W1141" s="53"/>
      <c r="X1141" s="53"/>
      <c r="Y1141" s="53"/>
      <c r="Z1141" s="53"/>
    </row>
    <row r="1142" spans="1:26" ht="15.75" customHeight="1">
      <c r="A1142" s="103"/>
      <c r="B1142" s="103"/>
      <c r="C1142" s="104" t="e">
        <v>#REF!</v>
      </c>
      <c r="D1142" s="103"/>
      <c r="E1142" s="53"/>
      <c r="F1142" s="53"/>
      <c r="G1142" s="53"/>
      <c r="H1142" s="53"/>
      <c r="I1142" s="53"/>
      <c r="J1142" s="53"/>
      <c r="K1142" s="53"/>
      <c r="L1142" s="53"/>
      <c r="M1142" s="53"/>
      <c r="N1142" s="53"/>
      <c r="O1142" s="53"/>
      <c r="P1142" s="53"/>
      <c r="Q1142" s="53"/>
      <c r="R1142" s="53"/>
      <c r="S1142" s="53"/>
      <c r="T1142" s="53"/>
      <c r="U1142" s="53"/>
      <c r="V1142" s="53"/>
      <c r="W1142" s="53"/>
      <c r="X1142" s="53"/>
      <c r="Y1142" s="53"/>
      <c r="Z1142" s="53"/>
    </row>
    <row r="1143" spans="1:26" ht="15.75" customHeight="1">
      <c r="A1143" s="103"/>
      <c r="B1143" s="103"/>
      <c r="C1143" s="104" t="e">
        <v>#REF!</v>
      </c>
      <c r="D1143" s="103"/>
      <c r="E1143" s="53"/>
      <c r="F1143" s="53"/>
      <c r="G1143" s="53"/>
      <c r="H1143" s="53"/>
      <c r="I1143" s="53"/>
      <c r="J1143" s="53"/>
      <c r="K1143" s="53"/>
      <c r="L1143" s="53"/>
      <c r="M1143" s="53"/>
      <c r="N1143" s="53"/>
      <c r="O1143" s="53"/>
      <c r="P1143" s="53"/>
      <c r="Q1143" s="53"/>
      <c r="R1143" s="53"/>
      <c r="S1143" s="53"/>
      <c r="T1143" s="53"/>
      <c r="U1143" s="53"/>
      <c r="V1143" s="53"/>
      <c r="W1143" s="53"/>
      <c r="X1143" s="53"/>
      <c r="Y1143" s="53"/>
      <c r="Z1143" s="53"/>
    </row>
    <row r="1144" spans="1:26" ht="15.75" customHeight="1">
      <c r="A1144" s="103"/>
      <c r="B1144" s="103"/>
      <c r="C1144" s="104" t="e">
        <v>#REF!</v>
      </c>
      <c r="D1144" s="103"/>
      <c r="E1144" s="53"/>
      <c r="F1144" s="53"/>
      <c r="G1144" s="53"/>
      <c r="H1144" s="53"/>
      <c r="I1144" s="53"/>
      <c r="J1144" s="53"/>
      <c r="K1144" s="53"/>
      <c r="L1144" s="53"/>
      <c r="M1144" s="53"/>
      <c r="N1144" s="53"/>
      <c r="O1144" s="53"/>
      <c r="P1144" s="53"/>
      <c r="Q1144" s="53"/>
      <c r="R1144" s="53"/>
      <c r="S1144" s="53"/>
      <c r="T1144" s="53"/>
      <c r="U1144" s="53"/>
      <c r="V1144" s="53"/>
      <c r="W1144" s="53"/>
      <c r="X1144" s="53"/>
      <c r="Y1144" s="53"/>
      <c r="Z1144" s="53"/>
    </row>
    <row r="1145" spans="1:26" ht="15.75" customHeight="1">
      <c r="A1145" s="103"/>
      <c r="B1145" s="103"/>
      <c r="C1145" s="104" t="e">
        <v>#REF!</v>
      </c>
      <c r="D1145" s="103"/>
      <c r="E1145" s="53"/>
      <c r="F1145" s="53"/>
      <c r="G1145" s="53"/>
      <c r="H1145" s="53"/>
      <c r="I1145" s="53"/>
      <c r="J1145" s="53"/>
      <c r="K1145" s="53"/>
      <c r="L1145" s="53"/>
      <c r="M1145" s="53"/>
      <c r="N1145" s="53"/>
      <c r="O1145" s="53"/>
      <c r="P1145" s="53"/>
      <c r="Q1145" s="53"/>
      <c r="R1145" s="53"/>
      <c r="S1145" s="53"/>
      <c r="T1145" s="53"/>
      <c r="U1145" s="53"/>
      <c r="V1145" s="53"/>
      <c r="W1145" s="53"/>
      <c r="X1145" s="53"/>
      <c r="Y1145" s="53"/>
      <c r="Z1145" s="53"/>
    </row>
    <row r="1146" spans="1:26" ht="15.75" customHeight="1">
      <c r="A1146" s="103"/>
      <c r="B1146" s="103"/>
      <c r="C1146" s="104" t="e">
        <v>#REF!</v>
      </c>
      <c r="D1146" s="103"/>
      <c r="E1146" s="53"/>
      <c r="F1146" s="53"/>
      <c r="G1146" s="53"/>
      <c r="H1146" s="53"/>
      <c r="I1146" s="53"/>
      <c r="J1146" s="53"/>
      <c r="K1146" s="53"/>
      <c r="L1146" s="53"/>
      <c r="M1146" s="53"/>
      <c r="N1146" s="53"/>
      <c r="O1146" s="53"/>
      <c r="P1146" s="53"/>
      <c r="Q1146" s="53"/>
      <c r="R1146" s="53"/>
      <c r="S1146" s="53"/>
      <c r="T1146" s="53"/>
      <c r="U1146" s="53"/>
      <c r="V1146" s="53"/>
      <c r="W1146" s="53"/>
      <c r="X1146" s="53"/>
      <c r="Y1146" s="53"/>
      <c r="Z1146" s="53"/>
    </row>
    <row r="1147" spans="1:26" ht="15.75" customHeight="1">
      <c r="A1147" s="103"/>
      <c r="B1147" s="103"/>
      <c r="C1147" s="104" t="e">
        <v>#REF!</v>
      </c>
      <c r="D1147" s="103"/>
      <c r="E1147" s="53"/>
      <c r="F1147" s="53"/>
      <c r="G1147" s="53"/>
      <c r="H1147" s="53"/>
      <c r="I1147" s="53"/>
      <c r="J1147" s="53"/>
      <c r="K1147" s="53"/>
      <c r="L1147" s="53"/>
      <c r="M1147" s="53"/>
      <c r="N1147" s="53"/>
      <c r="O1147" s="53"/>
      <c r="P1147" s="53"/>
      <c r="Q1147" s="53"/>
      <c r="R1147" s="53"/>
      <c r="S1147" s="53"/>
      <c r="T1147" s="53"/>
      <c r="U1147" s="53"/>
      <c r="V1147" s="53"/>
      <c r="W1147" s="53"/>
      <c r="X1147" s="53"/>
      <c r="Y1147" s="53"/>
      <c r="Z1147" s="53"/>
    </row>
    <row r="1148" spans="1:26" ht="15.75" customHeight="1">
      <c r="A1148" s="103"/>
      <c r="B1148" s="103"/>
      <c r="C1148" s="104" t="e">
        <v>#REF!</v>
      </c>
      <c r="D1148" s="103"/>
      <c r="E1148" s="53"/>
      <c r="F1148" s="53"/>
      <c r="G1148" s="53"/>
      <c r="H1148" s="53"/>
      <c r="I1148" s="53"/>
      <c r="J1148" s="53"/>
      <c r="K1148" s="53"/>
      <c r="L1148" s="53"/>
      <c r="M1148" s="53"/>
      <c r="N1148" s="53"/>
      <c r="O1148" s="53"/>
      <c r="P1148" s="53"/>
      <c r="Q1148" s="53"/>
      <c r="R1148" s="53"/>
      <c r="S1148" s="53"/>
      <c r="T1148" s="53"/>
      <c r="U1148" s="53"/>
      <c r="V1148" s="53"/>
      <c r="W1148" s="53"/>
      <c r="X1148" s="53"/>
      <c r="Y1148" s="53"/>
      <c r="Z1148" s="53"/>
    </row>
    <row r="1149" spans="1:26" ht="15.75" customHeight="1">
      <c r="A1149" s="103"/>
      <c r="B1149" s="103"/>
      <c r="C1149" s="104" t="e">
        <v>#REF!</v>
      </c>
      <c r="D1149" s="10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</row>
    <row r="1150" spans="1:26" ht="15.75" customHeight="1">
      <c r="A1150" s="103"/>
      <c r="B1150" s="103"/>
      <c r="C1150" s="104" t="e">
        <v>#REF!</v>
      </c>
      <c r="D1150" s="103"/>
      <c r="E1150" s="53"/>
      <c r="F1150" s="53"/>
      <c r="G1150" s="53"/>
      <c r="H1150" s="53"/>
      <c r="I1150" s="53"/>
      <c r="J1150" s="53"/>
      <c r="K1150" s="53"/>
      <c r="L1150" s="53"/>
      <c r="M1150" s="53"/>
      <c r="N1150" s="53"/>
      <c r="O1150" s="53"/>
      <c r="P1150" s="53"/>
      <c r="Q1150" s="53"/>
      <c r="R1150" s="53"/>
      <c r="S1150" s="53"/>
      <c r="T1150" s="53"/>
      <c r="U1150" s="53"/>
      <c r="V1150" s="53"/>
      <c r="W1150" s="53"/>
      <c r="X1150" s="53"/>
      <c r="Y1150" s="53"/>
      <c r="Z1150" s="53"/>
    </row>
    <row r="1151" spans="1:26" ht="15.75" customHeight="1">
      <c r="A1151" s="103"/>
      <c r="B1151" s="103"/>
      <c r="C1151" s="104" t="e">
        <v>#REF!</v>
      </c>
      <c r="D1151" s="103"/>
      <c r="E1151" s="53"/>
      <c r="F1151" s="53"/>
      <c r="G1151" s="53"/>
      <c r="H1151" s="53"/>
      <c r="I1151" s="53"/>
      <c r="J1151" s="53"/>
      <c r="K1151" s="53"/>
      <c r="L1151" s="53"/>
      <c r="M1151" s="53"/>
      <c r="N1151" s="53"/>
      <c r="O1151" s="53"/>
      <c r="P1151" s="53"/>
      <c r="Q1151" s="53"/>
      <c r="R1151" s="53"/>
      <c r="S1151" s="53"/>
      <c r="T1151" s="53"/>
      <c r="U1151" s="53"/>
      <c r="V1151" s="53"/>
      <c r="W1151" s="53"/>
      <c r="X1151" s="53"/>
      <c r="Y1151" s="53"/>
      <c r="Z1151" s="53"/>
    </row>
    <row r="1152" spans="1:26" ht="15.75" customHeight="1">
      <c r="A1152" s="103"/>
      <c r="B1152" s="103"/>
      <c r="C1152" s="104" t="e">
        <v>#REF!</v>
      </c>
      <c r="D1152" s="103"/>
      <c r="E1152" s="53"/>
      <c r="F1152" s="53"/>
      <c r="G1152" s="53"/>
      <c r="H1152" s="53"/>
      <c r="I1152" s="53"/>
      <c r="J1152" s="53"/>
      <c r="K1152" s="53"/>
      <c r="L1152" s="53"/>
      <c r="M1152" s="53"/>
      <c r="N1152" s="53"/>
      <c r="O1152" s="53"/>
      <c r="P1152" s="53"/>
      <c r="Q1152" s="53"/>
      <c r="R1152" s="53"/>
      <c r="S1152" s="53"/>
      <c r="T1152" s="53"/>
      <c r="U1152" s="53"/>
      <c r="V1152" s="53"/>
      <c r="W1152" s="53"/>
      <c r="X1152" s="53"/>
      <c r="Y1152" s="53"/>
      <c r="Z1152" s="53"/>
    </row>
    <row r="1153" spans="1:26" ht="15.75" customHeight="1">
      <c r="A1153" s="103"/>
      <c r="B1153" s="103"/>
      <c r="C1153" s="104" t="e">
        <v>#REF!</v>
      </c>
      <c r="D1153" s="103"/>
      <c r="E1153" s="53"/>
      <c r="F1153" s="53"/>
      <c r="G1153" s="53"/>
      <c r="H1153" s="53"/>
      <c r="I1153" s="53"/>
      <c r="J1153" s="53"/>
      <c r="K1153" s="53"/>
      <c r="L1153" s="53"/>
      <c r="M1153" s="53"/>
      <c r="N1153" s="53"/>
      <c r="O1153" s="53"/>
      <c r="P1153" s="53"/>
      <c r="Q1153" s="53"/>
      <c r="R1153" s="53"/>
      <c r="S1153" s="53"/>
      <c r="T1153" s="53"/>
      <c r="U1153" s="53"/>
      <c r="V1153" s="53"/>
      <c r="W1153" s="53"/>
      <c r="X1153" s="53"/>
      <c r="Y1153" s="53"/>
      <c r="Z1153" s="53"/>
    </row>
    <row r="1154" spans="1:26" ht="15.75" customHeight="1">
      <c r="A1154" s="103"/>
      <c r="B1154" s="103"/>
      <c r="C1154" s="104" t="e">
        <v>#REF!</v>
      </c>
      <c r="D1154" s="10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53"/>
      <c r="T1154" s="53"/>
      <c r="U1154" s="53"/>
      <c r="V1154" s="53"/>
      <c r="W1154" s="53"/>
      <c r="X1154" s="53"/>
      <c r="Y1154" s="53"/>
      <c r="Z1154" s="53"/>
    </row>
    <row r="1155" spans="1:26" ht="15.75" customHeight="1">
      <c r="A1155" s="103"/>
      <c r="B1155" s="103"/>
      <c r="C1155" s="104" t="e">
        <v>#REF!</v>
      </c>
      <c r="D1155" s="103"/>
      <c r="E1155" s="53"/>
      <c r="F1155" s="53"/>
      <c r="G1155" s="53"/>
      <c r="H1155" s="53"/>
      <c r="I1155" s="53"/>
      <c r="J1155" s="53"/>
      <c r="K1155" s="53"/>
      <c r="L1155" s="53"/>
      <c r="M1155" s="53"/>
      <c r="N1155" s="53"/>
      <c r="O1155" s="53"/>
      <c r="P1155" s="53"/>
      <c r="Q1155" s="53"/>
      <c r="R1155" s="53"/>
      <c r="S1155" s="53"/>
      <c r="T1155" s="53"/>
      <c r="U1155" s="53"/>
      <c r="V1155" s="53"/>
      <c r="W1155" s="53"/>
      <c r="X1155" s="53"/>
      <c r="Y1155" s="53"/>
      <c r="Z1155" s="53"/>
    </row>
    <row r="1156" spans="1:26" ht="15.75" customHeight="1">
      <c r="A1156" s="103"/>
      <c r="B1156" s="103"/>
      <c r="C1156" s="104" t="e">
        <v>#REF!</v>
      </c>
      <c r="D1156" s="103"/>
      <c r="E1156" s="53"/>
      <c r="F1156" s="53"/>
      <c r="G1156" s="53"/>
      <c r="H1156" s="53"/>
      <c r="I1156" s="53"/>
      <c r="J1156" s="53"/>
      <c r="K1156" s="53"/>
      <c r="L1156" s="53"/>
      <c r="M1156" s="53"/>
      <c r="N1156" s="53"/>
      <c r="O1156" s="53"/>
      <c r="P1156" s="53"/>
      <c r="Q1156" s="53"/>
      <c r="R1156" s="53"/>
      <c r="S1156" s="53"/>
      <c r="T1156" s="53"/>
      <c r="U1156" s="53"/>
      <c r="V1156" s="53"/>
      <c r="W1156" s="53"/>
      <c r="X1156" s="53"/>
      <c r="Y1156" s="53"/>
      <c r="Z1156" s="53"/>
    </row>
    <row r="1157" spans="1:26" ht="15.75" customHeight="1">
      <c r="A1157" s="103"/>
      <c r="B1157" s="103"/>
      <c r="C1157" s="104" t="e">
        <v>#REF!</v>
      </c>
      <c r="D1157" s="103"/>
      <c r="E1157" s="53"/>
      <c r="F1157" s="53"/>
      <c r="G1157" s="53"/>
      <c r="H1157" s="53"/>
      <c r="I1157" s="53"/>
      <c r="J1157" s="53"/>
      <c r="K1157" s="53"/>
      <c r="L1157" s="53"/>
      <c r="M1157" s="53"/>
      <c r="N1157" s="53"/>
      <c r="O1157" s="53"/>
      <c r="P1157" s="53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</row>
    <row r="1158" spans="1:26" ht="15.75" customHeight="1">
      <c r="A1158" s="103"/>
      <c r="B1158" s="103"/>
      <c r="C1158" s="104" t="e">
        <v>#REF!</v>
      </c>
      <c r="D1158" s="103"/>
      <c r="E1158" s="53"/>
      <c r="F1158" s="53"/>
      <c r="G1158" s="53"/>
      <c r="H1158" s="53"/>
      <c r="I1158" s="53"/>
      <c r="J1158" s="53"/>
      <c r="K1158" s="53"/>
      <c r="L1158" s="53"/>
      <c r="M1158" s="53"/>
      <c r="N1158" s="53"/>
      <c r="O1158" s="53"/>
      <c r="P1158" s="53"/>
      <c r="Q1158" s="53"/>
      <c r="R1158" s="53"/>
      <c r="S1158" s="53"/>
      <c r="T1158" s="53"/>
      <c r="U1158" s="53"/>
      <c r="V1158" s="53"/>
      <c r="W1158" s="53"/>
      <c r="X1158" s="53"/>
      <c r="Y1158" s="53"/>
      <c r="Z1158" s="53"/>
    </row>
    <row r="1159" spans="1:26" ht="15.75" customHeight="1">
      <c r="A1159" s="103"/>
      <c r="B1159" s="103"/>
      <c r="C1159" s="104" t="e">
        <v>#REF!</v>
      </c>
      <c r="D1159" s="103"/>
      <c r="E1159" s="53"/>
      <c r="F1159" s="53"/>
      <c r="G1159" s="53"/>
      <c r="H1159" s="53"/>
      <c r="I1159" s="53"/>
      <c r="J1159" s="53"/>
      <c r="K1159" s="53"/>
      <c r="L1159" s="53"/>
      <c r="M1159" s="53"/>
      <c r="N1159" s="53"/>
      <c r="O1159" s="53"/>
      <c r="P1159" s="53"/>
      <c r="Q1159" s="53"/>
      <c r="R1159" s="53"/>
      <c r="S1159" s="53"/>
      <c r="T1159" s="53"/>
      <c r="U1159" s="53"/>
      <c r="V1159" s="53"/>
      <c r="W1159" s="53"/>
      <c r="X1159" s="53"/>
      <c r="Y1159" s="53"/>
      <c r="Z1159" s="53"/>
    </row>
    <row r="1160" spans="1:26" ht="15.75" customHeight="1">
      <c r="A1160" s="103"/>
      <c r="B1160" s="103"/>
      <c r="C1160" s="104" t="e">
        <v>#REF!</v>
      </c>
      <c r="D1160" s="103"/>
      <c r="E1160" s="53"/>
      <c r="F1160" s="53"/>
      <c r="G1160" s="53"/>
      <c r="H1160" s="53"/>
      <c r="I1160" s="53"/>
      <c r="J1160" s="53"/>
      <c r="K1160" s="53"/>
      <c r="L1160" s="53"/>
      <c r="M1160" s="53"/>
      <c r="N1160" s="53"/>
      <c r="O1160" s="53"/>
      <c r="P1160" s="53"/>
      <c r="Q1160" s="53"/>
      <c r="R1160" s="53"/>
      <c r="S1160" s="53"/>
      <c r="T1160" s="53"/>
      <c r="U1160" s="53"/>
      <c r="V1160" s="53"/>
      <c r="W1160" s="53"/>
      <c r="X1160" s="53"/>
      <c r="Y1160" s="53"/>
      <c r="Z1160" s="53"/>
    </row>
    <row r="1161" spans="1:26" ht="15.75" customHeight="1">
      <c r="A1161" s="103"/>
      <c r="B1161" s="103"/>
      <c r="C1161" s="104" t="e">
        <v>#REF!</v>
      </c>
      <c r="D1161" s="103"/>
      <c r="E1161" s="53"/>
      <c r="F1161" s="53"/>
      <c r="G1161" s="53"/>
      <c r="H1161" s="53"/>
      <c r="I1161" s="53"/>
      <c r="J1161" s="53"/>
      <c r="K1161" s="53"/>
      <c r="L1161" s="53"/>
      <c r="M1161" s="53"/>
      <c r="N1161" s="53"/>
      <c r="O1161" s="53"/>
      <c r="P1161" s="53"/>
      <c r="Q1161" s="53"/>
      <c r="R1161" s="53"/>
      <c r="S1161" s="53"/>
      <c r="T1161" s="53"/>
      <c r="U1161" s="53"/>
      <c r="V1161" s="53"/>
      <c r="W1161" s="53"/>
      <c r="X1161" s="53"/>
      <c r="Y1161" s="53"/>
      <c r="Z1161" s="53"/>
    </row>
    <row r="1162" spans="1:26" ht="15.75" customHeight="1">
      <c r="A1162" s="103"/>
      <c r="B1162" s="103"/>
      <c r="C1162" s="104" t="e">
        <v>#REF!</v>
      </c>
      <c r="D1162" s="103"/>
      <c r="E1162" s="53"/>
      <c r="F1162" s="53"/>
      <c r="G1162" s="53"/>
      <c r="H1162" s="53"/>
      <c r="I1162" s="53"/>
      <c r="J1162" s="53"/>
      <c r="K1162" s="53"/>
      <c r="L1162" s="53"/>
      <c r="M1162" s="53"/>
      <c r="N1162" s="53"/>
      <c r="O1162" s="53"/>
      <c r="P1162" s="53"/>
      <c r="Q1162" s="53"/>
      <c r="R1162" s="53"/>
      <c r="S1162" s="53"/>
      <c r="T1162" s="53"/>
      <c r="U1162" s="53"/>
      <c r="V1162" s="53"/>
      <c r="W1162" s="53"/>
      <c r="X1162" s="53"/>
      <c r="Y1162" s="53"/>
      <c r="Z1162" s="53"/>
    </row>
    <row r="1163" spans="1:26" ht="15.75" customHeight="1">
      <c r="A1163" s="103"/>
      <c r="B1163" s="103"/>
      <c r="C1163" s="104" t="e">
        <v>#REF!</v>
      </c>
      <c r="D1163" s="103"/>
      <c r="E1163" s="53"/>
      <c r="F1163" s="53"/>
      <c r="G1163" s="53"/>
      <c r="H1163" s="53"/>
      <c r="I1163" s="53"/>
      <c r="J1163" s="53"/>
      <c r="K1163" s="53"/>
      <c r="L1163" s="53"/>
      <c r="M1163" s="53"/>
      <c r="N1163" s="53"/>
      <c r="O1163" s="53"/>
      <c r="P1163" s="53"/>
      <c r="Q1163" s="53"/>
      <c r="R1163" s="53"/>
      <c r="S1163" s="53"/>
      <c r="T1163" s="53"/>
      <c r="U1163" s="53"/>
      <c r="V1163" s="53"/>
      <c r="W1163" s="53"/>
      <c r="X1163" s="53"/>
      <c r="Y1163" s="53"/>
      <c r="Z1163" s="53"/>
    </row>
    <row r="1164" spans="1:26" ht="15.75" customHeight="1">
      <c r="A1164" s="103"/>
      <c r="B1164" s="103"/>
      <c r="C1164" s="104" t="e">
        <v>#REF!</v>
      </c>
      <c r="D1164" s="103"/>
      <c r="E1164" s="53"/>
      <c r="F1164" s="53"/>
      <c r="G1164" s="53"/>
      <c r="H1164" s="53"/>
      <c r="I1164" s="53"/>
      <c r="J1164" s="53"/>
      <c r="K1164" s="53"/>
      <c r="L1164" s="53"/>
      <c r="M1164" s="53"/>
      <c r="N1164" s="53"/>
      <c r="O1164" s="53"/>
      <c r="P1164" s="53"/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</row>
    <row r="1165" spans="1:26" ht="15.75" customHeight="1">
      <c r="A1165" s="103"/>
      <c r="B1165" s="103"/>
      <c r="C1165" s="104" t="e">
        <v>#REF!</v>
      </c>
      <c r="D1165" s="103"/>
      <c r="E1165" s="53"/>
      <c r="F1165" s="53"/>
      <c r="G1165" s="53"/>
      <c r="H1165" s="53"/>
      <c r="I1165" s="53"/>
      <c r="J1165" s="53"/>
      <c r="K1165" s="53"/>
      <c r="L1165" s="53"/>
      <c r="M1165" s="53"/>
      <c r="N1165" s="53"/>
      <c r="O1165" s="53"/>
      <c r="P1165" s="53"/>
      <c r="Q1165" s="53"/>
      <c r="R1165" s="53"/>
      <c r="S1165" s="53"/>
      <c r="T1165" s="53"/>
      <c r="U1165" s="53"/>
      <c r="V1165" s="53"/>
      <c r="W1165" s="53"/>
      <c r="X1165" s="53"/>
      <c r="Y1165" s="53"/>
      <c r="Z1165" s="53"/>
    </row>
    <row r="1166" spans="1:26" ht="15.75" customHeight="1">
      <c r="A1166" s="103"/>
      <c r="B1166" s="103"/>
      <c r="C1166" s="104" t="e">
        <v>#REF!</v>
      </c>
      <c r="D1166" s="103"/>
      <c r="E1166" s="53"/>
      <c r="F1166" s="53"/>
      <c r="G1166" s="53"/>
      <c r="H1166" s="53"/>
      <c r="I1166" s="53"/>
      <c r="J1166" s="53"/>
      <c r="K1166" s="53"/>
      <c r="L1166" s="53"/>
      <c r="M1166" s="53"/>
      <c r="N1166" s="53"/>
      <c r="O1166" s="53"/>
      <c r="P1166" s="53"/>
      <c r="Q1166" s="53"/>
      <c r="R1166" s="53"/>
      <c r="S1166" s="53"/>
      <c r="T1166" s="53"/>
      <c r="U1166" s="53"/>
      <c r="V1166" s="53"/>
      <c r="W1166" s="53"/>
      <c r="X1166" s="53"/>
      <c r="Y1166" s="53"/>
      <c r="Z1166" s="53"/>
    </row>
    <row r="1167" spans="1:26" ht="15.75" customHeight="1">
      <c r="A1167" s="103"/>
      <c r="B1167" s="103"/>
      <c r="C1167" s="104" t="e">
        <v>#REF!</v>
      </c>
      <c r="D1167" s="103"/>
      <c r="E1167" s="53"/>
      <c r="F1167" s="53"/>
      <c r="G1167" s="53"/>
      <c r="H1167" s="53"/>
      <c r="I1167" s="53"/>
      <c r="J1167" s="53"/>
      <c r="K1167" s="53"/>
      <c r="L1167" s="53"/>
      <c r="M1167" s="53"/>
      <c r="N1167" s="53"/>
      <c r="O1167" s="53"/>
      <c r="P1167" s="53"/>
      <c r="Q1167" s="53"/>
      <c r="R1167" s="53"/>
      <c r="S1167" s="53"/>
      <c r="T1167" s="53"/>
      <c r="U1167" s="53"/>
      <c r="V1167" s="53"/>
      <c r="W1167" s="53"/>
      <c r="X1167" s="53"/>
      <c r="Y1167" s="53"/>
      <c r="Z1167" s="53"/>
    </row>
    <row r="1168" spans="1:26" ht="15.75" customHeight="1">
      <c r="A1168" s="103"/>
      <c r="B1168" s="103"/>
      <c r="C1168" s="104" t="e">
        <v>#REF!</v>
      </c>
      <c r="D1168" s="103"/>
      <c r="E1168" s="53"/>
      <c r="F1168" s="53"/>
      <c r="G1168" s="53"/>
      <c r="H1168" s="53"/>
      <c r="I1168" s="53"/>
      <c r="J1168" s="53"/>
      <c r="K1168" s="53"/>
      <c r="L1168" s="53"/>
      <c r="M1168" s="53"/>
      <c r="N1168" s="53"/>
      <c r="O1168" s="53"/>
      <c r="P1168" s="53"/>
      <c r="Q1168" s="53"/>
      <c r="R1168" s="53"/>
      <c r="S1168" s="53"/>
      <c r="T1168" s="53"/>
      <c r="U1168" s="53"/>
      <c r="V1168" s="53"/>
      <c r="W1168" s="53"/>
      <c r="X1168" s="53"/>
      <c r="Y1168" s="53"/>
      <c r="Z1168" s="53"/>
    </row>
    <row r="1169" spans="1:26" ht="15.75" customHeight="1">
      <c r="A1169" s="103"/>
      <c r="B1169" s="103"/>
      <c r="C1169" s="104" t="e">
        <v>#REF!</v>
      </c>
      <c r="D1169" s="103"/>
      <c r="E1169" s="53"/>
      <c r="F1169" s="53"/>
      <c r="G1169" s="53"/>
      <c r="H1169" s="53"/>
      <c r="I1169" s="53"/>
      <c r="J1169" s="53"/>
      <c r="K1169" s="53"/>
      <c r="L1169" s="53"/>
      <c r="M1169" s="53"/>
      <c r="N1169" s="53"/>
      <c r="O1169" s="53"/>
      <c r="P1169" s="53"/>
      <c r="Q1169" s="53"/>
      <c r="R1169" s="53"/>
      <c r="S1169" s="53"/>
      <c r="T1169" s="53"/>
      <c r="U1169" s="53"/>
      <c r="V1169" s="53"/>
      <c r="W1169" s="53"/>
      <c r="X1169" s="53"/>
      <c r="Y1169" s="53"/>
      <c r="Z1169" s="53"/>
    </row>
    <row r="1170" spans="1:26" ht="15.75" customHeight="1">
      <c r="A1170" s="103"/>
      <c r="B1170" s="103"/>
      <c r="C1170" s="104" t="e">
        <v>#REF!</v>
      </c>
      <c r="D1170" s="103"/>
      <c r="E1170" s="53"/>
      <c r="F1170" s="53"/>
      <c r="G1170" s="53"/>
      <c r="H1170" s="53"/>
      <c r="I1170" s="53"/>
      <c r="J1170" s="53"/>
      <c r="K1170" s="53"/>
      <c r="L1170" s="53"/>
      <c r="M1170" s="53"/>
      <c r="N1170" s="53"/>
      <c r="O1170" s="53"/>
      <c r="P1170" s="53"/>
      <c r="Q1170" s="53"/>
      <c r="R1170" s="53"/>
      <c r="S1170" s="53"/>
      <c r="T1170" s="53"/>
      <c r="U1170" s="53"/>
      <c r="V1170" s="53"/>
      <c r="W1170" s="53"/>
      <c r="X1170" s="53"/>
      <c r="Y1170" s="53"/>
      <c r="Z1170" s="53"/>
    </row>
    <row r="1171" spans="1:26" ht="15.75" customHeight="1">
      <c r="A1171" s="103"/>
      <c r="B1171" s="103"/>
      <c r="C1171" s="104" t="e">
        <v>#REF!</v>
      </c>
      <c r="D1171" s="103"/>
      <c r="E1171" s="53"/>
      <c r="F1171" s="53"/>
      <c r="G1171" s="53"/>
      <c r="H1171" s="53"/>
      <c r="I1171" s="53"/>
      <c r="J1171" s="53"/>
      <c r="K1171" s="53"/>
      <c r="L1171" s="53"/>
      <c r="M1171" s="53"/>
      <c r="N1171" s="53"/>
      <c r="O1171" s="53"/>
      <c r="P1171" s="53"/>
      <c r="Q1171" s="53"/>
      <c r="R1171" s="53"/>
      <c r="S1171" s="53"/>
      <c r="T1171" s="53"/>
      <c r="U1171" s="53"/>
      <c r="V1171" s="53"/>
      <c r="W1171" s="53"/>
      <c r="X1171" s="53"/>
      <c r="Y1171" s="53"/>
      <c r="Z1171" s="53"/>
    </row>
    <row r="1172" spans="1:26" ht="15.75" customHeight="1">
      <c r="A1172" s="103"/>
      <c r="B1172" s="103"/>
      <c r="C1172" s="104" t="e">
        <v>#REF!</v>
      </c>
      <c r="D1172" s="103"/>
      <c r="E1172" s="53"/>
      <c r="F1172" s="53"/>
      <c r="G1172" s="53"/>
      <c r="H1172" s="53"/>
      <c r="I1172" s="53"/>
      <c r="J1172" s="53"/>
      <c r="K1172" s="53"/>
      <c r="L1172" s="53"/>
      <c r="M1172" s="53"/>
      <c r="N1172" s="53"/>
      <c r="O1172" s="53"/>
      <c r="P1172" s="53"/>
      <c r="Q1172" s="53"/>
      <c r="R1172" s="53"/>
      <c r="S1172" s="53"/>
      <c r="T1172" s="53"/>
      <c r="U1172" s="53"/>
      <c r="V1172" s="53"/>
      <c r="W1172" s="53"/>
      <c r="X1172" s="53"/>
      <c r="Y1172" s="53"/>
      <c r="Z1172" s="53"/>
    </row>
    <row r="1173" spans="1:26" ht="15.75" customHeight="1">
      <c r="A1173" s="103"/>
      <c r="B1173" s="103"/>
      <c r="C1173" s="104" t="e">
        <v>#REF!</v>
      </c>
      <c r="D1173" s="103"/>
      <c r="E1173" s="53"/>
      <c r="F1173" s="53"/>
      <c r="G1173" s="53"/>
      <c r="H1173" s="53"/>
      <c r="I1173" s="53"/>
      <c r="J1173" s="53"/>
      <c r="K1173" s="53"/>
      <c r="L1173" s="53"/>
      <c r="M1173" s="53"/>
      <c r="N1173" s="53"/>
      <c r="O1173" s="53"/>
      <c r="P1173" s="53"/>
      <c r="Q1173" s="53"/>
      <c r="R1173" s="53"/>
      <c r="S1173" s="53"/>
      <c r="T1173" s="53"/>
      <c r="U1173" s="53"/>
      <c r="V1173" s="53"/>
      <c r="W1173" s="53"/>
      <c r="X1173" s="53"/>
      <c r="Y1173" s="53"/>
      <c r="Z1173" s="53"/>
    </row>
    <row r="1174" spans="1:26" ht="15.75" customHeight="1">
      <c r="A1174" s="103"/>
      <c r="B1174" s="103"/>
      <c r="C1174" s="104" t="e">
        <v>#REF!</v>
      </c>
      <c r="D1174" s="103"/>
      <c r="E1174" s="53"/>
      <c r="F1174" s="53"/>
      <c r="G1174" s="53"/>
      <c r="H1174" s="53"/>
      <c r="I1174" s="53"/>
      <c r="J1174" s="53"/>
      <c r="K1174" s="53"/>
      <c r="L1174" s="53"/>
      <c r="M1174" s="53"/>
      <c r="N1174" s="53"/>
      <c r="O1174" s="53"/>
      <c r="P1174" s="53"/>
      <c r="Q1174" s="53"/>
      <c r="R1174" s="53"/>
      <c r="S1174" s="53"/>
      <c r="T1174" s="53"/>
      <c r="U1174" s="53"/>
      <c r="V1174" s="53"/>
      <c r="W1174" s="53"/>
      <c r="X1174" s="53"/>
      <c r="Y1174" s="53"/>
      <c r="Z1174" s="53"/>
    </row>
    <row r="1175" spans="1:26" ht="15.75" customHeight="1">
      <c r="A1175" s="103"/>
      <c r="B1175" s="103"/>
      <c r="C1175" s="104" t="e">
        <v>#REF!</v>
      </c>
      <c r="D1175" s="103"/>
      <c r="E1175" s="53"/>
      <c r="F1175" s="53"/>
      <c r="G1175" s="53"/>
      <c r="H1175" s="53"/>
      <c r="I1175" s="53"/>
      <c r="J1175" s="53"/>
      <c r="K1175" s="53"/>
      <c r="L1175" s="53"/>
      <c r="M1175" s="53"/>
      <c r="N1175" s="53"/>
      <c r="O1175" s="53"/>
      <c r="P1175" s="53"/>
      <c r="Q1175" s="53"/>
      <c r="R1175" s="53"/>
      <c r="S1175" s="53"/>
      <c r="T1175" s="53"/>
      <c r="U1175" s="53"/>
      <c r="V1175" s="53"/>
      <c r="W1175" s="53"/>
      <c r="X1175" s="53"/>
      <c r="Y1175" s="53"/>
      <c r="Z1175" s="53"/>
    </row>
    <row r="1176" spans="1:26" ht="15.75" customHeight="1">
      <c r="A1176" s="103"/>
      <c r="B1176" s="103"/>
      <c r="C1176" s="104" t="e">
        <v>#REF!</v>
      </c>
      <c r="D1176" s="103"/>
      <c r="E1176" s="53"/>
      <c r="F1176" s="53"/>
      <c r="G1176" s="53"/>
      <c r="H1176" s="53"/>
      <c r="I1176" s="53"/>
      <c r="J1176" s="53"/>
      <c r="K1176" s="53"/>
      <c r="L1176" s="53"/>
      <c r="M1176" s="53"/>
      <c r="N1176" s="53"/>
      <c r="O1176" s="53"/>
      <c r="P1176" s="53"/>
      <c r="Q1176" s="53"/>
      <c r="R1176" s="53"/>
      <c r="S1176" s="53"/>
      <c r="T1176" s="53"/>
      <c r="U1176" s="53"/>
      <c r="V1176" s="53"/>
      <c r="W1176" s="53"/>
      <c r="X1176" s="53"/>
      <c r="Y1176" s="53"/>
      <c r="Z1176" s="53"/>
    </row>
    <row r="1177" spans="1:26" ht="15.75" customHeight="1">
      <c r="A1177" s="103"/>
      <c r="B1177" s="103"/>
      <c r="C1177" s="104" t="e">
        <v>#REF!</v>
      </c>
      <c r="D1177" s="103"/>
      <c r="E1177" s="53"/>
      <c r="F1177" s="53"/>
      <c r="G1177" s="53"/>
      <c r="H1177" s="53"/>
      <c r="I1177" s="53"/>
      <c r="J1177" s="53"/>
      <c r="K1177" s="53"/>
      <c r="L1177" s="53"/>
      <c r="M1177" s="53"/>
      <c r="N1177" s="53"/>
      <c r="O1177" s="53"/>
      <c r="P1177" s="53"/>
      <c r="Q1177" s="53"/>
      <c r="R1177" s="53"/>
      <c r="S1177" s="53"/>
      <c r="T1177" s="53"/>
      <c r="U1177" s="53"/>
      <c r="V1177" s="53"/>
      <c r="W1177" s="53"/>
      <c r="X1177" s="53"/>
      <c r="Y1177" s="53"/>
      <c r="Z1177" s="53"/>
    </row>
    <row r="1178" spans="1:26" ht="15.75" customHeight="1">
      <c r="A1178" s="103"/>
      <c r="B1178" s="103"/>
      <c r="C1178" s="104" t="e">
        <v>#REF!</v>
      </c>
      <c r="D1178" s="103"/>
      <c r="E1178" s="53"/>
      <c r="F1178" s="53"/>
      <c r="G1178" s="53"/>
      <c r="H1178" s="53"/>
      <c r="I1178" s="53"/>
      <c r="J1178" s="53"/>
      <c r="K1178" s="53"/>
      <c r="L1178" s="53"/>
      <c r="M1178" s="53"/>
      <c r="N1178" s="53"/>
      <c r="O1178" s="53"/>
      <c r="P1178" s="53"/>
      <c r="Q1178" s="53"/>
      <c r="R1178" s="53"/>
      <c r="S1178" s="53"/>
      <c r="T1178" s="53"/>
      <c r="U1178" s="53"/>
      <c r="V1178" s="53"/>
      <c r="W1178" s="53"/>
      <c r="X1178" s="53"/>
      <c r="Y1178" s="53"/>
      <c r="Z1178" s="53"/>
    </row>
    <row r="1179" spans="1:26" ht="15.75" customHeight="1">
      <c r="A1179" s="103"/>
      <c r="B1179" s="103"/>
      <c r="C1179" s="104" t="e">
        <v>#REF!</v>
      </c>
      <c r="D1179" s="103"/>
      <c r="E1179" s="53"/>
      <c r="F1179" s="53"/>
      <c r="G1179" s="53"/>
      <c r="H1179" s="53"/>
      <c r="I1179" s="53"/>
      <c r="J1179" s="53"/>
      <c r="K1179" s="53"/>
      <c r="L1179" s="53"/>
      <c r="M1179" s="53"/>
      <c r="N1179" s="53"/>
      <c r="O1179" s="53"/>
      <c r="P1179" s="53"/>
      <c r="Q1179" s="53"/>
      <c r="R1179" s="53"/>
      <c r="S1179" s="53"/>
      <c r="T1179" s="53"/>
      <c r="U1179" s="53"/>
      <c r="V1179" s="53"/>
      <c r="W1179" s="53"/>
      <c r="X1179" s="53"/>
      <c r="Y1179" s="53"/>
      <c r="Z1179" s="53"/>
    </row>
    <row r="1180" spans="1:26" ht="15.75" customHeight="1">
      <c r="A1180" s="103"/>
      <c r="B1180" s="103"/>
      <c r="C1180" s="104" t="e">
        <v>#REF!</v>
      </c>
      <c r="D1180" s="103"/>
      <c r="E1180" s="53"/>
      <c r="F1180" s="53"/>
      <c r="G1180" s="53"/>
      <c r="H1180" s="53"/>
      <c r="I1180" s="53"/>
      <c r="J1180" s="53"/>
      <c r="K1180" s="53"/>
      <c r="L1180" s="53"/>
      <c r="M1180" s="53"/>
      <c r="N1180" s="53"/>
      <c r="O1180" s="53"/>
      <c r="P1180" s="53"/>
      <c r="Q1180" s="53"/>
      <c r="R1180" s="53"/>
      <c r="S1180" s="53"/>
      <c r="T1180" s="53"/>
      <c r="U1180" s="53"/>
      <c r="V1180" s="53"/>
      <c r="W1180" s="53"/>
      <c r="X1180" s="53"/>
      <c r="Y1180" s="53"/>
      <c r="Z1180" s="53"/>
    </row>
    <row r="1181" spans="1:26" ht="15.75" customHeight="1">
      <c r="A1181" s="103"/>
      <c r="B1181" s="103"/>
      <c r="C1181" s="104" t="e">
        <v>#REF!</v>
      </c>
      <c r="D1181" s="103"/>
      <c r="E1181" s="53"/>
      <c r="F1181" s="53"/>
      <c r="G1181" s="53"/>
      <c r="H1181" s="53"/>
      <c r="I1181" s="53"/>
      <c r="J1181" s="53"/>
      <c r="K1181" s="53"/>
      <c r="L1181" s="53"/>
      <c r="M1181" s="53"/>
      <c r="N1181" s="53"/>
      <c r="O1181" s="53"/>
      <c r="P1181" s="53"/>
      <c r="Q1181" s="53"/>
      <c r="R1181" s="53"/>
      <c r="S1181" s="53"/>
      <c r="T1181" s="53"/>
      <c r="U1181" s="53"/>
      <c r="V1181" s="53"/>
      <c r="W1181" s="53"/>
      <c r="X1181" s="53"/>
      <c r="Y1181" s="53"/>
      <c r="Z1181" s="53"/>
    </row>
    <row r="1182" spans="1:26" ht="15.75" customHeight="1">
      <c r="A1182" s="103"/>
      <c r="B1182" s="103"/>
      <c r="C1182" s="104" t="e">
        <v>#REF!</v>
      </c>
      <c r="D1182" s="103"/>
      <c r="E1182" s="53"/>
      <c r="F1182" s="53"/>
      <c r="G1182" s="53"/>
      <c r="H1182" s="53"/>
      <c r="I1182" s="53"/>
      <c r="J1182" s="53"/>
      <c r="K1182" s="53"/>
      <c r="L1182" s="53"/>
      <c r="M1182" s="53"/>
      <c r="N1182" s="53"/>
      <c r="O1182" s="53"/>
      <c r="P1182" s="53"/>
      <c r="Q1182" s="53"/>
      <c r="R1182" s="53"/>
      <c r="S1182" s="53"/>
      <c r="T1182" s="53"/>
      <c r="U1182" s="53"/>
      <c r="V1182" s="53"/>
      <c r="W1182" s="53"/>
      <c r="X1182" s="53"/>
      <c r="Y1182" s="53"/>
      <c r="Z1182" s="53"/>
    </row>
    <row r="1183" spans="1:26" ht="15.75" customHeight="1">
      <c r="A1183" s="103"/>
      <c r="B1183" s="103"/>
      <c r="C1183" s="104" t="e">
        <v>#REF!</v>
      </c>
      <c r="D1183" s="103"/>
      <c r="E1183" s="53"/>
      <c r="F1183" s="53"/>
      <c r="G1183" s="53"/>
      <c r="H1183" s="53"/>
      <c r="I1183" s="53"/>
      <c r="J1183" s="53"/>
      <c r="K1183" s="53"/>
      <c r="L1183" s="53"/>
      <c r="M1183" s="53"/>
      <c r="N1183" s="53"/>
      <c r="O1183" s="53"/>
      <c r="P1183" s="53"/>
      <c r="Q1183" s="53"/>
      <c r="R1183" s="53"/>
      <c r="S1183" s="53"/>
      <c r="T1183" s="53"/>
      <c r="U1183" s="53"/>
      <c r="V1183" s="53"/>
      <c r="W1183" s="53"/>
      <c r="X1183" s="53"/>
      <c r="Y1183" s="53"/>
      <c r="Z1183" s="53"/>
    </row>
    <row r="1184" spans="1:26" ht="15.75" customHeight="1">
      <c r="A1184" s="103"/>
      <c r="B1184" s="103"/>
      <c r="C1184" s="104" t="e">
        <v>#REF!</v>
      </c>
      <c r="D1184" s="103"/>
      <c r="E1184" s="53"/>
      <c r="F1184" s="53"/>
      <c r="G1184" s="53"/>
      <c r="H1184" s="53"/>
      <c r="I1184" s="53"/>
      <c r="J1184" s="53"/>
      <c r="K1184" s="53"/>
      <c r="L1184" s="53"/>
      <c r="M1184" s="53"/>
      <c r="N1184" s="53"/>
      <c r="O1184" s="53"/>
      <c r="P1184" s="53"/>
      <c r="Q1184" s="53"/>
      <c r="R1184" s="53"/>
      <c r="S1184" s="53"/>
      <c r="T1184" s="53"/>
      <c r="U1184" s="53"/>
      <c r="V1184" s="53"/>
      <c r="W1184" s="53"/>
      <c r="X1184" s="53"/>
      <c r="Y1184" s="53"/>
      <c r="Z1184" s="53"/>
    </row>
    <row r="1185" spans="1:26" ht="15.75" customHeight="1">
      <c r="A1185" s="103"/>
      <c r="B1185" s="103"/>
      <c r="C1185" s="104" t="e">
        <v>#REF!</v>
      </c>
      <c r="D1185" s="103"/>
      <c r="E1185" s="53"/>
      <c r="F1185" s="53"/>
      <c r="G1185" s="53"/>
      <c r="H1185" s="53"/>
      <c r="I1185" s="53"/>
      <c r="J1185" s="53"/>
      <c r="K1185" s="53"/>
      <c r="L1185" s="53"/>
      <c r="M1185" s="53"/>
      <c r="N1185" s="53"/>
      <c r="O1185" s="53"/>
      <c r="P1185" s="53"/>
      <c r="Q1185" s="53"/>
      <c r="R1185" s="53"/>
      <c r="S1185" s="53"/>
      <c r="T1185" s="53"/>
      <c r="U1185" s="53"/>
      <c r="V1185" s="53"/>
      <c r="W1185" s="53"/>
      <c r="X1185" s="53"/>
      <c r="Y1185" s="53"/>
      <c r="Z1185" s="53"/>
    </row>
    <row r="1186" spans="1:26" ht="15.75" customHeight="1">
      <c r="A1186" s="103"/>
      <c r="B1186" s="103"/>
      <c r="C1186" s="104" t="e">
        <v>#REF!</v>
      </c>
      <c r="D1186" s="103"/>
      <c r="E1186" s="53"/>
      <c r="F1186" s="53"/>
      <c r="G1186" s="53"/>
      <c r="H1186" s="53"/>
      <c r="I1186" s="53"/>
      <c r="J1186" s="53"/>
      <c r="K1186" s="53"/>
      <c r="L1186" s="53"/>
      <c r="M1186" s="53"/>
      <c r="N1186" s="53"/>
      <c r="O1186" s="53"/>
      <c r="P1186" s="53"/>
      <c r="Q1186" s="53"/>
      <c r="R1186" s="53"/>
      <c r="S1186" s="53"/>
      <c r="T1186" s="53"/>
      <c r="U1186" s="53"/>
      <c r="V1186" s="53"/>
      <c r="W1186" s="53"/>
      <c r="X1186" s="53"/>
      <c r="Y1186" s="53"/>
      <c r="Z1186" s="53"/>
    </row>
    <row r="1187" spans="1:26" ht="15.75" customHeight="1">
      <c r="A1187" s="103"/>
      <c r="B1187" s="103"/>
      <c r="C1187" s="104" t="e">
        <v>#REF!</v>
      </c>
      <c r="D1187" s="103"/>
      <c r="E1187" s="53"/>
      <c r="F1187" s="53"/>
      <c r="G1187" s="53"/>
      <c r="H1187" s="53"/>
      <c r="I1187" s="53"/>
      <c r="J1187" s="53"/>
      <c r="K1187" s="53"/>
      <c r="L1187" s="53"/>
      <c r="M1187" s="53"/>
      <c r="N1187" s="53"/>
      <c r="O1187" s="53"/>
      <c r="P1187" s="53"/>
      <c r="Q1187" s="53"/>
      <c r="R1187" s="53"/>
      <c r="S1187" s="53"/>
      <c r="T1187" s="53"/>
      <c r="U1187" s="53"/>
      <c r="V1187" s="53"/>
      <c r="W1187" s="53"/>
      <c r="X1187" s="53"/>
      <c r="Y1187" s="53"/>
      <c r="Z1187" s="53"/>
    </row>
    <row r="1188" spans="1:26" ht="15.75" customHeight="1">
      <c r="A1188" s="103"/>
      <c r="B1188" s="103"/>
      <c r="C1188" s="104" t="e">
        <v>#REF!</v>
      </c>
      <c r="D1188" s="103"/>
      <c r="E1188" s="53"/>
      <c r="F1188" s="53"/>
      <c r="G1188" s="53"/>
      <c r="H1188" s="53"/>
      <c r="I1188" s="53"/>
      <c r="J1188" s="53"/>
      <c r="K1188" s="53"/>
      <c r="L1188" s="53"/>
      <c r="M1188" s="53"/>
      <c r="N1188" s="53"/>
      <c r="O1188" s="53"/>
      <c r="P1188" s="53"/>
      <c r="Q1188" s="53"/>
      <c r="R1188" s="53"/>
      <c r="S1188" s="53"/>
      <c r="T1188" s="53"/>
      <c r="U1188" s="53"/>
      <c r="V1188" s="53"/>
      <c r="W1188" s="53"/>
      <c r="X1188" s="53"/>
      <c r="Y1188" s="53"/>
      <c r="Z1188" s="53"/>
    </row>
    <row r="1189" spans="1:26" ht="15.75" customHeight="1">
      <c r="A1189" s="103"/>
      <c r="B1189" s="103"/>
      <c r="C1189" s="104" t="e">
        <v>#REF!</v>
      </c>
      <c r="D1189" s="103"/>
      <c r="E1189" s="53"/>
      <c r="F1189" s="53"/>
      <c r="G1189" s="53"/>
      <c r="H1189" s="53"/>
      <c r="I1189" s="53"/>
      <c r="J1189" s="53"/>
      <c r="K1189" s="53"/>
      <c r="L1189" s="53"/>
      <c r="M1189" s="53"/>
      <c r="N1189" s="53"/>
      <c r="O1189" s="53"/>
      <c r="P1189" s="53"/>
      <c r="Q1189" s="53"/>
      <c r="R1189" s="53"/>
      <c r="S1189" s="53"/>
      <c r="T1189" s="53"/>
      <c r="U1189" s="53"/>
      <c r="V1189" s="53"/>
      <c r="W1189" s="53"/>
      <c r="X1189" s="53"/>
      <c r="Y1189" s="53"/>
      <c r="Z1189" s="53"/>
    </row>
    <row r="1190" spans="1:26" ht="15.75" customHeight="1">
      <c r="A1190" s="103"/>
      <c r="B1190" s="103"/>
      <c r="C1190" s="104" t="e">
        <v>#REF!</v>
      </c>
      <c r="D1190" s="103"/>
      <c r="E1190" s="53"/>
      <c r="F1190" s="53"/>
      <c r="G1190" s="53"/>
      <c r="H1190" s="53"/>
      <c r="I1190" s="53"/>
      <c r="J1190" s="53"/>
      <c r="K1190" s="53"/>
      <c r="L1190" s="53"/>
      <c r="M1190" s="53"/>
      <c r="N1190" s="53"/>
      <c r="O1190" s="53"/>
      <c r="P1190" s="53"/>
      <c r="Q1190" s="53"/>
      <c r="R1190" s="53"/>
      <c r="S1190" s="53"/>
      <c r="T1190" s="53"/>
      <c r="U1190" s="53"/>
      <c r="V1190" s="53"/>
      <c r="W1190" s="53"/>
      <c r="X1190" s="53"/>
      <c r="Y1190" s="53"/>
      <c r="Z1190" s="53"/>
    </row>
    <row r="1191" spans="1:26" ht="15.75" customHeight="1">
      <c r="A1191" s="103"/>
      <c r="B1191" s="103"/>
      <c r="C1191" s="104" t="e">
        <v>#REF!</v>
      </c>
      <c r="D1191" s="103"/>
      <c r="E1191" s="53"/>
      <c r="F1191" s="53"/>
      <c r="G1191" s="53"/>
      <c r="H1191" s="53"/>
      <c r="I1191" s="53"/>
      <c r="J1191" s="53"/>
      <c r="K1191" s="53"/>
      <c r="L1191" s="53"/>
      <c r="M1191" s="53"/>
      <c r="N1191" s="53"/>
      <c r="O1191" s="53"/>
      <c r="P1191" s="53"/>
      <c r="Q1191" s="53"/>
      <c r="R1191" s="53"/>
      <c r="S1191" s="53"/>
      <c r="T1191" s="53"/>
      <c r="U1191" s="53"/>
      <c r="V1191" s="53"/>
      <c r="W1191" s="53"/>
      <c r="X1191" s="53"/>
      <c r="Y1191" s="53"/>
      <c r="Z1191" s="53"/>
    </row>
    <row r="1192" spans="1:26" ht="15.75" customHeight="1">
      <c r="A1192" s="103"/>
      <c r="B1192" s="103"/>
      <c r="C1192" s="104" t="e">
        <v>#REF!</v>
      </c>
      <c r="D1192" s="103"/>
      <c r="E1192" s="53"/>
      <c r="F1192" s="53"/>
      <c r="G1192" s="53"/>
      <c r="H1192" s="53"/>
      <c r="I1192" s="53"/>
      <c r="J1192" s="53"/>
      <c r="K1192" s="53"/>
      <c r="L1192" s="53"/>
      <c r="M1192" s="53"/>
      <c r="N1192" s="53"/>
      <c r="O1192" s="53"/>
      <c r="P1192" s="53"/>
      <c r="Q1192" s="53"/>
      <c r="R1192" s="53"/>
      <c r="S1192" s="53"/>
      <c r="T1192" s="53"/>
      <c r="U1192" s="53"/>
      <c r="V1192" s="53"/>
      <c r="W1192" s="53"/>
      <c r="X1192" s="53"/>
      <c r="Y1192" s="53"/>
      <c r="Z1192" s="53"/>
    </row>
    <row r="1193" spans="1:26" ht="15.75" customHeight="1">
      <c r="A1193" s="103"/>
      <c r="B1193" s="103"/>
      <c r="C1193" s="104" t="e">
        <v>#REF!</v>
      </c>
      <c r="D1193" s="103"/>
      <c r="E1193" s="53"/>
      <c r="F1193" s="53"/>
      <c r="G1193" s="53"/>
      <c r="H1193" s="53"/>
      <c r="I1193" s="53"/>
      <c r="J1193" s="53"/>
      <c r="K1193" s="53"/>
      <c r="L1193" s="53"/>
      <c r="M1193" s="53"/>
      <c r="N1193" s="53"/>
      <c r="O1193" s="53"/>
      <c r="P1193" s="53"/>
      <c r="Q1193" s="53"/>
      <c r="R1193" s="53"/>
      <c r="S1193" s="53"/>
      <c r="T1193" s="53"/>
      <c r="U1193" s="53"/>
      <c r="V1193" s="53"/>
      <c r="W1193" s="53"/>
      <c r="X1193" s="53"/>
      <c r="Y1193" s="53"/>
      <c r="Z1193" s="53"/>
    </row>
    <row r="1194" spans="1:26" ht="15.75" customHeight="1">
      <c r="A1194" s="103"/>
      <c r="B1194" s="103"/>
      <c r="C1194" s="104" t="e">
        <v>#REF!</v>
      </c>
      <c r="D1194" s="103"/>
      <c r="E1194" s="53"/>
      <c r="F1194" s="53"/>
      <c r="G1194" s="53"/>
      <c r="H1194" s="53"/>
      <c r="I1194" s="53"/>
      <c r="J1194" s="53"/>
      <c r="K1194" s="53"/>
      <c r="L1194" s="53"/>
      <c r="M1194" s="53"/>
      <c r="N1194" s="53"/>
      <c r="O1194" s="53"/>
      <c r="P1194" s="53"/>
      <c r="Q1194" s="53"/>
      <c r="R1194" s="53"/>
      <c r="S1194" s="53"/>
      <c r="T1194" s="53"/>
      <c r="U1194" s="53"/>
      <c r="V1194" s="53"/>
      <c r="W1194" s="53"/>
      <c r="X1194" s="53"/>
      <c r="Y1194" s="53"/>
      <c r="Z1194" s="53"/>
    </row>
    <row r="1195" spans="1:26" ht="15.75" customHeight="1">
      <c r="A1195" s="103"/>
      <c r="B1195" s="103"/>
      <c r="C1195" s="104" t="e">
        <v>#REF!</v>
      </c>
      <c r="D1195" s="103"/>
      <c r="E1195" s="53"/>
      <c r="F1195" s="53"/>
      <c r="G1195" s="53"/>
      <c r="H1195" s="53"/>
      <c r="I1195" s="53"/>
      <c r="J1195" s="53"/>
      <c r="K1195" s="53"/>
      <c r="L1195" s="53"/>
      <c r="M1195" s="53"/>
      <c r="N1195" s="53"/>
      <c r="O1195" s="53"/>
      <c r="P1195" s="53"/>
      <c r="Q1195" s="53"/>
      <c r="R1195" s="53"/>
      <c r="S1195" s="53"/>
      <c r="T1195" s="53"/>
      <c r="U1195" s="53"/>
      <c r="V1195" s="53"/>
      <c r="W1195" s="53"/>
      <c r="X1195" s="53"/>
      <c r="Y1195" s="53"/>
      <c r="Z1195" s="53"/>
    </row>
    <row r="1196" spans="1:26" ht="15.75" customHeight="1">
      <c r="A1196" s="103"/>
      <c r="B1196" s="103"/>
      <c r="C1196" s="104" t="e">
        <v>#REF!</v>
      </c>
      <c r="D1196" s="103"/>
      <c r="E1196" s="53"/>
      <c r="F1196" s="53"/>
      <c r="G1196" s="53"/>
      <c r="H1196" s="53"/>
      <c r="I1196" s="53"/>
      <c r="J1196" s="53"/>
      <c r="K1196" s="53"/>
      <c r="L1196" s="53"/>
      <c r="M1196" s="53"/>
      <c r="N1196" s="53"/>
      <c r="O1196" s="53"/>
      <c r="P1196" s="53"/>
      <c r="Q1196" s="53"/>
      <c r="R1196" s="53"/>
      <c r="S1196" s="53"/>
      <c r="T1196" s="53"/>
      <c r="U1196" s="53"/>
      <c r="V1196" s="53"/>
      <c r="W1196" s="53"/>
      <c r="X1196" s="53"/>
      <c r="Y1196" s="53"/>
      <c r="Z1196" s="53"/>
    </row>
    <row r="1197" spans="1:26" ht="15.75" customHeight="1">
      <c r="A1197" s="103"/>
      <c r="B1197" s="103"/>
      <c r="C1197" s="104" t="e">
        <v>#REF!</v>
      </c>
      <c r="D1197" s="103"/>
      <c r="E1197" s="53"/>
      <c r="F1197" s="53"/>
      <c r="G1197" s="53"/>
      <c r="H1197" s="53"/>
      <c r="I1197" s="53"/>
      <c r="J1197" s="53"/>
      <c r="K1197" s="53"/>
      <c r="L1197" s="53"/>
      <c r="M1197" s="53"/>
      <c r="N1197" s="53"/>
      <c r="O1197" s="53"/>
      <c r="P1197" s="53"/>
      <c r="Q1197" s="53"/>
      <c r="R1197" s="53"/>
      <c r="S1197" s="53"/>
      <c r="T1197" s="53"/>
      <c r="U1197" s="53"/>
      <c r="V1197" s="53"/>
      <c r="W1197" s="53"/>
      <c r="X1197" s="53"/>
      <c r="Y1197" s="53"/>
      <c r="Z1197" s="53"/>
    </row>
    <row r="1198" spans="1:26" ht="15.75" customHeight="1">
      <c r="A1198" s="103"/>
      <c r="B1198" s="103"/>
      <c r="C1198" s="104" t="e">
        <v>#REF!</v>
      </c>
      <c r="D1198" s="103"/>
      <c r="E1198" s="53"/>
      <c r="F1198" s="53"/>
      <c r="G1198" s="53"/>
      <c r="H1198" s="53"/>
      <c r="I1198" s="53"/>
      <c r="J1198" s="53"/>
      <c r="K1198" s="53"/>
      <c r="L1198" s="53"/>
      <c r="M1198" s="53"/>
      <c r="N1198" s="53"/>
      <c r="O1198" s="53"/>
      <c r="P1198" s="53"/>
      <c r="Q1198" s="53"/>
      <c r="R1198" s="53"/>
      <c r="S1198" s="53"/>
      <c r="T1198" s="53"/>
      <c r="U1198" s="53"/>
      <c r="V1198" s="53"/>
      <c r="W1198" s="53"/>
      <c r="X1198" s="53"/>
      <c r="Y1198" s="53"/>
      <c r="Z1198" s="53"/>
    </row>
    <row r="1199" spans="1:26" ht="15.75" customHeight="1">
      <c r="A1199" s="103"/>
      <c r="B1199" s="103"/>
      <c r="C1199" s="104" t="e">
        <v>#REF!</v>
      </c>
      <c r="D1199" s="103"/>
      <c r="E1199" s="53"/>
      <c r="F1199" s="53"/>
      <c r="G1199" s="53"/>
      <c r="H1199" s="53"/>
      <c r="I1199" s="53"/>
      <c r="J1199" s="53"/>
      <c r="K1199" s="53"/>
      <c r="L1199" s="53"/>
      <c r="M1199" s="53"/>
      <c r="N1199" s="53"/>
      <c r="O1199" s="53"/>
      <c r="P1199" s="53"/>
      <c r="Q1199" s="53"/>
      <c r="R1199" s="53"/>
      <c r="S1199" s="53"/>
      <c r="T1199" s="53"/>
      <c r="U1199" s="53"/>
      <c r="V1199" s="53"/>
      <c r="W1199" s="53"/>
      <c r="X1199" s="53"/>
      <c r="Y1199" s="53"/>
      <c r="Z1199" s="53"/>
    </row>
    <row r="1200" spans="1:26" ht="15.75" customHeight="1">
      <c r="A1200" s="103"/>
      <c r="B1200" s="103"/>
      <c r="C1200" s="104" t="e">
        <v>#REF!</v>
      </c>
      <c r="D1200" s="103"/>
      <c r="E1200" s="53"/>
      <c r="F1200" s="53"/>
      <c r="G1200" s="53"/>
      <c r="H1200" s="53"/>
      <c r="I1200" s="53"/>
      <c r="J1200" s="53"/>
      <c r="K1200" s="53"/>
      <c r="L1200" s="53"/>
      <c r="M1200" s="53"/>
      <c r="N1200" s="53"/>
      <c r="O1200" s="53"/>
      <c r="P1200" s="53"/>
      <c r="Q1200" s="53"/>
      <c r="R1200" s="53"/>
      <c r="S1200" s="53"/>
      <c r="T1200" s="53"/>
      <c r="U1200" s="53"/>
      <c r="V1200" s="53"/>
      <c r="W1200" s="53"/>
      <c r="X1200" s="53"/>
      <c r="Y1200" s="53"/>
      <c r="Z1200" s="53"/>
    </row>
    <row r="1201" spans="1:26" ht="15.75" customHeight="1">
      <c r="A1201" s="103"/>
      <c r="B1201" s="103"/>
      <c r="C1201" s="104" t="e">
        <v>#REF!</v>
      </c>
      <c r="D1201" s="103"/>
      <c r="E1201" s="53"/>
      <c r="F1201" s="53"/>
      <c r="G1201" s="53"/>
      <c r="H1201" s="53"/>
      <c r="I1201" s="53"/>
      <c r="J1201" s="53"/>
      <c r="K1201" s="53"/>
      <c r="L1201" s="53"/>
      <c r="M1201" s="53"/>
      <c r="N1201" s="53"/>
      <c r="O1201" s="53"/>
      <c r="P1201" s="53"/>
      <c r="Q1201" s="53"/>
      <c r="R1201" s="53"/>
      <c r="S1201" s="53"/>
      <c r="T1201" s="53"/>
      <c r="U1201" s="53"/>
      <c r="V1201" s="53"/>
      <c r="W1201" s="53"/>
      <c r="X1201" s="53"/>
      <c r="Y1201" s="53"/>
      <c r="Z1201" s="53"/>
    </row>
    <row r="1202" spans="1:26" ht="15.75" customHeight="1">
      <c r="A1202" s="103"/>
      <c r="B1202" s="103"/>
      <c r="C1202" s="104" t="e">
        <v>#REF!</v>
      </c>
      <c r="D1202" s="10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</row>
    <row r="1203" spans="1:26" ht="15.75" customHeight="1">
      <c r="A1203" s="103"/>
      <c r="B1203" s="103"/>
      <c r="C1203" s="104" t="e">
        <v>#REF!</v>
      </c>
      <c r="D1203" s="103"/>
      <c r="E1203" s="53"/>
      <c r="F1203" s="53"/>
      <c r="G1203" s="53"/>
      <c r="H1203" s="53"/>
      <c r="I1203" s="53"/>
      <c r="J1203" s="53"/>
      <c r="K1203" s="53"/>
      <c r="L1203" s="53"/>
      <c r="M1203" s="53"/>
      <c r="N1203" s="53"/>
      <c r="O1203" s="53"/>
      <c r="P1203" s="53"/>
      <c r="Q1203" s="53"/>
      <c r="R1203" s="53"/>
      <c r="S1203" s="53"/>
      <c r="T1203" s="53"/>
      <c r="U1203" s="53"/>
      <c r="V1203" s="53"/>
      <c r="W1203" s="53"/>
      <c r="X1203" s="53"/>
      <c r="Y1203" s="53"/>
      <c r="Z1203" s="53"/>
    </row>
    <row r="1204" spans="1:26" ht="15.75" customHeight="1">
      <c r="A1204" s="103"/>
      <c r="B1204" s="103"/>
      <c r="C1204" s="104" t="e">
        <v>#REF!</v>
      </c>
      <c r="D1204" s="103"/>
      <c r="E1204" s="53"/>
      <c r="F1204" s="53"/>
      <c r="G1204" s="53"/>
      <c r="H1204" s="53"/>
      <c r="I1204" s="53"/>
      <c r="J1204" s="53"/>
      <c r="K1204" s="53"/>
      <c r="L1204" s="53"/>
      <c r="M1204" s="53"/>
      <c r="N1204" s="53"/>
      <c r="O1204" s="53"/>
      <c r="P1204" s="53"/>
      <c r="Q1204" s="53"/>
      <c r="R1204" s="53"/>
      <c r="S1204" s="53"/>
      <c r="T1204" s="53"/>
      <c r="U1204" s="53"/>
      <c r="V1204" s="53"/>
      <c r="W1204" s="53"/>
      <c r="X1204" s="53"/>
      <c r="Y1204" s="53"/>
      <c r="Z1204" s="53"/>
    </row>
    <row r="1205" spans="1:26" ht="15.75" customHeight="1">
      <c r="A1205" s="103"/>
      <c r="B1205" s="103"/>
      <c r="C1205" s="104" t="e">
        <v>#REF!</v>
      </c>
      <c r="D1205" s="103"/>
      <c r="E1205" s="53"/>
      <c r="F1205" s="53"/>
      <c r="G1205" s="53"/>
      <c r="H1205" s="53"/>
      <c r="I1205" s="53"/>
      <c r="J1205" s="53"/>
      <c r="K1205" s="53"/>
      <c r="L1205" s="53"/>
      <c r="M1205" s="53"/>
      <c r="N1205" s="53"/>
      <c r="O1205" s="53"/>
      <c r="P1205" s="53"/>
      <c r="Q1205" s="53"/>
      <c r="R1205" s="53"/>
      <c r="S1205" s="53"/>
      <c r="T1205" s="53"/>
      <c r="U1205" s="53"/>
      <c r="V1205" s="53"/>
      <c r="W1205" s="53"/>
      <c r="X1205" s="53"/>
      <c r="Y1205" s="53"/>
      <c r="Z1205" s="53"/>
    </row>
    <row r="1206" spans="1:26" ht="15.75" customHeight="1">
      <c r="A1206" s="103"/>
      <c r="B1206" s="103"/>
      <c r="C1206" s="104" t="e">
        <v>#REF!</v>
      </c>
      <c r="D1206" s="103"/>
      <c r="E1206" s="53"/>
      <c r="F1206" s="53"/>
      <c r="G1206" s="53"/>
      <c r="H1206" s="53"/>
      <c r="I1206" s="53"/>
      <c r="J1206" s="53"/>
      <c r="K1206" s="53"/>
      <c r="L1206" s="53"/>
      <c r="M1206" s="53"/>
      <c r="N1206" s="53"/>
      <c r="O1206" s="53"/>
      <c r="P1206" s="53"/>
      <c r="Q1206" s="53"/>
      <c r="R1206" s="53"/>
      <c r="S1206" s="53"/>
      <c r="T1206" s="53"/>
      <c r="U1206" s="53"/>
      <c r="V1206" s="53"/>
      <c r="W1206" s="53"/>
      <c r="X1206" s="53"/>
      <c r="Y1206" s="53"/>
      <c r="Z1206" s="53"/>
    </row>
    <row r="1207" spans="1:26" ht="15.75" customHeight="1">
      <c r="A1207" s="103"/>
      <c r="B1207" s="103"/>
      <c r="C1207" s="104" t="e">
        <v>#REF!</v>
      </c>
      <c r="D1207" s="10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53"/>
      <c r="T1207" s="53"/>
      <c r="U1207" s="53"/>
      <c r="V1207" s="53"/>
      <c r="W1207" s="53"/>
      <c r="X1207" s="53"/>
      <c r="Y1207" s="53"/>
      <c r="Z1207" s="53"/>
    </row>
    <row r="1208" spans="1:26" ht="15.75" customHeight="1">
      <c r="A1208" s="103"/>
      <c r="B1208" s="103"/>
      <c r="C1208" s="104" t="e">
        <v>#REF!</v>
      </c>
      <c r="D1208" s="103"/>
      <c r="E1208" s="53"/>
      <c r="F1208" s="53"/>
      <c r="G1208" s="53"/>
      <c r="H1208" s="53"/>
      <c r="I1208" s="53"/>
      <c r="J1208" s="53"/>
      <c r="K1208" s="53"/>
      <c r="L1208" s="53"/>
      <c r="M1208" s="53"/>
      <c r="N1208" s="53"/>
      <c r="O1208" s="53"/>
      <c r="P1208" s="53"/>
      <c r="Q1208" s="53"/>
      <c r="R1208" s="53"/>
      <c r="S1208" s="53"/>
      <c r="T1208" s="53"/>
      <c r="U1208" s="53"/>
      <c r="V1208" s="53"/>
      <c r="W1208" s="53"/>
      <c r="X1208" s="53"/>
      <c r="Y1208" s="53"/>
      <c r="Z1208" s="53"/>
    </row>
    <row r="1209" spans="1:26" ht="15.75" customHeight="1">
      <c r="A1209" s="103"/>
      <c r="B1209" s="103"/>
      <c r="C1209" s="104" t="e">
        <v>#REF!</v>
      </c>
      <c r="D1209" s="103"/>
      <c r="E1209" s="53"/>
      <c r="F1209" s="53"/>
      <c r="G1209" s="53"/>
      <c r="H1209" s="53"/>
      <c r="I1209" s="53"/>
      <c r="J1209" s="53"/>
      <c r="K1209" s="53"/>
      <c r="L1209" s="53"/>
      <c r="M1209" s="53"/>
      <c r="N1209" s="53"/>
      <c r="O1209" s="53"/>
      <c r="P1209" s="53"/>
      <c r="Q1209" s="53"/>
      <c r="R1209" s="53"/>
      <c r="S1209" s="53"/>
      <c r="T1209" s="53"/>
      <c r="U1209" s="53"/>
      <c r="V1209" s="53"/>
      <c r="W1209" s="53"/>
      <c r="X1209" s="53"/>
      <c r="Y1209" s="53"/>
      <c r="Z1209" s="53"/>
    </row>
    <row r="1210" spans="1:26" ht="15.75" customHeight="1">
      <c r="A1210" s="103"/>
      <c r="B1210" s="103"/>
      <c r="C1210" s="104" t="e">
        <v>#REF!</v>
      </c>
      <c r="D1210" s="103"/>
      <c r="E1210" s="53"/>
      <c r="F1210" s="53"/>
      <c r="G1210" s="53"/>
      <c r="H1210" s="53"/>
      <c r="I1210" s="53"/>
      <c r="J1210" s="53"/>
      <c r="K1210" s="53"/>
      <c r="L1210" s="53"/>
      <c r="M1210" s="53"/>
      <c r="N1210" s="53"/>
      <c r="O1210" s="53"/>
      <c r="P1210" s="53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</row>
    <row r="1211" spans="1:26" ht="15.75" customHeight="1">
      <c r="A1211" s="103"/>
      <c r="B1211" s="103"/>
      <c r="C1211" s="104" t="e">
        <v>#REF!</v>
      </c>
      <c r="D1211" s="103"/>
      <c r="E1211" s="53"/>
      <c r="F1211" s="53"/>
      <c r="G1211" s="53"/>
      <c r="H1211" s="53"/>
      <c r="I1211" s="53"/>
      <c r="J1211" s="53"/>
      <c r="K1211" s="53"/>
      <c r="L1211" s="53"/>
      <c r="M1211" s="53"/>
      <c r="N1211" s="53"/>
      <c r="O1211" s="53"/>
      <c r="P1211" s="53"/>
      <c r="Q1211" s="53"/>
      <c r="R1211" s="53"/>
      <c r="S1211" s="53"/>
      <c r="T1211" s="53"/>
      <c r="U1211" s="53"/>
      <c r="V1211" s="53"/>
      <c r="W1211" s="53"/>
      <c r="X1211" s="53"/>
      <c r="Y1211" s="53"/>
      <c r="Z1211" s="53"/>
    </row>
    <row r="1212" spans="1:26" ht="15.75" customHeight="1">
      <c r="A1212" s="103"/>
      <c r="B1212" s="103"/>
      <c r="C1212" s="104" t="e">
        <v>#REF!</v>
      </c>
      <c r="D1212" s="103"/>
      <c r="E1212" s="53"/>
      <c r="F1212" s="53"/>
      <c r="G1212" s="53"/>
      <c r="H1212" s="53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  <c r="W1212" s="53"/>
      <c r="X1212" s="53"/>
      <c r="Y1212" s="53"/>
      <c r="Z1212" s="53"/>
    </row>
    <row r="1213" spans="1:26" ht="15.75" customHeight="1">
      <c r="A1213" s="103"/>
      <c r="B1213" s="103"/>
      <c r="C1213" s="104" t="e">
        <v>#REF!</v>
      </c>
      <c r="D1213" s="103"/>
      <c r="E1213" s="53"/>
      <c r="F1213" s="53"/>
      <c r="G1213" s="53"/>
      <c r="H1213" s="53"/>
      <c r="I1213" s="53"/>
      <c r="J1213" s="53"/>
      <c r="K1213" s="53"/>
      <c r="L1213" s="53"/>
      <c r="M1213" s="53"/>
      <c r="N1213" s="53"/>
      <c r="O1213" s="53"/>
      <c r="P1213" s="53"/>
      <c r="Q1213" s="53"/>
      <c r="R1213" s="53"/>
      <c r="S1213" s="53"/>
      <c r="T1213" s="53"/>
      <c r="U1213" s="53"/>
      <c r="V1213" s="53"/>
      <c r="W1213" s="53"/>
      <c r="X1213" s="53"/>
      <c r="Y1213" s="53"/>
      <c r="Z1213" s="53"/>
    </row>
    <row r="1214" spans="1:26" ht="15.75" customHeight="1">
      <c r="A1214" s="103"/>
      <c r="B1214" s="103"/>
      <c r="C1214" s="104" t="e">
        <v>#REF!</v>
      </c>
      <c r="D1214" s="103"/>
      <c r="E1214" s="53"/>
      <c r="F1214" s="53"/>
      <c r="G1214" s="53"/>
      <c r="H1214" s="53"/>
      <c r="I1214" s="53"/>
      <c r="J1214" s="53"/>
      <c r="K1214" s="53"/>
      <c r="L1214" s="53"/>
      <c r="M1214" s="53"/>
      <c r="N1214" s="53"/>
      <c r="O1214" s="53"/>
      <c r="P1214" s="53"/>
      <c r="Q1214" s="53"/>
      <c r="R1214" s="53"/>
      <c r="S1214" s="53"/>
      <c r="T1214" s="53"/>
      <c r="U1214" s="53"/>
      <c r="V1214" s="53"/>
      <c r="W1214" s="53"/>
      <c r="X1214" s="53"/>
      <c r="Y1214" s="53"/>
      <c r="Z1214" s="53"/>
    </row>
    <row r="1215" spans="1:26" ht="15.75" customHeight="1">
      <c r="A1215" s="103"/>
      <c r="B1215" s="103"/>
      <c r="C1215" s="104" t="e">
        <v>#REF!</v>
      </c>
      <c r="D1215" s="103"/>
      <c r="E1215" s="53"/>
      <c r="F1215" s="53"/>
      <c r="G1215" s="53"/>
      <c r="H1215" s="53"/>
      <c r="I1215" s="53"/>
      <c r="J1215" s="53"/>
      <c r="K1215" s="53"/>
      <c r="L1215" s="53"/>
      <c r="M1215" s="53"/>
      <c r="N1215" s="53"/>
      <c r="O1215" s="53"/>
      <c r="P1215" s="53"/>
      <c r="Q1215" s="53"/>
      <c r="R1215" s="53"/>
      <c r="S1215" s="53"/>
      <c r="T1215" s="53"/>
      <c r="U1215" s="53"/>
      <c r="V1215" s="53"/>
      <c r="W1215" s="53"/>
      <c r="X1215" s="53"/>
      <c r="Y1215" s="53"/>
      <c r="Z1215" s="53"/>
    </row>
    <row r="1216" spans="1:26" ht="15.75" customHeight="1">
      <c r="A1216" s="103"/>
      <c r="B1216" s="103"/>
      <c r="C1216" s="104" t="e">
        <v>#REF!</v>
      </c>
      <c r="D1216" s="103"/>
      <c r="E1216" s="53"/>
      <c r="F1216" s="53"/>
      <c r="G1216" s="53"/>
      <c r="H1216" s="53"/>
      <c r="I1216" s="53"/>
      <c r="J1216" s="53"/>
      <c r="K1216" s="53"/>
      <c r="L1216" s="53"/>
      <c r="M1216" s="53"/>
      <c r="N1216" s="53"/>
      <c r="O1216" s="53"/>
      <c r="P1216" s="53"/>
      <c r="Q1216" s="53"/>
      <c r="R1216" s="53"/>
      <c r="S1216" s="53"/>
      <c r="T1216" s="53"/>
      <c r="U1216" s="53"/>
      <c r="V1216" s="53"/>
      <c r="W1216" s="53"/>
      <c r="X1216" s="53"/>
      <c r="Y1216" s="53"/>
      <c r="Z1216" s="53"/>
    </row>
    <row r="1217" spans="1:26" ht="15.75" customHeight="1">
      <c r="A1217" s="103"/>
      <c r="B1217" s="103"/>
      <c r="C1217" s="104" t="e">
        <v>#REF!</v>
      </c>
      <c r="D1217" s="103"/>
      <c r="E1217" s="53"/>
      <c r="F1217" s="53"/>
      <c r="G1217" s="53"/>
      <c r="H1217" s="53"/>
      <c r="I1217" s="53"/>
      <c r="J1217" s="53"/>
      <c r="K1217" s="53"/>
      <c r="L1217" s="53"/>
      <c r="M1217" s="53"/>
      <c r="N1217" s="53"/>
      <c r="O1217" s="53"/>
      <c r="P1217" s="53"/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</row>
    <row r="1218" spans="1:26" ht="15.75" customHeight="1">
      <c r="A1218" s="103"/>
      <c r="B1218" s="103"/>
      <c r="C1218" s="104" t="e">
        <v>#REF!</v>
      </c>
      <c r="D1218" s="103"/>
      <c r="E1218" s="53"/>
      <c r="F1218" s="53"/>
      <c r="G1218" s="53"/>
      <c r="H1218" s="53"/>
      <c r="I1218" s="53"/>
      <c r="J1218" s="53"/>
      <c r="K1218" s="53"/>
      <c r="L1218" s="53"/>
      <c r="M1218" s="53"/>
      <c r="N1218" s="53"/>
      <c r="O1218" s="53"/>
      <c r="P1218" s="53"/>
      <c r="Q1218" s="53"/>
      <c r="R1218" s="53"/>
      <c r="S1218" s="53"/>
      <c r="T1218" s="53"/>
      <c r="U1218" s="53"/>
      <c r="V1218" s="53"/>
      <c r="W1218" s="53"/>
      <c r="X1218" s="53"/>
      <c r="Y1218" s="53"/>
      <c r="Z1218" s="53"/>
    </row>
    <row r="1219" spans="1:26" ht="15.75" customHeight="1">
      <c r="A1219" s="103"/>
      <c r="B1219" s="103"/>
      <c r="C1219" s="104" t="e">
        <v>#REF!</v>
      </c>
      <c r="D1219" s="103"/>
      <c r="E1219" s="53"/>
      <c r="F1219" s="53"/>
      <c r="G1219" s="53"/>
      <c r="H1219" s="53"/>
      <c r="I1219" s="53"/>
      <c r="J1219" s="53"/>
      <c r="K1219" s="53"/>
      <c r="L1219" s="53"/>
      <c r="M1219" s="53"/>
      <c r="N1219" s="53"/>
      <c r="O1219" s="53"/>
      <c r="P1219" s="53"/>
      <c r="Q1219" s="53"/>
      <c r="R1219" s="53"/>
      <c r="S1219" s="53"/>
      <c r="T1219" s="53"/>
      <c r="U1219" s="53"/>
      <c r="V1219" s="53"/>
      <c r="W1219" s="53"/>
      <c r="X1219" s="53"/>
      <c r="Y1219" s="53"/>
      <c r="Z1219" s="53"/>
    </row>
    <row r="1220" spans="1:26" ht="15.75" customHeight="1">
      <c r="A1220" s="103"/>
      <c r="B1220" s="103"/>
      <c r="C1220" s="104" t="e">
        <v>#REF!</v>
      </c>
      <c r="D1220" s="103"/>
      <c r="E1220" s="53"/>
      <c r="F1220" s="53"/>
      <c r="G1220" s="53"/>
      <c r="H1220" s="53"/>
      <c r="I1220" s="53"/>
      <c r="J1220" s="53"/>
      <c r="K1220" s="53"/>
      <c r="L1220" s="53"/>
      <c r="M1220" s="53"/>
      <c r="N1220" s="53"/>
      <c r="O1220" s="53"/>
      <c r="P1220" s="53"/>
      <c r="Q1220" s="53"/>
      <c r="R1220" s="53"/>
      <c r="S1220" s="53"/>
      <c r="T1220" s="53"/>
      <c r="U1220" s="53"/>
      <c r="V1220" s="53"/>
      <c r="W1220" s="53"/>
      <c r="X1220" s="53"/>
      <c r="Y1220" s="53"/>
      <c r="Z1220" s="53"/>
    </row>
    <row r="1221" spans="1:26" ht="15.75" customHeight="1">
      <c r="A1221" s="103"/>
      <c r="B1221" s="103"/>
      <c r="C1221" s="104" t="e">
        <v>#REF!</v>
      </c>
      <c r="D1221" s="103"/>
      <c r="E1221" s="53"/>
      <c r="F1221" s="53"/>
      <c r="G1221" s="53"/>
      <c r="H1221" s="53"/>
      <c r="I1221" s="53"/>
      <c r="J1221" s="53"/>
      <c r="K1221" s="53"/>
      <c r="L1221" s="53"/>
      <c r="M1221" s="53"/>
      <c r="N1221" s="53"/>
      <c r="O1221" s="53"/>
      <c r="P1221" s="53"/>
      <c r="Q1221" s="53"/>
      <c r="R1221" s="53"/>
      <c r="S1221" s="53"/>
      <c r="T1221" s="53"/>
      <c r="U1221" s="53"/>
      <c r="V1221" s="53"/>
      <c r="W1221" s="53"/>
      <c r="X1221" s="53"/>
      <c r="Y1221" s="53"/>
      <c r="Z1221" s="53"/>
    </row>
    <row r="1222" spans="1:26" ht="15.75" customHeight="1">
      <c r="A1222" s="103"/>
      <c r="B1222" s="103"/>
      <c r="C1222" s="104" t="e">
        <v>#REF!</v>
      </c>
      <c r="D1222" s="103"/>
      <c r="E1222" s="53"/>
      <c r="F1222" s="53"/>
      <c r="G1222" s="53"/>
      <c r="H1222" s="53"/>
      <c r="I1222" s="53"/>
      <c r="J1222" s="53"/>
      <c r="K1222" s="53"/>
      <c r="L1222" s="53"/>
      <c r="M1222" s="53"/>
      <c r="N1222" s="53"/>
      <c r="O1222" s="53"/>
      <c r="P1222" s="53"/>
      <c r="Q1222" s="53"/>
      <c r="R1222" s="53"/>
      <c r="S1222" s="53"/>
      <c r="T1222" s="53"/>
      <c r="U1222" s="53"/>
      <c r="V1222" s="53"/>
      <c r="W1222" s="53"/>
      <c r="X1222" s="53"/>
      <c r="Y1222" s="53"/>
      <c r="Z1222" s="53"/>
    </row>
    <row r="1223" spans="1:26" ht="15.75" customHeight="1">
      <c r="A1223" s="103"/>
      <c r="B1223" s="103"/>
      <c r="C1223" s="104" t="e">
        <v>#REF!</v>
      </c>
      <c r="D1223" s="103"/>
      <c r="E1223" s="53"/>
      <c r="F1223" s="53"/>
      <c r="G1223" s="53"/>
      <c r="H1223" s="53"/>
      <c r="I1223" s="53"/>
      <c r="J1223" s="53"/>
      <c r="K1223" s="53"/>
      <c r="L1223" s="53"/>
      <c r="M1223" s="53"/>
      <c r="N1223" s="53"/>
      <c r="O1223" s="53"/>
      <c r="P1223" s="53"/>
      <c r="Q1223" s="53"/>
      <c r="R1223" s="53"/>
      <c r="S1223" s="53"/>
      <c r="T1223" s="53"/>
      <c r="U1223" s="53"/>
      <c r="V1223" s="53"/>
      <c r="W1223" s="53"/>
      <c r="X1223" s="53"/>
      <c r="Y1223" s="53"/>
      <c r="Z1223" s="53"/>
    </row>
    <row r="1224" spans="1:26" ht="15.75" customHeight="1">
      <c r="A1224" s="103"/>
      <c r="B1224" s="103"/>
      <c r="C1224" s="104" t="e">
        <v>#REF!</v>
      </c>
      <c r="D1224" s="103"/>
      <c r="E1224" s="53"/>
      <c r="F1224" s="53"/>
      <c r="G1224" s="53"/>
      <c r="H1224" s="53"/>
      <c r="I1224" s="53"/>
      <c r="J1224" s="53"/>
      <c r="K1224" s="53"/>
      <c r="L1224" s="53"/>
      <c r="M1224" s="53"/>
      <c r="N1224" s="53"/>
      <c r="O1224" s="53"/>
      <c r="P1224" s="53"/>
      <c r="Q1224" s="53"/>
      <c r="R1224" s="53"/>
      <c r="S1224" s="53"/>
      <c r="T1224" s="53"/>
      <c r="U1224" s="53"/>
      <c r="V1224" s="53"/>
      <c r="W1224" s="53"/>
      <c r="X1224" s="53"/>
      <c r="Y1224" s="53"/>
      <c r="Z1224" s="53"/>
    </row>
    <row r="1225" spans="1:26" ht="15.75" customHeight="1">
      <c r="A1225" s="103"/>
      <c r="B1225" s="103"/>
      <c r="C1225" s="104" t="e">
        <v>#REF!</v>
      </c>
      <c r="D1225" s="103"/>
      <c r="E1225" s="53"/>
      <c r="F1225" s="53"/>
      <c r="G1225" s="53"/>
      <c r="H1225" s="53"/>
      <c r="I1225" s="53"/>
      <c r="J1225" s="53"/>
      <c r="K1225" s="53"/>
      <c r="L1225" s="53"/>
      <c r="M1225" s="53"/>
      <c r="N1225" s="53"/>
      <c r="O1225" s="53"/>
      <c r="P1225" s="53"/>
      <c r="Q1225" s="53"/>
      <c r="R1225" s="53"/>
      <c r="S1225" s="53"/>
      <c r="T1225" s="53"/>
      <c r="U1225" s="53"/>
      <c r="V1225" s="53"/>
      <c r="W1225" s="53"/>
      <c r="X1225" s="53"/>
      <c r="Y1225" s="53"/>
      <c r="Z1225" s="53"/>
    </row>
    <row r="1226" spans="1:26" ht="15.75" customHeight="1">
      <c r="A1226" s="103"/>
      <c r="B1226" s="103"/>
      <c r="C1226" s="104" t="e">
        <v>#REF!</v>
      </c>
      <c r="D1226" s="103"/>
      <c r="E1226" s="53"/>
      <c r="F1226" s="53"/>
      <c r="G1226" s="53"/>
      <c r="H1226" s="53"/>
      <c r="I1226" s="53"/>
      <c r="J1226" s="53"/>
      <c r="K1226" s="53"/>
      <c r="L1226" s="53"/>
      <c r="M1226" s="53"/>
      <c r="N1226" s="53"/>
      <c r="O1226" s="53"/>
      <c r="P1226" s="53"/>
      <c r="Q1226" s="53"/>
      <c r="R1226" s="53"/>
      <c r="S1226" s="53"/>
      <c r="T1226" s="53"/>
      <c r="U1226" s="53"/>
      <c r="V1226" s="53"/>
      <c r="W1226" s="53"/>
      <c r="X1226" s="53"/>
      <c r="Y1226" s="53"/>
      <c r="Z1226" s="53"/>
    </row>
    <row r="1227" spans="1:26" ht="15.75" customHeight="1">
      <c r="A1227" s="103"/>
      <c r="B1227" s="103"/>
      <c r="C1227" s="104" t="e">
        <v>#REF!</v>
      </c>
      <c r="D1227" s="103"/>
      <c r="E1227" s="53"/>
      <c r="F1227" s="53"/>
      <c r="G1227" s="53"/>
      <c r="H1227" s="53"/>
      <c r="I1227" s="53"/>
      <c r="J1227" s="53"/>
      <c r="K1227" s="53"/>
      <c r="L1227" s="53"/>
      <c r="M1227" s="53"/>
      <c r="N1227" s="53"/>
      <c r="O1227" s="53"/>
      <c r="P1227" s="53"/>
      <c r="Q1227" s="53"/>
      <c r="R1227" s="53"/>
      <c r="S1227" s="53"/>
      <c r="T1227" s="53"/>
      <c r="U1227" s="53"/>
      <c r="V1227" s="53"/>
      <c r="W1227" s="53"/>
      <c r="X1227" s="53"/>
      <c r="Y1227" s="53"/>
      <c r="Z1227" s="53"/>
    </row>
    <row r="1228" spans="1:26" ht="15.75" customHeight="1">
      <c r="A1228" s="103"/>
      <c r="B1228" s="103"/>
      <c r="C1228" s="104" t="e">
        <v>#REF!</v>
      </c>
      <c r="D1228" s="103"/>
      <c r="E1228" s="53"/>
      <c r="F1228" s="53"/>
      <c r="G1228" s="53"/>
      <c r="H1228" s="53"/>
      <c r="I1228" s="53"/>
      <c r="J1228" s="53"/>
      <c r="K1228" s="53"/>
      <c r="L1228" s="53"/>
      <c r="M1228" s="53"/>
      <c r="N1228" s="53"/>
      <c r="O1228" s="53"/>
      <c r="P1228" s="53"/>
      <c r="Q1228" s="53"/>
      <c r="R1228" s="53"/>
      <c r="S1228" s="53"/>
      <c r="T1228" s="53"/>
      <c r="U1228" s="53"/>
      <c r="V1228" s="53"/>
      <c r="W1228" s="53"/>
      <c r="X1228" s="53"/>
      <c r="Y1228" s="53"/>
      <c r="Z1228" s="53"/>
    </row>
    <row r="1229" spans="1:26" ht="15.75" customHeight="1">
      <c r="A1229" s="103"/>
      <c r="B1229" s="103"/>
      <c r="C1229" s="104" t="e">
        <v>#REF!</v>
      </c>
      <c r="D1229" s="103"/>
      <c r="E1229" s="53"/>
      <c r="F1229" s="53"/>
      <c r="G1229" s="53"/>
      <c r="H1229" s="53"/>
      <c r="I1229" s="53"/>
      <c r="J1229" s="53"/>
      <c r="K1229" s="53"/>
      <c r="L1229" s="53"/>
      <c r="M1229" s="53"/>
      <c r="N1229" s="53"/>
      <c r="O1229" s="53"/>
      <c r="P1229" s="53"/>
      <c r="Q1229" s="53"/>
      <c r="R1229" s="53"/>
      <c r="S1229" s="53"/>
      <c r="T1229" s="53"/>
      <c r="U1229" s="53"/>
      <c r="V1229" s="53"/>
      <c r="W1229" s="53"/>
      <c r="X1229" s="53"/>
      <c r="Y1229" s="53"/>
      <c r="Z1229" s="53"/>
    </row>
    <row r="1230" spans="1:26" ht="15.75" customHeight="1">
      <c r="A1230" s="103"/>
      <c r="B1230" s="103"/>
      <c r="C1230" s="104" t="e">
        <v>#REF!</v>
      </c>
      <c r="D1230" s="103"/>
      <c r="E1230" s="53"/>
      <c r="F1230" s="53"/>
      <c r="G1230" s="53"/>
      <c r="H1230" s="53"/>
      <c r="I1230" s="53"/>
      <c r="J1230" s="53"/>
      <c r="K1230" s="53"/>
      <c r="L1230" s="53"/>
      <c r="M1230" s="53"/>
      <c r="N1230" s="53"/>
      <c r="O1230" s="53"/>
      <c r="P1230" s="53"/>
      <c r="Q1230" s="53"/>
      <c r="R1230" s="53"/>
      <c r="S1230" s="53"/>
      <c r="T1230" s="53"/>
      <c r="U1230" s="53"/>
      <c r="V1230" s="53"/>
      <c r="W1230" s="53"/>
      <c r="X1230" s="53"/>
      <c r="Y1230" s="53"/>
      <c r="Z1230" s="53"/>
    </row>
    <row r="1231" spans="1:26" ht="15.75" customHeight="1">
      <c r="A1231" s="103"/>
      <c r="B1231" s="103"/>
      <c r="C1231" s="104" t="e">
        <v>#REF!</v>
      </c>
      <c r="D1231" s="103"/>
      <c r="E1231" s="53"/>
      <c r="F1231" s="53"/>
      <c r="G1231" s="53"/>
      <c r="H1231" s="53"/>
      <c r="I1231" s="53"/>
      <c r="J1231" s="53"/>
      <c r="K1231" s="53"/>
      <c r="L1231" s="53"/>
      <c r="M1231" s="53"/>
      <c r="N1231" s="53"/>
      <c r="O1231" s="53"/>
      <c r="P1231" s="53"/>
      <c r="Q1231" s="53"/>
      <c r="R1231" s="53"/>
      <c r="S1231" s="53"/>
      <c r="T1231" s="53"/>
      <c r="U1231" s="53"/>
      <c r="V1231" s="53"/>
      <c r="W1231" s="53"/>
      <c r="X1231" s="53"/>
      <c r="Y1231" s="53"/>
      <c r="Z1231" s="53"/>
    </row>
    <row r="1232" spans="1:26" ht="15.75" customHeight="1">
      <c r="A1232" s="103"/>
      <c r="B1232" s="103"/>
      <c r="C1232" s="104" t="e">
        <v>#REF!</v>
      </c>
      <c r="D1232" s="103"/>
      <c r="E1232" s="53"/>
      <c r="F1232" s="53"/>
      <c r="G1232" s="53"/>
      <c r="H1232" s="53"/>
      <c r="I1232" s="53"/>
      <c r="J1232" s="53"/>
      <c r="K1232" s="53"/>
      <c r="L1232" s="53"/>
      <c r="M1232" s="53"/>
      <c r="N1232" s="53"/>
      <c r="O1232" s="53"/>
      <c r="P1232" s="53"/>
      <c r="Q1232" s="53"/>
      <c r="R1232" s="53"/>
      <c r="S1232" s="53"/>
      <c r="T1232" s="53"/>
      <c r="U1232" s="53"/>
      <c r="V1232" s="53"/>
      <c r="W1232" s="53"/>
      <c r="X1232" s="53"/>
      <c r="Y1232" s="53"/>
      <c r="Z1232" s="53"/>
    </row>
    <row r="1233" spans="1:26" ht="15.75" customHeight="1">
      <c r="A1233" s="103"/>
      <c r="B1233" s="103"/>
      <c r="C1233" s="104" t="e">
        <v>#REF!</v>
      </c>
      <c r="D1233" s="103"/>
      <c r="E1233" s="53"/>
      <c r="F1233" s="53"/>
      <c r="G1233" s="53"/>
      <c r="H1233" s="53"/>
      <c r="I1233" s="53"/>
      <c r="J1233" s="53"/>
      <c r="K1233" s="53"/>
      <c r="L1233" s="53"/>
      <c r="M1233" s="53"/>
      <c r="N1233" s="53"/>
      <c r="O1233" s="53"/>
      <c r="P1233" s="53"/>
      <c r="Q1233" s="53"/>
      <c r="R1233" s="53"/>
      <c r="S1233" s="53"/>
      <c r="T1233" s="53"/>
      <c r="U1233" s="53"/>
      <c r="V1233" s="53"/>
      <c r="W1233" s="53"/>
      <c r="X1233" s="53"/>
      <c r="Y1233" s="53"/>
      <c r="Z1233" s="53"/>
    </row>
    <row r="1234" spans="1:26" ht="15.75" customHeight="1">
      <c r="A1234" s="103"/>
      <c r="B1234" s="103"/>
      <c r="C1234" s="104" t="e">
        <v>#REF!</v>
      </c>
      <c r="D1234" s="103"/>
      <c r="E1234" s="53"/>
      <c r="F1234" s="53"/>
      <c r="G1234" s="53"/>
      <c r="H1234" s="53"/>
      <c r="I1234" s="53"/>
      <c r="J1234" s="53"/>
      <c r="K1234" s="53"/>
      <c r="L1234" s="53"/>
      <c r="M1234" s="53"/>
      <c r="N1234" s="53"/>
      <c r="O1234" s="53"/>
      <c r="P1234" s="53"/>
      <c r="Q1234" s="53"/>
      <c r="R1234" s="53"/>
      <c r="S1234" s="53"/>
      <c r="T1234" s="53"/>
      <c r="U1234" s="53"/>
      <c r="V1234" s="53"/>
      <c r="W1234" s="53"/>
      <c r="X1234" s="53"/>
      <c r="Y1234" s="53"/>
      <c r="Z1234" s="53"/>
    </row>
    <row r="1235" spans="1:26" ht="15.75" customHeight="1">
      <c r="A1235" s="103"/>
      <c r="B1235" s="103"/>
      <c r="C1235" s="104" t="e">
        <v>#REF!</v>
      </c>
      <c r="D1235" s="103"/>
      <c r="E1235" s="53"/>
      <c r="F1235" s="53"/>
      <c r="G1235" s="53"/>
      <c r="H1235" s="53"/>
      <c r="I1235" s="53"/>
      <c r="J1235" s="53"/>
      <c r="K1235" s="53"/>
      <c r="L1235" s="53"/>
      <c r="M1235" s="53"/>
      <c r="N1235" s="53"/>
      <c r="O1235" s="53"/>
      <c r="P1235" s="53"/>
      <c r="Q1235" s="53"/>
      <c r="R1235" s="53"/>
      <c r="S1235" s="53"/>
      <c r="T1235" s="53"/>
      <c r="U1235" s="53"/>
      <c r="V1235" s="53"/>
      <c r="W1235" s="53"/>
      <c r="X1235" s="53"/>
      <c r="Y1235" s="53"/>
      <c r="Z1235" s="53"/>
    </row>
    <row r="1236" spans="1:26" ht="15.75" customHeight="1">
      <c r="A1236" s="103"/>
      <c r="B1236" s="103"/>
      <c r="C1236" s="104" t="e">
        <v>#REF!</v>
      </c>
      <c r="D1236" s="103"/>
      <c r="E1236" s="53"/>
      <c r="F1236" s="53"/>
      <c r="G1236" s="53"/>
      <c r="H1236" s="53"/>
      <c r="I1236" s="53"/>
      <c r="J1236" s="53"/>
      <c r="K1236" s="53"/>
      <c r="L1236" s="53"/>
      <c r="M1236" s="53"/>
      <c r="N1236" s="53"/>
      <c r="O1236" s="53"/>
      <c r="P1236" s="53"/>
      <c r="Q1236" s="53"/>
      <c r="R1236" s="53"/>
      <c r="S1236" s="53"/>
      <c r="T1236" s="53"/>
      <c r="U1236" s="53"/>
      <c r="V1236" s="53"/>
      <c r="W1236" s="53"/>
      <c r="X1236" s="53"/>
      <c r="Y1236" s="53"/>
      <c r="Z1236" s="53"/>
    </row>
    <row r="1237" spans="1:26" ht="15.75" customHeight="1">
      <c r="A1237" s="103"/>
      <c r="B1237" s="103"/>
      <c r="C1237" s="104" t="e">
        <v>#REF!</v>
      </c>
      <c r="D1237" s="103"/>
      <c r="E1237" s="53"/>
      <c r="F1237" s="53"/>
      <c r="G1237" s="53"/>
      <c r="H1237" s="53"/>
      <c r="I1237" s="53"/>
      <c r="J1237" s="53"/>
      <c r="K1237" s="53"/>
      <c r="L1237" s="53"/>
      <c r="M1237" s="53"/>
      <c r="N1237" s="53"/>
      <c r="O1237" s="53"/>
      <c r="P1237" s="53"/>
      <c r="Q1237" s="53"/>
      <c r="R1237" s="53"/>
      <c r="S1237" s="53"/>
      <c r="T1237" s="53"/>
      <c r="U1237" s="53"/>
      <c r="V1237" s="53"/>
      <c r="W1237" s="53"/>
      <c r="X1237" s="53"/>
      <c r="Y1237" s="53"/>
      <c r="Z1237" s="53"/>
    </row>
    <row r="1238" spans="1:26" ht="15.75" customHeight="1">
      <c r="A1238" s="103"/>
      <c r="B1238" s="103"/>
      <c r="C1238" s="104" t="e">
        <v>#REF!</v>
      </c>
      <c r="D1238" s="103"/>
      <c r="E1238" s="53"/>
      <c r="F1238" s="53"/>
      <c r="G1238" s="53"/>
      <c r="H1238" s="53"/>
      <c r="I1238" s="53"/>
      <c r="J1238" s="53"/>
      <c r="K1238" s="53"/>
      <c r="L1238" s="53"/>
      <c r="M1238" s="53"/>
      <c r="N1238" s="53"/>
      <c r="O1238" s="53"/>
      <c r="P1238" s="53"/>
      <c r="Q1238" s="53"/>
      <c r="R1238" s="53"/>
      <c r="S1238" s="53"/>
      <c r="T1238" s="53"/>
      <c r="U1238" s="53"/>
      <c r="V1238" s="53"/>
      <c r="W1238" s="53"/>
      <c r="X1238" s="53"/>
      <c r="Y1238" s="53"/>
      <c r="Z1238" s="53"/>
    </row>
    <row r="1239" spans="1:26" ht="15.75" customHeight="1">
      <c r="A1239" s="103"/>
      <c r="B1239" s="103"/>
      <c r="C1239" s="104" t="e">
        <v>#REF!</v>
      </c>
      <c r="D1239" s="103"/>
      <c r="E1239" s="53"/>
      <c r="F1239" s="53"/>
      <c r="G1239" s="53"/>
      <c r="H1239" s="53"/>
      <c r="I1239" s="53"/>
      <c r="J1239" s="53"/>
      <c r="K1239" s="53"/>
      <c r="L1239" s="53"/>
      <c r="M1239" s="53"/>
      <c r="N1239" s="53"/>
      <c r="O1239" s="53"/>
      <c r="P1239" s="53"/>
      <c r="Q1239" s="53"/>
      <c r="R1239" s="53"/>
      <c r="S1239" s="53"/>
      <c r="T1239" s="53"/>
      <c r="U1239" s="53"/>
      <c r="V1239" s="53"/>
      <c r="W1239" s="53"/>
      <c r="X1239" s="53"/>
      <c r="Y1239" s="53"/>
      <c r="Z1239" s="53"/>
    </row>
    <row r="1240" spans="1:26" ht="15.75" customHeight="1">
      <c r="A1240" s="103"/>
      <c r="B1240" s="103"/>
      <c r="C1240" s="104" t="e">
        <v>#REF!</v>
      </c>
      <c r="D1240" s="103"/>
      <c r="E1240" s="53"/>
      <c r="F1240" s="53"/>
      <c r="G1240" s="53"/>
      <c r="H1240" s="53"/>
      <c r="I1240" s="53"/>
      <c r="J1240" s="53"/>
      <c r="K1240" s="53"/>
      <c r="L1240" s="53"/>
      <c r="M1240" s="53"/>
      <c r="N1240" s="53"/>
      <c r="O1240" s="53"/>
      <c r="P1240" s="53"/>
      <c r="Q1240" s="53"/>
      <c r="R1240" s="53"/>
      <c r="S1240" s="53"/>
      <c r="T1240" s="53"/>
      <c r="U1240" s="53"/>
      <c r="V1240" s="53"/>
      <c r="W1240" s="53"/>
      <c r="X1240" s="53"/>
      <c r="Y1240" s="53"/>
      <c r="Z1240" s="53"/>
    </row>
    <row r="1241" spans="1:26" ht="15.75" customHeight="1">
      <c r="A1241" s="103"/>
      <c r="B1241" s="103"/>
      <c r="C1241" s="104" t="e">
        <v>#REF!</v>
      </c>
      <c r="D1241" s="103"/>
      <c r="E1241" s="53"/>
      <c r="F1241" s="53"/>
      <c r="G1241" s="53"/>
      <c r="H1241" s="53"/>
      <c r="I1241" s="53"/>
      <c r="J1241" s="53"/>
      <c r="K1241" s="53"/>
      <c r="L1241" s="53"/>
      <c r="M1241" s="53"/>
      <c r="N1241" s="53"/>
      <c r="O1241" s="53"/>
      <c r="P1241" s="53"/>
      <c r="Q1241" s="53"/>
      <c r="R1241" s="53"/>
      <c r="S1241" s="53"/>
      <c r="T1241" s="53"/>
      <c r="U1241" s="53"/>
      <c r="V1241" s="53"/>
      <c r="W1241" s="53"/>
      <c r="X1241" s="53"/>
      <c r="Y1241" s="53"/>
      <c r="Z1241" s="53"/>
    </row>
    <row r="1242" spans="1:26" ht="15.75" customHeight="1">
      <c r="A1242" s="103"/>
      <c r="B1242" s="103"/>
      <c r="C1242" s="104" t="e">
        <v>#REF!</v>
      </c>
      <c r="D1242" s="103"/>
      <c r="E1242" s="53"/>
      <c r="F1242" s="53"/>
      <c r="G1242" s="53"/>
      <c r="H1242" s="53"/>
      <c r="I1242" s="53"/>
      <c r="J1242" s="53"/>
      <c r="K1242" s="53"/>
      <c r="L1242" s="53"/>
      <c r="M1242" s="53"/>
      <c r="N1242" s="53"/>
      <c r="O1242" s="53"/>
      <c r="P1242" s="53"/>
      <c r="Q1242" s="53"/>
      <c r="R1242" s="53"/>
      <c r="S1242" s="53"/>
      <c r="T1242" s="53"/>
      <c r="U1242" s="53"/>
      <c r="V1242" s="53"/>
      <c r="W1242" s="53"/>
      <c r="X1242" s="53"/>
      <c r="Y1242" s="53"/>
      <c r="Z1242" s="53"/>
    </row>
    <row r="1243" spans="1:26" ht="15.75" customHeight="1">
      <c r="A1243" s="103"/>
      <c r="B1243" s="103"/>
      <c r="C1243" s="104" t="e">
        <v>#REF!</v>
      </c>
      <c r="D1243" s="103"/>
      <c r="E1243" s="53"/>
      <c r="F1243" s="53"/>
      <c r="G1243" s="53"/>
      <c r="H1243" s="53"/>
      <c r="I1243" s="53"/>
      <c r="J1243" s="53"/>
      <c r="K1243" s="53"/>
      <c r="L1243" s="53"/>
      <c r="M1243" s="53"/>
      <c r="N1243" s="53"/>
      <c r="O1243" s="53"/>
      <c r="P1243" s="53"/>
      <c r="Q1243" s="53"/>
      <c r="R1243" s="53"/>
      <c r="S1243" s="53"/>
      <c r="T1243" s="53"/>
      <c r="U1243" s="53"/>
      <c r="V1243" s="53"/>
      <c r="W1243" s="53"/>
      <c r="X1243" s="53"/>
      <c r="Y1243" s="53"/>
      <c r="Z1243" s="53"/>
    </row>
    <row r="1244" spans="1:26" ht="15.75" customHeight="1">
      <c r="A1244" s="103"/>
      <c r="B1244" s="103"/>
      <c r="C1244" s="104" t="e">
        <v>#REF!</v>
      </c>
      <c r="D1244" s="103"/>
      <c r="E1244" s="53"/>
      <c r="F1244" s="53"/>
      <c r="G1244" s="53"/>
      <c r="H1244" s="53"/>
      <c r="I1244" s="53"/>
      <c r="J1244" s="53"/>
      <c r="K1244" s="53"/>
      <c r="L1244" s="53"/>
      <c r="M1244" s="53"/>
      <c r="N1244" s="53"/>
      <c r="O1244" s="53"/>
      <c r="P1244" s="53"/>
      <c r="Q1244" s="53"/>
      <c r="R1244" s="53"/>
      <c r="S1244" s="53"/>
      <c r="T1244" s="53"/>
      <c r="U1244" s="53"/>
      <c r="V1244" s="53"/>
      <c r="W1244" s="53"/>
      <c r="X1244" s="53"/>
      <c r="Y1244" s="53"/>
      <c r="Z1244" s="53"/>
    </row>
    <row r="1245" spans="1:26" ht="15.75" customHeight="1">
      <c r="A1245" s="103"/>
      <c r="B1245" s="103"/>
      <c r="C1245" s="104" t="e">
        <v>#REF!</v>
      </c>
      <c r="D1245" s="103"/>
      <c r="E1245" s="53"/>
      <c r="F1245" s="53"/>
      <c r="G1245" s="53"/>
      <c r="H1245" s="53"/>
      <c r="I1245" s="53"/>
      <c r="J1245" s="53"/>
      <c r="K1245" s="53"/>
      <c r="L1245" s="53"/>
      <c r="M1245" s="53"/>
      <c r="N1245" s="53"/>
      <c r="O1245" s="53"/>
      <c r="P1245" s="53"/>
      <c r="Q1245" s="53"/>
      <c r="R1245" s="53"/>
      <c r="S1245" s="53"/>
      <c r="T1245" s="53"/>
      <c r="U1245" s="53"/>
      <c r="V1245" s="53"/>
      <c r="W1245" s="53"/>
      <c r="X1245" s="53"/>
      <c r="Y1245" s="53"/>
      <c r="Z1245" s="53"/>
    </row>
    <row r="1246" spans="1:26" ht="15.75" customHeight="1">
      <c r="A1246" s="103"/>
      <c r="B1246" s="103"/>
      <c r="C1246" s="104" t="e">
        <v>#REF!</v>
      </c>
      <c r="D1246" s="103"/>
      <c r="E1246" s="53"/>
      <c r="F1246" s="53"/>
      <c r="G1246" s="53"/>
      <c r="H1246" s="53"/>
      <c r="I1246" s="53"/>
      <c r="J1246" s="53"/>
      <c r="K1246" s="53"/>
      <c r="L1246" s="53"/>
      <c r="M1246" s="53"/>
      <c r="N1246" s="53"/>
      <c r="O1246" s="53"/>
      <c r="P1246" s="53"/>
      <c r="Q1246" s="53"/>
      <c r="R1246" s="53"/>
      <c r="S1246" s="53"/>
      <c r="T1246" s="53"/>
      <c r="U1246" s="53"/>
      <c r="V1246" s="53"/>
      <c r="W1246" s="53"/>
      <c r="X1246" s="53"/>
      <c r="Y1246" s="53"/>
      <c r="Z1246" s="53"/>
    </row>
    <row r="1247" spans="1:26" ht="15.75" customHeight="1">
      <c r="A1247" s="103"/>
      <c r="B1247" s="103"/>
      <c r="C1247" s="104" t="e">
        <v>#REF!</v>
      </c>
      <c r="D1247" s="103"/>
      <c r="E1247" s="53"/>
      <c r="F1247" s="53"/>
      <c r="G1247" s="53"/>
      <c r="H1247" s="53"/>
      <c r="I1247" s="53"/>
      <c r="J1247" s="53"/>
      <c r="K1247" s="53"/>
      <c r="L1247" s="53"/>
      <c r="M1247" s="53"/>
      <c r="N1247" s="53"/>
      <c r="O1247" s="53"/>
      <c r="P1247" s="53"/>
      <c r="Q1247" s="53"/>
      <c r="R1247" s="53"/>
      <c r="S1247" s="53"/>
      <c r="T1247" s="53"/>
      <c r="U1247" s="53"/>
      <c r="V1247" s="53"/>
      <c r="W1247" s="53"/>
      <c r="X1247" s="53"/>
      <c r="Y1247" s="53"/>
      <c r="Z1247" s="53"/>
    </row>
    <row r="1248" spans="1:26" ht="15.75" customHeight="1">
      <c r="A1248" s="103"/>
      <c r="B1248" s="103"/>
      <c r="C1248" s="104" t="e">
        <v>#REF!</v>
      </c>
      <c r="D1248" s="103"/>
      <c r="E1248" s="53"/>
      <c r="F1248" s="53"/>
      <c r="G1248" s="53"/>
      <c r="H1248" s="53"/>
      <c r="I1248" s="53"/>
      <c r="J1248" s="53"/>
      <c r="K1248" s="53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  <c r="W1248" s="53"/>
      <c r="X1248" s="53"/>
      <c r="Y1248" s="53"/>
      <c r="Z1248" s="53"/>
    </row>
    <row r="1249" spans="1:26" ht="15.75" customHeight="1">
      <c r="A1249" s="103"/>
      <c r="B1249" s="103"/>
      <c r="C1249" s="104" t="e">
        <v>#REF!</v>
      </c>
      <c r="D1249" s="103"/>
      <c r="E1249" s="53"/>
      <c r="F1249" s="53"/>
      <c r="G1249" s="53"/>
      <c r="H1249" s="53"/>
      <c r="I1249" s="53"/>
      <c r="J1249" s="53"/>
      <c r="K1249" s="53"/>
      <c r="L1249" s="53"/>
      <c r="M1249" s="53"/>
      <c r="N1249" s="53"/>
      <c r="O1249" s="53"/>
      <c r="P1249" s="53"/>
      <c r="Q1249" s="53"/>
      <c r="R1249" s="53"/>
      <c r="S1249" s="53"/>
      <c r="T1249" s="53"/>
      <c r="U1249" s="53"/>
      <c r="V1249" s="53"/>
      <c r="W1249" s="53"/>
      <c r="X1249" s="53"/>
      <c r="Y1249" s="53"/>
      <c r="Z1249" s="53"/>
    </row>
    <row r="1250" spans="1:26" ht="15.75" customHeight="1">
      <c r="A1250" s="103"/>
      <c r="B1250" s="103"/>
      <c r="C1250" s="104" t="e">
        <v>#REF!</v>
      </c>
      <c r="D1250" s="103"/>
      <c r="E1250" s="53"/>
      <c r="F1250" s="53"/>
      <c r="G1250" s="53"/>
      <c r="H1250" s="53"/>
      <c r="I1250" s="53"/>
      <c r="J1250" s="53"/>
      <c r="K1250" s="53"/>
      <c r="L1250" s="53"/>
      <c r="M1250" s="53"/>
      <c r="N1250" s="53"/>
      <c r="O1250" s="53"/>
      <c r="P1250" s="53"/>
      <c r="Q1250" s="53"/>
      <c r="R1250" s="53"/>
      <c r="S1250" s="53"/>
      <c r="T1250" s="53"/>
      <c r="U1250" s="53"/>
      <c r="V1250" s="53"/>
      <c r="W1250" s="53"/>
      <c r="X1250" s="53"/>
      <c r="Y1250" s="53"/>
      <c r="Z1250" s="53"/>
    </row>
    <row r="1251" spans="1:26" ht="15.75" customHeight="1">
      <c r="A1251" s="103"/>
      <c r="B1251" s="103"/>
      <c r="C1251" s="104" t="e">
        <v>#REF!</v>
      </c>
      <c r="D1251" s="103"/>
      <c r="E1251" s="53"/>
      <c r="F1251" s="53"/>
      <c r="G1251" s="53"/>
      <c r="H1251" s="53"/>
      <c r="I1251" s="53"/>
      <c r="J1251" s="53"/>
      <c r="K1251" s="53"/>
      <c r="L1251" s="53"/>
      <c r="M1251" s="53"/>
      <c r="N1251" s="53"/>
      <c r="O1251" s="53"/>
      <c r="P1251" s="53"/>
      <c r="Q1251" s="53"/>
      <c r="R1251" s="53"/>
      <c r="S1251" s="53"/>
      <c r="T1251" s="53"/>
      <c r="U1251" s="53"/>
      <c r="V1251" s="53"/>
      <c r="W1251" s="53"/>
      <c r="X1251" s="53"/>
      <c r="Y1251" s="53"/>
      <c r="Z1251" s="53"/>
    </row>
    <row r="1252" spans="1:26" ht="15.75" customHeight="1">
      <c r="A1252" s="103"/>
      <c r="B1252" s="103"/>
      <c r="C1252" s="104" t="e">
        <v>#REF!</v>
      </c>
      <c r="D1252" s="103"/>
      <c r="E1252" s="53"/>
      <c r="F1252" s="53"/>
      <c r="G1252" s="53"/>
      <c r="H1252" s="53"/>
      <c r="I1252" s="53"/>
      <c r="J1252" s="53"/>
      <c r="K1252" s="53"/>
      <c r="L1252" s="53"/>
      <c r="M1252" s="53"/>
      <c r="N1252" s="53"/>
      <c r="O1252" s="53"/>
      <c r="P1252" s="53"/>
      <c r="Q1252" s="53"/>
      <c r="R1252" s="53"/>
      <c r="S1252" s="53"/>
      <c r="T1252" s="53"/>
      <c r="U1252" s="53"/>
      <c r="V1252" s="53"/>
      <c r="W1252" s="53"/>
      <c r="X1252" s="53"/>
      <c r="Y1252" s="53"/>
      <c r="Z1252" s="53"/>
    </row>
    <row r="1253" spans="1:26" ht="15.75" customHeight="1">
      <c r="A1253" s="103"/>
      <c r="B1253" s="103"/>
      <c r="C1253" s="104" t="e">
        <v>#REF!</v>
      </c>
      <c r="D1253" s="103"/>
      <c r="E1253" s="53"/>
      <c r="F1253" s="53"/>
      <c r="G1253" s="53"/>
      <c r="H1253" s="53"/>
      <c r="I1253" s="53"/>
      <c r="J1253" s="53"/>
      <c r="K1253" s="53"/>
      <c r="L1253" s="53"/>
      <c r="M1253" s="53"/>
      <c r="N1253" s="53"/>
      <c r="O1253" s="53"/>
      <c r="P1253" s="53"/>
      <c r="Q1253" s="53"/>
      <c r="R1253" s="53"/>
      <c r="S1253" s="53"/>
      <c r="T1253" s="53"/>
      <c r="U1253" s="53"/>
      <c r="V1253" s="53"/>
      <c r="W1253" s="53"/>
      <c r="X1253" s="53"/>
      <c r="Y1253" s="53"/>
      <c r="Z1253" s="53"/>
    </row>
    <row r="1254" spans="1:26" ht="15.75" customHeight="1">
      <c r="A1254" s="103"/>
      <c r="B1254" s="103"/>
      <c r="C1254" s="104" t="e">
        <v>#REF!</v>
      </c>
      <c r="D1254" s="103"/>
      <c r="E1254" s="53"/>
      <c r="F1254" s="53"/>
      <c r="G1254" s="53"/>
      <c r="H1254" s="53"/>
      <c r="I1254" s="53"/>
      <c r="J1254" s="53"/>
      <c r="K1254" s="53"/>
      <c r="L1254" s="53"/>
      <c r="M1254" s="53"/>
      <c r="N1254" s="53"/>
      <c r="O1254" s="53"/>
      <c r="P1254" s="53"/>
      <c r="Q1254" s="53"/>
      <c r="R1254" s="53"/>
      <c r="S1254" s="53"/>
      <c r="T1254" s="53"/>
      <c r="U1254" s="53"/>
      <c r="V1254" s="53"/>
      <c r="W1254" s="53"/>
      <c r="X1254" s="53"/>
      <c r="Y1254" s="53"/>
      <c r="Z1254" s="53"/>
    </row>
    <row r="1255" spans="1:26" ht="15.75" customHeight="1">
      <c r="A1255" s="103"/>
      <c r="B1255" s="103"/>
      <c r="C1255" s="104" t="e">
        <v>#REF!</v>
      </c>
      <c r="D1255" s="10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</row>
    <row r="1256" spans="1:26" ht="15.75" customHeight="1">
      <c r="A1256" s="103"/>
      <c r="B1256" s="103"/>
      <c r="C1256" s="104" t="e">
        <v>#REF!</v>
      </c>
      <c r="D1256" s="103"/>
      <c r="E1256" s="53"/>
      <c r="F1256" s="53"/>
      <c r="G1256" s="53"/>
      <c r="H1256" s="53"/>
      <c r="I1256" s="53"/>
      <c r="J1256" s="53"/>
      <c r="K1256" s="53"/>
      <c r="L1256" s="53"/>
      <c r="M1256" s="53"/>
      <c r="N1256" s="53"/>
      <c r="O1256" s="53"/>
      <c r="P1256" s="53"/>
      <c r="Q1256" s="53"/>
      <c r="R1256" s="53"/>
      <c r="S1256" s="53"/>
      <c r="T1256" s="53"/>
      <c r="U1256" s="53"/>
      <c r="V1256" s="53"/>
      <c r="W1256" s="53"/>
      <c r="X1256" s="53"/>
      <c r="Y1256" s="53"/>
      <c r="Z1256" s="53"/>
    </row>
    <row r="1257" spans="1:26" ht="15.75" customHeight="1">
      <c r="A1257" s="103"/>
      <c r="B1257" s="103"/>
      <c r="C1257" s="104" t="e">
        <v>#REF!</v>
      </c>
      <c r="D1257" s="103"/>
      <c r="E1257" s="53"/>
      <c r="F1257" s="53"/>
      <c r="G1257" s="53"/>
      <c r="H1257" s="53"/>
      <c r="I1257" s="53"/>
      <c r="J1257" s="53"/>
      <c r="K1257" s="53"/>
      <c r="L1257" s="53"/>
      <c r="M1257" s="53"/>
      <c r="N1257" s="53"/>
      <c r="O1257" s="53"/>
      <c r="P1257" s="53"/>
      <c r="Q1257" s="53"/>
      <c r="R1257" s="53"/>
      <c r="S1257" s="53"/>
      <c r="T1257" s="53"/>
      <c r="U1257" s="53"/>
      <c r="V1257" s="53"/>
      <c r="W1257" s="53"/>
      <c r="X1257" s="53"/>
      <c r="Y1257" s="53"/>
      <c r="Z1257" s="53"/>
    </row>
    <row r="1258" spans="1:26" ht="15.75" customHeight="1">
      <c r="A1258" s="103"/>
      <c r="B1258" s="103"/>
      <c r="C1258" s="104" t="e">
        <v>#REF!</v>
      </c>
      <c r="D1258" s="103"/>
      <c r="E1258" s="53"/>
      <c r="F1258" s="53"/>
      <c r="G1258" s="53"/>
      <c r="H1258" s="53"/>
      <c r="I1258" s="53"/>
      <c r="J1258" s="53"/>
      <c r="K1258" s="53"/>
      <c r="L1258" s="53"/>
      <c r="M1258" s="53"/>
      <c r="N1258" s="53"/>
      <c r="O1258" s="53"/>
      <c r="P1258" s="53"/>
      <c r="Q1258" s="53"/>
      <c r="R1258" s="53"/>
      <c r="S1258" s="53"/>
      <c r="T1258" s="53"/>
      <c r="U1258" s="53"/>
      <c r="V1258" s="53"/>
      <c r="W1258" s="53"/>
      <c r="X1258" s="53"/>
      <c r="Y1258" s="53"/>
      <c r="Z1258" s="53"/>
    </row>
    <row r="1259" spans="1:26" ht="15.75" customHeight="1">
      <c r="A1259" s="103"/>
      <c r="B1259" s="103"/>
      <c r="C1259" s="104" t="e">
        <v>#REF!</v>
      </c>
      <c r="D1259" s="103"/>
      <c r="E1259" s="53"/>
      <c r="F1259" s="53"/>
      <c r="G1259" s="53"/>
      <c r="H1259" s="53"/>
      <c r="I1259" s="53"/>
      <c r="J1259" s="53"/>
      <c r="K1259" s="53"/>
      <c r="L1259" s="53"/>
      <c r="M1259" s="53"/>
      <c r="N1259" s="53"/>
      <c r="O1259" s="53"/>
      <c r="P1259" s="53"/>
      <c r="Q1259" s="53"/>
      <c r="R1259" s="53"/>
      <c r="S1259" s="53"/>
      <c r="T1259" s="53"/>
      <c r="U1259" s="53"/>
      <c r="V1259" s="53"/>
      <c r="W1259" s="53"/>
      <c r="X1259" s="53"/>
      <c r="Y1259" s="53"/>
      <c r="Z1259" s="53"/>
    </row>
    <row r="1260" spans="1:26" ht="15.75" customHeight="1">
      <c r="A1260" s="103"/>
      <c r="B1260" s="103"/>
      <c r="C1260" s="104" t="e">
        <v>#REF!</v>
      </c>
      <c r="D1260" s="10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53"/>
      <c r="T1260" s="53"/>
      <c r="U1260" s="53"/>
      <c r="V1260" s="53"/>
      <c r="W1260" s="53"/>
      <c r="X1260" s="53"/>
      <c r="Y1260" s="53"/>
      <c r="Z1260" s="53"/>
    </row>
    <row r="1261" spans="1:26" ht="15.75" customHeight="1">
      <c r="A1261" s="103"/>
      <c r="B1261" s="103"/>
      <c r="C1261" s="104" t="e">
        <v>#REF!</v>
      </c>
      <c r="D1261" s="103"/>
      <c r="E1261" s="53"/>
      <c r="F1261" s="53"/>
      <c r="G1261" s="53"/>
      <c r="H1261" s="53"/>
      <c r="I1261" s="53"/>
      <c r="J1261" s="53"/>
      <c r="K1261" s="53"/>
      <c r="L1261" s="53"/>
      <c r="M1261" s="53"/>
      <c r="N1261" s="53"/>
      <c r="O1261" s="53"/>
      <c r="P1261" s="53"/>
      <c r="Q1261" s="53"/>
      <c r="R1261" s="53"/>
      <c r="S1261" s="53"/>
      <c r="T1261" s="53"/>
      <c r="U1261" s="53"/>
      <c r="V1261" s="53"/>
      <c r="W1261" s="53"/>
      <c r="X1261" s="53"/>
      <c r="Y1261" s="53"/>
      <c r="Z1261" s="53"/>
    </row>
    <row r="1262" spans="1:26" ht="15.75" customHeight="1">
      <c r="A1262" s="103"/>
      <c r="B1262" s="103"/>
      <c r="C1262" s="104" t="e">
        <v>#REF!</v>
      </c>
      <c r="D1262" s="103"/>
      <c r="E1262" s="53"/>
      <c r="F1262" s="53"/>
      <c r="G1262" s="53"/>
      <c r="H1262" s="53"/>
      <c r="I1262" s="53"/>
      <c r="J1262" s="53"/>
      <c r="K1262" s="53"/>
      <c r="L1262" s="53"/>
      <c r="M1262" s="53"/>
      <c r="N1262" s="53"/>
      <c r="O1262" s="53"/>
      <c r="P1262" s="53"/>
      <c r="Q1262" s="53"/>
      <c r="R1262" s="53"/>
      <c r="S1262" s="53"/>
      <c r="T1262" s="53"/>
      <c r="U1262" s="53"/>
      <c r="V1262" s="53"/>
      <c r="W1262" s="53"/>
      <c r="X1262" s="53"/>
      <c r="Y1262" s="53"/>
      <c r="Z1262" s="53"/>
    </row>
    <row r="1263" spans="1:26" ht="15.75" customHeight="1">
      <c r="A1263" s="103"/>
      <c r="B1263" s="103"/>
      <c r="C1263" s="104" t="e">
        <v>#REF!</v>
      </c>
      <c r="D1263" s="103"/>
      <c r="E1263" s="53"/>
      <c r="F1263" s="53"/>
      <c r="G1263" s="53"/>
      <c r="H1263" s="53"/>
      <c r="I1263" s="53"/>
      <c r="J1263" s="53"/>
      <c r="K1263" s="53"/>
      <c r="L1263" s="53"/>
      <c r="M1263" s="53"/>
      <c r="N1263" s="53"/>
      <c r="O1263" s="53"/>
      <c r="P1263" s="53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</row>
    <row r="1264" spans="1:26" ht="15.75" customHeight="1">
      <c r="A1264" s="103"/>
      <c r="B1264" s="103"/>
      <c r="C1264" s="104" t="e">
        <v>#REF!</v>
      </c>
      <c r="D1264" s="103"/>
      <c r="E1264" s="53"/>
      <c r="F1264" s="53"/>
      <c r="G1264" s="53"/>
      <c r="H1264" s="53"/>
      <c r="I1264" s="53"/>
      <c r="J1264" s="53"/>
      <c r="K1264" s="53"/>
      <c r="L1264" s="53"/>
      <c r="M1264" s="53"/>
      <c r="N1264" s="53"/>
      <c r="O1264" s="53"/>
      <c r="P1264" s="53"/>
      <c r="Q1264" s="53"/>
      <c r="R1264" s="53"/>
      <c r="S1264" s="53"/>
      <c r="T1264" s="53"/>
      <c r="U1264" s="53"/>
      <c r="V1264" s="53"/>
      <c r="W1264" s="53"/>
      <c r="X1264" s="53"/>
      <c r="Y1264" s="53"/>
      <c r="Z1264" s="53"/>
    </row>
    <row r="1265" spans="1:26" ht="15.75" customHeight="1">
      <c r="A1265" s="103"/>
      <c r="B1265" s="103"/>
      <c r="C1265" s="104" t="e">
        <v>#REF!</v>
      </c>
      <c r="D1265" s="103"/>
      <c r="E1265" s="53"/>
      <c r="F1265" s="53"/>
      <c r="G1265" s="53"/>
      <c r="H1265" s="53"/>
      <c r="I1265" s="53"/>
      <c r="J1265" s="53"/>
      <c r="K1265" s="53"/>
      <c r="L1265" s="53"/>
      <c r="M1265" s="53"/>
      <c r="N1265" s="53"/>
      <c r="O1265" s="53"/>
      <c r="P1265" s="53"/>
      <c r="Q1265" s="53"/>
      <c r="R1265" s="53"/>
      <c r="S1265" s="53"/>
      <c r="T1265" s="53"/>
      <c r="U1265" s="53"/>
      <c r="V1265" s="53"/>
      <c r="W1265" s="53"/>
      <c r="X1265" s="53"/>
      <c r="Y1265" s="53"/>
      <c r="Z1265" s="53"/>
    </row>
    <row r="1266" spans="1:26" ht="15.75" customHeight="1">
      <c r="A1266" s="103"/>
      <c r="B1266" s="103"/>
      <c r="C1266" s="104" t="e">
        <v>#REF!</v>
      </c>
      <c r="D1266" s="103"/>
      <c r="E1266" s="53"/>
      <c r="F1266" s="53"/>
      <c r="G1266" s="53"/>
      <c r="H1266" s="53"/>
      <c r="I1266" s="53"/>
      <c r="J1266" s="53"/>
      <c r="K1266" s="53"/>
      <c r="L1266" s="53"/>
      <c r="M1266" s="53"/>
      <c r="N1266" s="53"/>
      <c r="O1266" s="53"/>
      <c r="P1266" s="53"/>
      <c r="Q1266" s="53"/>
      <c r="R1266" s="53"/>
      <c r="S1266" s="53"/>
      <c r="T1266" s="53"/>
      <c r="U1266" s="53"/>
      <c r="V1266" s="53"/>
      <c r="W1266" s="53"/>
      <c r="X1266" s="53"/>
      <c r="Y1266" s="53"/>
      <c r="Z1266" s="53"/>
    </row>
    <row r="1267" spans="1:26" ht="15.75" customHeight="1">
      <c r="A1267" s="103"/>
      <c r="B1267" s="103"/>
      <c r="C1267" s="104" t="e">
        <v>#REF!</v>
      </c>
      <c r="D1267" s="103"/>
      <c r="E1267" s="53"/>
      <c r="F1267" s="53"/>
      <c r="G1267" s="53"/>
      <c r="H1267" s="53"/>
      <c r="I1267" s="53"/>
      <c r="J1267" s="53"/>
      <c r="K1267" s="53"/>
      <c r="L1267" s="53"/>
      <c r="M1267" s="53"/>
      <c r="N1267" s="53"/>
      <c r="O1267" s="53"/>
      <c r="P1267" s="53"/>
      <c r="Q1267" s="53"/>
      <c r="R1267" s="53"/>
      <c r="S1267" s="53"/>
      <c r="T1267" s="53"/>
      <c r="U1267" s="53"/>
      <c r="V1267" s="53"/>
      <c r="W1267" s="53"/>
      <c r="X1267" s="53"/>
      <c r="Y1267" s="53"/>
      <c r="Z1267" s="53"/>
    </row>
    <row r="1268" spans="1:26" ht="15.75" customHeight="1">
      <c r="A1268" s="103"/>
      <c r="B1268" s="103"/>
      <c r="C1268" s="104" t="e">
        <v>#REF!</v>
      </c>
      <c r="D1268" s="103"/>
      <c r="E1268" s="53"/>
      <c r="F1268" s="53"/>
      <c r="G1268" s="53"/>
      <c r="H1268" s="53"/>
      <c r="I1268" s="53"/>
      <c r="J1268" s="53"/>
      <c r="K1268" s="53"/>
      <c r="L1268" s="53"/>
      <c r="M1268" s="53"/>
      <c r="N1268" s="53"/>
      <c r="O1268" s="53"/>
      <c r="P1268" s="53"/>
      <c r="Q1268" s="53"/>
      <c r="R1268" s="53"/>
      <c r="S1268" s="53"/>
      <c r="T1268" s="53"/>
      <c r="U1268" s="53"/>
      <c r="V1268" s="53"/>
      <c r="W1268" s="53"/>
      <c r="X1268" s="53"/>
      <c r="Y1268" s="53"/>
      <c r="Z1268" s="53"/>
    </row>
    <row r="1269" spans="1:26" ht="15.75" customHeight="1">
      <c r="A1269" s="103"/>
      <c r="B1269" s="103"/>
      <c r="C1269" s="104" t="e">
        <v>#REF!</v>
      </c>
      <c r="D1269" s="103"/>
      <c r="E1269" s="53"/>
      <c r="F1269" s="53"/>
      <c r="G1269" s="53"/>
      <c r="H1269" s="53"/>
      <c r="I1269" s="53"/>
      <c r="J1269" s="53"/>
      <c r="K1269" s="53"/>
      <c r="L1269" s="53"/>
      <c r="M1269" s="53"/>
      <c r="N1269" s="53"/>
      <c r="O1269" s="53"/>
      <c r="P1269" s="53"/>
      <c r="Q1269" s="53"/>
      <c r="R1269" s="53"/>
      <c r="S1269" s="53"/>
      <c r="T1269" s="53"/>
      <c r="U1269" s="53"/>
      <c r="V1269" s="53"/>
      <c r="W1269" s="53"/>
      <c r="X1269" s="53"/>
      <c r="Y1269" s="53"/>
      <c r="Z1269" s="53"/>
    </row>
    <row r="1270" spans="1:26" ht="15.75" customHeight="1">
      <c r="A1270" s="103"/>
      <c r="B1270" s="103"/>
      <c r="C1270" s="104" t="e">
        <v>#REF!</v>
      </c>
      <c r="D1270" s="103"/>
      <c r="E1270" s="53"/>
      <c r="F1270" s="53"/>
      <c r="G1270" s="53"/>
      <c r="H1270" s="53"/>
      <c r="I1270" s="53"/>
      <c r="J1270" s="53"/>
      <c r="K1270" s="53"/>
      <c r="L1270" s="53"/>
      <c r="M1270" s="53"/>
      <c r="N1270" s="53"/>
      <c r="O1270" s="53"/>
      <c r="P1270" s="53"/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</row>
    <row r="1271" spans="1:26" ht="15.75" customHeight="1">
      <c r="A1271" s="103"/>
      <c r="B1271" s="103"/>
      <c r="C1271" s="104" t="e">
        <v>#REF!</v>
      </c>
      <c r="D1271" s="103"/>
      <c r="E1271" s="53"/>
      <c r="F1271" s="53"/>
      <c r="G1271" s="53"/>
      <c r="H1271" s="53"/>
      <c r="I1271" s="53"/>
      <c r="J1271" s="53"/>
      <c r="K1271" s="53"/>
      <c r="L1271" s="53"/>
      <c r="M1271" s="53"/>
      <c r="N1271" s="53"/>
      <c r="O1271" s="53"/>
      <c r="P1271" s="53"/>
      <c r="Q1271" s="53"/>
      <c r="R1271" s="53"/>
      <c r="S1271" s="53"/>
      <c r="T1271" s="53"/>
      <c r="U1271" s="53"/>
      <c r="V1271" s="53"/>
      <c r="W1271" s="53"/>
      <c r="X1271" s="53"/>
      <c r="Y1271" s="53"/>
      <c r="Z1271" s="53"/>
    </row>
    <row r="1272" spans="1:26" ht="15.75" customHeight="1">
      <c r="A1272" s="103"/>
      <c r="B1272" s="103"/>
      <c r="C1272" s="104" t="e">
        <v>#REF!</v>
      </c>
      <c r="D1272" s="103"/>
      <c r="E1272" s="53"/>
      <c r="F1272" s="53"/>
      <c r="G1272" s="53"/>
      <c r="H1272" s="53"/>
      <c r="I1272" s="53"/>
      <c r="J1272" s="53"/>
      <c r="K1272" s="53"/>
      <c r="L1272" s="53"/>
      <c r="M1272" s="53"/>
      <c r="N1272" s="53"/>
      <c r="O1272" s="53"/>
      <c r="P1272" s="53"/>
      <c r="Q1272" s="53"/>
      <c r="R1272" s="53"/>
      <c r="S1272" s="53"/>
      <c r="T1272" s="53"/>
      <c r="U1272" s="53"/>
      <c r="V1272" s="53"/>
      <c r="W1272" s="53"/>
      <c r="X1272" s="53"/>
      <c r="Y1272" s="53"/>
      <c r="Z1272" s="53"/>
    </row>
    <row r="1273" spans="1:26" ht="15.75" customHeight="1">
      <c r="A1273" s="103"/>
      <c r="B1273" s="103"/>
      <c r="C1273" s="104" t="e">
        <v>#REF!</v>
      </c>
      <c r="D1273" s="103"/>
      <c r="E1273" s="53"/>
      <c r="F1273" s="53"/>
      <c r="G1273" s="53"/>
      <c r="H1273" s="53"/>
      <c r="I1273" s="53"/>
      <c r="J1273" s="53"/>
      <c r="K1273" s="53"/>
      <c r="L1273" s="53"/>
      <c r="M1273" s="53"/>
      <c r="N1273" s="53"/>
      <c r="O1273" s="53"/>
      <c r="P1273" s="53"/>
      <c r="Q1273" s="53"/>
      <c r="R1273" s="53"/>
      <c r="S1273" s="53"/>
      <c r="T1273" s="53"/>
      <c r="U1273" s="53"/>
      <c r="V1273" s="53"/>
      <c r="W1273" s="53"/>
      <c r="X1273" s="53"/>
      <c r="Y1273" s="53"/>
      <c r="Z1273" s="53"/>
    </row>
    <row r="1274" spans="1:26" ht="15.75" customHeight="1">
      <c r="A1274" s="103"/>
      <c r="B1274" s="103"/>
      <c r="C1274" s="104" t="e">
        <v>#REF!</v>
      </c>
      <c r="D1274" s="103"/>
      <c r="E1274" s="53"/>
      <c r="F1274" s="53"/>
      <c r="G1274" s="53"/>
      <c r="H1274" s="53"/>
      <c r="I1274" s="53"/>
      <c r="J1274" s="53"/>
      <c r="K1274" s="53"/>
      <c r="L1274" s="53"/>
      <c r="M1274" s="53"/>
      <c r="N1274" s="53"/>
      <c r="O1274" s="53"/>
      <c r="P1274" s="53"/>
      <c r="Q1274" s="53"/>
      <c r="R1274" s="53"/>
      <c r="S1274" s="53"/>
      <c r="T1274" s="53"/>
      <c r="U1274" s="53"/>
      <c r="V1274" s="53"/>
      <c r="W1274" s="53"/>
      <c r="X1274" s="53"/>
      <c r="Y1274" s="53"/>
      <c r="Z1274" s="53"/>
    </row>
    <row r="1275" spans="1:26" ht="15.75" customHeight="1">
      <c r="A1275" s="103"/>
      <c r="B1275" s="103"/>
      <c r="C1275" s="104" t="e">
        <v>#REF!</v>
      </c>
      <c r="D1275" s="103"/>
      <c r="E1275" s="53"/>
      <c r="F1275" s="53"/>
      <c r="G1275" s="53"/>
      <c r="H1275" s="53"/>
      <c r="I1275" s="53"/>
      <c r="J1275" s="53"/>
      <c r="K1275" s="53"/>
      <c r="L1275" s="53"/>
      <c r="M1275" s="53"/>
      <c r="N1275" s="53"/>
      <c r="O1275" s="53"/>
      <c r="P1275" s="53"/>
      <c r="Q1275" s="53"/>
      <c r="R1275" s="53"/>
      <c r="S1275" s="53"/>
      <c r="T1275" s="53"/>
      <c r="U1275" s="53"/>
      <c r="V1275" s="53"/>
      <c r="W1275" s="53"/>
      <c r="X1275" s="53"/>
      <c r="Y1275" s="53"/>
      <c r="Z1275" s="53"/>
    </row>
    <row r="1276" spans="1:26" ht="15.75" customHeight="1">
      <c r="A1276" s="103"/>
      <c r="B1276" s="103"/>
      <c r="C1276" s="104" t="e">
        <v>#REF!</v>
      </c>
      <c r="D1276" s="103"/>
      <c r="E1276" s="53"/>
      <c r="F1276" s="53"/>
      <c r="G1276" s="53"/>
      <c r="H1276" s="53"/>
      <c r="I1276" s="53"/>
      <c r="J1276" s="53"/>
      <c r="K1276" s="53"/>
      <c r="L1276" s="53"/>
      <c r="M1276" s="53"/>
      <c r="N1276" s="53"/>
      <c r="O1276" s="53"/>
      <c r="P1276" s="53"/>
      <c r="Q1276" s="53"/>
      <c r="R1276" s="53"/>
      <c r="S1276" s="53"/>
      <c r="T1276" s="53"/>
      <c r="U1276" s="53"/>
      <c r="V1276" s="53"/>
      <c r="W1276" s="53"/>
      <c r="X1276" s="53"/>
      <c r="Y1276" s="53"/>
      <c r="Z1276" s="53"/>
    </row>
    <row r="1277" spans="1:26" ht="15.75" customHeight="1">
      <c r="A1277" s="103"/>
      <c r="B1277" s="103"/>
      <c r="C1277" s="104" t="e">
        <v>#REF!</v>
      </c>
      <c r="D1277" s="103"/>
      <c r="E1277" s="53"/>
      <c r="F1277" s="53"/>
      <c r="G1277" s="53"/>
      <c r="H1277" s="53"/>
      <c r="I1277" s="53"/>
      <c r="J1277" s="53"/>
      <c r="K1277" s="53"/>
      <c r="L1277" s="53"/>
      <c r="M1277" s="53"/>
      <c r="N1277" s="53"/>
      <c r="O1277" s="53"/>
      <c r="P1277" s="53"/>
      <c r="Q1277" s="53"/>
      <c r="R1277" s="53"/>
      <c r="S1277" s="53"/>
      <c r="T1277" s="53"/>
      <c r="U1277" s="53"/>
      <c r="V1277" s="53"/>
      <c r="W1277" s="53"/>
      <c r="X1277" s="53"/>
      <c r="Y1277" s="53"/>
      <c r="Z1277" s="53"/>
    </row>
    <row r="1278" spans="1:26" ht="15.75" customHeight="1">
      <c r="A1278" s="103"/>
      <c r="B1278" s="103"/>
      <c r="C1278" s="104" t="e">
        <v>#REF!</v>
      </c>
      <c r="D1278" s="103"/>
      <c r="E1278" s="53"/>
      <c r="F1278" s="53"/>
      <c r="G1278" s="53"/>
      <c r="H1278" s="53"/>
      <c r="I1278" s="53"/>
      <c r="J1278" s="53"/>
      <c r="K1278" s="53"/>
      <c r="L1278" s="53"/>
      <c r="M1278" s="53"/>
      <c r="N1278" s="53"/>
      <c r="O1278" s="53"/>
      <c r="P1278" s="53"/>
      <c r="Q1278" s="53"/>
      <c r="R1278" s="53"/>
      <c r="S1278" s="53"/>
      <c r="T1278" s="53"/>
      <c r="U1278" s="53"/>
      <c r="V1278" s="53"/>
      <c r="W1278" s="53"/>
      <c r="X1278" s="53"/>
      <c r="Y1278" s="53"/>
      <c r="Z1278" s="53"/>
    </row>
    <row r="1279" spans="1:26" ht="15.75" customHeight="1">
      <c r="A1279" s="103"/>
      <c r="B1279" s="103"/>
      <c r="C1279" s="104" t="e">
        <v>#REF!</v>
      </c>
      <c r="D1279" s="103"/>
      <c r="E1279" s="53"/>
      <c r="F1279" s="53"/>
      <c r="G1279" s="53"/>
      <c r="H1279" s="53"/>
      <c r="I1279" s="53"/>
      <c r="J1279" s="53"/>
      <c r="K1279" s="53"/>
      <c r="L1279" s="53"/>
      <c r="M1279" s="53"/>
      <c r="N1279" s="53"/>
      <c r="O1279" s="53"/>
      <c r="P1279" s="53"/>
      <c r="Q1279" s="53"/>
      <c r="R1279" s="53"/>
      <c r="S1279" s="53"/>
      <c r="T1279" s="53"/>
      <c r="U1279" s="53"/>
      <c r="V1279" s="53"/>
      <c r="W1279" s="53"/>
      <c r="X1279" s="53"/>
      <c r="Y1279" s="53"/>
      <c r="Z1279" s="53"/>
    </row>
    <row r="1280" spans="1:26" ht="15.75" customHeight="1">
      <c r="A1280" s="103"/>
      <c r="B1280" s="103"/>
      <c r="C1280" s="104" t="e">
        <v>#REF!</v>
      </c>
      <c r="D1280" s="103"/>
      <c r="E1280" s="53"/>
      <c r="F1280" s="53"/>
      <c r="G1280" s="53"/>
      <c r="H1280" s="53"/>
      <c r="I1280" s="53"/>
      <c r="J1280" s="53"/>
      <c r="K1280" s="53"/>
      <c r="L1280" s="53"/>
      <c r="M1280" s="53"/>
      <c r="N1280" s="53"/>
      <c r="O1280" s="53"/>
      <c r="P1280" s="53"/>
      <c r="Q1280" s="53"/>
      <c r="R1280" s="53"/>
      <c r="S1280" s="53"/>
      <c r="T1280" s="53"/>
      <c r="U1280" s="53"/>
      <c r="V1280" s="53"/>
      <c r="W1280" s="53"/>
      <c r="X1280" s="53"/>
      <c r="Y1280" s="53"/>
      <c r="Z1280" s="53"/>
    </row>
    <row r="1281" spans="1:26" ht="15.75" customHeight="1">
      <c r="A1281" s="103"/>
      <c r="B1281" s="103"/>
      <c r="C1281" s="104" t="e">
        <v>#REF!</v>
      </c>
      <c r="D1281" s="103"/>
      <c r="E1281" s="53"/>
      <c r="F1281" s="53"/>
      <c r="G1281" s="53"/>
      <c r="H1281" s="53"/>
      <c r="I1281" s="53"/>
      <c r="J1281" s="53"/>
      <c r="K1281" s="53"/>
      <c r="L1281" s="53"/>
      <c r="M1281" s="53"/>
      <c r="N1281" s="53"/>
      <c r="O1281" s="53"/>
      <c r="P1281" s="53"/>
      <c r="Q1281" s="53"/>
      <c r="R1281" s="53"/>
      <c r="S1281" s="53"/>
      <c r="T1281" s="53"/>
      <c r="U1281" s="53"/>
      <c r="V1281" s="53"/>
      <c r="W1281" s="53"/>
      <c r="X1281" s="53"/>
      <c r="Y1281" s="53"/>
      <c r="Z1281" s="53"/>
    </row>
    <row r="1282" spans="1:26" ht="15.75" customHeight="1">
      <c r="A1282" s="103"/>
      <c r="B1282" s="103"/>
      <c r="C1282" s="104" t="e">
        <v>#REF!</v>
      </c>
      <c r="D1282" s="103"/>
      <c r="E1282" s="53"/>
      <c r="F1282" s="53"/>
      <c r="G1282" s="53"/>
      <c r="H1282" s="53"/>
      <c r="I1282" s="53"/>
      <c r="J1282" s="53"/>
      <c r="K1282" s="53"/>
      <c r="L1282" s="53"/>
      <c r="M1282" s="53"/>
      <c r="N1282" s="53"/>
      <c r="O1282" s="53"/>
      <c r="P1282" s="53"/>
      <c r="Q1282" s="53"/>
      <c r="R1282" s="53"/>
      <c r="S1282" s="53"/>
      <c r="T1282" s="53"/>
      <c r="U1282" s="53"/>
      <c r="V1282" s="53"/>
      <c r="W1282" s="53"/>
      <c r="X1282" s="53"/>
      <c r="Y1282" s="53"/>
      <c r="Z1282" s="53"/>
    </row>
    <row r="1283" spans="1:26" ht="15.75" customHeight="1">
      <c r="A1283" s="103"/>
      <c r="B1283" s="103"/>
      <c r="C1283" s="104" t="e">
        <v>#REF!</v>
      </c>
      <c r="D1283" s="103"/>
      <c r="E1283" s="53"/>
      <c r="F1283" s="53"/>
      <c r="G1283" s="53"/>
      <c r="H1283" s="53"/>
      <c r="I1283" s="53"/>
      <c r="J1283" s="53"/>
      <c r="K1283" s="53"/>
      <c r="L1283" s="53"/>
      <c r="M1283" s="53"/>
      <c r="N1283" s="53"/>
      <c r="O1283" s="53"/>
      <c r="P1283" s="53"/>
      <c r="Q1283" s="53"/>
      <c r="R1283" s="53"/>
      <c r="S1283" s="53"/>
      <c r="T1283" s="53"/>
      <c r="U1283" s="53"/>
      <c r="V1283" s="53"/>
      <c r="W1283" s="53"/>
      <c r="X1283" s="53"/>
      <c r="Y1283" s="53"/>
      <c r="Z1283" s="53"/>
    </row>
    <row r="1284" spans="1:26" ht="15.75" customHeight="1">
      <c r="A1284" s="103"/>
      <c r="B1284" s="103"/>
      <c r="C1284" s="104" t="e">
        <v>#REF!</v>
      </c>
      <c r="D1284" s="103"/>
      <c r="E1284" s="53"/>
      <c r="F1284" s="53"/>
      <c r="G1284" s="53"/>
      <c r="H1284" s="53"/>
      <c r="I1284" s="53"/>
      <c r="J1284" s="53"/>
      <c r="K1284" s="53"/>
      <c r="L1284" s="53"/>
      <c r="M1284" s="53"/>
      <c r="N1284" s="53"/>
      <c r="O1284" s="53"/>
      <c r="P1284" s="53"/>
      <c r="Q1284" s="53"/>
      <c r="R1284" s="53"/>
      <c r="S1284" s="53"/>
      <c r="T1284" s="53"/>
      <c r="U1284" s="53"/>
      <c r="V1284" s="53"/>
      <c r="W1284" s="53"/>
      <c r="X1284" s="53"/>
      <c r="Y1284" s="53"/>
      <c r="Z1284" s="53"/>
    </row>
    <row r="1285" spans="1:26" ht="15.75" customHeight="1">
      <c r="A1285" s="103"/>
      <c r="B1285" s="103"/>
      <c r="C1285" s="104" t="e">
        <v>#REF!</v>
      </c>
      <c r="D1285" s="103"/>
      <c r="E1285" s="53"/>
      <c r="F1285" s="53"/>
      <c r="G1285" s="53"/>
      <c r="H1285" s="53"/>
      <c r="I1285" s="53"/>
      <c r="J1285" s="53"/>
      <c r="K1285" s="53"/>
      <c r="L1285" s="53"/>
      <c r="M1285" s="53"/>
      <c r="N1285" s="53"/>
      <c r="O1285" s="53"/>
      <c r="P1285" s="53"/>
      <c r="Q1285" s="53"/>
      <c r="R1285" s="53"/>
      <c r="S1285" s="53"/>
      <c r="T1285" s="53"/>
      <c r="U1285" s="53"/>
      <c r="V1285" s="53"/>
      <c r="W1285" s="53"/>
      <c r="X1285" s="53"/>
      <c r="Y1285" s="53"/>
      <c r="Z1285" s="53"/>
    </row>
    <row r="1286" spans="1:26" ht="15.75" customHeight="1">
      <c r="A1286" s="103"/>
      <c r="B1286" s="103"/>
      <c r="C1286" s="104" t="e">
        <v>#REF!</v>
      </c>
      <c r="D1286" s="103"/>
      <c r="E1286" s="53"/>
      <c r="F1286" s="53"/>
      <c r="G1286" s="53"/>
      <c r="H1286" s="53"/>
      <c r="I1286" s="53"/>
      <c r="J1286" s="53"/>
      <c r="K1286" s="53"/>
      <c r="L1286" s="53"/>
      <c r="M1286" s="53"/>
      <c r="N1286" s="53"/>
      <c r="O1286" s="53"/>
      <c r="P1286" s="53"/>
      <c r="Q1286" s="53"/>
      <c r="R1286" s="53"/>
      <c r="S1286" s="53"/>
      <c r="T1286" s="53"/>
      <c r="U1286" s="53"/>
      <c r="V1286" s="53"/>
      <c r="W1286" s="53"/>
      <c r="X1286" s="53"/>
      <c r="Y1286" s="53"/>
      <c r="Z1286" s="53"/>
    </row>
    <row r="1287" spans="1:26" ht="15.75" customHeight="1">
      <c r="A1287" s="103"/>
      <c r="B1287" s="103"/>
      <c r="C1287" s="104" t="e">
        <v>#REF!</v>
      </c>
      <c r="D1287" s="103"/>
      <c r="E1287" s="53"/>
      <c r="F1287" s="53"/>
      <c r="G1287" s="53"/>
      <c r="H1287" s="53"/>
      <c r="I1287" s="53"/>
      <c r="J1287" s="53"/>
      <c r="K1287" s="53"/>
      <c r="L1287" s="53"/>
      <c r="M1287" s="53"/>
      <c r="N1287" s="53"/>
      <c r="O1287" s="53"/>
      <c r="P1287" s="53"/>
      <c r="Q1287" s="53"/>
      <c r="R1287" s="53"/>
      <c r="S1287" s="53"/>
      <c r="T1287" s="53"/>
      <c r="U1287" s="53"/>
      <c r="V1287" s="53"/>
      <c r="W1287" s="53"/>
      <c r="X1287" s="53"/>
      <c r="Y1287" s="53"/>
      <c r="Z1287" s="53"/>
    </row>
    <row r="1288" spans="1:26" ht="15.75" customHeight="1">
      <c r="A1288" s="103"/>
      <c r="B1288" s="103"/>
      <c r="C1288" s="104" t="e">
        <v>#REF!</v>
      </c>
      <c r="D1288" s="103"/>
      <c r="E1288" s="53"/>
      <c r="F1288" s="53"/>
      <c r="G1288" s="53"/>
      <c r="H1288" s="53"/>
      <c r="I1288" s="53"/>
      <c r="J1288" s="53"/>
      <c r="K1288" s="53"/>
      <c r="L1288" s="53"/>
      <c r="M1288" s="53"/>
      <c r="N1288" s="53"/>
      <c r="O1288" s="53"/>
      <c r="P1288" s="53"/>
      <c r="Q1288" s="53"/>
      <c r="R1288" s="53"/>
      <c r="S1288" s="53"/>
      <c r="T1288" s="53"/>
      <c r="U1288" s="53"/>
      <c r="V1288" s="53"/>
      <c r="W1288" s="53"/>
      <c r="X1288" s="53"/>
      <c r="Y1288" s="53"/>
      <c r="Z1288" s="53"/>
    </row>
    <row r="1289" spans="1:26" ht="15.75" customHeight="1">
      <c r="A1289" s="103"/>
      <c r="B1289" s="103"/>
      <c r="C1289" s="104" t="e">
        <v>#REF!</v>
      </c>
      <c r="D1289" s="103"/>
      <c r="E1289" s="53"/>
      <c r="F1289" s="53"/>
      <c r="G1289" s="53"/>
      <c r="H1289" s="53"/>
      <c r="I1289" s="53"/>
      <c r="J1289" s="53"/>
      <c r="K1289" s="53"/>
      <c r="L1289" s="53"/>
      <c r="M1289" s="53"/>
      <c r="N1289" s="53"/>
      <c r="O1289" s="53"/>
      <c r="P1289" s="53"/>
      <c r="Q1289" s="53"/>
      <c r="R1289" s="53"/>
      <c r="S1289" s="53"/>
      <c r="T1289" s="53"/>
      <c r="U1289" s="53"/>
      <c r="V1289" s="53"/>
      <c r="W1289" s="53"/>
      <c r="X1289" s="53"/>
      <c r="Y1289" s="53"/>
      <c r="Z1289" s="53"/>
    </row>
    <row r="1290" spans="1:26" ht="15.75" customHeight="1">
      <c r="A1290" s="103"/>
      <c r="B1290" s="103"/>
      <c r="C1290" s="104" t="e">
        <v>#REF!</v>
      </c>
      <c r="D1290" s="103"/>
      <c r="E1290" s="53"/>
      <c r="F1290" s="53"/>
      <c r="G1290" s="53"/>
      <c r="H1290" s="53"/>
      <c r="I1290" s="53"/>
      <c r="J1290" s="53"/>
      <c r="K1290" s="53"/>
      <c r="L1290" s="53"/>
      <c r="M1290" s="53"/>
      <c r="N1290" s="53"/>
      <c r="O1290" s="53"/>
      <c r="P1290" s="53"/>
      <c r="Q1290" s="53"/>
      <c r="R1290" s="53"/>
      <c r="S1290" s="53"/>
      <c r="T1290" s="53"/>
      <c r="U1290" s="53"/>
      <c r="V1290" s="53"/>
      <c r="W1290" s="53"/>
      <c r="X1290" s="53"/>
      <c r="Y1290" s="53"/>
      <c r="Z1290" s="53"/>
    </row>
    <row r="1291" spans="1:26" ht="15.75" customHeight="1">
      <c r="A1291" s="103"/>
      <c r="B1291" s="103"/>
      <c r="C1291" s="104" t="e">
        <v>#REF!</v>
      </c>
      <c r="D1291" s="103"/>
      <c r="E1291" s="53"/>
      <c r="F1291" s="53"/>
      <c r="G1291" s="53"/>
      <c r="H1291" s="53"/>
      <c r="I1291" s="53"/>
      <c r="J1291" s="53"/>
      <c r="K1291" s="53"/>
      <c r="L1291" s="53"/>
      <c r="M1291" s="53"/>
      <c r="N1291" s="53"/>
      <c r="O1291" s="53"/>
      <c r="P1291" s="53"/>
      <c r="Q1291" s="53"/>
      <c r="R1291" s="53"/>
      <c r="S1291" s="53"/>
      <c r="T1291" s="53"/>
      <c r="U1291" s="53"/>
      <c r="V1291" s="53"/>
      <c r="W1291" s="53"/>
      <c r="X1291" s="53"/>
      <c r="Y1291" s="53"/>
      <c r="Z1291" s="53"/>
    </row>
    <row r="1292" spans="1:26" ht="15.75" customHeight="1">
      <c r="A1292" s="103"/>
      <c r="B1292" s="103"/>
      <c r="C1292" s="104" t="e">
        <v>#REF!</v>
      </c>
      <c r="D1292" s="103"/>
      <c r="E1292" s="53"/>
      <c r="F1292" s="53"/>
      <c r="G1292" s="53"/>
      <c r="H1292" s="53"/>
      <c r="I1292" s="53"/>
      <c r="J1292" s="53"/>
      <c r="K1292" s="53"/>
      <c r="L1292" s="53"/>
      <c r="M1292" s="53"/>
      <c r="N1292" s="53"/>
      <c r="O1292" s="53"/>
      <c r="P1292" s="53"/>
      <c r="Q1292" s="53"/>
      <c r="R1292" s="53"/>
      <c r="S1292" s="53"/>
      <c r="T1292" s="53"/>
      <c r="U1292" s="53"/>
      <c r="V1292" s="53"/>
      <c r="W1292" s="53"/>
      <c r="X1292" s="53"/>
      <c r="Y1292" s="53"/>
      <c r="Z1292" s="53"/>
    </row>
    <row r="1293" spans="1:26" ht="15.75" customHeight="1">
      <c r="A1293" s="103"/>
      <c r="B1293" s="103"/>
      <c r="C1293" s="104" t="e">
        <v>#REF!</v>
      </c>
      <c r="D1293" s="103"/>
      <c r="E1293" s="53"/>
      <c r="F1293" s="53"/>
      <c r="G1293" s="53"/>
      <c r="H1293" s="53"/>
      <c r="I1293" s="53"/>
      <c r="J1293" s="53"/>
      <c r="K1293" s="53"/>
      <c r="L1293" s="53"/>
      <c r="M1293" s="53"/>
      <c r="N1293" s="53"/>
      <c r="O1293" s="53"/>
      <c r="P1293" s="53"/>
      <c r="Q1293" s="53"/>
      <c r="R1293" s="53"/>
      <c r="S1293" s="53"/>
      <c r="T1293" s="53"/>
      <c r="U1293" s="53"/>
      <c r="V1293" s="53"/>
      <c r="W1293" s="53"/>
      <c r="X1293" s="53"/>
      <c r="Y1293" s="53"/>
      <c r="Z1293" s="53"/>
    </row>
    <row r="1294" spans="1:26" ht="15.75" customHeight="1">
      <c r="A1294" s="103"/>
      <c r="B1294" s="103"/>
      <c r="C1294" s="104" t="e">
        <v>#REF!</v>
      </c>
      <c r="D1294" s="103"/>
      <c r="E1294" s="53"/>
      <c r="F1294" s="53"/>
      <c r="G1294" s="53"/>
      <c r="H1294" s="53"/>
      <c r="I1294" s="53"/>
      <c r="J1294" s="53"/>
      <c r="K1294" s="53"/>
      <c r="L1294" s="53"/>
      <c r="M1294" s="53"/>
      <c r="N1294" s="53"/>
      <c r="O1294" s="53"/>
      <c r="P1294" s="53"/>
      <c r="Q1294" s="53"/>
      <c r="R1294" s="53"/>
      <c r="S1294" s="53"/>
      <c r="T1294" s="53"/>
      <c r="U1294" s="53"/>
      <c r="V1294" s="53"/>
      <c r="W1294" s="53"/>
      <c r="X1294" s="53"/>
      <c r="Y1294" s="53"/>
      <c r="Z1294" s="53"/>
    </row>
    <row r="1295" spans="1:26" ht="15.75" customHeight="1">
      <c r="A1295" s="103"/>
      <c r="B1295" s="103"/>
      <c r="C1295" s="104" t="e">
        <v>#REF!</v>
      </c>
      <c r="D1295" s="103"/>
      <c r="E1295" s="53"/>
      <c r="F1295" s="53"/>
      <c r="G1295" s="53"/>
      <c r="H1295" s="53"/>
      <c r="I1295" s="53"/>
      <c r="J1295" s="53"/>
      <c r="K1295" s="53"/>
      <c r="L1295" s="53"/>
      <c r="M1295" s="53"/>
      <c r="N1295" s="53"/>
      <c r="O1295" s="53"/>
      <c r="P1295" s="53"/>
      <c r="Q1295" s="53"/>
      <c r="R1295" s="53"/>
      <c r="S1295" s="53"/>
      <c r="T1295" s="53"/>
      <c r="U1295" s="53"/>
      <c r="V1295" s="53"/>
      <c r="W1295" s="53"/>
      <c r="X1295" s="53"/>
      <c r="Y1295" s="53"/>
      <c r="Z1295" s="53"/>
    </row>
    <row r="1296" spans="1:26" ht="15.75" customHeight="1">
      <c r="A1296" s="103"/>
      <c r="B1296" s="103"/>
      <c r="C1296" s="104" t="e">
        <v>#REF!</v>
      </c>
      <c r="D1296" s="103"/>
      <c r="E1296" s="53"/>
      <c r="F1296" s="53"/>
      <c r="G1296" s="53"/>
      <c r="H1296" s="53"/>
      <c r="I1296" s="53"/>
      <c r="J1296" s="53"/>
      <c r="K1296" s="53"/>
      <c r="L1296" s="53"/>
      <c r="M1296" s="53"/>
      <c r="N1296" s="53"/>
      <c r="O1296" s="53"/>
      <c r="P1296" s="53"/>
      <c r="Q1296" s="53"/>
      <c r="R1296" s="53"/>
      <c r="S1296" s="53"/>
      <c r="T1296" s="53"/>
      <c r="U1296" s="53"/>
      <c r="V1296" s="53"/>
      <c r="W1296" s="53"/>
      <c r="X1296" s="53"/>
      <c r="Y1296" s="53"/>
      <c r="Z1296" s="53"/>
    </row>
    <row r="1297" spans="1:26" ht="15.75" customHeight="1">
      <c r="A1297" s="103"/>
      <c r="B1297" s="103"/>
      <c r="C1297" s="104" t="e">
        <v>#REF!</v>
      </c>
      <c r="D1297" s="103"/>
      <c r="E1297" s="53"/>
      <c r="F1297" s="53"/>
      <c r="G1297" s="53"/>
      <c r="H1297" s="53"/>
      <c r="I1297" s="53"/>
      <c r="J1297" s="53"/>
      <c r="K1297" s="53"/>
      <c r="L1297" s="53"/>
      <c r="M1297" s="53"/>
      <c r="N1297" s="53"/>
      <c r="O1297" s="53"/>
      <c r="P1297" s="53"/>
      <c r="Q1297" s="53"/>
      <c r="R1297" s="53"/>
      <c r="S1297" s="53"/>
      <c r="T1297" s="53"/>
      <c r="U1297" s="53"/>
      <c r="V1297" s="53"/>
      <c r="W1297" s="53"/>
      <c r="X1297" s="53"/>
      <c r="Y1297" s="53"/>
      <c r="Z1297" s="53"/>
    </row>
    <row r="1298" spans="1:26" ht="15.75" customHeight="1">
      <c r="A1298" s="103"/>
      <c r="B1298" s="103"/>
      <c r="C1298" s="104" t="e">
        <v>#REF!</v>
      </c>
      <c r="D1298" s="103"/>
      <c r="E1298" s="53"/>
      <c r="F1298" s="53"/>
      <c r="G1298" s="53"/>
      <c r="H1298" s="53"/>
      <c r="I1298" s="53"/>
      <c r="J1298" s="53"/>
      <c r="K1298" s="53"/>
      <c r="L1298" s="53"/>
      <c r="M1298" s="53"/>
      <c r="N1298" s="53"/>
      <c r="O1298" s="53"/>
      <c r="P1298" s="53"/>
      <c r="Q1298" s="53"/>
      <c r="R1298" s="53"/>
      <c r="S1298" s="53"/>
      <c r="T1298" s="53"/>
      <c r="U1298" s="53"/>
      <c r="V1298" s="53"/>
      <c r="W1298" s="53"/>
      <c r="X1298" s="53"/>
      <c r="Y1298" s="53"/>
      <c r="Z1298" s="53"/>
    </row>
    <row r="1299" spans="1:26" ht="15.75" customHeight="1">
      <c r="A1299" s="103"/>
      <c r="B1299" s="103"/>
      <c r="C1299" s="104" t="e">
        <v>#REF!</v>
      </c>
      <c r="D1299" s="103"/>
      <c r="E1299" s="53"/>
      <c r="F1299" s="53"/>
      <c r="G1299" s="53"/>
      <c r="H1299" s="53"/>
      <c r="I1299" s="53"/>
      <c r="J1299" s="53"/>
      <c r="K1299" s="53"/>
      <c r="L1299" s="53"/>
      <c r="M1299" s="53"/>
      <c r="N1299" s="53"/>
      <c r="O1299" s="53"/>
      <c r="P1299" s="53"/>
      <c r="Q1299" s="53"/>
      <c r="R1299" s="53"/>
      <c r="S1299" s="53"/>
      <c r="T1299" s="53"/>
      <c r="U1299" s="53"/>
      <c r="V1299" s="53"/>
      <c r="W1299" s="53"/>
      <c r="X1299" s="53"/>
      <c r="Y1299" s="53"/>
      <c r="Z1299" s="53"/>
    </row>
    <row r="1300" spans="1:26" ht="15.75" customHeight="1">
      <c r="A1300" s="103"/>
      <c r="B1300" s="103"/>
      <c r="C1300" s="104" t="e">
        <v>#REF!</v>
      </c>
      <c r="D1300" s="103"/>
      <c r="E1300" s="53"/>
      <c r="F1300" s="53"/>
      <c r="G1300" s="53"/>
      <c r="H1300" s="53"/>
      <c r="I1300" s="53"/>
      <c r="J1300" s="53"/>
      <c r="K1300" s="53"/>
      <c r="L1300" s="53"/>
      <c r="M1300" s="53"/>
      <c r="N1300" s="53"/>
      <c r="O1300" s="53"/>
      <c r="P1300" s="53"/>
      <c r="Q1300" s="53"/>
      <c r="R1300" s="53"/>
      <c r="S1300" s="53"/>
      <c r="T1300" s="53"/>
      <c r="U1300" s="53"/>
      <c r="V1300" s="53"/>
      <c r="W1300" s="53"/>
      <c r="X1300" s="53"/>
      <c r="Y1300" s="53"/>
      <c r="Z1300" s="53"/>
    </row>
    <row r="1301" spans="1:26" ht="15.75" customHeight="1">
      <c r="A1301" s="103"/>
      <c r="B1301" s="103"/>
      <c r="C1301" s="104" t="e">
        <v>#REF!</v>
      </c>
      <c r="D1301" s="103"/>
      <c r="E1301" s="53"/>
      <c r="F1301" s="53"/>
      <c r="G1301" s="53"/>
      <c r="H1301" s="53"/>
      <c r="I1301" s="53"/>
      <c r="J1301" s="53"/>
      <c r="K1301" s="53"/>
      <c r="L1301" s="53"/>
      <c r="M1301" s="53"/>
      <c r="N1301" s="53"/>
      <c r="O1301" s="53"/>
      <c r="P1301" s="53"/>
      <c r="Q1301" s="53"/>
      <c r="R1301" s="53"/>
      <c r="S1301" s="53"/>
      <c r="T1301" s="53"/>
      <c r="U1301" s="53"/>
      <c r="V1301" s="53"/>
      <c r="W1301" s="53"/>
      <c r="X1301" s="53"/>
      <c r="Y1301" s="53"/>
      <c r="Z1301" s="53"/>
    </row>
    <row r="1302" spans="1:26" ht="15.75" customHeight="1">
      <c r="A1302" s="103"/>
      <c r="B1302" s="103"/>
      <c r="C1302" s="104" t="e">
        <v>#REF!</v>
      </c>
      <c r="D1302" s="103"/>
      <c r="E1302" s="53"/>
      <c r="F1302" s="53"/>
      <c r="G1302" s="53"/>
      <c r="H1302" s="53"/>
      <c r="I1302" s="53"/>
      <c r="J1302" s="53"/>
      <c r="K1302" s="53"/>
      <c r="L1302" s="53"/>
      <c r="M1302" s="53"/>
      <c r="N1302" s="53"/>
      <c r="O1302" s="53"/>
      <c r="P1302" s="53"/>
      <c r="Q1302" s="53"/>
      <c r="R1302" s="53"/>
      <c r="S1302" s="53"/>
      <c r="T1302" s="53"/>
      <c r="U1302" s="53"/>
      <c r="V1302" s="53"/>
      <c r="W1302" s="53"/>
      <c r="X1302" s="53"/>
      <c r="Y1302" s="53"/>
      <c r="Z1302" s="53"/>
    </row>
    <row r="1303" spans="1:26" ht="15.75" customHeight="1">
      <c r="A1303" s="103"/>
      <c r="B1303" s="103"/>
      <c r="C1303" s="104" t="e">
        <v>#REF!</v>
      </c>
      <c r="D1303" s="103"/>
      <c r="E1303" s="53"/>
      <c r="F1303" s="53"/>
      <c r="G1303" s="53"/>
      <c r="H1303" s="53"/>
      <c r="I1303" s="53"/>
      <c r="J1303" s="53"/>
      <c r="K1303" s="53"/>
      <c r="L1303" s="53"/>
      <c r="M1303" s="53"/>
      <c r="N1303" s="53"/>
      <c r="O1303" s="53"/>
      <c r="P1303" s="53"/>
      <c r="Q1303" s="53"/>
      <c r="R1303" s="53"/>
      <c r="S1303" s="53"/>
      <c r="T1303" s="53"/>
      <c r="U1303" s="53"/>
      <c r="V1303" s="53"/>
      <c r="W1303" s="53"/>
      <c r="X1303" s="53"/>
      <c r="Y1303" s="53"/>
      <c r="Z1303" s="53"/>
    </row>
    <row r="1304" spans="1:26" ht="15.75" customHeight="1">
      <c r="A1304" s="103"/>
      <c r="B1304" s="103"/>
      <c r="C1304" s="104" t="e">
        <v>#REF!</v>
      </c>
      <c r="D1304" s="103"/>
      <c r="E1304" s="53"/>
      <c r="F1304" s="53"/>
      <c r="G1304" s="53"/>
      <c r="H1304" s="53"/>
      <c r="I1304" s="53"/>
      <c r="J1304" s="53"/>
      <c r="K1304" s="53"/>
      <c r="L1304" s="53"/>
      <c r="M1304" s="53"/>
      <c r="N1304" s="53"/>
      <c r="O1304" s="53"/>
      <c r="P1304" s="53"/>
      <c r="Q1304" s="53"/>
      <c r="R1304" s="53"/>
      <c r="S1304" s="53"/>
      <c r="T1304" s="53"/>
      <c r="U1304" s="53"/>
      <c r="V1304" s="53"/>
      <c r="W1304" s="53"/>
      <c r="X1304" s="53"/>
      <c r="Y1304" s="53"/>
      <c r="Z1304" s="53"/>
    </row>
    <row r="1305" spans="1:26" ht="15.75" customHeight="1">
      <c r="A1305" s="103"/>
      <c r="B1305" s="103"/>
      <c r="C1305" s="104" t="e">
        <v>#REF!</v>
      </c>
      <c r="D1305" s="103"/>
      <c r="E1305" s="53"/>
      <c r="F1305" s="53"/>
      <c r="G1305" s="53"/>
      <c r="H1305" s="53"/>
      <c r="I1305" s="53"/>
      <c r="J1305" s="53"/>
      <c r="K1305" s="53"/>
      <c r="L1305" s="53"/>
      <c r="M1305" s="53"/>
      <c r="N1305" s="53"/>
      <c r="O1305" s="53"/>
      <c r="P1305" s="53"/>
      <c r="Q1305" s="53"/>
      <c r="R1305" s="53"/>
      <c r="S1305" s="53"/>
      <c r="T1305" s="53"/>
      <c r="U1305" s="53"/>
      <c r="V1305" s="53"/>
      <c r="W1305" s="53"/>
      <c r="X1305" s="53"/>
      <c r="Y1305" s="53"/>
      <c r="Z1305" s="53"/>
    </row>
    <row r="1306" spans="1:26" ht="15.75" customHeight="1">
      <c r="A1306" s="103"/>
      <c r="B1306" s="103"/>
      <c r="C1306" s="104" t="e">
        <v>#REF!</v>
      </c>
      <c r="D1306" s="103"/>
      <c r="E1306" s="53"/>
      <c r="F1306" s="53"/>
      <c r="G1306" s="53"/>
      <c r="H1306" s="53"/>
      <c r="I1306" s="53"/>
      <c r="J1306" s="53"/>
      <c r="K1306" s="53"/>
      <c r="L1306" s="53"/>
      <c r="M1306" s="53"/>
      <c r="N1306" s="53"/>
      <c r="O1306" s="53"/>
      <c r="P1306" s="53"/>
      <c r="Q1306" s="53"/>
      <c r="R1306" s="53"/>
      <c r="S1306" s="53"/>
      <c r="T1306" s="53"/>
      <c r="U1306" s="53"/>
      <c r="V1306" s="53"/>
      <c r="W1306" s="53"/>
      <c r="X1306" s="53"/>
      <c r="Y1306" s="53"/>
      <c r="Z1306" s="53"/>
    </row>
    <row r="1307" spans="1:26" ht="15.75" customHeight="1">
      <c r="A1307" s="103"/>
      <c r="B1307" s="103"/>
      <c r="C1307" s="104" t="e">
        <v>#REF!</v>
      </c>
      <c r="D1307" s="103"/>
      <c r="E1307" s="53"/>
      <c r="F1307" s="53"/>
      <c r="G1307" s="53"/>
      <c r="H1307" s="53"/>
      <c r="I1307" s="53"/>
      <c r="J1307" s="53"/>
      <c r="K1307" s="53"/>
      <c r="L1307" s="53"/>
      <c r="M1307" s="53"/>
      <c r="N1307" s="53"/>
      <c r="O1307" s="53"/>
      <c r="P1307" s="53"/>
      <c r="Q1307" s="53"/>
      <c r="R1307" s="53"/>
      <c r="S1307" s="53"/>
      <c r="T1307" s="53"/>
      <c r="U1307" s="53"/>
      <c r="V1307" s="53"/>
      <c r="W1307" s="53"/>
      <c r="X1307" s="53"/>
      <c r="Y1307" s="53"/>
      <c r="Z1307" s="53"/>
    </row>
    <row r="1308" spans="1:26" ht="15.75" customHeight="1">
      <c r="A1308" s="103"/>
      <c r="B1308" s="103"/>
      <c r="C1308" s="104" t="e">
        <v>#REF!</v>
      </c>
      <c r="D1308" s="10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</row>
    <row r="1309" spans="1:26" ht="15.75" customHeight="1">
      <c r="A1309" s="103"/>
      <c r="B1309" s="103"/>
      <c r="C1309" s="104" t="e">
        <v>#REF!</v>
      </c>
      <c r="D1309" s="103"/>
      <c r="E1309" s="53"/>
      <c r="F1309" s="53"/>
      <c r="G1309" s="53"/>
      <c r="H1309" s="53"/>
      <c r="I1309" s="53"/>
      <c r="J1309" s="53"/>
      <c r="K1309" s="53"/>
      <c r="L1309" s="53"/>
      <c r="M1309" s="53"/>
      <c r="N1309" s="53"/>
      <c r="O1309" s="53"/>
      <c r="P1309" s="53"/>
      <c r="Q1309" s="53"/>
      <c r="R1309" s="53"/>
      <c r="S1309" s="53"/>
      <c r="T1309" s="53"/>
      <c r="U1309" s="53"/>
      <c r="V1309" s="53"/>
      <c r="W1309" s="53"/>
      <c r="X1309" s="53"/>
      <c r="Y1309" s="53"/>
      <c r="Z1309" s="53"/>
    </row>
    <row r="1310" spans="1:26" ht="15.75" customHeight="1">
      <c r="A1310" s="103"/>
      <c r="B1310" s="103"/>
      <c r="C1310" s="104" t="e">
        <v>#REF!</v>
      </c>
      <c r="D1310" s="103"/>
      <c r="E1310" s="53"/>
      <c r="F1310" s="53"/>
      <c r="G1310" s="53"/>
      <c r="H1310" s="53"/>
      <c r="I1310" s="53"/>
      <c r="J1310" s="53"/>
      <c r="K1310" s="53"/>
      <c r="L1310" s="53"/>
      <c r="M1310" s="53"/>
      <c r="N1310" s="53"/>
      <c r="O1310" s="53"/>
      <c r="P1310" s="53"/>
      <c r="Q1310" s="53"/>
      <c r="R1310" s="53"/>
      <c r="S1310" s="53"/>
      <c r="T1310" s="53"/>
      <c r="U1310" s="53"/>
      <c r="V1310" s="53"/>
      <c r="W1310" s="53"/>
      <c r="X1310" s="53"/>
      <c r="Y1310" s="53"/>
      <c r="Z1310" s="53"/>
    </row>
    <row r="1311" spans="1:26" ht="15.75" customHeight="1">
      <c r="A1311" s="103"/>
      <c r="B1311" s="103"/>
      <c r="C1311" s="104" t="e">
        <v>#REF!</v>
      </c>
      <c r="D1311" s="103"/>
      <c r="E1311" s="53"/>
      <c r="F1311" s="53"/>
      <c r="G1311" s="53"/>
      <c r="H1311" s="53"/>
      <c r="I1311" s="53"/>
      <c r="J1311" s="53"/>
      <c r="K1311" s="53"/>
      <c r="L1311" s="53"/>
      <c r="M1311" s="53"/>
      <c r="N1311" s="53"/>
      <c r="O1311" s="53"/>
      <c r="P1311" s="53"/>
      <c r="Q1311" s="53"/>
      <c r="R1311" s="53"/>
      <c r="S1311" s="53"/>
      <c r="T1311" s="53"/>
      <c r="U1311" s="53"/>
      <c r="V1311" s="53"/>
      <c r="W1311" s="53"/>
      <c r="X1311" s="53"/>
      <c r="Y1311" s="53"/>
      <c r="Z1311" s="53"/>
    </row>
    <row r="1312" spans="1:26" ht="15.75" customHeight="1">
      <c r="A1312" s="103"/>
      <c r="B1312" s="103"/>
      <c r="C1312" s="104" t="e">
        <v>#REF!</v>
      </c>
      <c r="D1312" s="103"/>
      <c r="E1312" s="53"/>
      <c r="F1312" s="53"/>
      <c r="G1312" s="53"/>
      <c r="H1312" s="53"/>
      <c r="I1312" s="53"/>
      <c r="J1312" s="53"/>
      <c r="K1312" s="53"/>
      <c r="L1312" s="53"/>
      <c r="M1312" s="53"/>
      <c r="N1312" s="53"/>
      <c r="O1312" s="53"/>
      <c r="P1312" s="53"/>
      <c r="Q1312" s="53"/>
      <c r="R1312" s="53"/>
      <c r="S1312" s="53"/>
      <c r="T1312" s="53"/>
      <c r="U1312" s="53"/>
      <c r="V1312" s="53"/>
      <c r="W1312" s="53"/>
      <c r="X1312" s="53"/>
      <c r="Y1312" s="53"/>
      <c r="Z1312" s="53"/>
    </row>
    <row r="1313" spans="1:26" ht="15.75" customHeight="1">
      <c r="A1313" s="103"/>
      <c r="B1313" s="103"/>
      <c r="C1313" s="104" t="e">
        <v>#REF!</v>
      </c>
      <c r="D1313" s="10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53"/>
      <c r="T1313" s="53"/>
      <c r="U1313" s="53"/>
      <c r="V1313" s="53"/>
      <c r="W1313" s="53"/>
      <c r="X1313" s="53"/>
      <c r="Y1313" s="53"/>
      <c r="Z1313" s="53"/>
    </row>
    <row r="1314" spans="1:26" ht="15.75" customHeight="1">
      <c r="A1314" s="103"/>
      <c r="B1314" s="103"/>
      <c r="C1314" s="104" t="e">
        <v>#REF!</v>
      </c>
      <c r="D1314" s="103"/>
      <c r="E1314" s="53"/>
      <c r="F1314" s="53"/>
      <c r="G1314" s="53"/>
      <c r="H1314" s="53"/>
      <c r="I1314" s="53"/>
      <c r="J1314" s="53"/>
      <c r="K1314" s="53"/>
      <c r="L1314" s="53"/>
      <c r="M1314" s="53"/>
      <c r="N1314" s="53"/>
      <c r="O1314" s="53"/>
      <c r="P1314" s="53"/>
      <c r="Q1314" s="53"/>
      <c r="R1314" s="53"/>
      <c r="S1314" s="53"/>
      <c r="T1314" s="53"/>
      <c r="U1314" s="53"/>
      <c r="V1314" s="53"/>
      <c r="W1314" s="53"/>
      <c r="X1314" s="53"/>
      <c r="Y1314" s="53"/>
      <c r="Z1314" s="53"/>
    </row>
    <row r="1315" spans="1:26" ht="15.75" customHeight="1">
      <c r="A1315" s="103"/>
      <c r="B1315" s="103"/>
      <c r="C1315" s="104" t="e">
        <v>#REF!</v>
      </c>
      <c r="D1315" s="103"/>
      <c r="E1315" s="53"/>
      <c r="F1315" s="53"/>
      <c r="G1315" s="53"/>
      <c r="H1315" s="53"/>
      <c r="I1315" s="53"/>
      <c r="J1315" s="53"/>
      <c r="K1315" s="53"/>
      <c r="L1315" s="53"/>
      <c r="M1315" s="53"/>
      <c r="N1315" s="53"/>
      <c r="O1315" s="53"/>
      <c r="P1315" s="53"/>
      <c r="Q1315" s="53"/>
      <c r="R1315" s="53"/>
      <c r="S1315" s="53"/>
      <c r="T1315" s="53"/>
      <c r="U1315" s="53"/>
      <c r="V1315" s="53"/>
      <c r="W1315" s="53"/>
      <c r="X1315" s="53"/>
      <c r="Y1315" s="53"/>
      <c r="Z1315" s="53"/>
    </row>
    <row r="1316" spans="1:26" ht="15.75" customHeight="1">
      <c r="A1316" s="103"/>
      <c r="B1316" s="103"/>
      <c r="C1316" s="104" t="e">
        <v>#REF!</v>
      </c>
      <c r="D1316" s="103"/>
      <c r="E1316" s="53"/>
      <c r="F1316" s="53"/>
      <c r="G1316" s="53"/>
      <c r="H1316" s="53"/>
      <c r="I1316" s="53"/>
      <c r="J1316" s="53"/>
      <c r="K1316" s="53"/>
      <c r="L1316" s="53"/>
      <c r="M1316" s="53"/>
      <c r="N1316" s="53"/>
      <c r="O1316" s="53"/>
      <c r="P1316" s="53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</row>
    <row r="1317" spans="1:26" ht="15.75" customHeight="1">
      <c r="A1317" s="103"/>
      <c r="B1317" s="103"/>
      <c r="C1317" s="104" t="e">
        <v>#REF!</v>
      </c>
      <c r="D1317" s="103"/>
      <c r="E1317" s="53"/>
      <c r="F1317" s="53"/>
      <c r="G1317" s="53"/>
      <c r="H1317" s="53"/>
      <c r="I1317" s="53"/>
      <c r="J1317" s="53"/>
      <c r="K1317" s="53"/>
      <c r="L1317" s="53"/>
      <c r="M1317" s="53"/>
      <c r="N1317" s="53"/>
      <c r="O1317" s="53"/>
      <c r="P1317" s="53"/>
      <c r="Q1317" s="53"/>
      <c r="R1317" s="53"/>
      <c r="S1317" s="53"/>
      <c r="T1317" s="53"/>
      <c r="U1317" s="53"/>
      <c r="V1317" s="53"/>
      <c r="W1317" s="53"/>
      <c r="X1317" s="53"/>
      <c r="Y1317" s="53"/>
      <c r="Z1317" s="53"/>
    </row>
    <row r="1318" spans="1:26" ht="15.75" customHeight="1">
      <c r="A1318" s="103"/>
      <c r="B1318" s="103"/>
      <c r="C1318" s="104" t="e">
        <v>#REF!</v>
      </c>
      <c r="D1318" s="103"/>
      <c r="E1318" s="53"/>
      <c r="F1318" s="53"/>
      <c r="G1318" s="53"/>
      <c r="H1318" s="53"/>
      <c r="I1318" s="53"/>
      <c r="J1318" s="53"/>
      <c r="K1318" s="53"/>
      <c r="L1318" s="53"/>
      <c r="M1318" s="53"/>
      <c r="N1318" s="53"/>
      <c r="O1318" s="53"/>
      <c r="P1318" s="53"/>
      <c r="Q1318" s="53"/>
      <c r="R1318" s="53"/>
      <c r="S1318" s="53"/>
      <c r="T1318" s="53"/>
      <c r="U1318" s="53"/>
      <c r="V1318" s="53"/>
      <c r="W1318" s="53"/>
      <c r="X1318" s="53"/>
      <c r="Y1318" s="53"/>
      <c r="Z1318" s="53"/>
    </row>
    <row r="1319" spans="1:26" ht="15.75" customHeight="1">
      <c r="A1319" s="103"/>
      <c r="B1319" s="103"/>
      <c r="C1319" s="104" t="e">
        <v>#REF!</v>
      </c>
      <c r="D1319" s="103"/>
      <c r="E1319" s="53"/>
      <c r="F1319" s="53"/>
      <c r="G1319" s="53"/>
      <c r="H1319" s="53"/>
      <c r="I1319" s="53"/>
      <c r="J1319" s="53"/>
      <c r="K1319" s="53"/>
      <c r="L1319" s="53"/>
      <c r="M1319" s="53"/>
      <c r="N1319" s="53"/>
      <c r="O1319" s="53"/>
      <c r="P1319" s="53"/>
      <c r="Q1319" s="53"/>
      <c r="R1319" s="53"/>
      <c r="S1319" s="53"/>
      <c r="T1319" s="53"/>
      <c r="U1319" s="53"/>
      <c r="V1319" s="53"/>
      <c r="W1319" s="53"/>
      <c r="X1319" s="53"/>
      <c r="Y1319" s="53"/>
      <c r="Z1319" s="53"/>
    </row>
    <row r="1320" spans="1:26" ht="15.75" customHeight="1">
      <c r="A1320" s="103"/>
      <c r="B1320" s="103"/>
      <c r="C1320" s="104" t="e">
        <v>#REF!</v>
      </c>
      <c r="D1320" s="103"/>
      <c r="E1320" s="53"/>
      <c r="F1320" s="53"/>
      <c r="G1320" s="53"/>
      <c r="H1320" s="53"/>
      <c r="I1320" s="53"/>
      <c r="J1320" s="53"/>
      <c r="K1320" s="53"/>
      <c r="L1320" s="53"/>
      <c r="M1320" s="53"/>
      <c r="N1320" s="53"/>
      <c r="O1320" s="53"/>
      <c r="P1320" s="53"/>
      <c r="Q1320" s="53"/>
      <c r="R1320" s="53"/>
      <c r="S1320" s="53"/>
      <c r="T1320" s="53"/>
      <c r="U1320" s="53"/>
      <c r="V1320" s="53"/>
      <c r="W1320" s="53"/>
      <c r="X1320" s="53"/>
      <c r="Y1320" s="53"/>
      <c r="Z1320" s="53"/>
    </row>
    <row r="1321" spans="1:26" ht="15.75" customHeight="1">
      <c r="A1321" s="103"/>
      <c r="B1321" s="103"/>
      <c r="C1321" s="104" t="e">
        <v>#REF!</v>
      </c>
      <c r="D1321" s="103"/>
      <c r="E1321" s="53"/>
      <c r="F1321" s="53"/>
      <c r="G1321" s="53"/>
      <c r="H1321" s="53"/>
      <c r="I1321" s="53"/>
      <c r="J1321" s="53"/>
      <c r="K1321" s="53"/>
      <c r="L1321" s="53"/>
      <c r="M1321" s="53"/>
      <c r="N1321" s="53"/>
      <c r="O1321" s="53"/>
      <c r="P1321" s="53"/>
      <c r="Q1321" s="53"/>
      <c r="R1321" s="53"/>
      <c r="S1321" s="53"/>
      <c r="T1321" s="53"/>
      <c r="U1321" s="53"/>
      <c r="V1321" s="53"/>
      <c r="W1321" s="53"/>
      <c r="X1321" s="53"/>
      <c r="Y1321" s="53"/>
      <c r="Z1321" s="53"/>
    </row>
    <row r="1322" spans="1:26" ht="15.75" customHeight="1">
      <c r="A1322" s="103"/>
      <c r="B1322" s="103"/>
      <c r="C1322" s="104" t="e">
        <v>#REF!</v>
      </c>
      <c r="D1322" s="103"/>
      <c r="E1322" s="53"/>
      <c r="F1322" s="53"/>
      <c r="G1322" s="53"/>
      <c r="H1322" s="53"/>
      <c r="I1322" s="53"/>
      <c r="J1322" s="53"/>
      <c r="K1322" s="53"/>
      <c r="L1322" s="53"/>
      <c r="M1322" s="53"/>
      <c r="N1322" s="53"/>
      <c r="O1322" s="53"/>
      <c r="P1322" s="53"/>
      <c r="Q1322" s="53"/>
      <c r="R1322" s="53"/>
      <c r="S1322" s="53"/>
      <c r="T1322" s="53"/>
      <c r="U1322" s="53"/>
      <c r="V1322" s="53"/>
      <c r="W1322" s="53"/>
      <c r="X1322" s="53"/>
      <c r="Y1322" s="53"/>
      <c r="Z1322" s="53"/>
    </row>
    <row r="1323" spans="1:26" ht="15.75" customHeight="1">
      <c r="A1323" s="103"/>
      <c r="B1323" s="103"/>
      <c r="C1323" s="104" t="e">
        <v>#REF!</v>
      </c>
      <c r="D1323" s="103"/>
      <c r="E1323" s="53"/>
      <c r="F1323" s="53"/>
      <c r="G1323" s="53"/>
      <c r="H1323" s="53"/>
      <c r="I1323" s="53"/>
      <c r="J1323" s="53"/>
      <c r="K1323" s="53"/>
      <c r="L1323" s="53"/>
      <c r="M1323" s="53"/>
      <c r="N1323" s="53"/>
      <c r="O1323" s="53"/>
      <c r="P1323" s="53"/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</row>
    <row r="1324" spans="1:26" ht="15.75" customHeight="1">
      <c r="A1324" s="103"/>
      <c r="B1324" s="103"/>
      <c r="C1324" s="104" t="e">
        <v>#REF!</v>
      </c>
      <c r="D1324" s="103"/>
      <c r="E1324" s="53"/>
      <c r="F1324" s="53"/>
      <c r="G1324" s="53"/>
      <c r="H1324" s="53"/>
      <c r="I1324" s="53"/>
      <c r="J1324" s="53"/>
      <c r="K1324" s="53"/>
      <c r="L1324" s="53"/>
      <c r="M1324" s="53"/>
      <c r="N1324" s="53"/>
      <c r="O1324" s="53"/>
      <c r="P1324" s="53"/>
      <c r="Q1324" s="53"/>
      <c r="R1324" s="53"/>
      <c r="S1324" s="53"/>
      <c r="T1324" s="53"/>
      <c r="U1324" s="53"/>
      <c r="V1324" s="53"/>
      <c r="W1324" s="53"/>
      <c r="X1324" s="53"/>
      <c r="Y1324" s="53"/>
      <c r="Z1324" s="53"/>
    </row>
    <row r="1325" spans="1:26" ht="15.75" customHeight="1">
      <c r="A1325" s="103"/>
      <c r="B1325" s="103"/>
      <c r="C1325" s="104" t="e">
        <v>#REF!</v>
      </c>
      <c r="D1325" s="103"/>
      <c r="E1325" s="53"/>
      <c r="F1325" s="53"/>
      <c r="G1325" s="53"/>
      <c r="H1325" s="53"/>
      <c r="I1325" s="53"/>
      <c r="J1325" s="53"/>
      <c r="K1325" s="53"/>
      <c r="L1325" s="53"/>
      <c r="M1325" s="53"/>
      <c r="N1325" s="53"/>
      <c r="O1325" s="53"/>
      <c r="P1325" s="53"/>
      <c r="Q1325" s="53"/>
      <c r="R1325" s="53"/>
      <c r="S1325" s="53"/>
      <c r="T1325" s="53"/>
      <c r="U1325" s="53"/>
      <c r="V1325" s="53"/>
      <c r="W1325" s="53"/>
      <c r="X1325" s="53"/>
      <c r="Y1325" s="53"/>
      <c r="Z1325" s="53"/>
    </row>
    <row r="1326" spans="1:26" ht="15.75" customHeight="1">
      <c r="A1326" s="103"/>
      <c r="B1326" s="103"/>
      <c r="C1326" s="104" t="e">
        <v>#REF!</v>
      </c>
      <c r="D1326" s="103"/>
      <c r="E1326" s="53"/>
      <c r="F1326" s="53"/>
      <c r="G1326" s="53"/>
      <c r="H1326" s="53"/>
      <c r="I1326" s="53"/>
      <c r="J1326" s="53"/>
      <c r="K1326" s="53"/>
      <c r="L1326" s="53"/>
      <c r="M1326" s="53"/>
      <c r="N1326" s="53"/>
      <c r="O1326" s="53"/>
      <c r="P1326" s="53"/>
      <c r="Q1326" s="53"/>
      <c r="R1326" s="53"/>
      <c r="S1326" s="53"/>
      <c r="T1326" s="53"/>
      <c r="U1326" s="53"/>
      <c r="V1326" s="53"/>
      <c r="W1326" s="53"/>
      <c r="X1326" s="53"/>
      <c r="Y1326" s="53"/>
      <c r="Z1326" s="53"/>
    </row>
    <row r="1327" spans="1:26" ht="15.75" customHeight="1">
      <c r="A1327" s="103"/>
      <c r="B1327" s="103"/>
      <c r="C1327" s="104" t="e">
        <v>#REF!</v>
      </c>
      <c r="D1327" s="103"/>
      <c r="E1327" s="53"/>
      <c r="F1327" s="53"/>
      <c r="G1327" s="53"/>
      <c r="H1327" s="53"/>
      <c r="I1327" s="53"/>
      <c r="J1327" s="53"/>
      <c r="K1327" s="53"/>
      <c r="L1327" s="53"/>
      <c r="M1327" s="53"/>
      <c r="N1327" s="53"/>
      <c r="O1327" s="53"/>
      <c r="P1327" s="53"/>
      <c r="Q1327" s="53"/>
      <c r="R1327" s="53"/>
      <c r="S1327" s="53"/>
      <c r="T1327" s="53"/>
      <c r="U1327" s="53"/>
      <c r="V1327" s="53"/>
      <c r="W1327" s="53"/>
      <c r="X1327" s="53"/>
      <c r="Y1327" s="53"/>
      <c r="Z1327" s="53"/>
    </row>
    <row r="1328" spans="1:26" ht="15.75" customHeight="1">
      <c r="A1328" s="103"/>
      <c r="B1328" s="103"/>
      <c r="C1328" s="104" t="e">
        <v>#REF!</v>
      </c>
      <c r="D1328" s="103"/>
      <c r="E1328" s="53"/>
      <c r="F1328" s="53"/>
      <c r="G1328" s="53"/>
      <c r="H1328" s="53"/>
      <c r="I1328" s="53"/>
      <c r="J1328" s="53"/>
      <c r="K1328" s="53"/>
      <c r="L1328" s="53"/>
      <c r="M1328" s="53"/>
      <c r="N1328" s="53"/>
      <c r="O1328" s="53"/>
      <c r="P1328" s="53"/>
      <c r="Q1328" s="53"/>
      <c r="R1328" s="53"/>
      <c r="S1328" s="53"/>
      <c r="T1328" s="53"/>
      <c r="U1328" s="53"/>
      <c r="V1328" s="53"/>
      <c r="W1328" s="53"/>
      <c r="X1328" s="53"/>
      <c r="Y1328" s="53"/>
      <c r="Z1328" s="53"/>
    </row>
    <row r="1329" spans="1:26" ht="15.75" customHeight="1">
      <c r="A1329" s="103"/>
      <c r="B1329" s="103"/>
      <c r="C1329" s="104" t="e">
        <v>#REF!</v>
      </c>
      <c r="D1329" s="103"/>
      <c r="E1329" s="53"/>
      <c r="F1329" s="53"/>
      <c r="G1329" s="53"/>
      <c r="H1329" s="53"/>
      <c r="I1329" s="53"/>
      <c r="J1329" s="53"/>
      <c r="K1329" s="53"/>
      <c r="L1329" s="53"/>
      <c r="M1329" s="53"/>
      <c r="N1329" s="53"/>
      <c r="O1329" s="53"/>
      <c r="P1329" s="53"/>
      <c r="Q1329" s="53"/>
      <c r="R1329" s="53"/>
      <c r="S1329" s="53"/>
      <c r="T1329" s="53"/>
      <c r="U1329" s="53"/>
      <c r="V1329" s="53"/>
      <c r="W1329" s="53"/>
      <c r="X1329" s="53"/>
      <c r="Y1329" s="53"/>
      <c r="Z1329" s="53"/>
    </row>
    <row r="1330" spans="1:26" ht="15.75" customHeight="1">
      <c r="A1330" s="103"/>
      <c r="B1330" s="103"/>
      <c r="C1330" s="104" t="e">
        <v>#REF!</v>
      </c>
      <c r="D1330" s="103"/>
      <c r="E1330" s="53"/>
      <c r="F1330" s="53"/>
      <c r="G1330" s="53"/>
      <c r="H1330" s="53"/>
      <c r="I1330" s="53"/>
      <c r="J1330" s="53"/>
      <c r="K1330" s="53"/>
      <c r="L1330" s="53"/>
      <c r="M1330" s="53"/>
      <c r="N1330" s="53"/>
      <c r="O1330" s="53"/>
      <c r="P1330" s="53"/>
      <c r="Q1330" s="53"/>
      <c r="R1330" s="53"/>
      <c r="S1330" s="53"/>
      <c r="T1330" s="53"/>
      <c r="U1330" s="53"/>
      <c r="V1330" s="53"/>
      <c r="W1330" s="53"/>
      <c r="X1330" s="53"/>
      <c r="Y1330" s="53"/>
      <c r="Z1330" s="53"/>
    </row>
    <row r="1331" spans="1:26" ht="15.75" customHeight="1">
      <c r="A1331" s="103"/>
      <c r="B1331" s="103"/>
      <c r="C1331" s="104" t="e">
        <v>#REF!</v>
      </c>
      <c r="D1331" s="103"/>
      <c r="E1331" s="53"/>
      <c r="F1331" s="53"/>
      <c r="G1331" s="53"/>
      <c r="H1331" s="53"/>
      <c r="I1331" s="53"/>
      <c r="J1331" s="53"/>
      <c r="K1331" s="53"/>
      <c r="L1331" s="53"/>
      <c r="M1331" s="53"/>
      <c r="N1331" s="53"/>
      <c r="O1331" s="53"/>
      <c r="P1331" s="53"/>
      <c r="Q1331" s="53"/>
      <c r="R1331" s="53"/>
      <c r="S1331" s="53"/>
      <c r="T1331" s="53"/>
      <c r="U1331" s="53"/>
      <c r="V1331" s="53"/>
      <c r="W1331" s="53"/>
      <c r="X1331" s="53"/>
      <c r="Y1331" s="53"/>
      <c r="Z1331" s="53"/>
    </row>
    <row r="1332" spans="1:26" ht="15.75" customHeight="1">
      <c r="A1332" s="103"/>
      <c r="B1332" s="103"/>
      <c r="C1332" s="104" t="e">
        <v>#REF!</v>
      </c>
      <c r="D1332" s="103"/>
      <c r="E1332" s="53"/>
      <c r="F1332" s="53"/>
      <c r="G1332" s="53"/>
      <c r="H1332" s="53"/>
      <c r="I1332" s="53"/>
      <c r="J1332" s="53"/>
      <c r="K1332" s="53"/>
      <c r="L1332" s="53"/>
      <c r="M1332" s="53"/>
      <c r="N1332" s="53"/>
      <c r="O1332" s="53"/>
      <c r="P1332" s="53"/>
      <c r="Q1332" s="53"/>
      <c r="R1332" s="53"/>
      <c r="S1332" s="53"/>
      <c r="T1332" s="53"/>
      <c r="U1332" s="53"/>
      <c r="V1332" s="53"/>
      <c r="W1332" s="53"/>
      <c r="X1332" s="53"/>
      <c r="Y1332" s="53"/>
      <c r="Z1332" s="53"/>
    </row>
    <row r="1333" spans="1:26" ht="15.75" customHeight="1">
      <c r="A1333" s="103"/>
      <c r="B1333" s="103"/>
      <c r="C1333" s="104" t="e">
        <v>#REF!</v>
      </c>
      <c r="D1333" s="103"/>
      <c r="E1333" s="53"/>
      <c r="F1333" s="53"/>
      <c r="G1333" s="53"/>
      <c r="H1333" s="53"/>
      <c r="I1333" s="53"/>
      <c r="J1333" s="53"/>
      <c r="K1333" s="53"/>
      <c r="L1333" s="53"/>
      <c r="M1333" s="53"/>
      <c r="N1333" s="53"/>
      <c r="O1333" s="53"/>
      <c r="P1333" s="53"/>
      <c r="Q1333" s="53"/>
      <c r="R1333" s="53"/>
      <c r="S1333" s="53"/>
      <c r="T1333" s="53"/>
      <c r="U1333" s="53"/>
      <c r="V1333" s="53"/>
      <c r="W1333" s="53"/>
      <c r="X1333" s="53"/>
      <c r="Y1333" s="53"/>
      <c r="Z1333" s="53"/>
    </row>
    <row r="1334" spans="1:26" ht="15.75" customHeight="1">
      <c r="A1334" s="103"/>
      <c r="B1334" s="103"/>
      <c r="C1334" s="104" t="e">
        <v>#REF!</v>
      </c>
      <c r="D1334" s="103"/>
      <c r="E1334" s="53"/>
      <c r="F1334" s="53"/>
      <c r="G1334" s="53"/>
      <c r="H1334" s="53"/>
      <c r="I1334" s="53"/>
      <c r="J1334" s="53"/>
      <c r="K1334" s="53"/>
      <c r="L1334" s="53"/>
      <c r="M1334" s="53"/>
      <c r="N1334" s="53"/>
      <c r="O1334" s="53"/>
      <c r="P1334" s="53"/>
      <c r="Q1334" s="53"/>
      <c r="R1334" s="53"/>
      <c r="S1334" s="53"/>
      <c r="T1334" s="53"/>
      <c r="U1334" s="53"/>
      <c r="V1334" s="53"/>
      <c r="W1334" s="53"/>
      <c r="X1334" s="53"/>
      <c r="Y1334" s="53"/>
      <c r="Z1334" s="53"/>
    </row>
    <row r="1335" spans="1:26" ht="15.75" customHeight="1">
      <c r="A1335" s="103"/>
      <c r="B1335" s="103"/>
      <c r="C1335" s="104" t="e">
        <v>#REF!</v>
      </c>
      <c r="D1335" s="103"/>
      <c r="E1335" s="53"/>
      <c r="F1335" s="53"/>
      <c r="G1335" s="53"/>
      <c r="H1335" s="53"/>
      <c r="I1335" s="53"/>
      <c r="J1335" s="53"/>
      <c r="K1335" s="53"/>
      <c r="L1335" s="53"/>
      <c r="M1335" s="53"/>
      <c r="N1335" s="53"/>
      <c r="O1335" s="53"/>
      <c r="P1335" s="53"/>
      <c r="Q1335" s="53"/>
      <c r="R1335" s="53"/>
      <c r="S1335" s="53"/>
      <c r="T1335" s="53"/>
      <c r="U1335" s="53"/>
      <c r="V1335" s="53"/>
      <c r="W1335" s="53"/>
      <c r="X1335" s="53"/>
      <c r="Y1335" s="53"/>
      <c r="Z1335" s="53"/>
    </row>
    <row r="1336" spans="1:26" ht="15.75" customHeight="1">
      <c r="A1336" s="103"/>
      <c r="B1336" s="103"/>
      <c r="C1336" s="104" t="e">
        <v>#REF!</v>
      </c>
      <c r="D1336" s="103"/>
      <c r="E1336" s="53"/>
      <c r="F1336" s="53"/>
      <c r="G1336" s="53"/>
      <c r="H1336" s="53"/>
      <c r="I1336" s="53"/>
      <c r="J1336" s="53"/>
      <c r="K1336" s="53"/>
      <c r="L1336" s="53"/>
      <c r="M1336" s="53"/>
      <c r="N1336" s="53"/>
      <c r="O1336" s="53"/>
      <c r="P1336" s="53"/>
      <c r="Q1336" s="53"/>
      <c r="R1336" s="53"/>
      <c r="S1336" s="53"/>
      <c r="T1336" s="53"/>
      <c r="U1336" s="53"/>
      <c r="V1336" s="53"/>
      <c r="W1336" s="53"/>
      <c r="X1336" s="53"/>
      <c r="Y1336" s="53"/>
      <c r="Z1336" s="53"/>
    </row>
    <row r="1337" spans="1:26" ht="15.75" customHeight="1">
      <c r="A1337" s="103"/>
      <c r="B1337" s="103"/>
      <c r="C1337" s="104" t="e">
        <v>#REF!</v>
      </c>
      <c r="D1337" s="103"/>
      <c r="E1337" s="53"/>
      <c r="F1337" s="53"/>
      <c r="G1337" s="53"/>
      <c r="H1337" s="53"/>
      <c r="I1337" s="53"/>
      <c r="J1337" s="53"/>
      <c r="K1337" s="53"/>
      <c r="L1337" s="53"/>
      <c r="M1337" s="53"/>
      <c r="N1337" s="53"/>
      <c r="O1337" s="53"/>
      <c r="P1337" s="53"/>
      <c r="Q1337" s="53"/>
      <c r="R1337" s="53"/>
      <c r="S1337" s="53"/>
      <c r="T1337" s="53"/>
      <c r="U1337" s="53"/>
      <c r="V1337" s="53"/>
      <c r="W1337" s="53"/>
      <c r="X1337" s="53"/>
      <c r="Y1337" s="53"/>
      <c r="Z1337" s="53"/>
    </row>
    <row r="1338" spans="1:26" ht="15.75" customHeight="1">
      <c r="A1338" s="103"/>
      <c r="B1338" s="103"/>
      <c r="C1338" s="104" t="e">
        <v>#REF!</v>
      </c>
      <c r="D1338" s="103"/>
      <c r="E1338" s="53"/>
      <c r="F1338" s="53"/>
      <c r="G1338" s="53"/>
      <c r="H1338" s="53"/>
      <c r="I1338" s="53"/>
      <c r="J1338" s="53"/>
      <c r="K1338" s="53"/>
      <c r="L1338" s="53"/>
      <c r="M1338" s="53"/>
      <c r="N1338" s="53"/>
      <c r="O1338" s="53"/>
      <c r="P1338" s="53"/>
      <c r="Q1338" s="53"/>
      <c r="R1338" s="53"/>
      <c r="S1338" s="53"/>
      <c r="T1338" s="53"/>
      <c r="U1338" s="53"/>
      <c r="V1338" s="53"/>
      <c r="W1338" s="53"/>
      <c r="X1338" s="53"/>
      <c r="Y1338" s="53"/>
      <c r="Z1338" s="53"/>
    </row>
    <row r="1339" spans="1:26" ht="15.75" customHeight="1">
      <c r="A1339" s="103"/>
      <c r="B1339" s="103"/>
      <c r="C1339" s="104" t="e">
        <v>#REF!</v>
      </c>
      <c r="D1339" s="103"/>
      <c r="E1339" s="53"/>
      <c r="F1339" s="53"/>
      <c r="G1339" s="53"/>
      <c r="H1339" s="53"/>
      <c r="I1339" s="53"/>
      <c r="J1339" s="53"/>
      <c r="K1339" s="53"/>
      <c r="L1339" s="53"/>
      <c r="M1339" s="53"/>
      <c r="N1339" s="53"/>
      <c r="O1339" s="53"/>
      <c r="P1339" s="53"/>
      <c r="Q1339" s="53"/>
      <c r="R1339" s="53"/>
      <c r="S1339" s="53"/>
      <c r="T1339" s="53"/>
      <c r="U1339" s="53"/>
      <c r="V1339" s="53"/>
      <c r="W1339" s="53"/>
      <c r="X1339" s="53"/>
      <c r="Y1339" s="53"/>
      <c r="Z1339" s="53"/>
    </row>
    <row r="1340" spans="1:26" ht="15.75" customHeight="1">
      <c r="A1340" s="103"/>
      <c r="B1340" s="103"/>
      <c r="C1340" s="104" t="e">
        <v>#REF!</v>
      </c>
      <c r="D1340" s="103"/>
      <c r="E1340" s="53"/>
      <c r="F1340" s="53"/>
      <c r="G1340" s="53"/>
      <c r="H1340" s="53"/>
      <c r="I1340" s="53"/>
      <c r="J1340" s="53"/>
      <c r="K1340" s="53"/>
      <c r="L1340" s="53"/>
      <c r="M1340" s="53"/>
      <c r="N1340" s="53"/>
      <c r="O1340" s="53"/>
      <c r="P1340" s="53"/>
      <c r="Q1340" s="53"/>
      <c r="R1340" s="53"/>
      <c r="S1340" s="53"/>
      <c r="T1340" s="53"/>
      <c r="U1340" s="53"/>
      <c r="V1340" s="53"/>
      <c r="W1340" s="53"/>
      <c r="X1340" s="53"/>
      <c r="Y1340" s="53"/>
      <c r="Z1340" s="53"/>
    </row>
    <row r="1341" spans="1:26" ht="15.75" customHeight="1">
      <c r="A1341" s="103"/>
      <c r="B1341" s="103"/>
      <c r="C1341" s="104" t="e">
        <v>#REF!</v>
      </c>
      <c r="D1341" s="103"/>
      <c r="E1341" s="53"/>
      <c r="F1341" s="53"/>
      <c r="G1341" s="53"/>
      <c r="H1341" s="53"/>
      <c r="I1341" s="53"/>
      <c r="J1341" s="53"/>
      <c r="K1341" s="53"/>
      <c r="L1341" s="53"/>
      <c r="M1341" s="53"/>
      <c r="N1341" s="53"/>
      <c r="O1341" s="53"/>
      <c r="P1341" s="53"/>
      <c r="Q1341" s="53"/>
      <c r="R1341" s="53"/>
      <c r="S1341" s="53"/>
      <c r="T1341" s="53"/>
      <c r="U1341" s="53"/>
      <c r="V1341" s="53"/>
      <c r="W1341" s="53"/>
      <c r="X1341" s="53"/>
      <c r="Y1341" s="53"/>
      <c r="Z1341" s="53"/>
    </row>
    <row r="1342" spans="1:26" ht="15.75" customHeight="1">
      <c r="A1342" s="103"/>
      <c r="B1342" s="103"/>
      <c r="C1342" s="104" t="e">
        <v>#REF!</v>
      </c>
      <c r="D1342" s="103"/>
      <c r="E1342" s="53"/>
      <c r="F1342" s="53"/>
      <c r="G1342" s="53"/>
      <c r="H1342" s="53"/>
      <c r="I1342" s="53"/>
      <c r="J1342" s="53"/>
      <c r="K1342" s="53"/>
      <c r="L1342" s="53"/>
      <c r="M1342" s="53"/>
      <c r="N1342" s="53"/>
      <c r="O1342" s="53"/>
      <c r="P1342" s="53"/>
      <c r="Q1342" s="53"/>
      <c r="R1342" s="53"/>
      <c r="S1342" s="53"/>
      <c r="T1342" s="53"/>
      <c r="U1342" s="53"/>
      <c r="V1342" s="53"/>
      <c r="W1342" s="53"/>
      <c r="X1342" s="53"/>
      <c r="Y1342" s="53"/>
      <c r="Z1342" s="53"/>
    </row>
    <row r="1343" spans="1:26" ht="15.75" customHeight="1">
      <c r="A1343" s="103"/>
      <c r="B1343" s="103"/>
      <c r="C1343" s="104" t="e">
        <v>#REF!</v>
      </c>
      <c r="D1343" s="103"/>
      <c r="E1343" s="53"/>
      <c r="F1343" s="53"/>
      <c r="G1343" s="53"/>
      <c r="H1343" s="53"/>
      <c r="I1343" s="53"/>
      <c r="J1343" s="53"/>
      <c r="K1343" s="53"/>
      <c r="L1343" s="53"/>
      <c r="M1343" s="53"/>
      <c r="N1343" s="53"/>
      <c r="O1343" s="53"/>
      <c r="P1343" s="53"/>
      <c r="Q1343" s="53"/>
      <c r="R1343" s="53"/>
      <c r="S1343" s="53"/>
      <c r="T1343" s="53"/>
      <c r="U1343" s="53"/>
      <c r="V1343" s="53"/>
      <c r="W1343" s="53"/>
      <c r="X1343" s="53"/>
      <c r="Y1343" s="53"/>
      <c r="Z1343" s="53"/>
    </row>
    <row r="1344" spans="1:26" ht="15.75" customHeight="1">
      <c r="A1344" s="103"/>
      <c r="B1344" s="103"/>
      <c r="C1344" s="104" t="e">
        <v>#REF!</v>
      </c>
      <c r="D1344" s="103"/>
      <c r="E1344" s="53"/>
      <c r="F1344" s="53"/>
      <c r="G1344" s="53"/>
      <c r="H1344" s="53"/>
      <c r="I1344" s="53"/>
      <c r="J1344" s="53"/>
      <c r="K1344" s="53"/>
      <c r="L1344" s="53"/>
      <c r="M1344" s="53"/>
      <c r="N1344" s="53"/>
      <c r="O1344" s="53"/>
      <c r="P1344" s="53"/>
      <c r="Q1344" s="53"/>
      <c r="R1344" s="53"/>
      <c r="S1344" s="53"/>
      <c r="T1344" s="53"/>
      <c r="U1344" s="53"/>
      <c r="V1344" s="53"/>
      <c r="W1344" s="53"/>
      <c r="X1344" s="53"/>
      <c r="Y1344" s="53"/>
      <c r="Z1344" s="53"/>
    </row>
    <row r="1345" spans="1:26" ht="15.75" customHeight="1">
      <c r="A1345" s="103"/>
      <c r="B1345" s="103"/>
      <c r="C1345" s="104" t="e">
        <v>#REF!</v>
      </c>
      <c r="D1345" s="103"/>
      <c r="E1345" s="53"/>
      <c r="F1345" s="53"/>
      <c r="G1345" s="53"/>
      <c r="H1345" s="53"/>
      <c r="I1345" s="53"/>
      <c r="J1345" s="53"/>
      <c r="K1345" s="53"/>
      <c r="L1345" s="53"/>
      <c r="M1345" s="53"/>
      <c r="N1345" s="53"/>
      <c r="O1345" s="53"/>
      <c r="P1345" s="53"/>
      <c r="Q1345" s="53"/>
      <c r="R1345" s="53"/>
      <c r="S1345" s="53"/>
      <c r="T1345" s="53"/>
      <c r="U1345" s="53"/>
      <c r="V1345" s="53"/>
      <c r="W1345" s="53"/>
      <c r="X1345" s="53"/>
      <c r="Y1345" s="53"/>
      <c r="Z1345" s="53"/>
    </row>
    <row r="1346" spans="1:26" ht="15.75" customHeight="1">
      <c r="A1346" s="103"/>
      <c r="B1346" s="103"/>
      <c r="C1346" s="104" t="e">
        <v>#REF!</v>
      </c>
      <c r="D1346" s="103"/>
      <c r="E1346" s="53"/>
      <c r="F1346" s="53"/>
      <c r="G1346" s="53"/>
      <c r="H1346" s="53"/>
      <c r="I1346" s="53"/>
      <c r="J1346" s="53"/>
      <c r="K1346" s="53"/>
      <c r="L1346" s="53"/>
      <c r="M1346" s="53"/>
      <c r="N1346" s="53"/>
      <c r="O1346" s="53"/>
      <c r="P1346" s="53"/>
      <c r="Q1346" s="53"/>
      <c r="R1346" s="53"/>
      <c r="S1346" s="53"/>
      <c r="T1346" s="53"/>
      <c r="U1346" s="53"/>
      <c r="V1346" s="53"/>
      <c r="W1346" s="53"/>
      <c r="X1346" s="53"/>
      <c r="Y1346" s="53"/>
      <c r="Z1346" s="53"/>
    </row>
    <row r="1347" spans="1:26" ht="15.75" customHeight="1">
      <c r="A1347" s="103"/>
      <c r="B1347" s="103"/>
      <c r="C1347" s="104" t="e">
        <v>#REF!</v>
      </c>
      <c r="D1347" s="103"/>
      <c r="E1347" s="53"/>
      <c r="F1347" s="53"/>
      <c r="G1347" s="53"/>
      <c r="H1347" s="53"/>
      <c r="I1347" s="53"/>
      <c r="J1347" s="53"/>
      <c r="K1347" s="53"/>
      <c r="L1347" s="53"/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  <c r="W1347" s="53"/>
      <c r="X1347" s="53"/>
      <c r="Y1347" s="53"/>
      <c r="Z1347" s="53"/>
    </row>
    <row r="1348" spans="1:26" ht="15.75" customHeight="1">
      <c r="A1348" s="103"/>
      <c r="B1348" s="103"/>
      <c r="C1348" s="104" t="e">
        <v>#REF!</v>
      </c>
      <c r="D1348" s="103"/>
      <c r="E1348" s="53"/>
      <c r="F1348" s="53"/>
      <c r="G1348" s="53"/>
      <c r="H1348" s="53"/>
      <c r="I1348" s="53"/>
      <c r="J1348" s="53"/>
      <c r="K1348" s="53"/>
      <c r="L1348" s="53"/>
      <c r="M1348" s="53"/>
      <c r="N1348" s="53"/>
      <c r="O1348" s="53"/>
      <c r="P1348" s="53"/>
      <c r="Q1348" s="53"/>
      <c r="R1348" s="53"/>
      <c r="S1348" s="53"/>
      <c r="T1348" s="53"/>
      <c r="U1348" s="53"/>
      <c r="V1348" s="53"/>
      <c r="W1348" s="53"/>
      <c r="X1348" s="53"/>
      <c r="Y1348" s="53"/>
      <c r="Z1348" s="53"/>
    </row>
    <row r="1349" spans="1:26" ht="15.75" customHeight="1">
      <c r="A1349" s="103"/>
      <c r="B1349" s="103"/>
      <c r="C1349" s="104" t="e">
        <v>#REF!</v>
      </c>
      <c r="D1349" s="103"/>
      <c r="E1349" s="53"/>
      <c r="F1349" s="53"/>
      <c r="G1349" s="53"/>
      <c r="H1349" s="53"/>
      <c r="I1349" s="53"/>
      <c r="J1349" s="53"/>
      <c r="K1349" s="53"/>
      <c r="L1349" s="53"/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  <c r="W1349" s="53"/>
      <c r="X1349" s="53"/>
      <c r="Y1349" s="53"/>
      <c r="Z1349" s="53"/>
    </row>
    <row r="1350" spans="1:26" ht="15.75" customHeight="1">
      <c r="A1350" s="103"/>
      <c r="B1350" s="103"/>
      <c r="C1350" s="104" t="e">
        <v>#REF!</v>
      </c>
      <c r="D1350" s="103"/>
      <c r="E1350" s="53"/>
      <c r="F1350" s="53"/>
      <c r="G1350" s="53"/>
      <c r="H1350" s="53"/>
      <c r="I1350" s="53"/>
      <c r="J1350" s="53"/>
      <c r="K1350" s="53"/>
      <c r="L1350" s="53"/>
      <c r="M1350" s="53"/>
      <c r="N1350" s="53"/>
      <c r="O1350" s="53"/>
      <c r="P1350" s="53"/>
      <c r="Q1350" s="53"/>
      <c r="R1350" s="53"/>
      <c r="S1350" s="53"/>
      <c r="T1350" s="53"/>
      <c r="U1350" s="53"/>
      <c r="V1350" s="53"/>
      <c r="W1350" s="53"/>
      <c r="X1350" s="53"/>
      <c r="Y1350" s="53"/>
      <c r="Z1350" s="53"/>
    </row>
    <row r="1351" spans="1:26" ht="15.75" customHeight="1">
      <c r="A1351" s="103"/>
      <c r="B1351" s="103"/>
      <c r="C1351" s="104" t="e">
        <v>#REF!</v>
      </c>
      <c r="D1351" s="103"/>
      <c r="E1351" s="53"/>
      <c r="F1351" s="53"/>
      <c r="G1351" s="53"/>
      <c r="H1351" s="53"/>
      <c r="I1351" s="53"/>
      <c r="J1351" s="53"/>
      <c r="K1351" s="53"/>
      <c r="L1351" s="53"/>
      <c r="M1351" s="53"/>
      <c r="N1351" s="53"/>
      <c r="O1351" s="53"/>
      <c r="P1351" s="53"/>
      <c r="Q1351" s="53"/>
      <c r="R1351" s="53"/>
      <c r="S1351" s="53"/>
      <c r="T1351" s="53"/>
      <c r="U1351" s="53"/>
      <c r="V1351" s="53"/>
      <c r="W1351" s="53"/>
      <c r="X1351" s="53"/>
      <c r="Y1351" s="53"/>
      <c r="Z1351" s="53"/>
    </row>
    <row r="1352" spans="1:26" ht="15.75" customHeight="1">
      <c r="A1352" s="103"/>
      <c r="B1352" s="103"/>
      <c r="C1352" s="104" t="e">
        <v>#REF!</v>
      </c>
      <c r="D1352" s="103"/>
      <c r="E1352" s="53"/>
      <c r="F1352" s="53"/>
      <c r="G1352" s="53"/>
      <c r="H1352" s="53"/>
      <c r="I1352" s="53"/>
      <c r="J1352" s="53"/>
      <c r="K1352" s="53"/>
      <c r="L1352" s="53"/>
      <c r="M1352" s="53"/>
      <c r="N1352" s="53"/>
      <c r="O1352" s="53"/>
      <c r="P1352" s="53"/>
      <c r="Q1352" s="53"/>
      <c r="R1352" s="53"/>
      <c r="S1352" s="53"/>
      <c r="T1352" s="53"/>
      <c r="U1352" s="53"/>
      <c r="V1352" s="53"/>
      <c r="W1352" s="53"/>
      <c r="X1352" s="53"/>
      <c r="Y1352" s="53"/>
      <c r="Z1352" s="53"/>
    </row>
    <row r="1353" spans="1:26" ht="15.75" customHeight="1">
      <c r="A1353" s="103"/>
      <c r="B1353" s="103"/>
      <c r="C1353" s="104" t="e">
        <v>#REF!</v>
      </c>
      <c r="D1353" s="103"/>
      <c r="E1353" s="53"/>
      <c r="F1353" s="53"/>
      <c r="G1353" s="53"/>
      <c r="H1353" s="53"/>
      <c r="I1353" s="53"/>
      <c r="J1353" s="53"/>
      <c r="K1353" s="53"/>
      <c r="L1353" s="53"/>
      <c r="M1353" s="53"/>
      <c r="N1353" s="53"/>
      <c r="O1353" s="53"/>
      <c r="P1353" s="53"/>
      <c r="Q1353" s="53"/>
      <c r="R1353" s="53"/>
      <c r="S1353" s="53"/>
      <c r="T1353" s="53"/>
      <c r="U1353" s="53"/>
      <c r="V1353" s="53"/>
      <c r="W1353" s="53"/>
      <c r="X1353" s="53"/>
      <c r="Y1353" s="53"/>
      <c r="Z1353" s="53"/>
    </row>
    <row r="1354" spans="1:26" ht="15.75" customHeight="1">
      <c r="A1354" s="103"/>
      <c r="B1354" s="103"/>
      <c r="C1354" s="104" t="e">
        <v>#REF!</v>
      </c>
      <c r="D1354" s="103"/>
      <c r="E1354" s="53"/>
      <c r="F1354" s="53"/>
      <c r="G1354" s="53"/>
      <c r="H1354" s="53"/>
      <c r="I1354" s="53"/>
      <c r="J1354" s="53"/>
      <c r="K1354" s="53"/>
      <c r="L1354" s="53"/>
      <c r="M1354" s="53"/>
      <c r="N1354" s="53"/>
      <c r="O1354" s="53"/>
      <c r="P1354" s="53"/>
      <c r="Q1354" s="53"/>
      <c r="R1354" s="53"/>
      <c r="S1354" s="53"/>
      <c r="T1354" s="53"/>
      <c r="U1354" s="53"/>
      <c r="V1354" s="53"/>
      <c r="W1354" s="53"/>
      <c r="X1354" s="53"/>
      <c r="Y1354" s="53"/>
      <c r="Z1354" s="53"/>
    </row>
    <row r="1355" spans="1:26" ht="15.75" customHeight="1">
      <c r="A1355" s="103"/>
      <c r="B1355" s="103"/>
      <c r="C1355" s="104" t="e">
        <v>#REF!</v>
      </c>
      <c r="D1355" s="103"/>
      <c r="E1355" s="53"/>
      <c r="F1355" s="53"/>
      <c r="G1355" s="53"/>
      <c r="H1355" s="53"/>
      <c r="I1355" s="53"/>
      <c r="J1355" s="53"/>
      <c r="K1355" s="53"/>
      <c r="L1355" s="53"/>
      <c r="M1355" s="53"/>
      <c r="N1355" s="53"/>
      <c r="O1355" s="53"/>
      <c r="P1355" s="53"/>
      <c r="Q1355" s="53"/>
      <c r="R1355" s="53"/>
      <c r="S1355" s="53"/>
      <c r="T1355" s="53"/>
      <c r="U1355" s="53"/>
      <c r="V1355" s="53"/>
      <c r="W1355" s="53"/>
      <c r="X1355" s="53"/>
      <c r="Y1355" s="53"/>
      <c r="Z1355" s="53"/>
    </row>
    <row r="1356" spans="1:26" ht="15.75" customHeight="1">
      <c r="A1356" s="103"/>
      <c r="B1356" s="103"/>
      <c r="C1356" s="104" t="e">
        <v>#REF!</v>
      </c>
      <c r="D1356" s="103"/>
      <c r="E1356" s="53"/>
      <c r="F1356" s="53"/>
      <c r="G1356" s="53"/>
      <c r="H1356" s="53"/>
      <c r="I1356" s="53"/>
      <c r="J1356" s="53"/>
      <c r="K1356" s="53"/>
      <c r="L1356" s="53"/>
      <c r="M1356" s="53"/>
      <c r="N1356" s="53"/>
      <c r="O1356" s="53"/>
      <c r="P1356" s="53"/>
      <c r="Q1356" s="53"/>
      <c r="R1356" s="53"/>
      <c r="S1356" s="53"/>
      <c r="T1356" s="53"/>
      <c r="U1356" s="53"/>
      <c r="V1356" s="53"/>
      <c r="W1356" s="53"/>
      <c r="X1356" s="53"/>
      <c r="Y1356" s="53"/>
      <c r="Z1356" s="53"/>
    </row>
    <row r="1357" spans="1:26" ht="15.75" customHeight="1">
      <c r="A1357" s="103"/>
      <c r="B1357" s="103"/>
      <c r="C1357" s="104" t="e">
        <v>#REF!</v>
      </c>
      <c r="D1357" s="103"/>
      <c r="E1357" s="53"/>
      <c r="F1357" s="53"/>
      <c r="G1357" s="53"/>
      <c r="H1357" s="53"/>
      <c r="I1357" s="53"/>
      <c r="J1357" s="53"/>
      <c r="K1357" s="53"/>
      <c r="L1357" s="53"/>
      <c r="M1357" s="53"/>
      <c r="N1357" s="53"/>
      <c r="O1357" s="53"/>
      <c r="P1357" s="53"/>
      <c r="Q1357" s="53"/>
      <c r="R1357" s="53"/>
      <c r="S1357" s="53"/>
      <c r="T1357" s="53"/>
      <c r="U1357" s="53"/>
      <c r="V1357" s="53"/>
      <c r="W1357" s="53"/>
      <c r="X1357" s="53"/>
      <c r="Y1357" s="53"/>
      <c r="Z1357" s="53"/>
    </row>
    <row r="1358" spans="1:26" ht="15.75" customHeight="1">
      <c r="A1358" s="103"/>
      <c r="B1358" s="103"/>
      <c r="C1358" s="104" t="e">
        <v>#REF!</v>
      </c>
      <c r="D1358" s="103"/>
      <c r="E1358" s="53"/>
      <c r="F1358" s="53"/>
      <c r="G1358" s="53"/>
      <c r="H1358" s="53"/>
      <c r="I1358" s="53"/>
      <c r="J1358" s="53"/>
      <c r="K1358" s="53"/>
      <c r="L1358" s="53"/>
      <c r="M1358" s="53"/>
      <c r="N1358" s="53"/>
      <c r="O1358" s="53"/>
      <c r="P1358" s="53"/>
      <c r="Q1358" s="53"/>
      <c r="R1358" s="53"/>
      <c r="S1358" s="53"/>
      <c r="T1358" s="53"/>
      <c r="U1358" s="53"/>
      <c r="V1358" s="53"/>
      <c r="W1358" s="53"/>
      <c r="X1358" s="53"/>
      <c r="Y1358" s="53"/>
      <c r="Z1358" s="53"/>
    </row>
    <row r="1359" spans="1:26" ht="15.75" customHeight="1">
      <c r="A1359" s="103"/>
      <c r="B1359" s="103"/>
      <c r="C1359" s="104" t="e">
        <v>#REF!</v>
      </c>
      <c r="D1359" s="103"/>
      <c r="E1359" s="53"/>
      <c r="F1359" s="53"/>
      <c r="G1359" s="53"/>
      <c r="H1359" s="53"/>
      <c r="I1359" s="53"/>
      <c r="J1359" s="53"/>
      <c r="K1359" s="53"/>
      <c r="L1359" s="53"/>
      <c r="M1359" s="53"/>
      <c r="N1359" s="53"/>
      <c r="O1359" s="53"/>
      <c r="P1359" s="53"/>
      <c r="Q1359" s="53"/>
      <c r="R1359" s="53"/>
      <c r="S1359" s="53"/>
      <c r="T1359" s="53"/>
      <c r="U1359" s="53"/>
      <c r="V1359" s="53"/>
      <c r="W1359" s="53"/>
      <c r="X1359" s="53"/>
      <c r="Y1359" s="53"/>
      <c r="Z1359" s="53"/>
    </row>
    <row r="1360" spans="1:26" ht="15.75" customHeight="1">
      <c r="A1360" s="103"/>
      <c r="B1360" s="103"/>
      <c r="C1360" s="104" t="e">
        <v>#REF!</v>
      </c>
      <c r="D1360" s="103"/>
      <c r="E1360" s="53"/>
      <c r="F1360" s="53"/>
      <c r="G1360" s="53"/>
      <c r="H1360" s="53"/>
      <c r="I1360" s="53"/>
      <c r="J1360" s="53"/>
      <c r="K1360" s="53"/>
      <c r="L1360" s="53"/>
      <c r="M1360" s="53"/>
      <c r="N1360" s="53"/>
      <c r="O1360" s="53"/>
      <c r="P1360" s="53"/>
      <c r="Q1360" s="53"/>
      <c r="R1360" s="53"/>
      <c r="S1360" s="53"/>
      <c r="T1360" s="53"/>
      <c r="U1360" s="53"/>
      <c r="V1360" s="53"/>
      <c r="W1360" s="53"/>
      <c r="X1360" s="53"/>
      <c r="Y1360" s="53"/>
      <c r="Z1360" s="53"/>
    </row>
    <row r="1361" spans="1:26" ht="15.75" customHeight="1">
      <c r="A1361" s="103"/>
      <c r="B1361" s="103"/>
      <c r="C1361" s="104" t="e">
        <v>#REF!</v>
      </c>
      <c r="D1361" s="10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</row>
    <row r="1362" spans="1:26" ht="15.75" customHeight="1">
      <c r="A1362" s="103"/>
      <c r="B1362" s="103"/>
      <c r="C1362" s="104" t="e">
        <v>#REF!</v>
      </c>
      <c r="D1362" s="103"/>
      <c r="E1362" s="53"/>
      <c r="F1362" s="53"/>
      <c r="G1362" s="53"/>
      <c r="H1362" s="53"/>
      <c r="I1362" s="53"/>
      <c r="J1362" s="53"/>
      <c r="K1362" s="53"/>
      <c r="L1362" s="53"/>
      <c r="M1362" s="53"/>
      <c r="N1362" s="53"/>
      <c r="O1362" s="53"/>
      <c r="P1362" s="53"/>
      <c r="Q1362" s="53"/>
      <c r="R1362" s="53"/>
      <c r="S1362" s="53"/>
      <c r="T1362" s="53"/>
      <c r="U1362" s="53"/>
      <c r="V1362" s="53"/>
      <c r="W1362" s="53"/>
      <c r="X1362" s="53"/>
      <c r="Y1362" s="53"/>
      <c r="Z1362" s="53"/>
    </row>
    <row r="1363" spans="1:26" ht="15.75" customHeight="1">
      <c r="A1363" s="103"/>
      <c r="B1363" s="103"/>
      <c r="C1363" s="104" t="e">
        <v>#REF!</v>
      </c>
      <c r="D1363" s="103"/>
      <c r="E1363" s="53"/>
      <c r="F1363" s="53"/>
      <c r="G1363" s="53"/>
      <c r="H1363" s="53"/>
      <c r="I1363" s="53"/>
      <c r="J1363" s="53"/>
      <c r="K1363" s="53"/>
      <c r="L1363" s="53"/>
      <c r="M1363" s="53"/>
      <c r="N1363" s="53"/>
      <c r="O1363" s="53"/>
      <c r="P1363" s="53"/>
      <c r="Q1363" s="53"/>
      <c r="R1363" s="53"/>
      <c r="S1363" s="53"/>
      <c r="T1363" s="53"/>
      <c r="U1363" s="53"/>
      <c r="V1363" s="53"/>
      <c r="W1363" s="53"/>
      <c r="X1363" s="53"/>
      <c r="Y1363" s="53"/>
      <c r="Z1363" s="53"/>
    </row>
    <row r="1364" spans="1:26" ht="15.75" customHeight="1">
      <c r="A1364" s="103"/>
      <c r="B1364" s="103"/>
      <c r="C1364" s="104" t="e">
        <v>#REF!</v>
      </c>
      <c r="D1364" s="103"/>
      <c r="E1364" s="53"/>
      <c r="F1364" s="53"/>
      <c r="G1364" s="53"/>
      <c r="H1364" s="53"/>
      <c r="I1364" s="53"/>
      <c r="J1364" s="53"/>
      <c r="K1364" s="53"/>
      <c r="L1364" s="53"/>
      <c r="M1364" s="53"/>
      <c r="N1364" s="53"/>
      <c r="O1364" s="53"/>
      <c r="P1364" s="53"/>
      <c r="Q1364" s="53"/>
      <c r="R1364" s="53"/>
      <c r="S1364" s="53"/>
      <c r="T1364" s="53"/>
      <c r="U1364" s="53"/>
      <c r="V1364" s="53"/>
      <c r="W1364" s="53"/>
      <c r="X1364" s="53"/>
      <c r="Y1364" s="53"/>
      <c r="Z1364" s="53"/>
    </row>
    <row r="1365" spans="1:26" ht="15.75" customHeight="1">
      <c r="A1365" s="103"/>
      <c r="B1365" s="103"/>
      <c r="C1365" s="104" t="e">
        <v>#REF!</v>
      </c>
      <c r="D1365" s="103"/>
      <c r="E1365" s="53"/>
      <c r="F1365" s="53"/>
      <c r="G1365" s="53"/>
      <c r="H1365" s="53"/>
      <c r="I1365" s="53"/>
      <c r="J1365" s="53"/>
      <c r="K1365" s="53"/>
      <c r="L1365" s="53"/>
      <c r="M1365" s="53"/>
      <c r="N1365" s="53"/>
      <c r="O1365" s="53"/>
      <c r="P1365" s="53"/>
      <c r="Q1365" s="53"/>
      <c r="R1365" s="53"/>
      <c r="S1365" s="53"/>
      <c r="T1365" s="53"/>
      <c r="U1365" s="53"/>
      <c r="V1365" s="53"/>
      <c r="W1365" s="53"/>
      <c r="X1365" s="53"/>
      <c r="Y1365" s="53"/>
      <c r="Z1365" s="53"/>
    </row>
    <row r="1366" spans="1:26" ht="15.75" customHeight="1">
      <c r="A1366" s="103"/>
      <c r="B1366" s="103"/>
      <c r="C1366" s="104" t="e">
        <v>#REF!</v>
      </c>
      <c r="D1366" s="10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53"/>
      <c r="T1366" s="53"/>
      <c r="U1366" s="53"/>
      <c r="V1366" s="53"/>
      <c r="W1366" s="53"/>
      <c r="X1366" s="53"/>
      <c r="Y1366" s="53"/>
      <c r="Z1366" s="53"/>
    </row>
    <row r="1367" spans="1:26" ht="15.75" customHeight="1">
      <c r="A1367" s="103"/>
      <c r="B1367" s="103"/>
      <c r="C1367" s="104" t="e">
        <v>#REF!</v>
      </c>
      <c r="D1367" s="103"/>
      <c r="E1367" s="53"/>
      <c r="F1367" s="53"/>
      <c r="G1367" s="53"/>
      <c r="H1367" s="53"/>
      <c r="I1367" s="53"/>
      <c r="J1367" s="53"/>
      <c r="K1367" s="53"/>
      <c r="L1367" s="53"/>
      <c r="M1367" s="53"/>
      <c r="N1367" s="53"/>
      <c r="O1367" s="53"/>
      <c r="P1367" s="53"/>
      <c r="Q1367" s="53"/>
      <c r="R1367" s="53"/>
      <c r="S1367" s="53"/>
      <c r="T1367" s="53"/>
      <c r="U1367" s="53"/>
      <c r="V1367" s="53"/>
      <c r="W1367" s="53"/>
      <c r="X1367" s="53"/>
      <c r="Y1367" s="53"/>
      <c r="Z1367" s="53"/>
    </row>
    <row r="1368" spans="1:26" ht="15.75" customHeight="1">
      <c r="A1368" s="103"/>
      <c r="B1368" s="103"/>
      <c r="C1368" s="104" t="e">
        <v>#REF!</v>
      </c>
      <c r="D1368" s="103"/>
      <c r="E1368" s="53"/>
      <c r="F1368" s="53"/>
      <c r="G1368" s="53"/>
      <c r="H1368" s="53"/>
      <c r="I1368" s="53"/>
      <c r="J1368" s="53"/>
      <c r="K1368" s="53"/>
      <c r="L1368" s="53"/>
      <c r="M1368" s="53"/>
      <c r="N1368" s="53"/>
      <c r="O1368" s="53"/>
      <c r="P1368" s="53"/>
      <c r="Q1368" s="53"/>
      <c r="R1368" s="53"/>
      <c r="S1368" s="53"/>
      <c r="T1368" s="53"/>
      <c r="U1368" s="53"/>
      <c r="V1368" s="53"/>
      <c r="W1368" s="53"/>
      <c r="X1368" s="53"/>
      <c r="Y1368" s="53"/>
      <c r="Z1368" s="53"/>
    </row>
    <row r="1369" spans="1:26" ht="15.75" customHeight="1">
      <c r="A1369" s="103"/>
      <c r="B1369" s="103"/>
      <c r="C1369" s="104" t="e">
        <v>#REF!</v>
      </c>
      <c r="D1369" s="103"/>
      <c r="E1369" s="53"/>
      <c r="F1369" s="53"/>
      <c r="G1369" s="53"/>
      <c r="H1369" s="53"/>
      <c r="I1369" s="53"/>
      <c r="J1369" s="53"/>
      <c r="K1369" s="53"/>
      <c r="L1369" s="53"/>
      <c r="M1369" s="53"/>
      <c r="N1369" s="53"/>
      <c r="O1369" s="53"/>
      <c r="P1369" s="53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</row>
    <row r="1370" spans="1:26" ht="15.75" customHeight="1">
      <c r="A1370" s="103"/>
      <c r="B1370" s="103"/>
      <c r="C1370" s="104" t="e">
        <v>#REF!</v>
      </c>
      <c r="D1370" s="103"/>
      <c r="E1370" s="53"/>
      <c r="F1370" s="53"/>
      <c r="G1370" s="53"/>
      <c r="H1370" s="53"/>
      <c r="I1370" s="53"/>
      <c r="J1370" s="53"/>
      <c r="K1370" s="53"/>
      <c r="L1370" s="53"/>
      <c r="M1370" s="53"/>
      <c r="N1370" s="53"/>
      <c r="O1370" s="53"/>
      <c r="P1370" s="53"/>
      <c r="Q1370" s="53"/>
      <c r="R1370" s="53"/>
      <c r="S1370" s="53"/>
      <c r="T1370" s="53"/>
      <c r="U1370" s="53"/>
      <c r="V1370" s="53"/>
      <c r="W1370" s="53"/>
      <c r="X1370" s="53"/>
      <c r="Y1370" s="53"/>
      <c r="Z1370" s="53"/>
    </row>
    <row r="1371" spans="1:26" ht="15.75" customHeight="1">
      <c r="A1371" s="103"/>
      <c r="B1371" s="103"/>
      <c r="C1371" s="104" t="e">
        <v>#REF!</v>
      </c>
      <c r="D1371" s="103"/>
      <c r="E1371" s="53"/>
      <c r="F1371" s="53"/>
      <c r="G1371" s="53"/>
      <c r="H1371" s="53"/>
      <c r="I1371" s="53"/>
      <c r="J1371" s="53"/>
      <c r="K1371" s="53"/>
      <c r="L1371" s="53"/>
      <c r="M1371" s="53"/>
      <c r="N1371" s="53"/>
      <c r="O1371" s="53"/>
      <c r="P1371" s="53"/>
      <c r="Q1371" s="53"/>
      <c r="R1371" s="53"/>
      <c r="S1371" s="53"/>
      <c r="T1371" s="53"/>
      <c r="U1371" s="53"/>
      <c r="V1371" s="53"/>
      <c r="W1371" s="53"/>
      <c r="X1371" s="53"/>
      <c r="Y1371" s="53"/>
      <c r="Z1371" s="53"/>
    </row>
    <row r="1372" spans="1:26" ht="15.75" customHeight="1">
      <c r="A1372" s="103"/>
      <c r="B1372" s="103"/>
      <c r="C1372" s="104" t="e">
        <v>#REF!</v>
      </c>
      <c r="D1372" s="103"/>
      <c r="E1372" s="53"/>
      <c r="F1372" s="53"/>
      <c r="G1372" s="53"/>
      <c r="H1372" s="53"/>
      <c r="I1372" s="53"/>
      <c r="J1372" s="53"/>
      <c r="K1372" s="53"/>
      <c r="L1372" s="53"/>
      <c r="M1372" s="53"/>
      <c r="N1372" s="53"/>
      <c r="O1372" s="53"/>
      <c r="P1372" s="53"/>
      <c r="Q1372" s="53"/>
      <c r="R1372" s="53"/>
      <c r="S1372" s="53"/>
      <c r="T1372" s="53"/>
      <c r="U1372" s="53"/>
      <c r="V1372" s="53"/>
      <c r="W1372" s="53"/>
      <c r="X1372" s="53"/>
      <c r="Y1372" s="53"/>
      <c r="Z1372" s="53"/>
    </row>
    <row r="1373" spans="1:26" ht="15.75" customHeight="1">
      <c r="A1373" s="103"/>
      <c r="B1373" s="103"/>
      <c r="C1373" s="104" t="e">
        <v>#REF!</v>
      </c>
      <c r="D1373" s="103"/>
      <c r="E1373" s="53"/>
      <c r="F1373" s="53"/>
      <c r="G1373" s="53"/>
      <c r="H1373" s="53"/>
      <c r="I1373" s="53"/>
      <c r="J1373" s="53"/>
      <c r="K1373" s="53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  <c r="W1373" s="53"/>
      <c r="X1373" s="53"/>
      <c r="Y1373" s="53"/>
      <c r="Z1373" s="53"/>
    </row>
    <row r="1374" spans="1:26" ht="15.75" customHeight="1">
      <c r="A1374" s="103"/>
      <c r="B1374" s="103"/>
      <c r="C1374" s="104" t="e">
        <v>#REF!</v>
      </c>
      <c r="D1374" s="103"/>
      <c r="E1374" s="53"/>
      <c r="F1374" s="53"/>
      <c r="G1374" s="53"/>
      <c r="H1374" s="53"/>
      <c r="I1374" s="53"/>
      <c r="J1374" s="53"/>
      <c r="K1374" s="53"/>
      <c r="L1374" s="53"/>
      <c r="M1374" s="53"/>
      <c r="N1374" s="53"/>
      <c r="O1374" s="53"/>
      <c r="P1374" s="53"/>
      <c r="Q1374" s="53"/>
      <c r="R1374" s="53"/>
      <c r="S1374" s="53"/>
      <c r="T1374" s="53"/>
      <c r="U1374" s="53"/>
      <c r="V1374" s="53"/>
      <c r="W1374" s="53"/>
      <c r="X1374" s="53"/>
      <c r="Y1374" s="53"/>
      <c r="Z1374" s="53"/>
    </row>
    <row r="1375" spans="1:26" ht="15.75" customHeight="1">
      <c r="A1375" s="103"/>
      <c r="B1375" s="103"/>
      <c r="C1375" s="104" t="e">
        <v>#REF!</v>
      </c>
      <c r="D1375" s="103"/>
      <c r="E1375" s="53"/>
      <c r="F1375" s="53"/>
      <c r="G1375" s="53"/>
      <c r="H1375" s="53"/>
      <c r="I1375" s="53"/>
      <c r="J1375" s="53"/>
      <c r="K1375" s="53"/>
      <c r="L1375" s="53"/>
      <c r="M1375" s="53"/>
      <c r="N1375" s="53"/>
      <c r="O1375" s="53"/>
      <c r="P1375" s="53"/>
      <c r="Q1375" s="53"/>
      <c r="R1375" s="53"/>
      <c r="S1375" s="53"/>
      <c r="T1375" s="53"/>
      <c r="U1375" s="53"/>
      <c r="V1375" s="53"/>
      <c r="W1375" s="53"/>
      <c r="X1375" s="53"/>
      <c r="Y1375" s="53"/>
      <c r="Z1375" s="53"/>
    </row>
    <row r="1376" spans="1:26" ht="15.75" customHeight="1">
      <c r="A1376" s="103"/>
      <c r="B1376" s="103"/>
      <c r="C1376" s="104" t="e">
        <v>#REF!</v>
      </c>
      <c r="D1376" s="103"/>
      <c r="E1376" s="53"/>
      <c r="F1376" s="53"/>
      <c r="G1376" s="53"/>
      <c r="H1376" s="53"/>
      <c r="I1376" s="53"/>
      <c r="J1376" s="53"/>
      <c r="K1376" s="53"/>
      <c r="L1376" s="53"/>
      <c r="M1376" s="53"/>
      <c r="N1376" s="53"/>
      <c r="O1376" s="53"/>
      <c r="P1376" s="53"/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</row>
    <row r="1377" spans="1:26" ht="15.75" customHeight="1">
      <c r="A1377" s="103"/>
      <c r="B1377" s="103"/>
      <c r="C1377" s="104" t="e">
        <v>#REF!</v>
      </c>
      <c r="D1377" s="103"/>
      <c r="E1377" s="53"/>
      <c r="F1377" s="53"/>
      <c r="G1377" s="53"/>
      <c r="H1377" s="53"/>
      <c r="I1377" s="53"/>
      <c r="J1377" s="53"/>
      <c r="K1377" s="53"/>
      <c r="L1377" s="53"/>
      <c r="M1377" s="53"/>
      <c r="N1377" s="53"/>
      <c r="O1377" s="53"/>
      <c r="P1377" s="53"/>
      <c r="Q1377" s="53"/>
      <c r="R1377" s="53"/>
      <c r="S1377" s="53"/>
      <c r="T1377" s="53"/>
      <c r="U1377" s="53"/>
      <c r="V1377" s="53"/>
      <c r="W1377" s="53"/>
      <c r="X1377" s="53"/>
      <c r="Y1377" s="53"/>
      <c r="Z1377" s="53"/>
    </row>
    <row r="1378" spans="1:26" ht="15.75" customHeight="1">
      <c r="A1378" s="103"/>
      <c r="B1378" s="103"/>
      <c r="C1378" s="104" t="e">
        <v>#REF!</v>
      </c>
      <c r="D1378" s="103"/>
      <c r="E1378" s="53"/>
      <c r="F1378" s="53"/>
      <c r="G1378" s="53"/>
      <c r="H1378" s="53"/>
      <c r="I1378" s="53"/>
      <c r="J1378" s="53"/>
      <c r="K1378" s="53"/>
      <c r="L1378" s="53"/>
      <c r="M1378" s="53"/>
      <c r="N1378" s="53"/>
      <c r="O1378" s="53"/>
      <c r="P1378" s="53"/>
      <c r="Q1378" s="53"/>
      <c r="R1378" s="53"/>
      <c r="S1378" s="53"/>
      <c r="T1378" s="53"/>
      <c r="U1378" s="53"/>
      <c r="V1378" s="53"/>
      <c r="W1378" s="53"/>
      <c r="X1378" s="53"/>
      <c r="Y1378" s="53"/>
      <c r="Z1378" s="53"/>
    </row>
    <row r="1379" spans="1:26" ht="15.75" customHeight="1">
      <c r="A1379" s="103"/>
      <c r="B1379" s="103"/>
      <c r="C1379" s="104" t="e">
        <v>#REF!</v>
      </c>
      <c r="D1379" s="103"/>
      <c r="E1379" s="53"/>
      <c r="F1379" s="53"/>
      <c r="G1379" s="53"/>
      <c r="H1379" s="53"/>
      <c r="I1379" s="53"/>
      <c r="J1379" s="53"/>
      <c r="K1379" s="53"/>
      <c r="L1379" s="53"/>
      <c r="M1379" s="53"/>
      <c r="N1379" s="53"/>
      <c r="O1379" s="53"/>
      <c r="P1379" s="53"/>
      <c r="Q1379" s="53"/>
      <c r="R1379" s="53"/>
      <c r="S1379" s="53"/>
      <c r="T1379" s="53"/>
      <c r="U1379" s="53"/>
      <c r="V1379" s="53"/>
      <c r="W1379" s="53"/>
      <c r="X1379" s="53"/>
      <c r="Y1379" s="53"/>
      <c r="Z1379" s="53"/>
    </row>
    <row r="1380" spans="1:26" ht="15.75" customHeight="1">
      <c r="A1380" s="103"/>
      <c r="B1380" s="103"/>
      <c r="C1380" s="104" t="e">
        <v>#REF!</v>
      </c>
      <c r="D1380" s="103"/>
      <c r="E1380" s="53"/>
      <c r="F1380" s="53"/>
      <c r="G1380" s="53"/>
      <c r="H1380" s="53"/>
      <c r="I1380" s="53"/>
      <c r="J1380" s="53"/>
      <c r="K1380" s="53"/>
      <c r="L1380" s="53"/>
      <c r="M1380" s="53"/>
      <c r="N1380" s="53"/>
      <c r="O1380" s="53"/>
      <c r="P1380" s="53"/>
      <c r="Q1380" s="53"/>
      <c r="R1380" s="53"/>
      <c r="S1380" s="53"/>
      <c r="T1380" s="53"/>
      <c r="U1380" s="53"/>
      <c r="V1380" s="53"/>
      <c r="W1380" s="53"/>
      <c r="X1380" s="53"/>
      <c r="Y1380" s="53"/>
      <c r="Z1380" s="53"/>
    </row>
    <row r="1381" spans="1:26" ht="15.75" customHeight="1">
      <c r="A1381" s="103"/>
      <c r="B1381" s="103"/>
      <c r="C1381" s="104" t="e">
        <v>#REF!</v>
      </c>
      <c r="D1381" s="103"/>
      <c r="E1381" s="53"/>
      <c r="F1381" s="53"/>
      <c r="G1381" s="53"/>
      <c r="H1381" s="53"/>
      <c r="I1381" s="53"/>
      <c r="J1381" s="53"/>
      <c r="K1381" s="53"/>
      <c r="L1381" s="53"/>
      <c r="M1381" s="53"/>
      <c r="N1381" s="53"/>
      <c r="O1381" s="53"/>
      <c r="P1381" s="53"/>
      <c r="Q1381" s="53"/>
      <c r="R1381" s="53"/>
      <c r="S1381" s="53"/>
      <c r="T1381" s="53"/>
      <c r="U1381" s="53"/>
      <c r="V1381" s="53"/>
      <c r="W1381" s="53"/>
      <c r="X1381" s="53"/>
      <c r="Y1381" s="53"/>
      <c r="Z1381" s="53"/>
    </row>
    <row r="1382" spans="1:26" ht="15.75" customHeight="1">
      <c r="A1382" s="103"/>
      <c r="B1382" s="103"/>
      <c r="C1382" s="104" t="e">
        <v>#REF!</v>
      </c>
      <c r="D1382" s="103"/>
      <c r="E1382" s="53"/>
      <c r="F1382" s="53"/>
      <c r="G1382" s="53"/>
      <c r="H1382" s="53"/>
      <c r="I1382" s="53"/>
      <c r="J1382" s="53"/>
      <c r="K1382" s="53"/>
      <c r="L1382" s="53"/>
      <c r="M1382" s="53"/>
      <c r="N1382" s="53"/>
      <c r="O1382" s="53"/>
      <c r="P1382" s="53"/>
      <c r="Q1382" s="53"/>
      <c r="R1382" s="53"/>
      <c r="S1382" s="53"/>
      <c r="T1382" s="53"/>
      <c r="U1382" s="53"/>
      <c r="V1382" s="53"/>
      <c r="W1382" s="53"/>
      <c r="X1382" s="53"/>
      <c r="Y1382" s="53"/>
      <c r="Z1382" s="53"/>
    </row>
    <row r="1383" spans="1:26" ht="15.75" customHeight="1">
      <c r="A1383" s="103"/>
      <c r="B1383" s="103"/>
      <c r="C1383" s="104" t="e">
        <v>#REF!</v>
      </c>
      <c r="D1383" s="103"/>
      <c r="E1383" s="53"/>
      <c r="F1383" s="53"/>
      <c r="G1383" s="53"/>
      <c r="H1383" s="53"/>
      <c r="I1383" s="53"/>
      <c r="J1383" s="53"/>
      <c r="K1383" s="53"/>
      <c r="L1383" s="53"/>
      <c r="M1383" s="53"/>
      <c r="N1383" s="53"/>
      <c r="O1383" s="53"/>
      <c r="P1383" s="53"/>
      <c r="Q1383" s="53"/>
      <c r="R1383" s="53"/>
      <c r="S1383" s="53"/>
      <c r="T1383" s="53"/>
      <c r="U1383" s="53"/>
      <c r="V1383" s="53"/>
      <c r="W1383" s="53"/>
      <c r="X1383" s="53"/>
      <c r="Y1383" s="53"/>
      <c r="Z1383" s="53"/>
    </row>
    <row r="1384" spans="1:26" ht="15.75" customHeight="1">
      <c r="A1384" s="103"/>
      <c r="B1384" s="103"/>
      <c r="C1384" s="104" t="e">
        <v>#REF!</v>
      </c>
      <c r="D1384" s="103"/>
      <c r="E1384" s="53"/>
      <c r="F1384" s="53"/>
      <c r="G1384" s="53"/>
      <c r="H1384" s="53"/>
      <c r="I1384" s="53"/>
      <c r="J1384" s="53"/>
      <c r="K1384" s="53"/>
      <c r="L1384" s="53"/>
      <c r="M1384" s="53"/>
      <c r="N1384" s="53"/>
      <c r="O1384" s="53"/>
      <c r="P1384" s="53"/>
      <c r="Q1384" s="53"/>
      <c r="R1384" s="53"/>
      <c r="S1384" s="53"/>
      <c r="T1384" s="53"/>
      <c r="U1384" s="53"/>
      <c r="V1384" s="53"/>
      <c r="W1384" s="53"/>
      <c r="X1384" s="53"/>
      <c r="Y1384" s="53"/>
      <c r="Z1384" s="53"/>
    </row>
    <row r="1385" spans="1:26" ht="15.75" customHeight="1">
      <c r="A1385" s="103"/>
      <c r="B1385" s="103"/>
      <c r="C1385" s="104" t="e">
        <v>#REF!</v>
      </c>
      <c r="D1385" s="103"/>
      <c r="E1385" s="53"/>
      <c r="F1385" s="53"/>
      <c r="G1385" s="53"/>
      <c r="H1385" s="53"/>
      <c r="I1385" s="53"/>
      <c r="J1385" s="53"/>
      <c r="K1385" s="53"/>
      <c r="L1385" s="53"/>
      <c r="M1385" s="53"/>
      <c r="N1385" s="53"/>
      <c r="O1385" s="53"/>
      <c r="P1385" s="53"/>
      <c r="Q1385" s="53"/>
      <c r="R1385" s="53"/>
      <c r="S1385" s="53"/>
      <c r="T1385" s="53"/>
      <c r="U1385" s="53"/>
      <c r="V1385" s="53"/>
      <c r="W1385" s="53"/>
      <c r="X1385" s="53"/>
      <c r="Y1385" s="53"/>
      <c r="Z1385" s="53"/>
    </row>
    <row r="1386" spans="1:26" ht="15.75" customHeight="1">
      <c r="A1386" s="103"/>
      <c r="B1386" s="103"/>
      <c r="C1386" s="104" t="e">
        <v>#REF!</v>
      </c>
      <c r="D1386" s="103"/>
      <c r="E1386" s="53"/>
      <c r="F1386" s="53"/>
      <c r="G1386" s="53"/>
      <c r="H1386" s="53"/>
      <c r="I1386" s="53"/>
      <c r="J1386" s="53"/>
      <c r="K1386" s="53"/>
      <c r="L1386" s="53"/>
      <c r="M1386" s="53"/>
      <c r="N1386" s="53"/>
      <c r="O1386" s="53"/>
      <c r="P1386" s="53"/>
      <c r="Q1386" s="53"/>
      <c r="R1386" s="53"/>
      <c r="S1386" s="53"/>
      <c r="T1386" s="53"/>
      <c r="U1386" s="53"/>
      <c r="V1386" s="53"/>
      <c r="W1386" s="53"/>
      <c r="X1386" s="53"/>
      <c r="Y1386" s="53"/>
      <c r="Z1386" s="53"/>
    </row>
    <row r="1387" spans="1:26" ht="15.75" customHeight="1">
      <c r="A1387" s="103"/>
      <c r="B1387" s="103"/>
      <c r="C1387" s="104" t="e">
        <v>#REF!</v>
      </c>
      <c r="D1387" s="103"/>
      <c r="E1387" s="53"/>
      <c r="F1387" s="53"/>
      <c r="G1387" s="53"/>
      <c r="H1387" s="53"/>
      <c r="I1387" s="53"/>
      <c r="J1387" s="53"/>
      <c r="K1387" s="53"/>
      <c r="L1387" s="53"/>
      <c r="M1387" s="53"/>
      <c r="N1387" s="53"/>
      <c r="O1387" s="53"/>
      <c r="P1387" s="53"/>
      <c r="Q1387" s="53"/>
      <c r="R1387" s="53"/>
      <c r="S1387" s="53"/>
      <c r="T1387" s="53"/>
      <c r="U1387" s="53"/>
      <c r="V1387" s="53"/>
      <c r="W1387" s="53"/>
      <c r="X1387" s="53"/>
      <c r="Y1387" s="53"/>
      <c r="Z1387" s="53"/>
    </row>
    <row r="1388" spans="1:26" ht="15.75" customHeight="1">
      <c r="A1388" s="103"/>
      <c r="B1388" s="103"/>
      <c r="C1388" s="104" t="e">
        <v>#REF!</v>
      </c>
      <c r="D1388" s="103"/>
      <c r="E1388" s="53"/>
      <c r="F1388" s="53"/>
      <c r="G1388" s="53"/>
      <c r="H1388" s="53"/>
      <c r="I1388" s="53"/>
      <c r="J1388" s="53"/>
      <c r="K1388" s="53"/>
      <c r="L1388" s="53"/>
      <c r="M1388" s="53"/>
      <c r="N1388" s="53"/>
      <c r="O1388" s="53"/>
      <c r="P1388" s="53"/>
      <c r="Q1388" s="53"/>
      <c r="R1388" s="53"/>
      <c r="S1388" s="53"/>
      <c r="T1388" s="53"/>
      <c r="U1388" s="53"/>
      <c r="V1388" s="53"/>
      <c r="W1388" s="53"/>
      <c r="X1388" s="53"/>
      <c r="Y1388" s="53"/>
      <c r="Z1388" s="53"/>
    </row>
    <row r="1389" spans="1:26" ht="15.75" customHeight="1">
      <c r="A1389" s="103"/>
      <c r="B1389" s="103"/>
      <c r="C1389" s="104" t="e">
        <v>#REF!</v>
      </c>
      <c r="D1389" s="103"/>
      <c r="E1389" s="53"/>
      <c r="F1389" s="53"/>
      <c r="G1389" s="53"/>
      <c r="H1389" s="53"/>
      <c r="I1389" s="53"/>
      <c r="J1389" s="53"/>
      <c r="K1389" s="53"/>
      <c r="L1389" s="53"/>
      <c r="M1389" s="53"/>
      <c r="N1389" s="53"/>
      <c r="O1389" s="53"/>
      <c r="P1389" s="53"/>
      <c r="Q1389" s="53"/>
      <c r="R1389" s="53"/>
      <c r="S1389" s="53"/>
      <c r="T1389" s="53"/>
      <c r="U1389" s="53"/>
      <c r="V1389" s="53"/>
      <c r="W1389" s="53"/>
      <c r="X1389" s="53"/>
      <c r="Y1389" s="53"/>
      <c r="Z1389" s="53"/>
    </row>
    <row r="1390" spans="1:26" ht="15.75" customHeight="1">
      <c r="A1390" s="103"/>
      <c r="B1390" s="103"/>
      <c r="C1390" s="104" t="e">
        <v>#REF!</v>
      </c>
      <c r="D1390" s="103"/>
      <c r="E1390" s="53"/>
      <c r="F1390" s="53"/>
      <c r="G1390" s="53"/>
      <c r="H1390" s="53"/>
      <c r="I1390" s="53"/>
      <c r="J1390" s="53"/>
      <c r="K1390" s="53"/>
      <c r="L1390" s="53"/>
      <c r="M1390" s="53"/>
      <c r="N1390" s="53"/>
      <c r="O1390" s="53"/>
      <c r="P1390" s="53"/>
      <c r="Q1390" s="53"/>
      <c r="R1390" s="53"/>
      <c r="S1390" s="53"/>
      <c r="T1390" s="53"/>
      <c r="U1390" s="53"/>
      <c r="V1390" s="53"/>
      <c r="W1390" s="53"/>
      <c r="X1390" s="53"/>
      <c r="Y1390" s="53"/>
      <c r="Z1390" s="53"/>
    </row>
    <row r="1391" spans="1:26" ht="15.75" customHeight="1">
      <c r="A1391" s="103"/>
      <c r="B1391" s="103"/>
      <c r="C1391" s="104" t="e">
        <v>#REF!</v>
      </c>
      <c r="D1391" s="103"/>
      <c r="E1391" s="53"/>
      <c r="F1391" s="53"/>
      <c r="G1391" s="53"/>
      <c r="H1391" s="53"/>
      <c r="I1391" s="53"/>
      <c r="J1391" s="53"/>
      <c r="K1391" s="53"/>
      <c r="L1391" s="53"/>
      <c r="M1391" s="53"/>
      <c r="N1391" s="53"/>
      <c r="O1391" s="53"/>
      <c r="P1391" s="53"/>
      <c r="Q1391" s="53"/>
      <c r="R1391" s="53"/>
      <c r="S1391" s="53"/>
      <c r="T1391" s="53"/>
      <c r="U1391" s="53"/>
      <c r="V1391" s="53"/>
      <c r="W1391" s="53"/>
      <c r="X1391" s="53"/>
      <c r="Y1391" s="53"/>
      <c r="Z1391" s="53"/>
    </row>
    <row r="1392" spans="1:26" ht="15.75" customHeight="1">
      <c r="A1392" s="103"/>
      <c r="B1392" s="103"/>
      <c r="C1392" s="104" t="e">
        <v>#REF!</v>
      </c>
      <c r="D1392" s="103"/>
      <c r="E1392" s="53"/>
      <c r="F1392" s="53"/>
      <c r="G1392" s="53"/>
      <c r="H1392" s="53"/>
      <c r="I1392" s="53"/>
      <c r="J1392" s="53"/>
      <c r="K1392" s="53"/>
      <c r="L1392" s="53"/>
      <c r="M1392" s="53"/>
      <c r="N1392" s="53"/>
      <c r="O1392" s="53"/>
      <c r="P1392" s="53"/>
      <c r="Q1392" s="53"/>
      <c r="R1392" s="53"/>
      <c r="S1392" s="53"/>
      <c r="T1392" s="53"/>
      <c r="U1392" s="53"/>
      <c r="V1392" s="53"/>
      <c r="W1392" s="53"/>
      <c r="X1392" s="53"/>
      <c r="Y1392" s="53"/>
      <c r="Z1392" s="53"/>
    </row>
    <row r="1393" spans="1:26" ht="15.75" customHeight="1">
      <c r="A1393" s="103"/>
      <c r="B1393" s="103"/>
      <c r="C1393" s="104" t="e">
        <v>#REF!</v>
      </c>
      <c r="D1393" s="103"/>
      <c r="E1393" s="53"/>
      <c r="F1393" s="53"/>
      <c r="G1393" s="53"/>
      <c r="H1393" s="53"/>
      <c r="I1393" s="53"/>
      <c r="J1393" s="53"/>
      <c r="K1393" s="53"/>
      <c r="L1393" s="53"/>
      <c r="M1393" s="53"/>
      <c r="N1393" s="53"/>
      <c r="O1393" s="53"/>
      <c r="P1393" s="53"/>
      <c r="Q1393" s="53"/>
      <c r="R1393" s="53"/>
      <c r="S1393" s="53"/>
      <c r="T1393" s="53"/>
      <c r="U1393" s="53"/>
      <c r="V1393" s="53"/>
      <c r="W1393" s="53"/>
      <c r="X1393" s="53"/>
      <c r="Y1393" s="53"/>
      <c r="Z1393" s="53"/>
    </row>
    <row r="1394" spans="1:26" ht="15.75" customHeight="1">
      <c r="A1394" s="103"/>
      <c r="B1394" s="103"/>
      <c r="C1394" s="104" t="e">
        <v>#REF!</v>
      </c>
      <c r="D1394" s="103"/>
      <c r="E1394" s="53"/>
      <c r="F1394" s="53"/>
      <c r="G1394" s="53"/>
      <c r="H1394" s="53"/>
      <c r="I1394" s="53"/>
      <c r="J1394" s="53"/>
      <c r="K1394" s="53"/>
      <c r="L1394" s="53"/>
      <c r="M1394" s="53"/>
      <c r="N1394" s="53"/>
      <c r="O1394" s="53"/>
      <c r="P1394" s="53"/>
      <c r="Q1394" s="53"/>
      <c r="R1394" s="53"/>
      <c r="S1394" s="53"/>
      <c r="T1394" s="53"/>
      <c r="U1394" s="53"/>
      <c r="V1394" s="53"/>
      <c r="W1394" s="53"/>
      <c r="X1394" s="53"/>
      <c r="Y1394" s="53"/>
      <c r="Z1394" s="53"/>
    </row>
    <row r="1395" spans="1:26" ht="15.75" customHeight="1">
      <c r="A1395" s="103"/>
      <c r="B1395" s="103"/>
      <c r="C1395" s="104" t="e">
        <v>#REF!</v>
      </c>
      <c r="D1395" s="103"/>
      <c r="E1395" s="53"/>
      <c r="F1395" s="53"/>
      <c r="G1395" s="53"/>
      <c r="H1395" s="53"/>
      <c r="I1395" s="53"/>
      <c r="J1395" s="53"/>
      <c r="K1395" s="53"/>
      <c r="L1395" s="53"/>
      <c r="M1395" s="53"/>
      <c r="N1395" s="53"/>
      <c r="O1395" s="53"/>
      <c r="P1395" s="53"/>
      <c r="Q1395" s="53"/>
      <c r="R1395" s="53"/>
      <c r="S1395" s="53"/>
      <c r="T1395" s="53"/>
      <c r="U1395" s="53"/>
      <c r="V1395" s="53"/>
      <c r="W1395" s="53"/>
      <c r="X1395" s="53"/>
      <c r="Y1395" s="53"/>
      <c r="Z1395" s="53"/>
    </row>
    <row r="1396" spans="1:26" ht="15.75" customHeight="1">
      <c r="A1396" s="103"/>
      <c r="B1396" s="103"/>
      <c r="C1396" s="104" t="e">
        <v>#REF!</v>
      </c>
      <c r="D1396" s="103"/>
      <c r="E1396" s="53"/>
      <c r="F1396" s="53"/>
      <c r="G1396" s="53"/>
      <c r="H1396" s="53"/>
      <c r="I1396" s="53"/>
      <c r="J1396" s="53"/>
      <c r="K1396" s="53"/>
      <c r="L1396" s="53"/>
      <c r="M1396" s="53"/>
      <c r="N1396" s="53"/>
      <c r="O1396" s="53"/>
      <c r="P1396" s="53"/>
      <c r="Q1396" s="53"/>
      <c r="R1396" s="53"/>
      <c r="S1396" s="53"/>
      <c r="T1396" s="53"/>
      <c r="U1396" s="53"/>
      <c r="V1396" s="53"/>
      <c r="W1396" s="53"/>
      <c r="X1396" s="53"/>
      <c r="Y1396" s="53"/>
      <c r="Z1396" s="53"/>
    </row>
    <row r="1397" spans="1:26" ht="15.75" customHeight="1">
      <c r="A1397" s="103"/>
      <c r="B1397" s="103"/>
      <c r="C1397" s="104" t="e">
        <v>#REF!</v>
      </c>
      <c r="D1397" s="103"/>
      <c r="E1397" s="53"/>
      <c r="F1397" s="53"/>
      <c r="G1397" s="53"/>
      <c r="H1397" s="53"/>
      <c r="I1397" s="53"/>
      <c r="J1397" s="53"/>
      <c r="K1397" s="53"/>
      <c r="L1397" s="53"/>
      <c r="M1397" s="53"/>
      <c r="N1397" s="53"/>
      <c r="O1397" s="53"/>
      <c r="P1397" s="53"/>
      <c r="Q1397" s="53"/>
      <c r="R1397" s="53"/>
      <c r="S1397" s="53"/>
      <c r="T1397" s="53"/>
      <c r="U1397" s="53"/>
      <c r="V1397" s="53"/>
      <c r="W1397" s="53"/>
      <c r="X1397" s="53"/>
      <c r="Y1397" s="53"/>
      <c r="Z1397" s="53"/>
    </row>
    <row r="1398" spans="1:26" ht="15.75" customHeight="1">
      <c r="A1398" s="103"/>
      <c r="B1398" s="103"/>
      <c r="C1398" s="104" t="e">
        <v>#REF!</v>
      </c>
      <c r="D1398" s="103"/>
      <c r="E1398" s="53"/>
      <c r="F1398" s="53"/>
      <c r="G1398" s="53"/>
      <c r="H1398" s="53"/>
      <c r="I1398" s="53"/>
      <c r="J1398" s="53"/>
      <c r="K1398" s="53"/>
      <c r="L1398" s="53"/>
      <c r="M1398" s="53"/>
      <c r="N1398" s="53"/>
      <c r="O1398" s="53"/>
      <c r="P1398" s="53"/>
      <c r="Q1398" s="53"/>
      <c r="R1398" s="53"/>
      <c r="S1398" s="53"/>
      <c r="T1398" s="53"/>
      <c r="U1398" s="53"/>
      <c r="V1398" s="53"/>
      <c r="W1398" s="53"/>
      <c r="X1398" s="53"/>
      <c r="Y1398" s="53"/>
      <c r="Z1398" s="53"/>
    </row>
    <row r="1399" spans="1:26" ht="15.75" customHeight="1">
      <c r="A1399" s="103"/>
      <c r="B1399" s="103"/>
      <c r="C1399" s="104" t="e">
        <v>#REF!</v>
      </c>
      <c r="D1399" s="103"/>
      <c r="E1399" s="53"/>
      <c r="F1399" s="53"/>
      <c r="G1399" s="53"/>
      <c r="H1399" s="53"/>
      <c r="I1399" s="53"/>
      <c r="J1399" s="53"/>
      <c r="K1399" s="53"/>
      <c r="L1399" s="53"/>
      <c r="M1399" s="53"/>
      <c r="N1399" s="53"/>
      <c r="O1399" s="53"/>
      <c r="P1399" s="53"/>
      <c r="Q1399" s="53"/>
      <c r="R1399" s="53"/>
      <c r="S1399" s="53"/>
      <c r="T1399" s="53"/>
      <c r="U1399" s="53"/>
      <c r="V1399" s="53"/>
      <c r="W1399" s="53"/>
      <c r="X1399" s="53"/>
      <c r="Y1399" s="53"/>
      <c r="Z1399" s="53"/>
    </row>
    <row r="1400" spans="1:26" ht="15.75" customHeight="1">
      <c r="A1400" s="103"/>
      <c r="B1400" s="103"/>
      <c r="C1400" s="104" t="e">
        <v>#REF!</v>
      </c>
      <c r="D1400" s="103"/>
      <c r="E1400" s="53"/>
      <c r="F1400" s="53"/>
      <c r="G1400" s="53"/>
      <c r="H1400" s="53"/>
      <c r="I1400" s="53"/>
      <c r="J1400" s="53"/>
      <c r="K1400" s="53"/>
      <c r="L1400" s="53"/>
      <c r="M1400" s="53"/>
      <c r="N1400" s="53"/>
      <c r="O1400" s="53"/>
      <c r="P1400" s="53"/>
      <c r="Q1400" s="53"/>
      <c r="R1400" s="53"/>
      <c r="S1400" s="53"/>
      <c r="T1400" s="53"/>
      <c r="U1400" s="53"/>
      <c r="V1400" s="53"/>
      <c r="W1400" s="53"/>
      <c r="X1400" s="53"/>
      <c r="Y1400" s="53"/>
      <c r="Z1400" s="53"/>
    </row>
    <row r="1401" spans="1:26" ht="15.75" customHeight="1">
      <c r="A1401" s="103"/>
      <c r="B1401" s="103"/>
      <c r="C1401" s="104" t="e">
        <v>#REF!</v>
      </c>
      <c r="D1401" s="103"/>
      <c r="E1401" s="53"/>
      <c r="F1401" s="53"/>
      <c r="G1401" s="53"/>
      <c r="H1401" s="53"/>
      <c r="I1401" s="53"/>
      <c r="J1401" s="53"/>
      <c r="K1401" s="53"/>
      <c r="L1401" s="53"/>
      <c r="M1401" s="53"/>
      <c r="N1401" s="53"/>
      <c r="O1401" s="53"/>
      <c r="P1401" s="53"/>
      <c r="Q1401" s="53"/>
      <c r="R1401" s="53"/>
      <c r="S1401" s="53"/>
      <c r="T1401" s="53"/>
      <c r="U1401" s="53"/>
      <c r="V1401" s="53"/>
      <c r="W1401" s="53"/>
      <c r="X1401" s="53"/>
      <c r="Y1401" s="53"/>
      <c r="Z1401" s="53"/>
    </row>
    <row r="1402" spans="1:26" ht="15.75" customHeight="1">
      <c r="A1402" s="103"/>
      <c r="B1402" s="103"/>
      <c r="C1402" s="104" t="e">
        <v>#REF!</v>
      </c>
      <c r="D1402" s="103"/>
      <c r="E1402" s="53"/>
      <c r="F1402" s="53"/>
      <c r="G1402" s="53"/>
      <c r="H1402" s="53"/>
      <c r="I1402" s="53"/>
      <c r="J1402" s="53"/>
      <c r="K1402" s="53"/>
      <c r="L1402" s="53"/>
      <c r="M1402" s="53"/>
      <c r="N1402" s="53"/>
      <c r="O1402" s="53"/>
      <c r="P1402" s="53"/>
      <c r="Q1402" s="53"/>
      <c r="R1402" s="53"/>
      <c r="S1402" s="53"/>
      <c r="T1402" s="53"/>
      <c r="U1402" s="53"/>
      <c r="V1402" s="53"/>
      <c r="W1402" s="53"/>
      <c r="X1402" s="53"/>
      <c r="Y1402" s="53"/>
      <c r="Z1402" s="53"/>
    </row>
    <row r="1403" spans="1:26" ht="15.75" customHeight="1">
      <c r="A1403" s="103"/>
      <c r="B1403" s="103"/>
      <c r="C1403" s="104" t="e">
        <v>#REF!</v>
      </c>
      <c r="D1403" s="103"/>
      <c r="E1403" s="53"/>
      <c r="F1403" s="53"/>
      <c r="G1403" s="53"/>
      <c r="H1403" s="53"/>
      <c r="I1403" s="53"/>
      <c r="J1403" s="53"/>
      <c r="K1403" s="53"/>
      <c r="L1403" s="53"/>
      <c r="M1403" s="53"/>
      <c r="N1403" s="53"/>
      <c r="O1403" s="53"/>
      <c r="P1403" s="53"/>
      <c r="Q1403" s="53"/>
      <c r="R1403" s="53"/>
      <c r="S1403" s="53"/>
      <c r="T1403" s="53"/>
      <c r="U1403" s="53"/>
      <c r="V1403" s="53"/>
      <c r="W1403" s="53"/>
      <c r="X1403" s="53"/>
      <c r="Y1403" s="53"/>
      <c r="Z1403" s="53"/>
    </row>
    <row r="1404" spans="1:26" ht="15.75" customHeight="1">
      <c r="A1404" s="103"/>
      <c r="B1404" s="103"/>
      <c r="C1404" s="104" t="e">
        <v>#REF!</v>
      </c>
      <c r="D1404" s="103"/>
      <c r="E1404" s="53"/>
      <c r="F1404" s="53"/>
      <c r="G1404" s="53"/>
      <c r="H1404" s="53"/>
      <c r="I1404" s="53"/>
      <c r="J1404" s="53"/>
      <c r="K1404" s="53"/>
      <c r="L1404" s="53"/>
      <c r="M1404" s="53"/>
      <c r="N1404" s="53"/>
      <c r="O1404" s="53"/>
      <c r="P1404" s="53"/>
      <c r="Q1404" s="53"/>
      <c r="R1404" s="53"/>
      <c r="S1404" s="53"/>
      <c r="T1404" s="53"/>
      <c r="U1404" s="53"/>
      <c r="V1404" s="53"/>
      <c r="W1404" s="53"/>
      <c r="X1404" s="53"/>
      <c r="Y1404" s="53"/>
      <c r="Z1404" s="53"/>
    </row>
    <row r="1405" spans="1:26" ht="15.75" customHeight="1">
      <c r="A1405" s="103"/>
      <c r="B1405" s="103"/>
      <c r="C1405" s="104" t="e">
        <v>#REF!</v>
      </c>
      <c r="D1405" s="103"/>
      <c r="E1405" s="53"/>
      <c r="F1405" s="53"/>
      <c r="G1405" s="53"/>
      <c r="H1405" s="53"/>
      <c r="I1405" s="53"/>
      <c r="J1405" s="53"/>
      <c r="K1405" s="53"/>
      <c r="L1405" s="53"/>
      <c r="M1405" s="53"/>
      <c r="N1405" s="53"/>
      <c r="O1405" s="53"/>
      <c r="P1405" s="53"/>
      <c r="Q1405" s="53"/>
      <c r="R1405" s="53"/>
      <c r="S1405" s="53"/>
      <c r="T1405" s="53"/>
      <c r="U1405" s="53"/>
      <c r="V1405" s="53"/>
      <c r="W1405" s="53"/>
      <c r="X1405" s="53"/>
      <c r="Y1405" s="53"/>
      <c r="Z1405" s="53"/>
    </row>
    <row r="1406" spans="1:26" ht="15.75" customHeight="1">
      <c r="A1406" s="103"/>
      <c r="B1406" s="103"/>
      <c r="C1406" s="104" t="e">
        <v>#REF!</v>
      </c>
      <c r="D1406" s="103"/>
      <c r="E1406" s="53"/>
      <c r="F1406" s="53"/>
      <c r="G1406" s="53"/>
      <c r="H1406" s="53"/>
      <c r="I1406" s="53"/>
      <c r="J1406" s="53"/>
      <c r="K1406" s="53"/>
      <c r="L1406" s="53"/>
      <c r="M1406" s="53"/>
      <c r="N1406" s="53"/>
      <c r="O1406" s="53"/>
      <c r="P1406" s="53"/>
      <c r="Q1406" s="53"/>
      <c r="R1406" s="53"/>
      <c r="S1406" s="53"/>
      <c r="T1406" s="53"/>
      <c r="U1406" s="53"/>
      <c r="V1406" s="53"/>
      <c r="W1406" s="53"/>
      <c r="X1406" s="53"/>
      <c r="Y1406" s="53"/>
      <c r="Z1406" s="53"/>
    </row>
    <row r="1407" spans="1:26" ht="15.75" customHeight="1">
      <c r="A1407" s="103"/>
      <c r="B1407" s="103"/>
      <c r="C1407" s="104" t="e">
        <v>#REF!</v>
      </c>
      <c r="D1407" s="103"/>
      <c r="E1407" s="53"/>
      <c r="F1407" s="53"/>
      <c r="G1407" s="53"/>
      <c r="H1407" s="53"/>
      <c r="I1407" s="53"/>
      <c r="J1407" s="53"/>
      <c r="K1407" s="53"/>
      <c r="L1407" s="53"/>
      <c r="M1407" s="53"/>
      <c r="N1407" s="53"/>
      <c r="O1407" s="53"/>
      <c r="P1407" s="53"/>
      <c r="Q1407" s="53"/>
      <c r="R1407" s="53"/>
      <c r="S1407" s="53"/>
      <c r="T1407" s="53"/>
      <c r="U1407" s="53"/>
      <c r="V1407" s="53"/>
      <c r="W1407" s="53"/>
      <c r="X1407" s="53"/>
      <c r="Y1407" s="53"/>
      <c r="Z1407" s="53"/>
    </row>
    <row r="1408" spans="1:26" ht="15.75" customHeight="1">
      <c r="A1408" s="103"/>
      <c r="B1408" s="103"/>
      <c r="C1408" s="104" t="e">
        <v>#REF!</v>
      </c>
      <c r="D1408" s="103"/>
      <c r="E1408" s="53"/>
      <c r="F1408" s="53"/>
      <c r="G1408" s="53"/>
      <c r="H1408" s="53"/>
      <c r="I1408" s="53"/>
      <c r="J1408" s="53"/>
      <c r="K1408" s="53"/>
      <c r="L1408" s="53"/>
      <c r="M1408" s="53"/>
      <c r="N1408" s="53"/>
      <c r="O1408" s="53"/>
      <c r="P1408" s="53"/>
      <c r="Q1408" s="53"/>
      <c r="R1408" s="53"/>
      <c r="S1408" s="53"/>
      <c r="T1408" s="53"/>
      <c r="U1408" s="53"/>
      <c r="V1408" s="53"/>
      <c r="W1408" s="53"/>
      <c r="X1408" s="53"/>
      <c r="Y1408" s="53"/>
      <c r="Z1408" s="53"/>
    </row>
    <row r="1409" spans="1:26" ht="15.75" customHeight="1">
      <c r="A1409" s="103"/>
      <c r="B1409" s="103"/>
      <c r="C1409" s="104" t="e">
        <v>#REF!</v>
      </c>
      <c r="D1409" s="103"/>
      <c r="E1409" s="53"/>
      <c r="F1409" s="53"/>
      <c r="G1409" s="53"/>
      <c r="H1409" s="53"/>
      <c r="I1409" s="53"/>
      <c r="J1409" s="53"/>
      <c r="K1409" s="53"/>
      <c r="L1409" s="53"/>
      <c r="M1409" s="53"/>
      <c r="N1409" s="53"/>
      <c r="O1409" s="53"/>
      <c r="P1409" s="53"/>
      <c r="Q1409" s="53"/>
      <c r="R1409" s="53"/>
      <c r="S1409" s="53"/>
      <c r="T1409" s="53"/>
      <c r="U1409" s="53"/>
      <c r="V1409" s="53"/>
      <c r="W1409" s="53"/>
      <c r="X1409" s="53"/>
      <c r="Y1409" s="53"/>
      <c r="Z1409" s="53"/>
    </row>
    <row r="1410" spans="1:26" ht="15.75" customHeight="1">
      <c r="A1410" s="103"/>
      <c r="B1410" s="103"/>
      <c r="C1410" s="104" t="e">
        <v>#REF!</v>
      </c>
      <c r="D1410" s="103"/>
      <c r="E1410" s="53"/>
      <c r="F1410" s="53"/>
      <c r="G1410" s="53"/>
      <c r="H1410" s="53"/>
      <c r="I1410" s="53"/>
      <c r="J1410" s="53"/>
      <c r="K1410" s="53"/>
      <c r="L1410" s="53"/>
      <c r="M1410" s="53"/>
      <c r="N1410" s="53"/>
      <c r="O1410" s="53"/>
      <c r="P1410" s="53"/>
      <c r="Q1410" s="53"/>
      <c r="R1410" s="53"/>
      <c r="S1410" s="53"/>
      <c r="T1410" s="53"/>
      <c r="U1410" s="53"/>
      <c r="V1410" s="53"/>
      <c r="W1410" s="53"/>
      <c r="X1410" s="53"/>
      <c r="Y1410" s="53"/>
      <c r="Z1410" s="53"/>
    </row>
    <row r="1411" spans="1:26" ht="15.75" customHeight="1">
      <c r="A1411" s="103"/>
      <c r="B1411" s="103"/>
      <c r="C1411" s="104" t="e">
        <v>#REF!</v>
      </c>
      <c r="D1411" s="103"/>
      <c r="E1411" s="53"/>
      <c r="F1411" s="53"/>
      <c r="G1411" s="53"/>
      <c r="H1411" s="53"/>
      <c r="I1411" s="53"/>
      <c r="J1411" s="53"/>
      <c r="K1411" s="53"/>
      <c r="L1411" s="53"/>
      <c r="M1411" s="53"/>
      <c r="N1411" s="53"/>
      <c r="O1411" s="53"/>
      <c r="P1411" s="53"/>
      <c r="Q1411" s="53"/>
      <c r="R1411" s="53"/>
      <c r="S1411" s="53"/>
      <c r="T1411" s="53"/>
      <c r="U1411" s="53"/>
      <c r="V1411" s="53"/>
      <c r="W1411" s="53"/>
      <c r="X1411" s="53"/>
      <c r="Y1411" s="53"/>
      <c r="Z1411" s="53"/>
    </row>
    <row r="1412" spans="1:26" ht="15.75" customHeight="1">
      <c r="A1412" s="103"/>
      <c r="B1412" s="103"/>
      <c r="C1412" s="104" t="e">
        <v>#REF!</v>
      </c>
      <c r="D1412" s="103"/>
      <c r="E1412" s="53"/>
      <c r="F1412" s="53"/>
      <c r="G1412" s="53"/>
      <c r="H1412" s="53"/>
      <c r="I1412" s="53"/>
      <c r="J1412" s="53"/>
      <c r="K1412" s="53"/>
      <c r="L1412" s="53"/>
      <c r="M1412" s="53"/>
      <c r="N1412" s="53"/>
      <c r="O1412" s="53"/>
      <c r="P1412" s="53"/>
      <c r="Q1412" s="53"/>
      <c r="R1412" s="53"/>
      <c r="S1412" s="53"/>
      <c r="T1412" s="53"/>
      <c r="U1412" s="53"/>
      <c r="V1412" s="53"/>
      <c r="W1412" s="53"/>
      <c r="X1412" s="53"/>
      <c r="Y1412" s="53"/>
      <c r="Z1412" s="53"/>
    </row>
    <row r="1413" spans="1:26" ht="15.75" customHeight="1">
      <c r="A1413" s="103"/>
      <c r="B1413" s="103"/>
      <c r="C1413" s="104" t="e">
        <v>#REF!</v>
      </c>
      <c r="D1413" s="103"/>
      <c r="E1413" s="53"/>
      <c r="F1413" s="53"/>
      <c r="G1413" s="53"/>
      <c r="H1413" s="53"/>
      <c r="I1413" s="53"/>
      <c r="J1413" s="53"/>
      <c r="K1413" s="53"/>
      <c r="L1413" s="53"/>
      <c r="M1413" s="53"/>
      <c r="N1413" s="53"/>
      <c r="O1413" s="53"/>
      <c r="P1413" s="53"/>
      <c r="Q1413" s="53"/>
      <c r="R1413" s="53"/>
      <c r="S1413" s="53"/>
      <c r="T1413" s="53"/>
      <c r="U1413" s="53"/>
      <c r="V1413" s="53"/>
      <c r="W1413" s="53"/>
      <c r="X1413" s="53"/>
      <c r="Y1413" s="53"/>
      <c r="Z1413" s="53"/>
    </row>
    <row r="1414" spans="1:26" ht="15.75" customHeight="1">
      <c r="A1414" s="103"/>
      <c r="B1414" s="103"/>
      <c r="C1414" s="104" t="e">
        <v>#REF!</v>
      </c>
      <c r="D1414" s="10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</row>
    <row r="1415" spans="1:26" ht="15.75" customHeight="1">
      <c r="A1415" s="103"/>
      <c r="B1415" s="103"/>
      <c r="C1415" s="104" t="e">
        <v>#REF!</v>
      </c>
      <c r="D1415" s="103"/>
      <c r="E1415" s="53"/>
      <c r="F1415" s="53"/>
      <c r="G1415" s="53"/>
      <c r="H1415" s="53"/>
      <c r="I1415" s="53"/>
      <c r="J1415" s="53"/>
      <c r="K1415" s="53"/>
      <c r="L1415" s="53"/>
      <c r="M1415" s="53"/>
      <c r="N1415" s="53"/>
      <c r="O1415" s="53"/>
      <c r="P1415" s="53"/>
      <c r="Q1415" s="53"/>
      <c r="R1415" s="53"/>
      <c r="S1415" s="53"/>
      <c r="T1415" s="53"/>
      <c r="U1415" s="53"/>
      <c r="V1415" s="53"/>
      <c r="W1415" s="53"/>
      <c r="X1415" s="53"/>
      <c r="Y1415" s="53"/>
      <c r="Z1415" s="53"/>
    </row>
    <row r="1416" spans="1:26" ht="15.75" customHeight="1">
      <c r="A1416" s="103"/>
      <c r="B1416" s="103"/>
      <c r="C1416" s="104" t="e">
        <v>#REF!</v>
      </c>
      <c r="D1416" s="103"/>
      <c r="E1416" s="53"/>
      <c r="F1416" s="53"/>
      <c r="G1416" s="53"/>
      <c r="H1416" s="53"/>
      <c r="I1416" s="53"/>
      <c r="J1416" s="53"/>
      <c r="K1416" s="53"/>
      <c r="L1416" s="53"/>
      <c r="M1416" s="53"/>
      <c r="N1416" s="53"/>
      <c r="O1416" s="53"/>
      <c r="P1416" s="53"/>
      <c r="Q1416" s="53"/>
      <c r="R1416" s="53"/>
      <c r="S1416" s="53"/>
      <c r="T1416" s="53"/>
      <c r="U1416" s="53"/>
      <c r="V1416" s="53"/>
      <c r="W1416" s="53"/>
      <c r="X1416" s="53"/>
      <c r="Y1416" s="53"/>
      <c r="Z1416" s="53"/>
    </row>
    <row r="1417" spans="1:26" ht="15.75" customHeight="1">
      <c r="A1417" s="103"/>
      <c r="B1417" s="103"/>
      <c r="C1417" s="104" t="e">
        <v>#REF!</v>
      </c>
      <c r="D1417" s="103"/>
      <c r="E1417" s="53"/>
      <c r="F1417" s="53"/>
      <c r="G1417" s="53"/>
      <c r="H1417" s="53"/>
      <c r="I1417" s="53"/>
      <c r="J1417" s="53"/>
      <c r="K1417" s="53"/>
      <c r="L1417" s="53"/>
      <c r="M1417" s="53"/>
      <c r="N1417" s="53"/>
      <c r="O1417" s="53"/>
      <c r="P1417" s="53"/>
      <c r="Q1417" s="53"/>
      <c r="R1417" s="53"/>
      <c r="S1417" s="53"/>
      <c r="T1417" s="53"/>
      <c r="U1417" s="53"/>
      <c r="V1417" s="53"/>
      <c r="W1417" s="53"/>
      <c r="X1417" s="53"/>
      <c r="Y1417" s="53"/>
      <c r="Z1417" s="53"/>
    </row>
    <row r="1418" spans="1:26" ht="15.75" customHeight="1">
      <c r="A1418" s="103"/>
      <c r="B1418" s="103"/>
      <c r="C1418" s="104" t="e">
        <v>#REF!</v>
      </c>
      <c r="D1418" s="103"/>
      <c r="E1418" s="53"/>
      <c r="F1418" s="53"/>
      <c r="G1418" s="53"/>
      <c r="H1418" s="53"/>
      <c r="I1418" s="53"/>
      <c r="J1418" s="53"/>
      <c r="K1418" s="53"/>
      <c r="L1418" s="53"/>
      <c r="M1418" s="53"/>
      <c r="N1418" s="53"/>
      <c r="O1418" s="53"/>
      <c r="P1418" s="53"/>
      <c r="Q1418" s="53"/>
      <c r="R1418" s="53"/>
      <c r="S1418" s="53"/>
      <c r="T1418" s="53"/>
      <c r="U1418" s="53"/>
      <c r="V1418" s="53"/>
      <c r="W1418" s="53"/>
      <c r="X1418" s="53"/>
      <c r="Y1418" s="53"/>
      <c r="Z1418" s="53"/>
    </row>
    <row r="1419" spans="1:26" ht="15.75" customHeight="1">
      <c r="A1419" s="103"/>
      <c r="B1419" s="103"/>
      <c r="C1419" s="104" t="e">
        <v>#REF!</v>
      </c>
      <c r="D1419" s="10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53"/>
      <c r="T1419" s="53"/>
      <c r="U1419" s="53"/>
      <c r="V1419" s="53"/>
      <c r="W1419" s="53"/>
      <c r="X1419" s="53"/>
      <c r="Y1419" s="53"/>
      <c r="Z1419" s="53"/>
    </row>
    <row r="1420" spans="1:26" ht="15.75" customHeight="1">
      <c r="A1420" s="103"/>
      <c r="B1420" s="103"/>
      <c r="C1420" s="104" t="e">
        <v>#REF!</v>
      </c>
      <c r="D1420" s="103"/>
      <c r="E1420" s="53"/>
      <c r="F1420" s="53"/>
      <c r="G1420" s="53"/>
      <c r="H1420" s="53"/>
      <c r="I1420" s="53"/>
      <c r="J1420" s="53"/>
      <c r="K1420" s="53"/>
      <c r="L1420" s="53"/>
      <c r="M1420" s="53"/>
      <c r="N1420" s="53"/>
      <c r="O1420" s="53"/>
      <c r="P1420" s="53"/>
      <c r="Q1420" s="53"/>
      <c r="R1420" s="53"/>
      <c r="S1420" s="53"/>
      <c r="T1420" s="53"/>
      <c r="U1420" s="53"/>
      <c r="V1420" s="53"/>
      <c r="W1420" s="53"/>
      <c r="X1420" s="53"/>
      <c r="Y1420" s="53"/>
      <c r="Z1420" s="53"/>
    </row>
    <row r="1421" spans="1:26" ht="15.75" customHeight="1">
      <c r="A1421" s="103"/>
      <c r="B1421" s="103"/>
      <c r="C1421" s="104" t="e">
        <v>#REF!</v>
      </c>
      <c r="D1421" s="103"/>
      <c r="E1421" s="53"/>
      <c r="F1421" s="53"/>
      <c r="G1421" s="53"/>
      <c r="H1421" s="53"/>
      <c r="I1421" s="53"/>
      <c r="J1421" s="53"/>
      <c r="K1421" s="53"/>
      <c r="L1421" s="53"/>
      <c r="M1421" s="53"/>
      <c r="N1421" s="53"/>
      <c r="O1421" s="53"/>
      <c r="P1421" s="53"/>
      <c r="Q1421" s="53"/>
      <c r="R1421" s="53"/>
      <c r="S1421" s="53"/>
      <c r="T1421" s="53"/>
      <c r="U1421" s="53"/>
      <c r="V1421" s="53"/>
      <c r="W1421" s="53"/>
      <c r="X1421" s="53"/>
      <c r="Y1421" s="53"/>
      <c r="Z1421" s="53"/>
    </row>
    <row r="1422" spans="1:26" ht="15.75" customHeight="1">
      <c r="A1422" s="103"/>
      <c r="B1422" s="103"/>
      <c r="C1422" s="104" t="e">
        <v>#REF!</v>
      </c>
      <c r="D1422" s="103"/>
      <c r="E1422" s="53"/>
      <c r="F1422" s="53"/>
      <c r="G1422" s="53"/>
      <c r="H1422" s="53"/>
      <c r="I1422" s="53"/>
      <c r="J1422" s="53"/>
      <c r="K1422" s="53"/>
      <c r="L1422" s="53"/>
      <c r="M1422" s="53"/>
      <c r="N1422" s="53"/>
      <c r="O1422" s="53"/>
      <c r="P1422" s="53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</row>
    <row r="1423" spans="1:26" ht="15.75" customHeight="1">
      <c r="A1423" s="103"/>
      <c r="B1423" s="103"/>
      <c r="C1423" s="104" t="e">
        <v>#REF!</v>
      </c>
      <c r="D1423" s="103"/>
      <c r="E1423" s="53"/>
      <c r="F1423" s="53"/>
      <c r="G1423" s="53"/>
      <c r="H1423" s="53"/>
      <c r="I1423" s="53"/>
      <c r="J1423" s="53"/>
      <c r="K1423" s="53"/>
      <c r="L1423" s="53"/>
      <c r="M1423" s="53"/>
      <c r="N1423" s="53"/>
      <c r="O1423" s="53"/>
      <c r="P1423" s="53"/>
      <c r="Q1423" s="53"/>
      <c r="R1423" s="53"/>
      <c r="S1423" s="53"/>
      <c r="T1423" s="53"/>
      <c r="U1423" s="53"/>
      <c r="V1423" s="53"/>
      <c r="W1423" s="53"/>
      <c r="X1423" s="53"/>
      <c r="Y1423" s="53"/>
      <c r="Z1423" s="53"/>
    </row>
    <row r="1424" spans="1:26" ht="15.75" customHeight="1">
      <c r="A1424" s="103"/>
      <c r="B1424" s="103"/>
      <c r="C1424" s="104" t="e">
        <v>#REF!</v>
      </c>
      <c r="D1424" s="103"/>
      <c r="E1424" s="53"/>
      <c r="F1424" s="53"/>
      <c r="G1424" s="53"/>
      <c r="H1424" s="53"/>
      <c r="I1424" s="53"/>
      <c r="J1424" s="53"/>
      <c r="K1424" s="53"/>
      <c r="L1424" s="53"/>
      <c r="M1424" s="53"/>
      <c r="N1424" s="53"/>
      <c r="O1424" s="53"/>
      <c r="P1424" s="53"/>
      <c r="Q1424" s="53"/>
      <c r="R1424" s="53"/>
      <c r="S1424" s="53"/>
      <c r="T1424" s="53"/>
      <c r="U1424" s="53"/>
      <c r="V1424" s="53"/>
      <c r="W1424" s="53"/>
      <c r="X1424" s="53"/>
      <c r="Y1424" s="53"/>
      <c r="Z1424" s="53"/>
    </row>
    <row r="1425" spans="1:26" ht="15.75" customHeight="1">
      <c r="A1425" s="103"/>
      <c r="B1425" s="103"/>
      <c r="C1425" s="104" t="e">
        <v>#REF!</v>
      </c>
      <c r="D1425" s="103"/>
      <c r="E1425" s="53"/>
      <c r="F1425" s="53"/>
      <c r="G1425" s="53"/>
      <c r="H1425" s="53"/>
      <c r="I1425" s="53"/>
      <c r="J1425" s="53"/>
      <c r="K1425" s="53"/>
      <c r="L1425" s="53"/>
      <c r="M1425" s="53"/>
      <c r="N1425" s="53"/>
      <c r="O1425" s="53"/>
      <c r="P1425" s="53"/>
      <c r="Q1425" s="53"/>
      <c r="R1425" s="53"/>
      <c r="S1425" s="53"/>
      <c r="T1425" s="53"/>
      <c r="U1425" s="53"/>
      <c r="V1425" s="53"/>
      <c r="W1425" s="53"/>
      <c r="X1425" s="53"/>
      <c r="Y1425" s="53"/>
      <c r="Z1425" s="53"/>
    </row>
    <row r="1426" spans="1:26" ht="15.75" customHeight="1">
      <c r="A1426" s="103"/>
      <c r="B1426" s="103"/>
      <c r="C1426" s="104" t="e">
        <v>#REF!</v>
      </c>
      <c r="D1426" s="103"/>
      <c r="E1426" s="53"/>
      <c r="F1426" s="53"/>
      <c r="G1426" s="53"/>
      <c r="H1426" s="53"/>
      <c r="I1426" s="53"/>
      <c r="J1426" s="53"/>
      <c r="K1426" s="53"/>
      <c r="L1426" s="53"/>
      <c r="M1426" s="53"/>
      <c r="N1426" s="53"/>
      <c r="O1426" s="53"/>
      <c r="P1426" s="53"/>
      <c r="Q1426" s="53"/>
      <c r="R1426" s="53"/>
      <c r="S1426" s="53"/>
      <c r="T1426" s="53"/>
      <c r="U1426" s="53"/>
      <c r="V1426" s="53"/>
      <c r="W1426" s="53"/>
      <c r="X1426" s="53"/>
      <c r="Y1426" s="53"/>
      <c r="Z1426" s="53"/>
    </row>
    <row r="1427" spans="1:26" ht="15.75" customHeight="1">
      <c r="A1427" s="103"/>
      <c r="B1427" s="103"/>
      <c r="C1427" s="104" t="e">
        <v>#REF!</v>
      </c>
      <c r="D1427" s="103"/>
      <c r="E1427" s="53"/>
      <c r="F1427" s="53"/>
      <c r="G1427" s="53"/>
      <c r="H1427" s="53"/>
      <c r="I1427" s="53"/>
      <c r="J1427" s="53"/>
      <c r="K1427" s="53"/>
      <c r="L1427" s="53"/>
      <c r="M1427" s="53"/>
      <c r="N1427" s="53"/>
      <c r="O1427" s="53"/>
      <c r="P1427" s="53"/>
      <c r="Q1427" s="53"/>
      <c r="R1427" s="53"/>
      <c r="S1427" s="53"/>
      <c r="T1427" s="53"/>
      <c r="U1427" s="53"/>
      <c r="V1427" s="53"/>
      <c r="W1427" s="53"/>
      <c r="X1427" s="53"/>
      <c r="Y1427" s="53"/>
      <c r="Z1427" s="53"/>
    </row>
    <row r="1428" spans="1:26" ht="15.75" customHeight="1">
      <c r="A1428" s="103"/>
      <c r="B1428" s="103"/>
      <c r="C1428" s="104" t="e">
        <v>#REF!</v>
      </c>
      <c r="D1428" s="103"/>
      <c r="E1428" s="53"/>
      <c r="F1428" s="53"/>
      <c r="G1428" s="53"/>
      <c r="H1428" s="53"/>
      <c r="I1428" s="53"/>
      <c r="J1428" s="53"/>
      <c r="K1428" s="53"/>
      <c r="L1428" s="53"/>
      <c r="M1428" s="53"/>
      <c r="N1428" s="53"/>
      <c r="O1428" s="53"/>
      <c r="P1428" s="53"/>
      <c r="Q1428" s="53"/>
      <c r="R1428" s="53"/>
      <c r="S1428" s="53"/>
      <c r="T1428" s="53"/>
      <c r="U1428" s="53"/>
      <c r="V1428" s="53"/>
      <c r="W1428" s="53"/>
      <c r="X1428" s="53"/>
      <c r="Y1428" s="53"/>
      <c r="Z1428" s="53"/>
    </row>
    <row r="1429" spans="1:26" ht="15.75" customHeight="1">
      <c r="A1429" s="103"/>
      <c r="B1429" s="103"/>
      <c r="C1429" s="104" t="e">
        <v>#REF!</v>
      </c>
      <c r="D1429" s="103"/>
      <c r="E1429" s="53"/>
      <c r="F1429" s="53"/>
      <c r="G1429" s="53"/>
      <c r="H1429" s="53"/>
      <c r="I1429" s="53"/>
      <c r="J1429" s="53"/>
      <c r="K1429" s="53"/>
      <c r="L1429" s="53"/>
      <c r="M1429" s="53"/>
      <c r="N1429" s="53"/>
      <c r="O1429" s="53"/>
      <c r="P1429" s="53"/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</row>
    <row r="1430" spans="1:26" ht="15.75" customHeight="1">
      <c r="A1430" s="103"/>
      <c r="B1430" s="103"/>
      <c r="C1430" s="104" t="e">
        <v>#REF!</v>
      </c>
      <c r="D1430" s="103"/>
      <c r="E1430" s="53"/>
      <c r="F1430" s="53"/>
      <c r="G1430" s="53"/>
      <c r="H1430" s="53"/>
      <c r="I1430" s="53"/>
      <c r="J1430" s="53"/>
      <c r="K1430" s="53"/>
      <c r="L1430" s="53"/>
      <c r="M1430" s="53"/>
      <c r="N1430" s="53"/>
      <c r="O1430" s="53"/>
      <c r="P1430" s="53"/>
      <c r="Q1430" s="53"/>
      <c r="R1430" s="53"/>
      <c r="S1430" s="53"/>
      <c r="T1430" s="53"/>
      <c r="U1430" s="53"/>
      <c r="V1430" s="53"/>
      <c r="W1430" s="53"/>
      <c r="X1430" s="53"/>
      <c r="Y1430" s="53"/>
      <c r="Z1430" s="53"/>
    </row>
    <row r="1431" spans="1:26" ht="15.75" customHeight="1">
      <c r="A1431" s="103"/>
      <c r="B1431" s="103"/>
      <c r="C1431" s="104" t="e">
        <v>#REF!</v>
      </c>
      <c r="D1431" s="103"/>
      <c r="E1431" s="53"/>
      <c r="F1431" s="53"/>
      <c r="G1431" s="53"/>
      <c r="H1431" s="53"/>
      <c r="I1431" s="53"/>
      <c r="J1431" s="53"/>
      <c r="K1431" s="53"/>
      <c r="L1431" s="53"/>
      <c r="M1431" s="53"/>
      <c r="N1431" s="53"/>
      <c r="O1431" s="53"/>
      <c r="P1431" s="53"/>
      <c r="Q1431" s="53"/>
      <c r="R1431" s="53"/>
      <c r="S1431" s="53"/>
      <c r="T1431" s="53"/>
      <c r="U1431" s="53"/>
      <c r="V1431" s="53"/>
      <c r="W1431" s="53"/>
      <c r="X1431" s="53"/>
      <c r="Y1431" s="53"/>
      <c r="Z1431" s="53"/>
    </row>
    <row r="1432" spans="1:26" ht="15.75" customHeight="1">
      <c r="A1432" s="103"/>
      <c r="B1432" s="103"/>
      <c r="C1432" s="104" t="e">
        <v>#REF!</v>
      </c>
      <c r="D1432" s="103"/>
      <c r="E1432" s="53"/>
      <c r="F1432" s="53"/>
      <c r="G1432" s="53"/>
      <c r="H1432" s="53"/>
      <c r="I1432" s="53"/>
      <c r="J1432" s="53"/>
      <c r="K1432" s="53"/>
      <c r="L1432" s="53"/>
      <c r="M1432" s="53"/>
      <c r="N1432" s="53"/>
      <c r="O1432" s="53"/>
      <c r="P1432" s="53"/>
      <c r="Q1432" s="53"/>
      <c r="R1432" s="53"/>
      <c r="S1432" s="53"/>
      <c r="T1432" s="53"/>
      <c r="U1432" s="53"/>
      <c r="V1432" s="53"/>
      <c r="W1432" s="53"/>
      <c r="X1432" s="53"/>
      <c r="Y1432" s="53"/>
      <c r="Z1432" s="53"/>
    </row>
    <row r="1433" spans="1:26" ht="15.75" customHeight="1">
      <c r="A1433" s="103"/>
      <c r="B1433" s="103"/>
      <c r="C1433" s="104" t="e">
        <v>#REF!</v>
      </c>
      <c r="D1433" s="103"/>
      <c r="E1433" s="53"/>
      <c r="F1433" s="53"/>
      <c r="G1433" s="53"/>
      <c r="H1433" s="53"/>
      <c r="I1433" s="53"/>
      <c r="J1433" s="53"/>
      <c r="K1433" s="53"/>
      <c r="L1433" s="53"/>
      <c r="M1433" s="53"/>
      <c r="N1433" s="53"/>
      <c r="O1433" s="53"/>
      <c r="P1433" s="53"/>
      <c r="Q1433" s="53"/>
      <c r="R1433" s="53"/>
      <c r="S1433" s="53"/>
      <c r="T1433" s="53"/>
      <c r="U1433" s="53"/>
      <c r="V1433" s="53"/>
      <c r="W1433" s="53"/>
      <c r="X1433" s="53"/>
      <c r="Y1433" s="53"/>
      <c r="Z1433" s="53"/>
    </row>
    <row r="1434" spans="1:26" ht="15.75" customHeight="1">
      <c r="A1434" s="103"/>
      <c r="B1434" s="103"/>
      <c r="C1434" s="104" t="e">
        <v>#REF!</v>
      </c>
      <c r="D1434" s="103"/>
      <c r="E1434" s="53"/>
      <c r="F1434" s="53"/>
      <c r="G1434" s="53"/>
      <c r="H1434" s="53"/>
      <c r="I1434" s="53"/>
      <c r="J1434" s="53"/>
      <c r="K1434" s="53"/>
      <c r="L1434" s="53"/>
      <c r="M1434" s="53"/>
      <c r="N1434" s="53"/>
      <c r="O1434" s="53"/>
      <c r="P1434" s="53"/>
      <c r="Q1434" s="53"/>
      <c r="R1434" s="53"/>
      <c r="S1434" s="53"/>
      <c r="T1434" s="53"/>
      <c r="U1434" s="53"/>
      <c r="V1434" s="53"/>
      <c r="W1434" s="53"/>
      <c r="X1434" s="53"/>
      <c r="Y1434" s="53"/>
      <c r="Z1434" s="53"/>
    </row>
    <row r="1435" spans="1:26" ht="15.75" customHeight="1">
      <c r="A1435" s="103"/>
      <c r="B1435" s="103"/>
      <c r="C1435" s="104" t="e">
        <v>#REF!</v>
      </c>
      <c r="D1435" s="103"/>
      <c r="E1435" s="53"/>
      <c r="F1435" s="53"/>
      <c r="G1435" s="53"/>
      <c r="H1435" s="53"/>
      <c r="I1435" s="53"/>
      <c r="J1435" s="53"/>
      <c r="K1435" s="53"/>
      <c r="L1435" s="53"/>
      <c r="M1435" s="53"/>
      <c r="N1435" s="53"/>
      <c r="O1435" s="53"/>
      <c r="P1435" s="53"/>
      <c r="Q1435" s="53"/>
      <c r="R1435" s="53"/>
      <c r="S1435" s="53"/>
      <c r="T1435" s="53"/>
      <c r="U1435" s="53"/>
      <c r="V1435" s="53"/>
      <c r="W1435" s="53"/>
      <c r="X1435" s="53"/>
      <c r="Y1435" s="53"/>
      <c r="Z1435" s="53"/>
    </row>
    <row r="1436" spans="1:26" ht="15.75" customHeight="1">
      <c r="A1436" s="103"/>
      <c r="B1436" s="103"/>
      <c r="C1436" s="104" t="e">
        <v>#REF!</v>
      </c>
      <c r="D1436" s="103"/>
      <c r="E1436" s="53"/>
      <c r="F1436" s="53"/>
      <c r="G1436" s="53"/>
      <c r="H1436" s="53"/>
      <c r="I1436" s="53"/>
      <c r="J1436" s="53"/>
      <c r="K1436" s="53"/>
      <c r="L1436" s="53"/>
      <c r="M1436" s="53"/>
      <c r="N1436" s="53"/>
      <c r="O1436" s="53"/>
      <c r="P1436" s="53"/>
      <c r="Q1436" s="53"/>
      <c r="R1436" s="53"/>
      <c r="S1436" s="53"/>
      <c r="T1436" s="53"/>
      <c r="U1436" s="53"/>
      <c r="V1436" s="53"/>
      <c r="W1436" s="53"/>
      <c r="X1436" s="53"/>
      <c r="Y1436" s="53"/>
      <c r="Z1436" s="53"/>
    </row>
    <row r="1437" spans="1:26" ht="15.75" customHeight="1">
      <c r="A1437" s="103"/>
      <c r="B1437" s="103"/>
      <c r="C1437" s="104" t="e">
        <v>#REF!</v>
      </c>
      <c r="D1437" s="103"/>
      <c r="E1437" s="53"/>
      <c r="F1437" s="53"/>
      <c r="G1437" s="53"/>
      <c r="H1437" s="53"/>
      <c r="I1437" s="53"/>
      <c r="J1437" s="53"/>
      <c r="K1437" s="53"/>
      <c r="L1437" s="53"/>
      <c r="M1437" s="53"/>
      <c r="N1437" s="53"/>
      <c r="O1437" s="53"/>
      <c r="P1437" s="53"/>
      <c r="Q1437" s="53"/>
      <c r="R1437" s="53"/>
      <c r="S1437" s="53"/>
      <c r="T1437" s="53"/>
      <c r="U1437" s="53"/>
      <c r="V1437" s="53"/>
      <c r="W1437" s="53"/>
      <c r="X1437" s="53"/>
      <c r="Y1437" s="53"/>
      <c r="Z1437" s="53"/>
    </row>
    <row r="1438" spans="1:26" ht="15.75" customHeight="1">
      <c r="A1438" s="103"/>
      <c r="B1438" s="103"/>
      <c r="C1438" s="104" t="e">
        <v>#REF!</v>
      </c>
      <c r="D1438" s="103"/>
      <c r="E1438" s="53"/>
      <c r="F1438" s="53"/>
      <c r="G1438" s="53"/>
      <c r="H1438" s="53"/>
      <c r="I1438" s="53"/>
      <c r="J1438" s="53"/>
      <c r="K1438" s="53"/>
      <c r="L1438" s="53"/>
      <c r="M1438" s="53"/>
      <c r="N1438" s="53"/>
      <c r="O1438" s="53"/>
      <c r="P1438" s="53"/>
      <c r="Q1438" s="53"/>
      <c r="R1438" s="53"/>
      <c r="S1438" s="53"/>
      <c r="T1438" s="53"/>
      <c r="U1438" s="53"/>
      <c r="V1438" s="53"/>
      <c r="W1438" s="53"/>
      <c r="X1438" s="53"/>
      <c r="Y1438" s="53"/>
      <c r="Z1438" s="53"/>
    </row>
    <row r="1439" spans="1:26" ht="15.75" customHeight="1">
      <c r="A1439" s="103"/>
      <c r="B1439" s="103"/>
      <c r="C1439" s="104" t="e">
        <v>#REF!</v>
      </c>
      <c r="D1439" s="103"/>
      <c r="E1439" s="53"/>
      <c r="F1439" s="53"/>
      <c r="G1439" s="53"/>
      <c r="H1439" s="53"/>
      <c r="I1439" s="53"/>
      <c r="J1439" s="53"/>
      <c r="K1439" s="53"/>
      <c r="L1439" s="53"/>
      <c r="M1439" s="53"/>
      <c r="N1439" s="53"/>
      <c r="O1439" s="53"/>
      <c r="P1439" s="53"/>
      <c r="Q1439" s="53"/>
      <c r="R1439" s="53"/>
      <c r="S1439" s="53"/>
      <c r="T1439" s="53"/>
      <c r="U1439" s="53"/>
      <c r="V1439" s="53"/>
      <c r="W1439" s="53"/>
      <c r="X1439" s="53"/>
      <c r="Y1439" s="53"/>
      <c r="Z1439" s="53"/>
    </row>
    <row r="1440" spans="1:26" ht="15.75" customHeight="1">
      <c r="A1440" s="103"/>
      <c r="B1440" s="103"/>
      <c r="C1440" s="104" t="e">
        <v>#REF!</v>
      </c>
      <c r="D1440" s="103"/>
      <c r="E1440" s="53"/>
      <c r="F1440" s="53"/>
      <c r="G1440" s="53"/>
      <c r="H1440" s="53"/>
      <c r="I1440" s="53"/>
      <c r="J1440" s="53"/>
      <c r="K1440" s="53"/>
      <c r="L1440" s="53"/>
      <c r="M1440" s="53"/>
      <c r="N1440" s="53"/>
      <c r="O1440" s="53"/>
      <c r="P1440" s="53"/>
      <c r="Q1440" s="53"/>
      <c r="R1440" s="53"/>
      <c r="S1440" s="53"/>
      <c r="T1440" s="53"/>
      <c r="U1440" s="53"/>
      <c r="V1440" s="53"/>
      <c r="W1440" s="53"/>
      <c r="X1440" s="53"/>
      <c r="Y1440" s="53"/>
      <c r="Z1440" s="53"/>
    </row>
    <row r="1441" spans="1:26" ht="15.75" customHeight="1">
      <c r="A1441" s="103"/>
      <c r="B1441" s="103"/>
      <c r="C1441" s="104" t="e">
        <v>#REF!</v>
      </c>
      <c r="D1441" s="103"/>
      <c r="E1441" s="53"/>
      <c r="F1441" s="53"/>
      <c r="G1441" s="53"/>
      <c r="H1441" s="53"/>
      <c r="I1441" s="53"/>
      <c r="J1441" s="53"/>
      <c r="K1441" s="53"/>
      <c r="L1441" s="53"/>
      <c r="M1441" s="53"/>
      <c r="N1441" s="53"/>
      <c r="O1441" s="53"/>
      <c r="P1441" s="53"/>
      <c r="Q1441" s="53"/>
      <c r="R1441" s="53"/>
      <c r="S1441" s="53"/>
      <c r="T1441" s="53"/>
      <c r="U1441" s="53"/>
      <c r="V1441" s="53"/>
      <c r="W1441" s="53"/>
      <c r="X1441" s="53"/>
      <c r="Y1441" s="53"/>
      <c r="Z1441" s="53"/>
    </row>
    <row r="1442" spans="1:26" ht="15.75" customHeight="1">
      <c r="A1442" s="103"/>
      <c r="B1442" s="103"/>
      <c r="C1442" s="104" t="e">
        <v>#REF!</v>
      </c>
      <c r="D1442" s="103"/>
      <c r="E1442" s="53"/>
      <c r="F1442" s="53"/>
      <c r="G1442" s="53"/>
      <c r="H1442" s="53"/>
      <c r="I1442" s="53"/>
      <c r="J1442" s="53"/>
      <c r="K1442" s="53"/>
      <c r="L1442" s="53"/>
      <c r="M1442" s="53"/>
      <c r="N1442" s="53"/>
      <c r="O1442" s="53"/>
      <c r="P1442" s="53"/>
      <c r="Q1442" s="53"/>
      <c r="R1442" s="53"/>
      <c r="S1442" s="53"/>
      <c r="T1442" s="53"/>
      <c r="U1442" s="53"/>
      <c r="V1442" s="53"/>
      <c r="W1442" s="53"/>
      <c r="X1442" s="53"/>
      <c r="Y1442" s="53"/>
      <c r="Z1442" s="53"/>
    </row>
    <row r="1443" spans="1:26" ht="15.75" customHeight="1">
      <c r="A1443" s="103"/>
      <c r="B1443" s="103"/>
      <c r="C1443" s="104" t="e">
        <v>#REF!</v>
      </c>
      <c r="D1443" s="103"/>
      <c r="E1443" s="53"/>
      <c r="F1443" s="53"/>
      <c r="G1443" s="53"/>
      <c r="H1443" s="53"/>
      <c r="I1443" s="53"/>
      <c r="J1443" s="53"/>
      <c r="K1443" s="53"/>
      <c r="L1443" s="53"/>
      <c r="M1443" s="53"/>
      <c r="N1443" s="53"/>
      <c r="O1443" s="53"/>
      <c r="P1443" s="53"/>
      <c r="Q1443" s="53"/>
      <c r="R1443" s="53"/>
      <c r="S1443" s="53"/>
      <c r="T1443" s="53"/>
      <c r="U1443" s="53"/>
      <c r="V1443" s="53"/>
      <c r="W1443" s="53"/>
      <c r="X1443" s="53"/>
      <c r="Y1443" s="53"/>
      <c r="Z1443" s="53"/>
    </row>
    <row r="1444" spans="1:26" ht="15.75" customHeight="1">
      <c r="A1444" s="103"/>
      <c r="B1444" s="103"/>
      <c r="C1444" s="104" t="e">
        <v>#REF!</v>
      </c>
      <c r="D1444" s="103"/>
      <c r="E1444" s="53"/>
      <c r="F1444" s="53"/>
      <c r="G1444" s="53"/>
      <c r="H1444" s="53"/>
      <c r="I1444" s="53"/>
      <c r="J1444" s="53"/>
      <c r="K1444" s="53"/>
      <c r="L1444" s="53"/>
      <c r="M1444" s="53"/>
      <c r="N1444" s="53"/>
      <c r="O1444" s="53"/>
      <c r="P1444" s="53"/>
      <c r="Q1444" s="53"/>
      <c r="R1444" s="53"/>
      <c r="S1444" s="53"/>
      <c r="T1444" s="53"/>
      <c r="U1444" s="53"/>
      <c r="V1444" s="53"/>
      <c r="W1444" s="53"/>
      <c r="X1444" s="53"/>
      <c r="Y1444" s="53"/>
      <c r="Z1444" s="53"/>
    </row>
    <row r="1445" spans="1:26" ht="15.75" customHeight="1">
      <c r="A1445" s="103"/>
      <c r="B1445" s="103"/>
      <c r="C1445" s="104" t="e">
        <v>#REF!</v>
      </c>
      <c r="D1445" s="103"/>
      <c r="E1445" s="53"/>
      <c r="F1445" s="53"/>
      <c r="G1445" s="53"/>
      <c r="H1445" s="53"/>
      <c r="I1445" s="53"/>
      <c r="J1445" s="53"/>
      <c r="K1445" s="53"/>
      <c r="L1445" s="53"/>
      <c r="M1445" s="53"/>
      <c r="N1445" s="53"/>
      <c r="O1445" s="53"/>
      <c r="P1445" s="53"/>
      <c r="Q1445" s="53"/>
      <c r="R1445" s="53"/>
      <c r="S1445" s="53"/>
      <c r="T1445" s="53"/>
      <c r="U1445" s="53"/>
      <c r="V1445" s="53"/>
      <c r="W1445" s="53"/>
      <c r="X1445" s="53"/>
      <c r="Y1445" s="53"/>
      <c r="Z1445" s="53"/>
    </row>
    <row r="1446" spans="1:26" ht="15.75" customHeight="1">
      <c r="A1446" s="103"/>
      <c r="B1446" s="103"/>
      <c r="C1446" s="104" t="e">
        <v>#REF!</v>
      </c>
      <c r="D1446" s="103"/>
      <c r="E1446" s="53"/>
      <c r="F1446" s="53"/>
      <c r="G1446" s="53"/>
      <c r="H1446" s="53"/>
      <c r="I1446" s="53"/>
      <c r="J1446" s="53"/>
      <c r="K1446" s="53"/>
      <c r="L1446" s="53"/>
      <c r="M1446" s="53"/>
      <c r="N1446" s="53"/>
      <c r="O1446" s="53"/>
      <c r="P1446" s="53"/>
      <c r="Q1446" s="53"/>
      <c r="R1446" s="53"/>
      <c r="S1446" s="53"/>
      <c r="T1446" s="53"/>
      <c r="U1446" s="53"/>
      <c r="V1446" s="53"/>
      <c r="W1446" s="53"/>
      <c r="X1446" s="53"/>
      <c r="Y1446" s="53"/>
      <c r="Z1446" s="53"/>
    </row>
    <row r="1447" spans="1:26" ht="15.75" customHeight="1">
      <c r="A1447" s="103"/>
      <c r="B1447" s="103"/>
      <c r="C1447" s="104" t="e">
        <v>#REF!</v>
      </c>
      <c r="D1447" s="103"/>
      <c r="E1447" s="53"/>
      <c r="F1447" s="53"/>
      <c r="G1447" s="53"/>
      <c r="H1447" s="53"/>
      <c r="I1447" s="53"/>
      <c r="J1447" s="53"/>
      <c r="K1447" s="53"/>
      <c r="L1447" s="53"/>
      <c r="M1447" s="53"/>
      <c r="N1447" s="53"/>
      <c r="O1447" s="53"/>
      <c r="P1447" s="53"/>
      <c r="Q1447" s="53"/>
      <c r="R1447" s="53"/>
      <c r="S1447" s="53"/>
      <c r="T1447" s="53"/>
      <c r="U1447" s="53"/>
      <c r="V1447" s="53"/>
      <c r="W1447" s="53"/>
      <c r="X1447" s="53"/>
      <c r="Y1447" s="53"/>
      <c r="Z1447" s="53"/>
    </row>
    <row r="1448" spans="1:26" ht="15.75" customHeight="1">
      <c r="A1448" s="103"/>
      <c r="B1448" s="103"/>
      <c r="C1448" s="104" t="e">
        <v>#REF!</v>
      </c>
      <c r="D1448" s="103"/>
      <c r="E1448" s="53"/>
      <c r="F1448" s="53"/>
      <c r="G1448" s="53"/>
      <c r="H1448" s="53"/>
      <c r="I1448" s="53"/>
      <c r="J1448" s="53"/>
      <c r="K1448" s="53"/>
      <c r="L1448" s="53"/>
      <c r="M1448" s="53"/>
      <c r="N1448" s="53"/>
      <c r="O1448" s="53"/>
      <c r="P1448" s="53"/>
      <c r="Q1448" s="53"/>
      <c r="R1448" s="53"/>
      <c r="S1448" s="53"/>
      <c r="T1448" s="53"/>
      <c r="U1448" s="53"/>
      <c r="V1448" s="53"/>
      <c r="W1448" s="53"/>
      <c r="X1448" s="53"/>
      <c r="Y1448" s="53"/>
      <c r="Z1448" s="53"/>
    </row>
    <row r="1449" spans="1:26" ht="15.75" customHeight="1">
      <c r="A1449" s="103"/>
      <c r="B1449" s="103"/>
      <c r="C1449" s="104" t="e">
        <v>#REF!</v>
      </c>
      <c r="D1449" s="103"/>
      <c r="E1449" s="53"/>
      <c r="F1449" s="53"/>
      <c r="G1449" s="53"/>
      <c r="H1449" s="53"/>
      <c r="I1449" s="53"/>
      <c r="J1449" s="53"/>
      <c r="K1449" s="53"/>
      <c r="L1449" s="53"/>
      <c r="M1449" s="53"/>
      <c r="N1449" s="53"/>
      <c r="O1449" s="53"/>
      <c r="P1449" s="53"/>
      <c r="Q1449" s="53"/>
      <c r="R1449" s="53"/>
      <c r="S1449" s="53"/>
      <c r="T1449" s="53"/>
      <c r="U1449" s="53"/>
      <c r="V1449" s="53"/>
      <c r="W1449" s="53"/>
      <c r="X1449" s="53"/>
      <c r="Y1449" s="53"/>
      <c r="Z1449" s="53"/>
    </row>
    <row r="1450" spans="1:26" ht="15.75" customHeight="1">
      <c r="A1450" s="103"/>
      <c r="B1450" s="103"/>
      <c r="C1450" s="104" t="e">
        <v>#REF!</v>
      </c>
      <c r="D1450" s="103"/>
      <c r="E1450" s="53"/>
      <c r="F1450" s="53"/>
      <c r="G1450" s="53"/>
      <c r="H1450" s="53"/>
      <c r="I1450" s="53"/>
      <c r="J1450" s="53"/>
      <c r="K1450" s="53"/>
      <c r="L1450" s="53"/>
      <c r="M1450" s="53"/>
      <c r="N1450" s="53"/>
      <c r="O1450" s="53"/>
      <c r="P1450" s="53"/>
      <c r="Q1450" s="53"/>
      <c r="R1450" s="53"/>
      <c r="S1450" s="53"/>
      <c r="T1450" s="53"/>
      <c r="U1450" s="53"/>
      <c r="V1450" s="53"/>
      <c r="W1450" s="53"/>
      <c r="X1450" s="53"/>
      <c r="Y1450" s="53"/>
      <c r="Z1450" s="53"/>
    </row>
    <row r="1451" spans="1:26" ht="15.75" customHeight="1">
      <c r="A1451" s="103"/>
      <c r="B1451" s="103"/>
      <c r="C1451" s="104" t="e">
        <v>#REF!</v>
      </c>
      <c r="D1451" s="103"/>
      <c r="E1451" s="53"/>
      <c r="F1451" s="53"/>
      <c r="G1451" s="53"/>
      <c r="H1451" s="53"/>
      <c r="I1451" s="53"/>
      <c r="J1451" s="53"/>
      <c r="K1451" s="53"/>
      <c r="L1451" s="53"/>
      <c r="M1451" s="53"/>
      <c r="N1451" s="53"/>
      <c r="O1451" s="53"/>
      <c r="P1451" s="53"/>
      <c r="Q1451" s="53"/>
      <c r="R1451" s="53"/>
      <c r="S1451" s="53"/>
      <c r="T1451" s="53"/>
      <c r="U1451" s="53"/>
      <c r="V1451" s="53"/>
      <c r="W1451" s="53"/>
      <c r="X1451" s="53"/>
      <c r="Y1451" s="53"/>
      <c r="Z1451" s="53"/>
    </row>
    <row r="1452" spans="1:26" ht="15.75" customHeight="1">
      <c r="A1452" s="103"/>
      <c r="B1452" s="103"/>
      <c r="C1452" s="104" t="e">
        <v>#REF!</v>
      </c>
      <c r="D1452" s="103"/>
      <c r="E1452" s="53"/>
      <c r="F1452" s="53"/>
      <c r="G1452" s="53"/>
      <c r="H1452" s="53"/>
      <c r="I1452" s="53"/>
      <c r="J1452" s="53"/>
      <c r="K1452" s="53"/>
      <c r="L1452" s="53"/>
      <c r="M1452" s="53"/>
      <c r="N1452" s="53"/>
      <c r="O1452" s="53"/>
      <c r="P1452" s="53"/>
      <c r="Q1452" s="53"/>
      <c r="R1452" s="53"/>
      <c r="S1452" s="53"/>
      <c r="T1452" s="53"/>
      <c r="U1452" s="53"/>
      <c r="V1452" s="53"/>
      <c r="W1452" s="53"/>
      <c r="X1452" s="53"/>
      <c r="Y1452" s="53"/>
      <c r="Z1452" s="53"/>
    </row>
    <row r="1453" spans="1:26" ht="15.75" customHeight="1">
      <c r="A1453" s="103"/>
      <c r="B1453" s="103"/>
      <c r="C1453" s="104" t="e">
        <v>#REF!</v>
      </c>
      <c r="D1453" s="103"/>
      <c r="E1453" s="53"/>
      <c r="F1453" s="53"/>
      <c r="G1453" s="53"/>
      <c r="H1453" s="53"/>
      <c r="I1453" s="53"/>
      <c r="J1453" s="53"/>
      <c r="K1453" s="53"/>
      <c r="L1453" s="53"/>
      <c r="M1453" s="53"/>
      <c r="N1453" s="53"/>
      <c r="O1453" s="53"/>
      <c r="P1453" s="53"/>
      <c r="Q1453" s="53"/>
      <c r="R1453" s="53"/>
      <c r="S1453" s="53"/>
      <c r="T1453" s="53"/>
      <c r="U1453" s="53"/>
      <c r="V1453" s="53"/>
      <c r="W1453" s="53"/>
      <c r="X1453" s="53"/>
      <c r="Y1453" s="53"/>
      <c r="Z1453" s="53"/>
    </row>
    <row r="1454" spans="1:26" ht="15.75" customHeight="1">
      <c r="A1454" s="103"/>
      <c r="B1454" s="103"/>
      <c r="C1454" s="104" t="e">
        <v>#REF!</v>
      </c>
      <c r="D1454" s="103"/>
      <c r="E1454" s="53"/>
      <c r="F1454" s="53"/>
      <c r="G1454" s="53"/>
      <c r="H1454" s="53"/>
      <c r="I1454" s="53"/>
      <c r="J1454" s="53"/>
      <c r="K1454" s="53"/>
      <c r="L1454" s="53"/>
      <c r="M1454" s="53"/>
      <c r="N1454" s="53"/>
      <c r="O1454" s="53"/>
      <c r="P1454" s="53"/>
      <c r="Q1454" s="53"/>
      <c r="R1454" s="53"/>
      <c r="S1454" s="53"/>
      <c r="T1454" s="53"/>
      <c r="U1454" s="53"/>
      <c r="V1454" s="53"/>
      <c r="W1454" s="53"/>
      <c r="X1454" s="53"/>
      <c r="Y1454" s="53"/>
      <c r="Z1454" s="53"/>
    </row>
    <row r="1455" spans="1:26" ht="15.75" customHeight="1">
      <c r="A1455" s="103"/>
      <c r="B1455" s="103"/>
      <c r="C1455" s="104" t="e">
        <v>#REF!</v>
      </c>
      <c r="D1455" s="103"/>
      <c r="E1455" s="53"/>
      <c r="F1455" s="53"/>
      <c r="G1455" s="53"/>
      <c r="H1455" s="53"/>
      <c r="I1455" s="53"/>
      <c r="J1455" s="53"/>
      <c r="K1455" s="53"/>
      <c r="L1455" s="53"/>
      <c r="M1455" s="53"/>
      <c r="N1455" s="53"/>
      <c r="O1455" s="53"/>
      <c r="P1455" s="53"/>
      <c r="Q1455" s="53"/>
      <c r="R1455" s="53"/>
      <c r="S1455" s="53"/>
      <c r="T1455" s="53"/>
      <c r="U1455" s="53"/>
      <c r="V1455" s="53"/>
      <c r="W1455" s="53"/>
      <c r="X1455" s="53"/>
      <c r="Y1455" s="53"/>
      <c r="Z1455" s="53"/>
    </row>
    <row r="1456" spans="1:26" ht="15.75" customHeight="1">
      <c r="A1456" s="103"/>
      <c r="B1456" s="103"/>
      <c r="C1456" s="104" t="e">
        <v>#REF!</v>
      </c>
      <c r="D1456" s="103"/>
      <c r="E1456" s="53"/>
      <c r="F1456" s="53"/>
      <c r="G1456" s="53"/>
      <c r="H1456" s="53"/>
      <c r="I1456" s="53"/>
      <c r="J1456" s="53"/>
      <c r="K1456" s="53"/>
      <c r="L1456" s="53"/>
      <c r="M1456" s="53"/>
      <c r="N1456" s="53"/>
      <c r="O1456" s="53"/>
      <c r="P1456" s="53"/>
      <c r="Q1456" s="53"/>
      <c r="R1456" s="53"/>
      <c r="S1456" s="53"/>
      <c r="T1456" s="53"/>
      <c r="U1456" s="53"/>
      <c r="V1456" s="53"/>
      <c r="W1456" s="53"/>
      <c r="X1456" s="53"/>
      <c r="Y1456" s="53"/>
      <c r="Z1456" s="53"/>
    </row>
    <row r="1457" spans="1:26" ht="15.75" customHeight="1">
      <c r="A1457" s="103"/>
      <c r="B1457" s="103"/>
      <c r="C1457" s="104" t="e">
        <v>#REF!</v>
      </c>
      <c r="D1457" s="103"/>
      <c r="E1457" s="53"/>
      <c r="F1457" s="53"/>
      <c r="G1457" s="53"/>
      <c r="H1457" s="53"/>
      <c r="I1457" s="53"/>
      <c r="J1457" s="53"/>
      <c r="K1457" s="53"/>
      <c r="L1457" s="53"/>
      <c r="M1457" s="53"/>
      <c r="N1457" s="53"/>
      <c r="O1457" s="53"/>
      <c r="P1457" s="53"/>
      <c r="Q1457" s="53"/>
      <c r="R1457" s="53"/>
      <c r="S1457" s="53"/>
      <c r="T1457" s="53"/>
      <c r="U1457" s="53"/>
      <c r="V1457" s="53"/>
      <c r="W1457" s="53"/>
      <c r="X1457" s="53"/>
      <c r="Y1457" s="53"/>
      <c r="Z1457" s="53"/>
    </row>
    <row r="1458" spans="1:26" ht="15.75" customHeight="1">
      <c r="A1458" s="103"/>
      <c r="B1458" s="103"/>
      <c r="C1458" s="104" t="e">
        <v>#REF!</v>
      </c>
      <c r="D1458" s="103"/>
      <c r="E1458" s="53"/>
      <c r="F1458" s="53"/>
      <c r="G1458" s="53"/>
      <c r="H1458" s="53"/>
      <c r="I1458" s="53"/>
      <c r="J1458" s="53"/>
      <c r="K1458" s="53"/>
      <c r="L1458" s="53"/>
      <c r="M1458" s="53"/>
      <c r="N1458" s="53"/>
      <c r="O1458" s="53"/>
      <c r="P1458" s="53"/>
      <c r="Q1458" s="53"/>
      <c r="R1458" s="53"/>
      <c r="S1458" s="53"/>
      <c r="T1458" s="53"/>
      <c r="U1458" s="53"/>
      <c r="V1458" s="53"/>
      <c r="W1458" s="53"/>
      <c r="X1458" s="53"/>
      <c r="Y1458" s="53"/>
      <c r="Z1458" s="53"/>
    </row>
    <row r="1459" spans="1:26" ht="15.75" customHeight="1">
      <c r="A1459" s="103"/>
      <c r="B1459" s="103"/>
      <c r="C1459" s="104" t="e">
        <v>#REF!</v>
      </c>
      <c r="D1459" s="103"/>
      <c r="E1459" s="53"/>
      <c r="F1459" s="53"/>
      <c r="G1459" s="53"/>
      <c r="H1459" s="53"/>
      <c r="I1459" s="53"/>
      <c r="J1459" s="53"/>
      <c r="K1459" s="53"/>
      <c r="L1459" s="53"/>
      <c r="M1459" s="53"/>
      <c r="N1459" s="53"/>
      <c r="O1459" s="53"/>
      <c r="P1459" s="53"/>
      <c r="Q1459" s="53"/>
      <c r="R1459" s="53"/>
      <c r="S1459" s="53"/>
      <c r="T1459" s="53"/>
      <c r="U1459" s="53"/>
      <c r="V1459" s="53"/>
      <c r="W1459" s="53"/>
      <c r="X1459" s="53"/>
      <c r="Y1459" s="53"/>
      <c r="Z1459" s="53"/>
    </row>
    <row r="1460" spans="1:26" ht="15.75" customHeight="1">
      <c r="A1460" s="103"/>
      <c r="B1460" s="103"/>
      <c r="C1460" s="104" t="e">
        <v>#REF!</v>
      </c>
      <c r="D1460" s="103"/>
      <c r="E1460" s="53"/>
      <c r="F1460" s="53"/>
      <c r="G1460" s="53"/>
      <c r="H1460" s="53"/>
      <c r="I1460" s="53"/>
      <c r="J1460" s="53"/>
      <c r="K1460" s="53"/>
      <c r="L1460" s="53"/>
      <c r="M1460" s="53"/>
      <c r="N1460" s="53"/>
      <c r="O1460" s="53"/>
      <c r="P1460" s="53"/>
      <c r="Q1460" s="53"/>
      <c r="R1460" s="53"/>
      <c r="S1460" s="53"/>
      <c r="T1460" s="53"/>
      <c r="U1460" s="53"/>
      <c r="V1460" s="53"/>
      <c r="W1460" s="53"/>
      <c r="X1460" s="53"/>
      <c r="Y1460" s="53"/>
      <c r="Z1460" s="53"/>
    </row>
    <row r="1461" spans="1:26" ht="15.75" customHeight="1">
      <c r="A1461" s="103"/>
      <c r="B1461" s="103"/>
      <c r="C1461" s="104" t="e">
        <v>#REF!</v>
      </c>
      <c r="D1461" s="103"/>
      <c r="E1461" s="53"/>
      <c r="F1461" s="53"/>
      <c r="G1461" s="53"/>
      <c r="H1461" s="53"/>
      <c r="I1461" s="53"/>
      <c r="J1461" s="53"/>
      <c r="K1461" s="53"/>
      <c r="L1461" s="53"/>
      <c r="M1461" s="53"/>
      <c r="N1461" s="53"/>
      <c r="O1461" s="53"/>
      <c r="P1461" s="53"/>
      <c r="Q1461" s="53"/>
      <c r="R1461" s="53"/>
      <c r="S1461" s="53"/>
      <c r="T1461" s="53"/>
      <c r="U1461" s="53"/>
      <c r="V1461" s="53"/>
      <c r="W1461" s="53"/>
      <c r="X1461" s="53"/>
      <c r="Y1461" s="53"/>
      <c r="Z1461" s="53"/>
    </row>
    <row r="1462" spans="1:26" ht="15.75" customHeight="1">
      <c r="A1462" s="103"/>
      <c r="B1462" s="103"/>
      <c r="C1462" s="104" t="e">
        <v>#REF!</v>
      </c>
      <c r="D1462" s="103"/>
      <c r="E1462" s="53"/>
      <c r="F1462" s="53"/>
      <c r="G1462" s="53"/>
      <c r="H1462" s="53"/>
      <c r="I1462" s="53"/>
      <c r="J1462" s="53"/>
      <c r="K1462" s="53"/>
      <c r="L1462" s="53"/>
      <c r="M1462" s="53"/>
      <c r="N1462" s="53"/>
      <c r="O1462" s="53"/>
      <c r="P1462" s="53"/>
      <c r="Q1462" s="53"/>
      <c r="R1462" s="53"/>
      <c r="S1462" s="53"/>
      <c r="T1462" s="53"/>
      <c r="U1462" s="53"/>
      <c r="V1462" s="53"/>
      <c r="W1462" s="53"/>
      <c r="X1462" s="53"/>
      <c r="Y1462" s="53"/>
      <c r="Z1462" s="53"/>
    </row>
    <row r="1463" spans="1:26" ht="15.75" customHeight="1">
      <c r="A1463" s="103"/>
      <c r="B1463" s="103"/>
      <c r="C1463" s="104" t="e">
        <v>#REF!</v>
      </c>
      <c r="D1463" s="103"/>
      <c r="E1463" s="53"/>
      <c r="F1463" s="53"/>
      <c r="G1463" s="53"/>
      <c r="H1463" s="53"/>
      <c r="I1463" s="53"/>
      <c r="J1463" s="53"/>
      <c r="K1463" s="53"/>
      <c r="L1463" s="53"/>
      <c r="M1463" s="53"/>
      <c r="N1463" s="53"/>
      <c r="O1463" s="53"/>
      <c r="P1463" s="53"/>
      <c r="Q1463" s="53"/>
      <c r="R1463" s="53"/>
      <c r="S1463" s="53"/>
      <c r="T1463" s="53"/>
      <c r="U1463" s="53"/>
      <c r="V1463" s="53"/>
      <c r="W1463" s="53"/>
      <c r="X1463" s="53"/>
      <c r="Y1463" s="53"/>
      <c r="Z1463" s="53"/>
    </row>
    <row r="1464" spans="1:26" ht="15.75" customHeight="1">
      <c r="A1464" s="103"/>
      <c r="B1464" s="103"/>
      <c r="C1464" s="104" t="e">
        <v>#REF!</v>
      </c>
      <c r="D1464" s="103"/>
      <c r="E1464" s="53"/>
      <c r="F1464" s="53"/>
      <c r="G1464" s="53"/>
      <c r="H1464" s="53"/>
      <c r="I1464" s="53"/>
      <c r="J1464" s="53"/>
      <c r="K1464" s="53"/>
      <c r="L1464" s="53"/>
      <c r="M1464" s="53"/>
      <c r="N1464" s="53"/>
      <c r="O1464" s="53"/>
      <c r="P1464" s="53"/>
      <c r="Q1464" s="53"/>
      <c r="R1464" s="53"/>
      <c r="S1464" s="53"/>
      <c r="T1464" s="53"/>
      <c r="U1464" s="53"/>
      <c r="V1464" s="53"/>
      <c r="W1464" s="53"/>
      <c r="X1464" s="53"/>
      <c r="Y1464" s="53"/>
      <c r="Z1464" s="53"/>
    </row>
    <row r="1465" spans="1:26" ht="15.75" customHeight="1">
      <c r="A1465" s="103"/>
      <c r="B1465" s="103"/>
      <c r="C1465" s="104" t="e">
        <v>#REF!</v>
      </c>
      <c r="D1465" s="103"/>
      <c r="E1465" s="53"/>
      <c r="F1465" s="53"/>
      <c r="G1465" s="53"/>
      <c r="H1465" s="53"/>
      <c r="I1465" s="53"/>
      <c r="J1465" s="53"/>
      <c r="K1465" s="53"/>
      <c r="L1465" s="53"/>
      <c r="M1465" s="53"/>
      <c r="N1465" s="53"/>
      <c r="O1465" s="53"/>
      <c r="P1465" s="53"/>
      <c r="Q1465" s="53"/>
      <c r="R1465" s="53"/>
      <c r="S1465" s="53"/>
      <c r="T1465" s="53"/>
      <c r="U1465" s="53"/>
      <c r="V1465" s="53"/>
      <c r="W1465" s="53"/>
      <c r="X1465" s="53"/>
      <c r="Y1465" s="53"/>
      <c r="Z1465" s="53"/>
    </row>
    <row r="1466" spans="1:26" ht="15.75" customHeight="1">
      <c r="A1466" s="103"/>
      <c r="B1466" s="103"/>
      <c r="C1466" s="104" t="e">
        <v>#REF!</v>
      </c>
      <c r="D1466" s="103"/>
      <c r="E1466" s="53"/>
      <c r="F1466" s="53"/>
      <c r="G1466" s="53"/>
      <c r="H1466" s="53"/>
      <c r="I1466" s="53"/>
      <c r="J1466" s="53"/>
      <c r="K1466" s="53"/>
      <c r="L1466" s="53"/>
      <c r="M1466" s="53"/>
      <c r="N1466" s="53"/>
      <c r="O1466" s="53"/>
      <c r="P1466" s="53"/>
      <c r="Q1466" s="53"/>
      <c r="R1466" s="53"/>
      <c r="S1466" s="53"/>
      <c r="T1466" s="53"/>
      <c r="U1466" s="53"/>
      <c r="V1466" s="53"/>
      <c r="W1466" s="53"/>
      <c r="X1466" s="53"/>
      <c r="Y1466" s="53"/>
      <c r="Z1466" s="53"/>
    </row>
    <row r="1467" spans="1:26" ht="15.75" customHeight="1">
      <c r="A1467" s="103"/>
      <c r="B1467" s="103"/>
      <c r="C1467" s="104" t="e">
        <v>#REF!</v>
      </c>
      <c r="D1467" s="10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</row>
    <row r="1468" spans="1:26" ht="15.75" customHeight="1">
      <c r="A1468" s="103"/>
      <c r="B1468" s="103"/>
      <c r="C1468" s="104" t="e">
        <v>#REF!</v>
      </c>
      <c r="D1468" s="103"/>
      <c r="E1468" s="53"/>
      <c r="F1468" s="53"/>
      <c r="G1468" s="53"/>
      <c r="H1468" s="53"/>
      <c r="I1468" s="53"/>
      <c r="J1468" s="53"/>
      <c r="K1468" s="53"/>
      <c r="L1468" s="53"/>
      <c r="M1468" s="53"/>
      <c r="N1468" s="53"/>
      <c r="O1468" s="53"/>
      <c r="P1468" s="53"/>
      <c r="Q1468" s="53"/>
      <c r="R1468" s="53"/>
      <c r="S1468" s="53"/>
      <c r="T1468" s="53"/>
      <c r="U1468" s="53"/>
      <c r="V1468" s="53"/>
      <c r="W1468" s="53"/>
      <c r="X1468" s="53"/>
      <c r="Y1468" s="53"/>
      <c r="Z1468" s="53"/>
    </row>
    <row r="1469" spans="1:26" ht="15.75" customHeight="1">
      <c r="A1469" s="103"/>
      <c r="B1469" s="103"/>
      <c r="C1469" s="104" t="e">
        <v>#REF!</v>
      </c>
      <c r="D1469" s="103"/>
      <c r="E1469" s="53"/>
      <c r="F1469" s="53"/>
      <c r="G1469" s="53"/>
      <c r="H1469" s="53"/>
      <c r="I1469" s="53"/>
      <c r="J1469" s="53"/>
      <c r="K1469" s="53"/>
      <c r="L1469" s="53"/>
      <c r="M1469" s="53"/>
      <c r="N1469" s="53"/>
      <c r="O1469" s="53"/>
      <c r="P1469" s="53"/>
      <c r="Q1469" s="53"/>
      <c r="R1469" s="53"/>
      <c r="S1469" s="53"/>
      <c r="T1469" s="53"/>
      <c r="U1469" s="53"/>
      <c r="V1469" s="53"/>
      <c r="W1469" s="53"/>
      <c r="X1469" s="53"/>
      <c r="Y1469" s="53"/>
      <c r="Z1469" s="53"/>
    </row>
    <row r="1470" spans="1:26" ht="15.75" customHeight="1">
      <c r="A1470" s="103"/>
      <c r="B1470" s="103"/>
      <c r="C1470" s="104" t="e">
        <v>#REF!</v>
      </c>
      <c r="D1470" s="103"/>
      <c r="E1470" s="53"/>
      <c r="F1470" s="53"/>
      <c r="G1470" s="53"/>
      <c r="H1470" s="53"/>
      <c r="I1470" s="53"/>
      <c r="J1470" s="53"/>
      <c r="K1470" s="53"/>
      <c r="L1470" s="53"/>
      <c r="M1470" s="53"/>
      <c r="N1470" s="53"/>
      <c r="O1470" s="53"/>
      <c r="P1470" s="53"/>
      <c r="Q1470" s="53"/>
      <c r="R1470" s="53"/>
      <c r="S1470" s="53"/>
      <c r="T1470" s="53"/>
      <c r="U1470" s="53"/>
      <c r="V1470" s="53"/>
      <c r="W1470" s="53"/>
      <c r="X1470" s="53"/>
      <c r="Y1470" s="53"/>
      <c r="Z1470" s="53"/>
    </row>
    <row r="1471" spans="1:26" ht="15.75" customHeight="1">
      <c r="A1471" s="103"/>
      <c r="B1471" s="103"/>
      <c r="C1471" s="104" t="e">
        <v>#REF!</v>
      </c>
      <c r="D1471" s="103"/>
      <c r="E1471" s="53"/>
      <c r="F1471" s="53"/>
      <c r="G1471" s="53"/>
      <c r="H1471" s="53"/>
      <c r="I1471" s="53"/>
      <c r="J1471" s="53"/>
      <c r="K1471" s="53"/>
      <c r="L1471" s="53"/>
      <c r="M1471" s="53"/>
      <c r="N1471" s="53"/>
      <c r="O1471" s="53"/>
      <c r="P1471" s="53"/>
      <c r="Q1471" s="53"/>
      <c r="R1471" s="53"/>
      <c r="S1471" s="53"/>
      <c r="T1471" s="53"/>
      <c r="U1471" s="53"/>
      <c r="V1471" s="53"/>
      <c r="W1471" s="53"/>
      <c r="X1471" s="53"/>
      <c r="Y1471" s="53"/>
      <c r="Z1471" s="53"/>
    </row>
    <row r="1472" spans="1:26" ht="15.75" customHeight="1">
      <c r="A1472" s="103"/>
      <c r="B1472" s="103"/>
      <c r="C1472" s="104" t="e">
        <v>#REF!</v>
      </c>
      <c r="D1472" s="10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53"/>
      <c r="T1472" s="53"/>
      <c r="U1472" s="53"/>
      <c r="V1472" s="53"/>
      <c r="W1472" s="53"/>
      <c r="X1472" s="53"/>
      <c r="Y1472" s="53"/>
      <c r="Z1472" s="53"/>
    </row>
    <row r="1473" spans="1:26" ht="15.75" customHeight="1">
      <c r="A1473" s="103"/>
      <c r="B1473" s="103"/>
      <c r="C1473" s="104" t="e">
        <v>#REF!</v>
      </c>
      <c r="D1473" s="103"/>
      <c r="E1473" s="53"/>
      <c r="F1473" s="53"/>
      <c r="G1473" s="53"/>
      <c r="H1473" s="53"/>
      <c r="I1473" s="53"/>
      <c r="J1473" s="53"/>
      <c r="K1473" s="53"/>
      <c r="L1473" s="53"/>
      <c r="M1473" s="53"/>
      <c r="N1473" s="53"/>
      <c r="O1473" s="53"/>
      <c r="P1473" s="53"/>
      <c r="Q1473" s="53"/>
      <c r="R1473" s="53"/>
      <c r="S1473" s="53"/>
      <c r="T1473" s="53"/>
      <c r="U1473" s="53"/>
      <c r="V1473" s="53"/>
      <c r="W1473" s="53"/>
      <c r="X1473" s="53"/>
      <c r="Y1473" s="53"/>
      <c r="Z1473" s="53"/>
    </row>
    <row r="1474" spans="1:26" ht="15.75" customHeight="1">
      <c r="A1474" s="103"/>
      <c r="B1474" s="103"/>
      <c r="C1474" s="104" t="e">
        <v>#REF!</v>
      </c>
      <c r="D1474" s="103"/>
      <c r="E1474" s="53"/>
      <c r="F1474" s="53"/>
      <c r="G1474" s="53"/>
      <c r="H1474" s="53"/>
      <c r="I1474" s="53"/>
      <c r="J1474" s="53"/>
      <c r="K1474" s="53"/>
      <c r="L1474" s="53"/>
      <c r="M1474" s="53"/>
      <c r="N1474" s="53"/>
      <c r="O1474" s="53"/>
      <c r="P1474" s="53"/>
      <c r="Q1474" s="53"/>
      <c r="R1474" s="53"/>
      <c r="S1474" s="53"/>
      <c r="T1474" s="53"/>
      <c r="U1474" s="53"/>
      <c r="V1474" s="53"/>
      <c r="W1474" s="53"/>
      <c r="X1474" s="53"/>
      <c r="Y1474" s="53"/>
      <c r="Z1474" s="53"/>
    </row>
    <row r="1475" spans="1:26" ht="15.75" customHeight="1">
      <c r="A1475" s="103"/>
      <c r="B1475" s="103"/>
      <c r="C1475" s="104" t="e">
        <v>#REF!</v>
      </c>
      <c r="D1475" s="103"/>
      <c r="E1475" s="53"/>
      <c r="F1475" s="53"/>
      <c r="G1475" s="53"/>
      <c r="H1475" s="53"/>
      <c r="I1475" s="53"/>
      <c r="J1475" s="53"/>
      <c r="K1475" s="53"/>
      <c r="L1475" s="53"/>
      <c r="M1475" s="53"/>
      <c r="N1475" s="53"/>
      <c r="O1475" s="53"/>
      <c r="P1475" s="53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</row>
    <row r="1476" spans="1:26" ht="15.75" customHeight="1">
      <c r="A1476" s="103"/>
      <c r="B1476" s="103"/>
      <c r="C1476" s="104" t="e">
        <v>#REF!</v>
      </c>
      <c r="D1476" s="103"/>
      <c r="E1476" s="53"/>
      <c r="F1476" s="53"/>
      <c r="G1476" s="53"/>
      <c r="H1476" s="53"/>
      <c r="I1476" s="53"/>
      <c r="J1476" s="53"/>
      <c r="K1476" s="53"/>
      <c r="L1476" s="53"/>
      <c r="M1476" s="53"/>
      <c r="N1476" s="53"/>
      <c r="O1476" s="53"/>
      <c r="P1476" s="53"/>
      <c r="Q1476" s="53"/>
      <c r="R1476" s="53"/>
      <c r="S1476" s="53"/>
      <c r="T1476" s="53"/>
      <c r="U1476" s="53"/>
      <c r="V1476" s="53"/>
      <c r="W1476" s="53"/>
      <c r="X1476" s="53"/>
      <c r="Y1476" s="53"/>
      <c r="Z1476" s="53"/>
    </row>
    <row r="1477" spans="1:26" ht="15.75" customHeight="1">
      <c r="A1477" s="103"/>
      <c r="B1477" s="103"/>
      <c r="C1477" s="104" t="e">
        <v>#REF!</v>
      </c>
      <c r="D1477" s="103"/>
      <c r="E1477" s="53"/>
      <c r="F1477" s="53"/>
      <c r="G1477" s="53"/>
      <c r="H1477" s="53"/>
      <c r="I1477" s="53"/>
      <c r="J1477" s="53"/>
      <c r="K1477" s="53"/>
      <c r="L1477" s="53"/>
      <c r="M1477" s="53"/>
      <c r="N1477" s="53"/>
      <c r="O1477" s="53"/>
      <c r="P1477" s="53"/>
      <c r="Q1477" s="53"/>
      <c r="R1477" s="53"/>
      <c r="S1477" s="53"/>
      <c r="T1477" s="53"/>
      <c r="U1477" s="53"/>
      <c r="V1477" s="53"/>
      <c r="W1477" s="53"/>
      <c r="X1477" s="53"/>
      <c r="Y1477" s="53"/>
      <c r="Z1477" s="53"/>
    </row>
    <row r="1478" spans="1:26" ht="15.75" customHeight="1">
      <c r="A1478" s="103"/>
      <c r="B1478" s="103"/>
      <c r="C1478" s="104" t="e">
        <v>#REF!</v>
      </c>
      <c r="D1478" s="103"/>
      <c r="E1478" s="53"/>
      <c r="F1478" s="53"/>
      <c r="G1478" s="53"/>
      <c r="H1478" s="53"/>
      <c r="I1478" s="53"/>
      <c r="J1478" s="53"/>
      <c r="K1478" s="53"/>
      <c r="L1478" s="53"/>
      <c r="M1478" s="53"/>
      <c r="N1478" s="53"/>
      <c r="O1478" s="53"/>
      <c r="P1478" s="53"/>
      <c r="Q1478" s="53"/>
      <c r="R1478" s="53"/>
      <c r="S1478" s="53"/>
      <c r="T1478" s="53"/>
      <c r="U1478" s="53"/>
      <c r="V1478" s="53"/>
      <c r="W1478" s="53"/>
      <c r="X1478" s="53"/>
      <c r="Y1478" s="53"/>
      <c r="Z1478" s="53"/>
    </row>
    <row r="1479" spans="1:26" ht="15.75" customHeight="1">
      <c r="A1479" s="103"/>
      <c r="B1479" s="103"/>
      <c r="C1479" s="104" t="e">
        <v>#REF!</v>
      </c>
      <c r="D1479" s="103"/>
      <c r="E1479" s="53"/>
      <c r="F1479" s="53"/>
      <c r="G1479" s="53"/>
      <c r="H1479" s="53"/>
      <c r="I1479" s="53"/>
      <c r="J1479" s="53"/>
      <c r="K1479" s="53"/>
      <c r="L1479" s="53"/>
      <c r="M1479" s="53"/>
      <c r="N1479" s="53"/>
      <c r="O1479" s="53"/>
      <c r="P1479" s="53"/>
      <c r="Q1479" s="53"/>
      <c r="R1479" s="53"/>
      <c r="S1479" s="53"/>
      <c r="T1479" s="53"/>
      <c r="U1479" s="53"/>
      <c r="V1479" s="53"/>
      <c r="W1479" s="53"/>
      <c r="X1479" s="53"/>
      <c r="Y1479" s="53"/>
      <c r="Z1479" s="53"/>
    </row>
    <row r="1480" spans="1:26" ht="15.75" customHeight="1">
      <c r="A1480" s="103"/>
      <c r="B1480" s="103"/>
      <c r="C1480" s="104" t="e">
        <v>#REF!</v>
      </c>
      <c r="D1480" s="103"/>
      <c r="E1480" s="53"/>
      <c r="F1480" s="53"/>
      <c r="G1480" s="53"/>
      <c r="H1480" s="53"/>
      <c r="I1480" s="53"/>
      <c r="J1480" s="53"/>
      <c r="K1480" s="53"/>
      <c r="L1480" s="53"/>
      <c r="M1480" s="53"/>
      <c r="N1480" s="53"/>
      <c r="O1480" s="53"/>
      <c r="P1480" s="53"/>
      <c r="Q1480" s="53"/>
      <c r="R1480" s="53"/>
      <c r="S1480" s="53"/>
      <c r="T1480" s="53"/>
      <c r="U1480" s="53"/>
      <c r="V1480" s="53"/>
      <c r="W1480" s="53"/>
      <c r="X1480" s="53"/>
      <c r="Y1480" s="53"/>
      <c r="Z1480" s="53"/>
    </row>
    <row r="1481" spans="1:26" ht="15.75" customHeight="1">
      <c r="A1481" s="103"/>
      <c r="B1481" s="103"/>
      <c r="C1481" s="104" t="e">
        <v>#REF!</v>
      </c>
      <c r="D1481" s="103"/>
      <c r="E1481" s="53"/>
      <c r="F1481" s="53"/>
      <c r="G1481" s="53"/>
      <c r="H1481" s="53"/>
      <c r="I1481" s="53"/>
      <c r="J1481" s="53"/>
      <c r="K1481" s="53"/>
      <c r="L1481" s="53"/>
      <c r="M1481" s="53"/>
      <c r="N1481" s="53"/>
      <c r="O1481" s="53"/>
      <c r="P1481" s="53"/>
      <c r="Q1481" s="53"/>
      <c r="R1481" s="53"/>
      <c r="S1481" s="53"/>
      <c r="T1481" s="53"/>
      <c r="U1481" s="53"/>
      <c r="V1481" s="53"/>
      <c r="W1481" s="53"/>
      <c r="X1481" s="53"/>
      <c r="Y1481" s="53"/>
      <c r="Z1481" s="53"/>
    </row>
    <row r="1482" spans="1:26" ht="15.75" customHeight="1">
      <c r="A1482" s="103"/>
      <c r="B1482" s="103"/>
      <c r="C1482" s="104" t="e">
        <v>#REF!</v>
      </c>
      <c r="D1482" s="103"/>
      <c r="E1482" s="53"/>
      <c r="F1482" s="53"/>
      <c r="G1482" s="53"/>
      <c r="H1482" s="53"/>
      <c r="I1482" s="53"/>
      <c r="J1482" s="53"/>
      <c r="K1482" s="53"/>
      <c r="L1482" s="53"/>
      <c r="M1482" s="53"/>
      <c r="N1482" s="53"/>
      <c r="O1482" s="53"/>
      <c r="P1482" s="53"/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</row>
    <row r="1483" spans="1:26" ht="15.75" customHeight="1">
      <c r="A1483" s="103"/>
      <c r="B1483" s="103"/>
      <c r="C1483" s="104" t="e">
        <v>#REF!</v>
      </c>
      <c r="D1483" s="103"/>
      <c r="E1483" s="53"/>
      <c r="F1483" s="53"/>
      <c r="G1483" s="53"/>
      <c r="H1483" s="53"/>
      <c r="I1483" s="53"/>
      <c r="J1483" s="53"/>
      <c r="K1483" s="53"/>
      <c r="L1483" s="53"/>
      <c r="M1483" s="53"/>
      <c r="N1483" s="53"/>
      <c r="O1483" s="53"/>
      <c r="P1483" s="53"/>
      <c r="Q1483" s="53"/>
      <c r="R1483" s="53"/>
      <c r="S1483" s="53"/>
      <c r="T1483" s="53"/>
      <c r="U1483" s="53"/>
      <c r="V1483" s="53"/>
      <c r="W1483" s="53"/>
      <c r="X1483" s="53"/>
      <c r="Y1483" s="53"/>
      <c r="Z1483" s="53"/>
    </row>
    <row r="1484" spans="1:26" ht="15.75" customHeight="1">
      <c r="A1484" s="103"/>
      <c r="B1484" s="103"/>
      <c r="C1484" s="104" t="e">
        <v>#REF!</v>
      </c>
      <c r="D1484" s="103"/>
      <c r="E1484" s="53"/>
      <c r="F1484" s="53"/>
      <c r="G1484" s="53"/>
      <c r="H1484" s="53"/>
      <c r="I1484" s="53"/>
      <c r="J1484" s="53"/>
      <c r="K1484" s="53"/>
      <c r="L1484" s="53"/>
      <c r="M1484" s="53"/>
      <c r="N1484" s="53"/>
      <c r="O1484" s="53"/>
      <c r="P1484" s="53"/>
      <c r="Q1484" s="53"/>
      <c r="R1484" s="53"/>
      <c r="S1484" s="53"/>
      <c r="T1484" s="53"/>
      <c r="U1484" s="53"/>
      <c r="V1484" s="53"/>
      <c r="W1484" s="53"/>
      <c r="X1484" s="53"/>
      <c r="Y1484" s="53"/>
      <c r="Z1484" s="53"/>
    </row>
    <row r="1485" spans="1:26" ht="15.75" customHeight="1">
      <c r="A1485" s="103"/>
      <c r="B1485" s="103"/>
      <c r="C1485" s="104" t="e">
        <v>#REF!</v>
      </c>
      <c r="D1485" s="103"/>
      <c r="E1485" s="53"/>
      <c r="F1485" s="53"/>
      <c r="G1485" s="53"/>
      <c r="H1485" s="53"/>
      <c r="I1485" s="53"/>
      <c r="J1485" s="53"/>
      <c r="K1485" s="53"/>
      <c r="L1485" s="53"/>
      <c r="M1485" s="53"/>
      <c r="N1485" s="53"/>
      <c r="O1485" s="53"/>
      <c r="P1485" s="53"/>
      <c r="Q1485" s="53"/>
      <c r="R1485" s="53"/>
      <c r="S1485" s="53"/>
      <c r="T1485" s="53"/>
      <c r="U1485" s="53"/>
      <c r="V1485" s="53"/>
      <c r="W1485" s="53"/>
      <c r="X1485" s="53"/>
      <c r="Y1485" s="53"/>
      <c r="Z1485" s="53"/>
    </row>
    <row r="1486" spans="1:26" ht="15.75" customHeight="1">
      <c r="A1486" s="103"/>
      <c r="B1486" s="103"/>
      <c r="C1486" s="104" t="e">
        <v>#REF!</v>
      </c>
      <c r="D1486" s="103"/>
      <c r="E1486" s="53"/>
      <c r="F1486" s="53"/>
      <c r="G1486" s="53"/>
      <c r="H1486" s="53"/>
      <c r="I1486" s="53"/>
      <c r="J1486" s="53"/>
      <c r="K1486" s="53"/>
      <c r="L1486" s="53"/>
      <c r="M1486" s="53"/>
      <c r="N1486" s="53"/>
      <c r="O1486" s="53"/>
      <c r="P1486" s="53"/>
      <c r="Q1486" s="53"/>
      <c r="R1486" s="53"/>
      <c r="S1486" s="53"/>
      <c r="T1486" s="53"/>
      <c r="U1486" s="53"/>
      <c r="V1486" s="53"/>
      <c r="W1486" s="53"/>
      <c r="X1486" s="53"/>
      <c r="Y1486" s="53"/>
      <c r="Z1486" s="53"/>
    </row>
    <row r="1487" spans="1:26" ht="15.75" customHeight="1">
      <c r="A1487" s="103"/>
      <c r="B1487" s="103"/>
      <c r="C1487" s="104" t="e">
        <v>#REF!</v>
      </c>
      <c r="D1487" s="103"/>
      <c r="E1487" s="53"/>
      <c r="F1487" s="53"/>
      <c r="G1487" s="53"/>
      <c r="H1487" s="53"/>
      <c r="I1487" s="53"/>
      <c r="J1487" s="53"/>
      <c r="K1487" s="53"/>
      <c r="L1487" s="53"/>
      <c r="M1487" s="53"/>
      <c r="N1487" s="53"/>
      <c r="O1487" s="53"/>
      <c r="P1487" s="53"/>
      <c r="Q1487" s="53"/>
      <c r="R1487" s="53"/>
      <c r="S1487" s="53"/>
      <c r="T1487" s="53"/>
      <c r="U1487" s="53"/>
      <c r="V1487" s="53"/>
      <c r="W1487" s="53"/>
      <c r="X1487" s="53"/>
      <c r="Y1487" s="53"/>
      <c r="Z1487" s="53"/>
    </row>
    <row r="1488" spans="1:26" ht="15.75" customHeight="1">
      <c r="A1488" s="103"/>
      <c r="B1488" s="103"/>
      <c r="C1488" s="104" t="e">
        <v>#REF!</v>
      </c>
      <c r="D1488" s="103"/>
      <c r="E1488" s="53"/>
      <c r="F1488" s="53"/>
      <c r="G1488" s="53"/>
      <c r="H1488" s="53"/>
      <c r="I1488" s="53"/>
      <c r="J1488" s="53"/>
      <c r="K1488" s="53"/>
      <c r="L1488" s="53"/>
      <c r="M1488" s="53"/>
      <c r="N1488" s="53"/>
      <c r="O1488" s="53"/>
      <c r="P1488" s="53"/>
      <c r="Q1488" s="53"/>
      <c r="R1488" s="53"/>
      <c r="S1488" s="53"/>
      <c r="T1488" s="53"/>
      <c r="U1488" s="53"/>
      <c r="V1488" s="53"/>
      <c r="W1488" s="53"/>
      <c r="X1488" s="53"/>
      <c r="Y1488" s="53"/>
      <c r="Z1488" s="53"/>
    </row>
    <row r="1489" spans="1:26" ht="15.75" customHeight="1">
      <c r="A1489" s="103"/>
      <c r="B1489" s="103"/>
      <c r="C1489" s="104" t="e">
        <v>#REF!</v>
      </c>
      <c r="D1489" s="103"/>
      <c r="E1489" s="53"/>
      <c r="F1489" s="53"/>
      <c r="G1489" s="53"/>
      <c r="H1489" s="53"/>
      <c r="I1489" s="53"/>
      <c r="J1489" s="53"/>
      <c r="K1489" s="53"/>
      <c r="L1489" s="53"/>
      <c r="M1489" s="53"/>
      <c r="N1489" s="53"/>
      <c r="O1489" s="53"/>
      <c r="P1489" s="53"/>
      <c r="Q1489" s="53"/>
      <c r="R1489" s="53"/>
      <c r="S1489" s="53"/>
      <c r="T1489" s="53"/>
      <c r="U1489" s="53"/>
      <c r="V1489" s="53"/>
      <c r="W1489" s="53"/>
      <c r="X1489" s="53"/>
      <c r="Y1489" s="53"/>
      <c r="Z1489" s="53"/>
    </row>
    <row r="1490" spans="1:26" ht="15.75" customHeight="1">
      <c r="A1490" s="103"/>
      <c r="B1490" s="103"/>
      <c r="C1490" s="104" t="e">
        <v>#REF!</v>
      </c>
      <c r="D1490" s="103"/>
      <c r="E1490" s="53"/>
      <c r="F1490" s="53"/>
      <c r="G1490" s="53"/>
      <c r="H1490" s="53"/>
      <c r="I1490" s="53"/>
      <c r="J1490" s="53"/>
      <c r="K1490" s="53"/>
      <c r="L1490" s="53"/>
      <c r="M1490" s="53"/>
      <c r="N1490" s="53"/>
      <c r="O1490" s="53"/>
      <c r="P1490" s="53"/>
      <c r="Q1490" s="53"/>
      <c r="R1490" s="53"/>
      <c r="S1490" s="53"/>
      <c r="T1490" s="53"/>
      <c r="U1490" s="53"/>
      <c r="V1490" s="53"/>
      <c r="W1490" s="53"/>
      <c r="X1490" s="53"/>
      <c r="Y1490" s="53"/>
      <c r="Z1490" s="53"/>
    </row>
    <row r="1491" spans="1:26" ht="15.75" customHeight="1">
      <c r="A1491" s="103"/>
      <c r="B1491" s="103"/>
      <c r="C1491" s="104" t="e">
        <v>#REF!</v>
      </c>
      <c r="D1491" s="103"/>
      <c r="E1491" s="53"/>
      <c r="F1491" s="53"/>
      <c r="G1491" s="53"/>
      <c r="H1491" s="53"/>
      <c r="I1491" s="53"/>
      <c r="J1491" s="53"/>
      <c r="K1491" s="53"/>
      <c r="L1491" s="53"/>
      <c r="M1491" s="53"/>
      <c r="N1491" s="53"/>
      <c r="O1491" s="53"/>
      <c r="P1491" s="53"/>
      <c r="Q1491" s="53"/>
      <c r="R1491" s="53"/>
      <c r="S1491" s="53"/>
      <c r="T1491" s="53"/>
      <c r="U1491" s="53"/>
      <c r="V1491" s="53"/>
      <c r="W1491" s="53"/>
      <c r="X1491" s="53"/>
      <c r="Y1491" s="53"/>
      <c r="Z1491" s="53"/>
    </row>
    <row r="1492" spans="1:26" ht="15.75" customHeight="1">
      <c r="A1492" s="103"/>
      <c r="B1492" s="103"/>
      <c r="C1492" s="104" t="e">
        <v>#REF!</v>
      </c>
      <c r="D1492" s="103"/>
      <c r="E1492" s="53"/>
      <c r="F1492" s="53"/>
      <c r="G1492" s="53"/>
      <c r="H1492" s="53"/>
      <c r="I1492" s="53"/>
      <c r="J1492" s="53"/>
      <c r="K1492" s="53"/>
      <c r="L1492" s="53"/>
      <c r="M1492" s="53"/>
      <c r="N1492" s="53"/>
      <c r="O1492" s="53"/>
      <c r="P1492" s="53"/>
      <c r="Q1492" s="53"/>
      <c r="R1492" s="53"/>
      <c r="S1492" s="53"/>
      <c r="T1492" s="53"/>
      <c r="U1492" s="53"/>
      <c r="V1492" s="53"/>
      <c r="W1492" s="53"/>
      <c r="X1492" s="53"/>
      <c r="Y1492" s="53"/>
      <c r="Z1492" s="53"/>
    </row>
    <row r="1493" spans="1:26" ht="15.75" customHeight="1">
      <c r="A1493" s="103"/>
      <c r="B1493" s="103"/>
      <c r="C1493" s="104" t="e">
        <v>#REF!</v>
      </c>
      <c r="D1493" s="103"/>
      <c r="E1493" s="53"/>
      <c r="F1493" s="53"/>
      <c r="G1493" s="53"/>
      <c r="H1493" s="53"/>
      <c r="I1493" s="53"/>
      <c r="J1493" s="53"/>
      <c r="K1493" s="53"/>
      <c r="L1493" s="53"/>
      <c r="M1493" s="53"/>
      <c r="N1493" s="53"/>
      <c r="O1493" s="53"/>
      <c r="P1493" s="53"/>
      <c r="Q1493" s="53"/>
      <c r="R1493" s="53"/>
      <c r="S1493" s="53"/>
      <c r="T1493" s="53"/>
      <c r="U1493" s="53"/>
      <c r="V1493" s="53"/>
      <c r="W1493" s="53"/>
      <c r="X1493" s="53"/>
      <c r="Y1493" s="53"/>
      <c r="Z1493" s="53"/>
    </row>
    <row r="1494" spans="1:26" ht="15.75" customHeight="1">
      <c r="A1494" s="103"/>
      <c r="B1494" s="103"/>
      <c r="C1494" s="104" t="e">
        <v>#REF!</v>
      </c>
      <c r="D1494" s="103"/>
      <c r="E1494" s="53"/>
      <c r="F1494" s="53"/>
      <c r="G1494" s="53"/>
      <c r="H1494" s="53"/>
      <c r="I1494" s="53"/>
      <c r="J1494" s="53"/>
      <c r="K1494" s="53"/>
      <c r="L1494" s="53"/>
      <c r="M1494" s="53"/>
      <c r="N1494" s="53"/>
      <c r="O1494" s="53"/>
      <c r="P1494" s="53"/>
      <c r="Q1494" s="53"/>
      <c r="R1494" s="53"/>
      <c r="S1494" s="53"/>
      <c r="T1494" s="53"/>
      <c r="U1494" s="53"/>
      <c r="V1494" s="53"/>
      <c r="W1494" s="53"/>
      <c r="X1494" s="53"/>
      <c r="Y1494" s="53"/>
      <c r="Z1494" s="53"/>
    </row>
    <row r="1495" spans="1:26" ht="15.75" customHeight="1">
      <c r="A1495" s="103"/>
      <c r="B1495" s="103"/>
      <c r="C1495" s="104" t="e">
        <v>#REF!</v>
      </c>
      <c r="D1495" s="103"/>
      <c r="E1495" s="53"/>
      <c r="F1495" s="53"/>
      <c r="G1495" s="53"/>
      <c r="H1495" s="53"/>
      <c r="I1495" s="53"/>
      <c r="J1495" s="53"/>
      <c r="K1495" s="53"/>
      <c r="L1495" s="53"/>
      <c r="M1495" s="53"/>
      <c r="N1495" s="53"/>
      <c r="O1495" s="53"/>
      <c r="P1495" s="53"/>
      <c r="Q1495" s="53"/>
      <c r="R1495" s="53"/>
      <c r="S1495" s="53"/>
      <c r="T1495" s="53"/>
      <c r="U1495" s="53"/>
      <c r="V1495" s="53"/>
      <c r="W1495" s="53"/>
      <c r="X1495" s="53"/>
      <c r="Y1495" s="53"/>
      <c r="Z1495" s="53"/>
    </row>
    <row r="1496" spans="1:26" ht="15.75" customHeight="1">
      <c r="A1496" s="103"/>
      <c r="B1496" s="103"/>
      <c r="C1496" s="104" t="e">
        <v>#REF!</v>
      </c>
      <c r="D1496" s="103"/>
      <c r="E1496" s="53"/>
      <c r="F1496" s="53"/>
      <c r="G1496" s="53"/>
      <c r="H1496" s="53"/>
      <c r="I1496" s="53"/>
      <c r="J1496" s="53"/>
      <c r="K1496" s="53"/>
      <c r="L1496" s="53"/>
      <c r="M1496" s="53"/>
      <c r="N1496" s="53"/>
      <c r="O1496" s="53"/>
      <c r="P1496" s="53"/>
      <c r="Q1496" s="53"/>
      <c r="R1496" s="53"/>
      <c r="S1496" s="53"/>
      <c r="T1496" s="53"/>
      <c r="U1496" s="53"/>
      <c r="V1496" s="53"/>
      <c r="W1496" s="53"/>
      <c r="X1496" s="53"/>
      <c r="Y1496" s="53"/>
      <c r="Z1496" s="53"/>
    </row>
    <row r="1497" spans="1:26" ht="15.75" customHeight="1">
      <c r="A1497" s="103"/>
      <c r="B1497" s="103"/>
      <c r="C1497" s="104" t="e">
        <v>#REF!</v>
      </c>
      <c r="D1497" s="103"/>
      <c r="E1497" s="53"/>
      <c r="F1497" s="53"/>
      <c r="G1497" s="53"/>
      <c r="H1497" s="53"/>
      <c r="I1497" s="53"/>
      <c r="J1497" s="53"/>
      <c r="K1497" s="53"/>
      <c r="L1497" s="53"/>
      <c r="M1497" s="53"/>
      <c r="N1497" s="53"/>
      <c r="O1497" s="53"/>
      <c r="P1497" s="53"/>
      <c r="Q1497" s="53"/>
      <c r="R1497" s="53"/>
      <c r="S1497" s="53"/>
      <c r="T1497" s="53"/>
      <c r="U1497" s="53"/>
      <c r="V1497" s="53"/>
      <c r="W1497" s="53"/>
      <c r="X1497" s="53"/>
      <c r="Y1497" s="53"/>
      <c r="Z1497" s="53"/>
    </row>
    <row r="1498" spans="1:26" ht="15.75" customHeight="1">
      <c r="A1498" s="103"/>
      <c r="B1498" s="103"/>
      <c r="C1498" s="104" t="e">
        <v>#REF!</v>
      </c>
      <c r="D1498" s="103"/>
      <c r="E1498" s="53"/>
      <c r="F1498" s="53"/>
      <c r="G1498" s="53"/>
      <c r="H1498" s="53"/>
      <c r="I1498" s="53"/>
      <c r="J1498" s="53"/>
      <c r="K1498" s="53"/>
      <c r="L1498" s="53"/>
      <c r="M1498" s="53"/>
      <c r="N1498" s="53"/>
      <c r="O1498" s="53"/>
      <c r="P1498" s="53"/>
      <c r="Q1498" s="53"/>
      <c r="R1498" s="53"/>
      <c r="S1498" s="53"/>
      <c r="T1498" s="53"/>
      <c r="U1498" s="53"/>
      <c r="V1498" s="53"/>
      <c r="W1498" s="53"/>
      <c r="X1498" s="53"/>
      <c r="Y1498" s="53"/>
      <c r="Z1498" s="53"/>
    </row>
    <row r="1499" spans="1:26" ht="15.75" customHeight="1">
      <c r="A1499" s="103"/>
      <c r="B1499" s="103"/>
      <c r="C1499" s="104" t="e">
        <v>#REF!</v>
      </c>
      <c r="D1499" s="103"/>
      <c r="E1499" s="53"/>
      <c r="F1499" s="53"/>
      <c r="G1499" s="53"/>
      <c r="H1499" s="53"/>
      <c r="I1499" s="53"/>
      <c r="J1499" s="53"/>
      <c r="K1499" s="53"/>
      <c r="L1499" s="53"/>
      <c r="M1499" s="53"/>
      <c r="N1499" s="53"/>
      <c r="O1499" s="53"/>
      <c r="P1499" s="53"/>
      <c r="Q1499" s="53"/>
      <c r="R1499" s="53"/>
      <c r="S1499" s="53"/>
      <c r="T1499" s="53"/>
      <c r="U1499" s="53"/>
      <c r="V1499" s="53"/>
      <c r="W1499" s="53"/>
      <c r="X1499" s="53"/>
      <c r="Y1499" s="53"/>
      <c r="Z1499" s="53"/>
    </row>
    <row r="1500" spans="1:26" ht="15.75" customHeight="1">
      <c r="A1500" s="103"/>
      <c r="B1500" s="103"/>
      <c r="C1500" s="104" t="e">
        <v>#REF!</v>
      </c>
      <c r="D1500" s="103"/>
      <c r="E1500" s="53"/>
      <c r="F1500" s="53"/>
      <c r="G1500" s="53"/>
      <c r="H1500" s="53"/>
      <c r="I1500" s="53"/>
      <c r="J1500" s="53"/>
      <c r="K1500" s="53"/>
      <c r="L1500" s="53"/>
      <c r="M1500" s="53"/>
      <c r="N1500" s="53"/>
      <c r="O1500" s="53"/>
      <c r="P1500" s="53"/>
      <c r="Q1500" s="53"/>
      <c r="R1500" s="53"/>
      <c r="S1500" s="53"/>
      <c r="T1500" s="53"/>
      <c r="U1500" s="53"/>
      <c r="V1500" s="53"/>
      <c r="W1500" s="53"/>
      <c r="X1500" s="53"/>
      <c r="Y1500" s="53"/>
      <c r="Z1500" s="53"/>
    </row>
    <row r="1501" spans="1:26" ht="15.75" customHeight="1">
      <c r="A1501" s="103"/>
      <c r="B1501" s="103"/>
      <c r="C1501" s="104" t="e">
        <v>#REF!</v>
      </c>
      <c r="D1501" s="103"/>
      <c r="E1501" s="53"/>
      <c r="F1501" s="53"/>
      <c r="G1501" s="53"/>
      <c r="H1501" s="53"/>
      <c r="I1501" s="53"/>
      <c r="J1501" s="53"/>
      <c r="K1501" s="53"/>
      <c r="L1501" s="53"/>
      <c r="M1501" s="53"/>
      <c r="N1501" s="53"/>
      <c r="O1501" s="53"/>
      <c r="P1501" s="53"/>
      <c r="Q1501" s="53"/>
      <c r="R1501" s="53"/>
      <c r="S1501" s="53"/>
      <c r="T1501" s="53"/>
      <c r="U1501" s="53"/>
      <c r="V1501" s="53"/>
      <c r="W1501" s="53"/>
      <c r="X1501" s="53"/>
      <c r="Y1501" s="53"/>
      <c r="Z1501" s="53"/>
    </row>
    <row r="1502" spans="1:26" ht="15.75" customHeight="1">
      <c r="A1502" s="103"/>
      <c r="B1502" s="103"/>
      <c r="C1502" s="104" t="e">
        <v>#REF!</v>
      </c>
      <c r="D1502" s="103"/>
      <c r="E1502" s="53"/>
      <c r="F1502" s="53"/>
      <c r="G1502" s="53"/>
      <c r="H1502" s="53"/>
      <c r="I1502" s="53"/>
      <c r="J1502" s="53"/>
      <c r="K1502" s="53"/>
      <c r="L1502" s="53"/>
      <c r="M1502" s="53"/>
      <c r="N1502" s="53"/>
      <c r="O1502" s="53"/>
      <c r="P1502" s="53"/>
      <c r="Q1502" s="53"/>
      <c r="R1502" s="53"/>
      <c r="S1502" s="53"/>
      <c r="T1502" s="53"/>
      <c r="U1502" s="53"/>
      <c r="V1502" s="53"/>
      <c r="W1502" s="53"/>
      <c r="X1502" s="53"/>
      <c r="Y1502" s="53"/>
      <c r="Z1502" s="53"/>
    </row>
    <row r="1503" spans="1:26" ht="15.75" customHeight="1">
      <c r="A1503" s="103"/>
      <c r="B1503" s="103"/>
      <c r="C1503" s="104" t="e">
        <v>#REF!</v>
      </c>
      <c r="D1503" s="103"/>
      <c r="E1503" s="53"/>
      <c r="F1503" s="53"/>
      <c r="G1503" s="53"/>
      <c r="H1503" s="53"/>
      <c r="I1503" s="53"/>
      <c r="J1503" s="53"/>
      <c r="K1503" s="53"/>
      <c r="L1503" s="53"/>
      <c r="M1503" s="53"/>
      <c r="N1503" s="53"/>
      <c r="O1503" s="53"/>
      <c r="P1503" s="53"/>
      <c r="Q1503" s="53"/>
      <c r="R1503" s="53"/>
      <c r="S1503" s="53"/>
      <c r="T1503" s="53"/>
      <c r="U1503" s="53"/>
      <c r="V1503" s="53"/>
      <c r="W1503" s="53"/>
      <c r="X1503" s="53"/>
      <c r="Y1503" s="53"/>
      <c r="Z1503" s="53"/>
    </row>
    <row r="1504" spans="1:26" ht="15.75" customHeight="1">
      <c r="A1504" s="103"/>
      <c r="B1504" s="103"/>
      <c r="C1504" s="104" t="e">
        <v>#REF!</v>
      </c>
      <c r="D1504" s="103"/>
      <c r="E1504" s="53"/>
      <c r="F1504" s="53"/>
      <c r="G1504" s="53"/>
      <c r="H1504" s="53"/>
      <c r="I1504" s="53"/>
      <c r="J1504" s="53"/>
      <c r="K1504" s="53"/>
      <c r="L1504" s="53"/>
      <c r="M1504" s="53"/>
      <c r="N1504" s="53"/>
      <c r="O1504" s="53"/>
      <c r="P1504" s="53"/>
      <c r="Q1504" s="53"/>
      <c r="R1504" s="53"/>
      <c r="S1504" s="53"/>
      <c r="T1504" s="53"/>
      <c r="U1504" s="53"/>
      <c r="V1504" s="53"/>
      <c r="W1504" s="53"/>
      <c r="X1504" s="53"/>
      <c r="Y1504" s="53"/>
      <c r="Z1504" s="53"/>
    </row>
    <row r="1505" spans="1:26" ht="15.75" customHeight="1">
      <c r="A1505" s="103"/>
      <c r="B1505" s="103"/>
      <c r="C1505" s="104" t="e">
        <v>#REF!</v>
      </c>
      <c r="D1505" s="103"/>
      <c r="E1505" s="53"/>
      <c r="F1505" s="53"/>
      <c r="G1505" s="53"/>
      <c r="H1505" s="53"/>
      <c r="I1505" s="53"/>
      <c r="J1505" s="53"/>
      <c r="K1505" s="53"/>
      <c r="L1505" s="53"/>
      <c r="M1505" s="53"/>
      <c r="N1505" s="53"/>
      <c r="O1505" s="53"/>
      <c r="P1505" s="53"/>
      <c r="Q1505" s="53"/>
      <c r="R1505" s="53"/>
      <c r="S1505" s="53"/>
      <c r="T1505" s="53"/>
      <c r="U1505" s="53"/>
      <c r="V1505" s="53"/>
      <c r="W1505" s="53"/>
      <c r="X1505" s="53"/>
      <c r="Y1505" s="53"/>
      <c r="Z1505" s="53"/>
    </row>
    <row r="1506" spans="1:26" ht="15.75" customHeight="1">
      <c r="A1506" s="103"/>
      <c r="B1506" s="103"/>
      <c r="C1506" s="104" t="e">
        <v>#REF!</v>
      </c>
      <c r="D1506" s="103"/>
      <c r="E1506" s="53"/>
      <c r="F1506" s="53"/>
      <c r="G1506" s="53"/>
      <c r="H1506" s="53"/>
      <c r="I1506" s="53"/>
      <c r="J1506" s="53"/>
      <c r="K1506" s="53"/>
      <c r="L1506" s="53"/>
      <c r="M1506" s="53"/>
      <c r="N1506" s="53"/>
      <c r="O1506" s="53"/>
      <c r="P1506" s="53"/>
      <c r="Q1506" s="53"/>
      <c r="R1506" s="53"/>
      <c r="S1506" s="53"/>
      <c r="T1506" s="53"/>
      <c r="U1506" s="53"/>
      <c r="V1506" s="53"/>
      <c r="W1506" s="53"/>
      <c r="X1506" s="53"/>
      <c r="Y1506" s="53"/>
      <c r="Z1506" s="53"/>
    </row>
    <row r="1507" spans="1:26" ht="15.75" customHeight="1">
      <c r="A1507" s="103"/>
      <c r="B1507" s="103"/>
      <c r="C1507" s="104" t="e">
        <v>#REF!</v>
      </c>
      <c r="D1507" s="103"/>
      <c r="E1507" s="53"/>
      <c r="F1507" s="53"/>
      <c r="G1507" s="53"/>
      <c r="H1507" s="53"/>
      <c r="I1507" s="53"/>
      <c r="J1507" s="53"/>
      <c r="K1507" s="53"/>
      <c r="L1507" s="53"/>
      <c r="M1507" s="53"/>
      <c r="N1507" s="53"/>
      <c r="O1507" s="53"/>
      <c r="P1507" s="53"/>
      <c r="Q1507" s="53"/>
      <c r="R1507" s="53"/>
      <c r="S1507" s="53"/>
      <c r="T1507" s="53"/>
      <c r="U1507" s="53"/>
      <c r="V1507" s="53"/>
      <c r="W1507" s="53"/>
      <c r="X1507" s="53"/>
      <c r="Y1507" s="53"/>
      <c r="Z1507" s="53"/>
    </row>
    <row r="1508" spans="1:26" ht="15.75" customHeight="1">
      <c r="A1508" s="103"/>
      <c r="B1508" s="103"/>
      <c r="C1508" s="104" t="e">
        <v>#REF!</v>
      </c>
      <c r="D1508" s="103"/>
      <c r="E1508" s="53"/>
      <c r="F1508" s="53"/>
      <c r="G1508" s="53"/>
      <c r="H1508" s="53"/>
      <c r="I1508" s="53"/>
      <c r="J1508" s="53"/>
      <c r="K1508" s="53"/>
      <c r="L1508" s="53"/>
      <c r="M1508" s="53"/>
      <c r="N1508" s="53"/>
      <c r="O1508" s="53"/>
      <c r="P1508" s="53"/>
      <c r="Q1508" s="53"/>
      <c r="R1508" s="53"/>
      <c r="S1508" s="53"/>
      <c r="T1508" s="53"/>
      <c r="U1508" s="53"/>
      <c r="V1508" s="53"/>
      <c r="W1508" s="53"/>
      <c r="X1508" s="53"/>
      <c r="Y1508" s="53"/>
      <c r="Z1508" s="53"/>
    </row>
    <row r="1509" spans="1:26" ht="15.75" customHeight="1">
      <c r="A1509" s="103"/>
      <c r="B1509" s="103"/>
      <c r="C1509" s="104" t="e">
        <v>#REF!</v>
      </c>
      <c r="D1509" s="103"/>
      <c r="E1509" s="53"/>
      <c r="F1509" s="53"/>
      <c r="G1509" s="53"/>
      <c r="H1509" s="53"/>
      <c r="I1509" s="53"/>
      <c r="J1509" s="53"/>
      <c r="K1509" s="53"/>
      <c r="L1509" s="53"/>
      <c r="M1509" s="53"/>
      <c r="N1509" s="53"/>
      <c r="O1509" s="53"/>
      <c r="P1509" s="53"/>
      <c r="Q1509" s="53"/>
      <c r="R1509" s="53"/>
      <c r="S1509" s="53"/>
      <c r="T1509" s="53"/>
      <c r="U1509" s="53"/>
      <c r="V1509" s="53"/>
      <c r="W1509" s="53"/>
      <c r="X1509" s="53"/>
      <c r="Y1509" s="53"/>
      <c r="Z1509" s="53"/>
    </row>
    <row r="1510" spans="1:26" ht="15.75" customHeight="1">
      <c r="A1510" s="103"/>
      <c r="B1510" s="103"/>
      <c r="C1510" s="104" t="e">
        <v>#REF!</v>
      </c>
      <c r="D1510" s="103"/>
      <c r="E1510" s="53"/>
      <c r="F1510" s="53"/>
      <c r="G1510" s="53"/>
      <c r="H1510" s="53"/>
      <c r="I1510" s="53"/>
      <c r="J1510" s="53"/>
      <c r="K1510" s="53"/>
      <c r="L1510" s="53"/>
      <c r="M1510" s="53"/>
      <c r="N1510" s="53"/>
      <c r="O1510" s="53"/>
      <c r="P1510" s="53"/>
      <c r="Q1510" s="53"/>
      <c r="R1510" s="53"/>
      <c r="S1510" s="53"/>
      <c r="T1510" s="53"/>
      <c r="U1510" s="53"/>
      <c r="V1510" s="53"/>
      <c r="W1510" s="53"/>
      <c r="X1510" s="53"/>
      <c r="Y1510" s="53"/>
      <c r="Z1510" s="53"/>
    </row>
    <row r="1511" spans="1:26" ht="15.75" customHeight="1">
      <c r="A1511" s="103"/>
      <c r="B1511" s="103"/>
      <c r="C1511" s="104" t="e">
        <v>#REF!</v>
      </c>
      <c r="D1511" s="103"/>
      <c r="E1511" s="53"/>
      <c r="F1511" s="53"/>
      <c r="G1511" s="53"/>
      <c r="H1511" s="53"/>
      <c r="I1511" s="53"/>
      <c r="J1511" s="53"/>
      <c r="K1511" s="53"/>
      <c r="L1511" s="53"/>
      <c r="M1511" s="53"/>
      <c r="N1511" s="53"/>
      <c r="O1511" s="53"/>
      <c r="P1511" s="53"/>
      <c r="Q1511" s="53"/>
      <c r="R1511" s="53"/>
      <c r="S1511" s="53"/>
      <c r="T1511" s="53"/>
      <c r="U1511" s="53"/>
      <c r="V1511" s="53"/>
      <c r="W1511" s="53"/>
      <c r="X1511" s="53"/>
      <c r="Y1511" s="53"/>
      <c r="Z1511" s="53"/>
    </row>
    <row r="1512" spans="1:26" ht="15.75" customHeight="1">
      <c r="A1512" s="103"/>
      <c r="B1512" s="103"/>
      <c r="C1512" s="104" t="e">
        <v>#REF!</v>
      </c>
      <c r="D1512" s="103"/>
      <c r="E1512" s="53"/>
      <c r="F1512" s="53"/>
      <c r="G1512" s="53"/>
      <c r="H1512" s="53"/>
      <c r="I1512" s="53"/>
      <c r="J1512" s="53"/>
      <c r="K1512" s="53"/>
      <c r="L1512" s="53"/>
      <c r="M1512" s="53"/>
      <c r="N1512" s="53"/>
      <c r="O1512" s="53"/>
      <c r="P1512" s="53"/>
      <c r="Q1512" s="53"/>
      <c r="R1512" s="53"/>
      <c r="S1512" s="53"/>
      <c r="T1512" s="53"/>
      <c r="U1512" s="53"/>
      <c r="V1512" s="53"/>
      <c r="W1512" s="53"/>
      <c r="X1512" s="53"/>
      <c r="Y1512" s="53"/>
      <c r="Z1512" s="53"/>
    </row>
    <row r="1513" spans="1:26" ht="15.75" customHeight="1">
      <c r="A1513" s="103"/>
      <c r="B1513" s="103"/>
      <c r="C1513" s="104" t="e">
        <v>#REF!</v>
      </c>
      <c r="D1513" s="103"/>
      <c r="E1513" s="53"/>
      <c r="F1513" s="53"/>
      <c r="G1513" s="53"/>
      <c r="H1513" s="53"/>
      <c r="I1513" s="53"/>
      <c r="J1513" s="53"/>
      <c r="K1513" s="53"/>
      <c r="L1513" s="53"/>
      <c r="M1513" s="53"/>
      <c r="N1513" s="53"/>
      <c r="O1513" s="53"/>
      <c r="P1513" s="53"/>
      <c r="Q1513" s="53"/>
      <c r="R1513" s="53"/>
      <c r="S1513" s="53"/>
      <c r="T1513" s="53"/>
      <c r="U1513" s="53"/>
      <c r="V1513" s="53"/>
      <c r="W1513" s="53"/>
      <c r="X1513" s="53"/>
      <c r="Y1513" s="53"/>
      <c r="Z1513" s="53"/>
    </row>
    <row r="1514" spans="1:26" ht="15.75" customHeight="1">
      <c r="A1514" s="103"/>
      <c r="B1514" s="103"/>
      <c r="C1514" s="104" t="e">
        <v>#REF!</v>
      </c>
      <c r="D1514" s="103"/>
      <c r="E1514" s="53"/>
      <c r="F1514" s="53"/>
      <c r="G1514" s="53"/>
      <c r="H1514" s="53"/>
      <c r="I1514" s="53"/>
      <c r="J1514" s="53"/>
      <c r="K1514" s="53"/>
      <c r="L1514" s="53"/>
      <c r="M1514" s="53"/>
      <c r="N1514" s="53"/>
      <c r="O1514" s="53"/>
      <c r="P1514" s="53"/>
      <c r="Q1514" s="53"/>
      <c r="R1514" s="53"/>
      <c r="S1514" s="53"/>
      <c r="T1514" s="53"/>
      <c r="U1514" s="53"/>
      <c r="V1514" s="53"/>
      <c r="W1514" s="53"/>
      <c r="X1514" s="53"/>
      <c r="Y1514" s="53"/>
      <c r="Z1514" s="53"/>
    </row>
    <row r="1515" spans="1:26" ht="15.75" customHeight="1">
      <c r="A1515" s="103"/>
      <c r="B1515" s="103"/>
      <c r="C1515" s="104" t="e">
        <v>#REF!</v>
      </c>
      <c r="D1515" s="103"/>
      <c r="E1515" s="53"/>
      <c r="F1515" s="53"/>
      <c r="G1515" s="53"/>
      <c r="H1515" s="53"/>
      <c r="I1515" s="53"/>
      <c r="J1515" s="53"/>
      <c r="K1515" s="53"/>
      <c r="L1515" s="53"/>
      <c r="M1515" s="53"/>
      <c r="N1515" s="53"/>
      <c r="O1515" s="53"/>
      <c r="P1515" s="53"/>
      <c r="Q1515" s="53"/>
      <c r="R1515" s="53"/>
      <c r="S1515" s="53"/>
      <c r="T1515" s="53"/>
      <c r="U1515" s="53"/>
      <c r="V1515" s="53"/>
      <c r="W1515" s="53"/>
      <c r="X1515" s="53"/>
      <c r="Y1515" s="53"/>
      <c r="Z1515" s="53"/>
    </row>
    <row r="1516" spans="1:26" ht="15.75" customHeight="1">
      <c r="A1516" s="103"/>
      <c r="B1516" s="103"/>
      <c r="C1516" s="104" t="e">
        <v>#REF!</v>
      </c>
      <c r="D1516" s="103"/>
      <c r="E1516" s="53"/>
      <c r="F1516" s="53"/>
      <c r="G1516" s="53"/>
      <c r="H1516" s="53"/>
      <c r="I1516" s="53"/>
      <c r="J1516" s="53"/>
      <c r="K1516" s="53"/>
      <c r="L1516" s="53"/>
      <c r="M1516" s="53"/>
      <c r="N1516" s="53"/>
      <c r="O1516" s="53"/>
      <c r="P1516" s="53"/>
      <c r="Q1516" s="53"/>
      <c r="R1516" s="53"/>
      <c r="S1516" s="53"/>
      <c r="T1516" s="53"/>
      <c r="U1516" s="53"/>
      <c r="V1516" s="53"/>
      <c r="W1516" s="53"/>
      <c r="X1516" s="53"/>
      <c r="Y1516" s="53"/>
      <c r="Z1516" s="53"/>
    </row>
    <row r="1517" spans="1:26" ht="15.75" customHeight="1">
      <c r="A1517" s="103"/>
      <c r="B1517" s="103"/>
      <c r="C1517" s="104" t="e">
        <v>#REF!</v>
      </c>
      <c r="D1517" s="103"/>
      <c r="E1517" s="53"/>
      <c r="F1517" s="53"/>
      <c r="G1517" s="53"/>
      <c r="H1517" s="53"/>
      <c r="I1517" s="53"/>
      <c r="J1517" s="53"/>
      <c r="K1517" s="53"/>
      <c r="L1517" s="53"/>
      <c r="M1517" s="53"/>
      <c r="N1517" s="53"/>
      <c r="O1517" s="53"/>
      <c r="P1517" s="53"/>
      <c r="Q1517" s="53"/>
      <c r="R1517" s="53"/>
      <c r="S1517" s="53"/>
      <c r="T1517" s="53"/>
      <c r="U1517" s="53"/>
      <c r="V1517" s="53"/>
      <c r="W1517" s="53"/>
      <c r="X1517" s="53"/>
      <c r="Y1517" s="53"/>
      <c r="Z1517" s="53"/>
    </row>
    <row r="1518" spans="1:26" ht="15.75" customHeight="1">
      <c r="A1518" s="103"/>
      <c r="B1518" s="103"/>
      <c r="C1518" s="104" t="e">
        <v>#REF!</v>
      </c>
      <c r="D1518" s="103"/>
      <c r="E1518" s="53"/>
      <c r="F1518" s="53"/>
      <c r="G1518" s="53"/>
      <c r="H1518" s="53"/>
      <c r="I1518" s="53"/>
      <c r="J1518" s="53"/>
      <c r="K1518" s="53"/>
      <c r="L1518" s="53"/>
      <c r="M1518" s="53"/>
      <c r="N1518" s="53"/>
      <c r="O1518" s="53"/>
      <c r="P1518" s="53"/>
      <c r="Q1518" s="53"/>
      <c r="R1518" s="53"/>
      <c r="S1518" s="53"/>
      <c r="T1518" s="53"/>
      <c r="U1518" s="53"/>
      <c r="V1518" s="53"/>
      <c r="W1518" s="53"/>
      <c r="X1518" s="53"/>
      <c r="Y1518" s="53"/>
      <c r="Z1518" s="53"/>
    </row>
    <row r="1519" spans="1:26" ht="15.75" customHeight="1">
      <c r="A1519" s="103"/>
      <c r="B1519" s="103"/>
      <c r="C1519" s="104" t="e">
        <v>#REF!</v>
      </c>
      <c r="D1519" s="103"/>
      <c r="E1519" s="53"/>
      <c r="F1519" s="53"/>
      <c r="G1519" s="53"/>
      <c r="H1519" s="53"/>
      <c r="I1519" s="53"/>
      <c r="J1519" s="53"/>
      <c r="K1519" s="53"/>
      <c r="L1519" s="53"/>
      <c r="M1519" s="53"/>
      <c r="N1519" s="53"/>
      <c r="O1519" s="53"/>
      <c r="P1519" s="53"/>
      <c r="Q1519" s="53"/>
      <c r="R1519" s="53"/>
      <c r="S1519" s="53"/>
      <c r="T1519" s="53"/>
      <c r="U1519" s="53"/>
      <c r="V1519" s="53"/>
      <c r="W1519" s="53"/>
      <c r="X1519" s="53"/>
      <c r="Y1519" s="53"/>
      <c r="Z1519" s="53"/>
    </row>
    <row r="1520" spans="1:26" ht="15.75" customHeight="1">
      <c r="A1520" s="103"/>
      <c r="B1520" s="103"/>
      <c r="C1520" s="104" t="e">
        <v>#REF!</v>
      </c>
      <c r="D1520" s="10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</row>
    <row r="1521" spans="1:26" ht="15.75" customHeight="1">
      <c r="A1521" s="103"/>
      <c r="B1521" s="103"/>
      <c r="C1521" s="104" t="e">
        <v>#REF!</v>
      </c>
      <c r="D1521" s="103"/>
      <c r="E1521" s="53"/>
      <c r="F1521" s="53"/>
      <c r="G1521" s="53"/>
      <c r="H1521" s="53"/>
      <c r="I1521" s="53"/>
      <c r="J1521" s="53"/>
      <c r="K1521" s="53"/>
      <c r="L1521" s="53"/>
      <c r="M1521" s="53"/>
      <c r="N1521" s="53"/>
      <c r="O1521" s="53"/>
      <c r="P1521" s="53"/>
      <c r="Q1521" s="53"/>
      <c r="R1521" s="53"/>
      <c r="S1521" s="53"/>
      <c r="T1521" s="53"/>
      <c r="U1521" s="53"/>
      <c r="V1521" s="53"/>
      <c r="W1521" s="53"/>
      <c r="X1521" s="53"/>
      <c r="Y1521" s="53"/>
      <c r="Z1521" s="53"/>
    </row>
    <row r="1522" spans="1:26" ht="15.75" customHeight="1">
      <c r="A1522" s="103"/>
      <c r="B1522" s="103"/>
      <c r="C1522" s="104" t="e">
        <v>#REF!</v>
      </c>
      <c r="D1522" s="103"/>
      <c r="E1522" s="53"/>
      <c r="F1522" s="53"/>
      <c r="G1522" s="53"/>
      <c r="H1522" s="53"/>
      <c r="I1522" s="53"/>
      <c r="J1522" s="53"/>
      <c r="K1522" s="53"/>
      <c r="L1522" s="53"/>
      <c r="M1522" s="53"/>
      <c r="N1522" s="53"/>
      <c r="O1522" s="53"/>
      <c r="P1522" s="53"/>
      <c r="Q1522" s="53"/>
      <c r="R1522" s="53"/>
      <c r="S1522" s="53"/>
      <c r="T1522" s="53"/>
      <c r="U1522" s="53"/>
      <c r="V1522" s="53"/>
      <c r="W1522" s="53"/>
      <c r="X1522" s="53"/>
      <c r="Y1522" s="53"/>
      <c r="Z1522" s="53"/>
    </row>
    <row r="1523" spans="1:26" ht="15.75" customHeight="1">
      <c r="A1523" s="103"/>
      <c r="B1523" s="103"/>
      <c r="C1523" s="104" t="e">
        <v>#REF!</v>
      </c>
      <c r="D1523" s="103"/>
      <c r="E1523" s="53"/>
      <c r="F1523" s="53"/>
      <c r="G1523" s="53"/>
      <c r="H1523" s="53"/>
      <c r="I1523" s="53"/>
      <c r="J1523" s="53"/>
      <c r="K1523" s="53"/>
      <c r="L1523" s="53"/>
      <c r="M1523" s="53"/>
      <c r="N1523" s="53"/>
      <c r="O1523" s="53"/>
      <c r="P1523" s="53"/>
      <c r="Q1523" s="53"/>
      <c r="R1523" s="53"/>
      <c r="S1523" s="53"/>
      <c r="T1523" s="53"/>
      <c r="U1523" s="53"/>
      <c r="V1523" s="53"/>
      <c r="W1523" s="53"/>
      <c r="X1523" s="53"/>
      <c r="Y1523" s="53"/>
      <c r="Z1523" s="53"/>
    </row>
    <row r="1524" spans="1:26" ht="15.75" customHeight="1">
      <c r="A1524" s="103"/>
      <c r="B1524" s="103"/>
      <c r="C1524" s="104" t="e">
        <v>#REF!</v>
      </c>
      <c r="D1524" s="103"/>
      <c r="E1524" s="53"/>
      <c r="F1524" s="53"/>
      <c r="G1524" s="53"/>
      <c r="H1524" s="53"/>
      <c r="I1524" s="53"/>
      <c r="J1524" s="53"/>
      <c r="K1524" s="53"/>
      <c r="L1524" s="53"/>
      <c r="M1524" s="53"/>
      <c r="N1524" s="53"/>
      <c r="O1524" s="53"/>
      <c r="P1524" s="53"/>
      <c r="Q1524" s="53"/>
      <c r="R1524" s="53"/>
      <c r="S1524" s="53"/>
      <c r="T1524" s="53"/>
      <c r="U1524" s="53"/>
      <c r="V1524" s="53"/>
      <c r="W1524" s="53"/>
      <c r="X1524" s="53"/>
      <c r="Y1524" s="53"/>
      <c r="Z1524" s="53"/>
    </row>
    <row r="1525" spans="1:26" ht="15.75" customHeight="1">
      <c r="A1525" s="103"/>
      <c r="B1525" s="103"/>
      <c r="C1525" s="104" t="e">
        <v>#REF!</v>
      </c>
      <c r="D1525" s="10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53"/>
      <c r="T1525" s="53"/>
      <c r="U1525" s="53"/>
      <c r="V1525" s="53"/>
      <c r="W1525" s="53"/>
      <c r="X1525" s="53"/>
      <c r="Y1525" s="53"/>
      <c r="Z1525" s="53"/>
    </row>
    <row r="1526" spans="1:26" ht="15.75" customHeight="1">
      <c r="A1526" s="103"/>
      <c r="B1526" s="103"/>
      <c r="C1526" s="104" t="e">
        <v>#REF!</v>
      </c>
      <c r="D1526" s="103"/>
      <c r="E1526" s="53"/>
      <c r="F1526" s="53"/>
      <c r="G1526" s="53"/>
      <c r="H1526" s="53"/>
      <c r="I1526" s="53"/>
      <c r="J1526" s="53"/>
      <c r="K1526" s="53"/>
      <c r="L1526" s="53"/>
      <c r="M1526" s="53"/>
      <c r="N1526" s="53"/>
      <c r="O1526" s="53"/>
      <c r="P1526" s="53"/>
      <c r="Q1526" s="53"/>
      <c r="R1526" s="53"/>
      <c r="S1526" s="53"/>
      <c r="T1526" s="53"/>
      <c r="U1526" s="53"/>
      <c r="V1526" s="53"/>
      <c r="W1526" s="53"/>
      <c r="X1526" s="53"/>
      <c r="Y1526" s="53"/>
      <c r="Z1526" s="53"/>
    </row>
    <row r="1527" spans="1:26" ht="15.75" customHeight="1">
      <c r="A1527" s="103"/>
      <c r="B1527" s="103"/>
      <c r="C1527" s="104" t="e">
        <v>#REF!</v>
      </c>
      <c r="D1527" s="103"/>
      <c r="E1527" s="53"/>
      <c r="F1527" s="53"/>
      <c r="G1527" s="53"/>
      <c r="H1527" s="53"/>
      <c r="I1527" s="53"/>
      <c r="J1527" s="53"/>
      <c r="K1527" s="53"/>
      <c r="L1527" s="53"/>
      <c r="M1527" s="53"/>
      <c r="N1527" s="53"/>
      <c r="O1527" s="53"/>
      <c r="P1527" s="53"/>
      <c r="Q1527" s="53"/>
      <c r="R1527" s="53"/>
      <c r="S1527" s="53"/>
      <c r="T1527" s="53"/>
      <c r="U1527" s="53"/>
      <c r="V1527" s="53"/>
      <c r="W1527" s="53"/>
      <c r="X1527" s="53"/>
      <c r="Y1527" s="53"/>
      <c r="Z1527" s="53"/>
    </row>
    <row r="1528" spans="1:26" ht="15.75" customHeight="1">
      <c r="A1528" s="103"/>
      <c r="B1528" s="103"/>
      <c r="C1528" s="104" t="e">
        <v>#REF!</v>
      </c>
      <c r="D1528" s="103"/>
      <c r="E1528" s="53"/>
      <c r="F1528" s="53"/>
      <c r="G1528" s="53"/>
      <c r="H1528" s="53"/>
      <c r="I1528" s="53"/>
      <c r="J1528" s="53"/>
      <c r="K1528" s="53"/>
      <c r="L1528" s="53"/>
      <c r="M1528" s="53"/>
      <c r="N1528" s="53"/>
      <c r="O1528" s="53"/>
      <c r="P1528" s="53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</row>
    <row r="1529" spans="1:26" ht="15.75" customHeight="1">
      <c r="A1529" s="103"/>
      <c r="B1529" s="103"/>
      <c r="C1529" s="104" t="e">
        <v>#REF!</v>
      </c>
      <c r="D1529" s="103"/>
      <c r="E1529" s="53"/>
      <c r="F1529" s="53"/>
      <c r="G1529" s="53"/>
      <c r="H1529" s="53"/>
      <c r="I1529" s="53"/>
      <c r="J1529" s="53"/>
      <c r="K1529" s="53"/>
      <c r="L1529" s="53"/>
      <c r="M1529" s="53"/>
      <c r="N1529" s="53"/>
      <c r="O1529" s="53"/>
      <c r="P1529" s="53"/>
      <c r="Q1529" s="53"/>
      <c r="R1529" s="53"/>
      <c r="S1529" s="53"/>
      <c r="T1529" s="53"/>
      <c r="U1529" s="53"/>
      <c r="V1529" s="53"/>
      <c r="W1529" s="53"/>
      <c r="X1529" s="53"/>
      <c r="Y1529" s="53"/>
      <c r="Z1529" s="53"/>
    </row>
    <row r="1530" spans="1:26" ht="15.75" customHeight="1">
      <c r="A1530" s="103"/>
      <c r="B1530" s="103"/>
      <c r="C1530" s="104" t="e">
        <v>#REF!</v>
      </c>
      <c r="D1530" s="103"/>
      <c r="E1530" s="53"/>
      <c r="F1530" s="53"/>
      <c r="G1530" s="53"/>
      <c r="H1530" s="53"/>
      <c r="I1530" s="53"/>
      <c r="J1530" s="53"/>
      <c r="K1530" s="53"/>
      <c r="L1530" s="53"/>
      <c r="M1530" s="53"/>
      <c r="N1530" s="53"/>
      <c r="O1530" s="53"/>
      <c r="P1530" s="53"/>
      <c r="Q1530" s="53"/>
      <c r="R1530" s="53"/>
      <c r="S1530" s="53"/>
      <c r="T1530" s="53"/>
      <c r="U1530" s="53"/>
      <c r="V1530" s="53"/>
      <c r="W1530" s="53"/>
      <c r="X1530" s="53"/>
      <c r="Y1530" s="53"/>
      <c r="Z1530" s="53"/>
    </row>
    <row r="1531" spans="1:26" ht="15.75" customHeight="1">
      <c r="A1531" s="103"/>
      <c r="B1531" s="103"/>
      <c r="C1531" s="104" t="e">
        <v>#REF!</v>
      </c>
      <c r="D1531" s="103"/>
      <c r="E1531" s="53"/>
      <c r="F1531" s="53"/>
      <c r="G1531" s="53"/>
      <c r="H1531" s="53"/>
      <c r="I1531" s="53"/>
      <c r="J1531" s="53"/>
      <c r="K1531" s="53"/>
      <c r="L1531" s="53"/>
      <c r="M1531" s="53"/>
      <c r="N1531" s="53"/>
      <c r="O1531" s="53"/>
      <c r="P1531" s="53"/>
      <c r="Q1531" s="53"/>
      <c r="R1531" s="53"/>
      <c r="S1531" s="53"/>
      <c r="T1531" s="53"/>
      <c r="U1531" s="53"/>
      <c r="V1531" s="53"/>
      <c r="W1531" s="53"/>
      <c r="X1531" s="53"/>
      <c r="Y1531" s="53"/>
      <c r="Z1531" s="53"/>
    </row>
    <row r="1532" spans="1:26" ht="15.75" customHeight="1">
      <c r="A1532" s="103"/>
      <c r="B1532" s="103"/>
      <c r="C1532" s="104" t="e">
        <v>#REF!</v>
      </c>
      <c r="D1532" s="103"/>
      <c r="E1532" s="53"/>
      <c r="F1532" s="53"/>
      <c r="G1532" s="53"/>
      <c r="H1532" s="53"/>
      <c r="I1532" s="53"/>
      <c r="J1532" s="53"/>
      <c r="K1532" s="53"/>
      <c r="L1532" s="53"/>
      <c r="M1532" s="53"/>
      <c r="N1532" s="53"/>
      <c r="O1532" s="53"/>
      <c r="P1532" s="53"/>
      <c r="Q1532" s="53"/>
      <c r="R1532" s="53"/>
      <c r="S1532" s="53"/>
      <c r="T1532" s="53"/>
      <c r="U1532" s="53"/>
      <c r="V1532" s="53"/>
      <c r="W1532" s="53"/>
      <c r="X1532" s="53"/>
      <c r="Y1532" s="53"/>
      <c r="Z1532" s="53"/>
    </row>
    <row r="1533" spans="1:26" ht="15.75" customHeight="1">
      <c r="A1533" s="103"/>
      <c r="B1533" s="103"/>
      <c r="C1533" s="104" t="e">
        <v>#REF!</v>
      </c>
      <c r="D1533" s="103"/>
      <c r="E1533" s="53"/>
      <c r="F1533" s="53"/>
      <c r="G1533" s="53"/>
      <c r="H1533" s="53"/>
      <c r="I1533" s="53"/>
      <c r="J1533" s="53"/>
      <c r="K1533" s="53"/>
      <c r="L1533" s="53"/>
      <c r="M1533" s="53"/>
      <c r="N1533" s="53"/>
      <c r="O1533" s="53"/>
      <c r="P1533" s="53"/>
      <c r="Q1533" s="53"/>
      <c r="R1533" s="53"/>
      <c r="S1533" s="53"/>
      <c r="T1533" s="53"/>
      <c r="U1533" s="53"/>
      <c r="V1533" s="53"/>
      <c r="W1533" s="53"/>
      <c r="X1533" s="53"/>
      <c r="Y1533" s="53"/>
      <c r="Z1533" s="53"/>
    </row>
    <row r="1534" spans="1:26" ht="15.75" customHeight="1">
      <c r="A1534" s="103"/>
      <c r="B1534" s="103"/>
      <c r="C1534" s="104" t="e">
        <v>#REF!</v>
      </c>
      <c r="D1534" s="103"/>
      <c r="E1534" s="53"/>
      <c r="F1534" s="53"/>
      <c r="G1534" s="53"/>
      <c r="H1534" s="53"/>
      <c r="I1534" s="53"/>
      <c r="J1534" s="53"/>
      <c r="K1534" s="53"/>
      <c r="L1534" s="53"/>
      <c r="M1534" s="53"/>
      <c r="N1534" s="53"/>
      <c r="O1534" s="53"/>
      <c r="P1534" s="53"/>
      <c r="Q1534" s="53"/>
      <c r="R1534" s="53"/>
      <c r="S1534" s="53"/>
      <c r="T1534" s="53"/>
      <c r="U1534" s="53"/>
      <c r="V1534" s="53"/>
      <c r="W1534" s="53"/>
      <c r="X1534" s="53"/>
      <c r="Y1534" s="53"/>
      <c r="Z1534" s="53"/>
    </row>
    <row r="1535" spans="1:26" ht="15.75" customHeight="1">
      <c r="A1535" s="103"/>
      <c r="B1535" s="103"/>
      <c r="C1535" s="104" t="e">
        <v>#REF!</v>
      </c>
      <c r="D1535" s="103"/>
      <c r="E1535" s="53"/>
      <c r="F1535" s="53"/>
      <c r="G1535" s="53"/>
      <c r="H1535" s="53"/>
      <c r="I1535" s="53"/>
      <c r="J1535" s="53"/>
      <c r="K1535" s="53"/>
      <c r="L1535" s="53"/>
      <c r="M1535" s="53"/>
      <c r="N1535" s="53"/>
      <c r="O1535" s="53"/>
      <c r="P1535" s="53"/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</row>
    <row r="1536" spans="1:26" ht="15.75" customHeight="1">
      <c r="A1536" s="103"/>
      <c r="B1536" s="103"/>
      <c r="C1536" s="104" t="e">
        <v>#REF!</v>
      </c>
      <c r="D1536" s="103"/>
      <c r="E1536" s="53"/>
      <c r="F1536" s="53"/>
      <c r="G1536" s="53"/>
      <c r="H1536" s="53"/>
      <c r="I1536" s="53"/>
      <c r="J1536" s="53"/>
      <c r="K1536" s="53"/>
      <c r="L1536" s="53"/>
      <c r="M1536" s="53"/>
      <c r="N1536" s="53"/>
      <c r="O1536" s="53"/>
      <c r="P1536" s="53"/>
      <c r="Q1536" s="53"/>
      <c r="R1536" s="53"/>
      <c r="S1536" s="53"/>
      <c r="T1536" s="53"/>
      <c r="U1536" s="53"/>
      <c r="V1536" s="53"/>
      <c r="W1536" s="53"/>
      <c r="X1536" s="53"/>
      <c r="Y1536" s="53"/>
      <c r="Z1536" s="53"/>
    </row>
    <row r="1537" spans="1:26" ht="15.75" customHeight="1">
      <c r="A1537" s="103"/>
      <c r="B1537" s="103"/>
      <c r="C1537" s="104" t="e">
        <v>#REF!</v>
      </c>
      <c r="D1537" s="103"/>
      <c r="E1537" s="53"/>
      <c r="F1537" s="53"/>
      <c r="G1537" s="53"/>
      <c r="H1537" s="53"/>
      <c r="I1537" s="53"/>
      <c r="J1537" s="53"/>
      <c r="K1537" s="53"/>
      <c r="L1537" s="53"/>
      <c r="M1537" s="53"/>
      <c r="N1537" s="53"/>
      <c r="O1537" s="53"/>
      <c r="P1537" s="53"/>
      <c r="Q1537" s="53"/>
      <c r="R1537" s="53"/>
      <c r="S1537" s="53"/>
      <c r="T1537" s="53"/>
      <c r="U1537" s="53"/>
      <c r="V1537" s="53"/>
      <c r="W1537" s="53"/>
      <c r="X1537" s="53"/>
      <c r="Y1537" s="53"/>
      <c r="Z1537" s="53"/>
    </row>
    <row r="1538" spans="1:26" ht="15.75" customHeight="1">
      <c r="A1538" s="103"/>
      <c r="B1538" s="103"/>
      <c r="C1538" s="104" t="e">
        <v>#REF!</v>
      </c>
      <c r="D1538" s="103"/>
      <c r="E1538" s="53"/>
      <c r="F1538" s="53"/>
      <c r="G1538" s="53"/>
      <c r="H1538" s="53"/>
      <c r="I1538" s="53"/>
      <c r="J1538" s="53"/>
      <c r="K1538" s="53"/>
      <c r="L1538" s="53"/>
      <c r="M1538" s="53"/>
      <c r="N1538" s="53"/>
      <c r="O1538" s="53"/>
      <c r="P1538" s="53"/>
      <c r="Q1538" s="53"/>
      <c r="R1538" s="53"/>
      <c r="S1538" s="53"/>
      <c r="T1538" s="53"/>
      <c r="U1538" s="53"/>
      <c r="V1538" s="53"/>
      <c r="W1538" s="53"/>
      <c r="X1538" s="53"/>
      <c r="Y1538" s="53"/>
      <c r="Z1538" s="53"/>
    </row>
    <row r="1539" spans="1:26" ht="15.75" customHeight="1">
      <c r="A1539" s="103"/>
      <c r="B1539" s="103"/>
      <c r="C1539" s="104" t="e">
        <v>#REF!</v>
      </c>
      <c r="D1539" s="103"/>
      <c r="E1539" s="53"/>
      <c r="F1539" s="53"/>
      <c r="G1539" s="53"/>
      <c r="H1539" s="53"/>
      <c r="I1539" s="53"/>
      <c r="J1539" s="53"/>
      <c r="K1539" s="53"/>
      <c r="L1539" s="53"/>
      <c r="M1539" s="53"/>
      <c r="N1539" s="53"/>
      <c r="O1539" s="53"/>
      <c r="P1539" s="53"/>
      <c r="Q1539" s="53"/>
      <c r="R1539" s="53"/>
      <c r="S1539" s="53"/>
      <c r="T1539" s="53"/>
      <c r="U1539" s="53"/>
      <c r="V1539" s="53"/>
      <c r="W1539" s="53"/>
      <c r="X1539" s="53"/>
      <c r="Y1539" s="53"/>
      <c r="Z1539" s="53"/>
    </row>
    <row r="1540" spans="1:26" ht="15.75" customHeight="1">
      <c r="A1540" s="103"/>
      <c r="B1540" s="103"/>
      <c r="C1540" s="104" t="e">
        <v>#REF!</v>
      </c>
      <c r="D1540" s="103"/>
      <c r="E1540" s="53"/>
      <c r="F1540" s="53"/>
      <c r="G1540" s="53"/>
      <c r="H1540" s="53"/>
      <c r="I1540" s="53"/>
      <c r="J1540" s="53"/>
      <c r="K1540" s="53"/>
      <c r="L1540" s="53"/>
      <c r="M1540" s="53"/>
      <c r="N1540" s="53"/>
      <c r="O1540" s="53"/>
      <c r="P1540" s="53"/>
      <c r="Q1540" s="53"/>
      <c r="R1540" s="53"/>
      <c r="S1540" s="53"/>
      <c r="T1540" s="53"/>
      <c r="U1540" s="53"/>
      <c r="V1540" s="53"/>
      <c r="W1540" s="53"/>
      <c r="X1540" s="53"/>
      <c r="Y1540" s="53"/>
      <c r="Z1540" s="53"/>
    </row>
    <row r="1541" spans="1:26" ht="15.75" customHeight="1">
      <c r="A1541" s="103"/>
      <c r="B1541" s="103"/>
      <c r="C1541" s="104" t="e">
        <v>#REF!</v>
      </c>
      <c r="D1541" s="103"/>
      <c r="E1541" s="53"/>
      <c r="F1541" s="53"/>
      <c r="G1541" s="53"/>
      <c r="H1541" s="53"/>
      <c r="I1541" s="53"/>
      <c r="J1541" s="53"/>
      <c r="K1541" s="53"/>
      <c r="L1541" s="53"/>
      <c r="M1541" s="53"/>
      <c r="N1541" s="53"/>
      <c r="O1541" s="53"/>
      <c r="P1541" s="53"/>
      <c r="Q1541" s="53"/>
      <c r="R1541" s="53"/>
      <c r="S1541" s="53"/>
      <c r="T1541" s="53"/>
      <c r="U1541" s="53"/>
      <c r="V1541" s="53"/>
      <c r="W1541" s="53"/>
      <c r="X1541" s="53"/>
      <c r="Y1541" s="53"/>
      <c r="Z1541" s="53"/>
    </row>
    <row r="1542" spans="1:26" ht="15.75" customHeight="1">
      <c r="A1542" s="103"/>
      <c r="B1542" s="103"/>
      <c r="C1542" s="104" t="e">
        <v>#REF!</v>
      </c>
      <c r="D1542" s="103"/>
      <c r="E1542" s="53"/>
      <c r="F1542" s="53"/>
      <c r="G1542" s="53"/>
      <c r="H1542" s="53"/>
      <c r="I1542" s="53"/>
      <c r="J1542" s="53"/>
      <c r="K1542" s="53"/>
      <c r="L1542" s="53"/>
      <c r="M1542" s="53"/>
      <c r="N1542" s="53"/>
      <c r="O1542" s="53"/>
      <c r="P1542" s="53"/>
      <c r="Q1542" s="53"/>
      <c r="R1542" s="53"/>
      <c r="S1542" s="53"/>
      <c r="T1542" s="53"/>
      <c r="U1542" s="53"/>
      <c r="V1542" s="53"/>
      <c r="W1542" s="53"/>
      <c r="X1542" s="53"/>
      <c r="Y1542" s="53"/>
      <c r="Z1542" s="53"/>
    </row>
    <row r="1543" spans="1:26" ht="15.75" customHeight="1">
      <c r="A1543" s="103"/>
      <c r="B1543" s="103"/>
      <c r="C1543" s="104" t="e">
        <v>#REF!</v>
      </c>
      <c r="D1543" s="103"/>
      <c r="E1543" s="53"/>
      <c r="F1543" s="53"/>
      <c r="G1543" s="53"/>
      <c r="H1543" s="53"/>
      <c r="I1543" s="53"/>
      <c r="J1543" s="53"/>
      <c r="K1543" s="53"/>
      <c r="L1543" s="53"/>
      <c r="M1543" s="53"/>
      <c r="N1543" s="53"/>
      <c r="O1543" s="53"/>
      <c r="P1543" s="53"/>
      <c r="Q1543" s="53"/>
      <c r="R1543" s="53"/>
      <c r="S1543" s="53"/>
      <c r="T1543" s="53"/>
      <c r="U1543" s="53"/>
      <c r="V1543" s="53"/>
      <c r="W1543" s="53"/>
      <c r="X1543" s="53"/>
      <c r="Y1543" s="53"/>
      <c r="Z1543" s="53"/>
    </row>
    <row r="1544" spans="1:26" ht="15.75" customHeight="1">
      <c r="A1544" s="103"/>
      <c r="B1544" s="103"/>
      <c r="C1544" s="104" t="e">
        <v>#REF!</v>
      </c>
      <c r="D1544" s="103"/>
      <c r="E1544" s="53"/>
      <c r="F1544" s="53"/>
      <c r="G1544" s="53"/>
      <c r="H1544" s="53"/>
      <c r="I1544" s="53"/>
      <c r="J1544" s="53"/>
      <c r="K1544" s="53"/>
      <c r="L1544" s="53"/>
      <c r="M1544" s="53"/>
      <c r="N1544" s="53"/>
      <c r="O1544" s="53"/>
      <c r="P1544" s="53"/>
      <c r="Q1544" s="53"/>
      <c r="R1544" s="53"/>
      <c r="S1544" s="53"/>
      <c r="T1544" s="53"/>
      <c r="U1544" s="53"/>
      <c r="V1544" s="53"/>
      <c r="W1544" s="53"/>
      <c r="X1544" s="53"/>
      <c r="Y1544" s="53"/>
      <c r="Z1544" s="53"/>
    </row>
    <row r="1545" spans="1:26" ht="15.75" customHeight="1">
      <c r="A1545" s="103"/>
      <c r="B1545" s="103"/>
      <c r="C1545" s="104" t="e">
        <v>#REF!</v>
      </c>
      <c r="D1545" s="103"/>
      <c r="E1545" s="53"/>
      <c r="F1545" s="53"/>
      <c r="G1545" s="53"/>
      <c r="H1545" s="53"/>
      <c r="I1545" s="53"/>
      <c r="J1545" s="53"/>
      <c r="K1545" s="53"/>
      <c r="L1545" s="53"/>
      <c r="M1545" s="53"/>
      <c r="N1545" s="53"/>
      <c r="O1545" s="53"/>
      <c r="P1545" s="53"/>
      <c r="Q1545" s="53"/>
      <c r="R1545" s="53"/>
      <c r="S1545" s="53"/>
      <c r="T1545" s="53"/>
      <c r="U1545" s="53"/>
      <c r="V1545" s="53"/>
      <c r="W1545" s="53"/>
      <c r="X1545" s="53"/>
      <c r="Y1545" s="53"/>
      <c r="Z1545" s="53"/>
    </row>
    <row r="1546" spans="1:26" ht="15.75" customHeight="1">
      <c r="A1546" s="103"/>
      <c r="B1546" s="103"/>
      <c r="C1546" s="104" t="e">
        <v>#REF!</v>
      </c>
      <c r="D1546" s="103"/>
      <c r="E1546" s="53"/>
      <c r="F1546" s="53"/>
      <c r="G1546" s="53"/>
      <c r="H1546" s="53"/>
      <c r="I1546" s="53"/>
      <c r="J1546" s="53"/>
      <c r="K1546" s="53"/>
      <c r="L1546" s="53"/>
      <c r="M1546" s="53"/>
      <c r="N1546" s="53"/>
      <c r="O1546" s="53"/>
      <c r="P1546" s="53"/>
      <c r="Q1546" s="53"/>
      <c r="R1546" s="53"/>
      <c r="S1546" s="53"/>
      <c r="T1546" s="53"/>
      <c r="U1546" s="53"/>
      <c r="V1546" s="53"/>
      <c r="W1546" s="53"/>
      <c r="X1546" s="53"/>
      <c r="Y1546" s="53"/>
      <c r="Z1546" s="53"/>
    </row>
    <row r="1547" spans="1:26" ht="15.75" customHeight="1">
      <c r="A1547" s="103"/>
      <c r="B1547" s="103"/>
      <c r="C1547" s="104" t="e">
        <v>#REF!</v>
      </c>
      <c r="D1547" s="103"/>
      <c r="E1547" s="53"/>
      <c r="F1547" s="53"/>
      <c r="G1547" s="53"/>
      <c r="H1547" s="53"/>
      <c r="I1547" s="53"/>
      <c r="J1547" s="53"/>
      <c r="K1547" s="53"/>
      <c r="L1547" s="53"/>
      <c r="M1547" s="53"/>
      <c r="N1547" s="53"/>
      <c r="O1547" s="53"/>
      <c r="P1547" s="53"/>
      <c r="Q1547" s="53"/>
      <c r="R1547" s="53"/>
      <c r="S1547" s="53"/>
      <c r="T1547" s="53"/>
      <c r="U1547" s="53"/>
      <c r="V1547" s="53"/>
      <c r="W1547" s="53"/>
      <c r="X1547" s="53"/>
      <c r="Y1547" s="53"/>
      <c r="Z1547" s="53"/>
    </row>
    <row r="1548" spans="1:26" ht="15.75" customHeight="1">
      <c r="A1548" s="103"/>
      <c r="B1548" s="103"/>
      <c r="C1548" s="104" t="e">
        <v>#REF!</v>
      </c>
      <c r="D1548" s="103"/>
      <c r="E1548" s="53"/>
      <c r="F1548" s="53"/>
      <c r="G1548" s="53"/>
      <c r="H1548" s="53"/>
      <c r="I1548" s="53"/>
      <c r="J1548" s="53"/>
      <c r="K1548" s="53"/>
      <c r="L1548" s="53"/>
      <c r="M1548" s="53"/>
      <c r="N1548" s="53"/>
      <c r="O1548" s="53"/>
      <c r="P1548" s="53"/>
      <c r="Q1548" s="53"/>
      <c r="R1548" s="53"/>
      <c r="S1548" s="53"/>
      <c r="T1548" s="53"/>
      <c r="U1548" s="53"/>
      <c r="V1548" s="53"/>
      <c r="W1548" s="53"/>
      <c r="X1548" s="53"/>
      <c r="Y1548" s="53"/>
      <c r="Z1548" s="53"/>
    </row>
    <row r="1549" spans="1:26" ht="15.75" customHeight="1">
      <c r="A1549" s="103"/>
      <c r="B1549" s="103"/>
      <c r="C1549" s="104" t="e">
        <v>#REF!</v>
      </c>
      <c r="D1549" s="103"/>
      <c r="E1549" s="53"/>
      <c r="F1549" s="53"/>
      <c r="G1549" s="53"/>
      <c r="H1549" s="53"/>
      <c r="I1549" s="53"/>
      <c r="J1549" s="53"/>
      <c r="K1549" s="53"/>
      <c r="L1549" s="53"/>
      <c r="M1549" s="53"/>
      <c r="N1549" s="53"/>
      <c r="O1549" s="53"/>
      <c r="P1549" s="53"/>
      <c r="Q1549" s="53"/>
      <c r="R1549" s="53"/>
      <c r="S1549" s="53"/>
      <c r="T1549" s="53"/>
      <c r="U1549" s="53"/>
      <c r="V1549" s="53"/>
      <c r="W1549" s="53"/>
      <c r="X1549" s="53"/>
      <c r="Y1549" s="53"/>
      <c r="Z1549" s="53"/>
    </row>
    <row r="1550" spans="1:26" ht="15.75" customHeight="1">
      <c r="A1550" s="103"/>
      <c r="B1550" s="103"/>
      <c r="C1550" s="104" t="e">
        <v>#REF!</v>
      </c>
      <c r="D1550" s="103"/>
      <c r="E1550" s="53"/>
      <c r="F1550" s="53"/>
      <c r="G1550" s="53"/>
      <c r="H1550" s="53"/>
      <c r="I1550" s="53"/>
      <c r="J1550" s="53"/>
      <c r="K1550" s="53"/>
      <c r="L1550" s="53"/>
      <c r="M1550" s="53"/>
      <c r="N1550" s="53"/>
      <c r="O1550" s="53"/>
      <c r="P1550" s="53"/>
      <c r="Q1550" s="53"/>
      <c r="R1550" s="53"/>
      <c r="S1550" s="53"/>
      <c r="T1550" s="53"/>
      <c r="U1550" s="53"/>
      <c r="V1550" s="53"/>
      <c r="W1550" s="53"/>
      <c r="X1550" s="53"/>
      <c r="Y1550" s="53"/>
      <c r="Z1550" s="53"/>
    </row>
    <row r="1551" spans="1:26" ht="15.75" customHeight="1">
      <c r="A1551" s="103"/>
      <c r="B1551" s="103"/>
      <c r="C1551" s="104" t="e">
        <v>#REF!</v>
      </c>
      <c r="D1551" s="103"/>
      <c r="E1551" s="53"/>
      <c r="F1551" s="53"/>
      <c r="G1551" s="53"/>
      <c r="H1551" s="53"/>
      <c r="I1551" s="53"/>
      <c r="J1551" s="53"/>
      <c r="K1551" s="53"/>
      <c r="L1551" s="53"/>
      <c r="M1551" s="53"/>
      <c r="N1551" s="53"/>
      <c r="O1551" s="53"/>
      <c r="P1551" s="53"/>
      <c r="Q1551" s="53"/>
      <c r="R1551" s="53"/>
      <c r="S1551" s="53"/>
      <c r="T1551" s="53"/>
      <c r="U1551" s="53"/>
      <c r="V1551" s="53"/>
      <c r="W1551" s="53"/>
      <c r="X1551" s="53"/>
      <c r="Y1551" s="53"/>
      <c r="Z1551" s="53"/>
    </row>
    <row r="1552" spans="1:26" ht="15.75" customHeight="1">
      <c r="A1552" s="103"/>
      <c r="B1552" s="103"/>
      <c r="C1552" s="104" t="e">
        <v>#REF!</v>
      </c>
      <c r="D1552" s="103"/>
      <c r="E1552" s="53"/>
      <c r="F1552" s="53"/>
      <c r="G1552" s="53"/>
      <c r="H1552" s="53"/>
      <c r="I1552" s="53"/>
      <c r="J1552" s="53"/>
      <c r="K1552" s="53"/>
      <c r="L1552" s="53"/>
      <c r="M1552" s="53"/>
      <c r="N1552" s="53"/>
      <c r="O1552" s="53"/>
      <c r="P1552" s="53"/>
      <c r="Q1552" s="53"/>
      <c r="R1552" s="53"/>
      <c r="S1552" s="53"/>
      <c r="T1552" s="53"/>
      <c r="U1552" s="53"/>
      <c r="V1552" s="53"/>
      <c r="W1552" s="53"/>
      <c r="X1552" s="53"/>
      <c r="Y1552" s="53"/>
      <c r="Z1552" s="53"/>
    </row>
    <row r="1553" spans="1:26" ht="15.75" customHeight="1">
      <c r="A1553" s="103"/>
      <c r="B1553" s="103"/>
      <c r="C1553" s="104" t="e">
        <v>#REF!</v>
      </c>
      <c r="D1553" s="103"/>
      <c r="E1553" s="53"/>
      <c r="F1553" s="53"/>
      <c r="G1553" s="53"/>
      <c r="H1553" s="53"/>
      <c r="I1553" s="53"/>
      <c r="J1553" s="53"/>
      <c r="K1553" s="53"/>
      <c r="L1553" s="53"/>
      <c r="M1553" s="53"/>
      <c r="N1553" s="53"/>
      <c r="O1553" s="53"/>
      <c r="P1553" s="53"/>
      <c r="Q1553" s="53"/>
      <c r="R1553" s="53"/>
      <c r="S1553" s="53"/>
      <c r="T1553" s="53"/>
      <c r="U1553" s="53"/>
      <c r="V1553" s="53"/>
      <c r="W1553" s="53"/>
      <c r="X1553" s="53"/>
      <c r="Y1553" s="53"/>
      <c r="Z1553" s="53"/>
    </row>
    <row r="1554" spans="1:26" ht="15.75" customHeight="1">
      <c r="A1554" s="103"/>
      <c r="B1554" s="103"/>
      <c r="C1554" s="104" t="e">
        <v>#REF!</v>
      </c>
      <c r="D1554" s="103"/>
      <c r="E1554" s="53"/>
      <c r="F1554" s="53"/>
      <c r="G1554" s="53"/>
      <c r="H1554" s="53"/>
      <c r="I1554" s="53"/>
      <c r="J1554" s="53"/>
      <c r="K1554" s="53"/>
      <c r="L1554" s="53"/>
      <c r="M1554" s="53"/>
      <c r="N1554" s="53"/>
      <c r="O1554" s="53"/>
      <c r="P1554" s="53"/>
      <c r="Q1554" s="53"/>
      <c r="R1554" s="53"/>
      <c r="S1554" s="53"/>
      <c r="T1554" s="53"/>
      <c r="U1554" s="53"/>
      <c r="V1554" s="53"/>
      <c r="W1554" s="53"/>
      <c r="X1554" s="53"/>
      <c r="Y1554" s="53"/>
      <c r="Z1554" s="53"/>
    </row>
    <row r="1555" spans="1:26" ht="15.75" customHeight="1">
      <c r="A1555" s="103"/>
      <c r="B1555" s="103"/>
      <c r="C1555" s="104" t="e">
        <v>#REF!</v>
      </c>
      <c r="D1555" s="103"/>
      <c r="E1555" s="53"/>
      <c r="F1555" s="53"/>
      <c r="G1555" s="53"/>
      <c r="H1555" s="53"/>
      <c r="I1555" s="53"/>
      <c r="J1555" s="53"/>
      <c r="K1555" s="53"/>
      <c r="L1555" s="53"/>
      <c r="M1555" s="53"/>
      <c r="N1555" s="53"/>
      <c r="O1555" s="53"/>
      <c r="P1555" s="53"/>
      <c r="Q1555" s="53"/>
      <c r="R1555" s="53"/>
      <c r="S1555" s="53"/>
      <c r="T1555" s="53"/>
      <c r="U1555" s="53"/>
      <c r="V1555" s="53"/>
      <c r="W1555" s="53"/>
      <c r="X1555" s="53"/>
      <c r="Y1555" s="53"/>
      <c r="Z1555" s="53"/>
    </row>
    <row r="1556" spans="1:26" ht="15.75" customHeight="1">
      <c r="A1556" s="103"/>
      <c r="B1556" s="103"/>
      <c r="C1556" s="104" t="e">
        <v>#REF!</v>
      </c>
      <c r="D1556" s="103"/>
      <c r="E1556" s="53"/>
      <c r="F1556" s="53"/>
      <c r="G1556" s="53"/>
      <c r="H1556" s="53"/>
      <c r="I1556" s="53"/>
      <c r="J1556" s="53"/>
      <c r="K1556" s="53"/>
      <c r="L1556" s="53"/>
      <c r="M1556" s="53"/>
      <c r="N1556" s="53"/>
      <c r="O1556" s="53"/>
      <c r="P1556" s="53"/>
      <c r="Q1556" s="53"/>
      <c r="R1556" s="53"/>
      <c r="S1556" s="53"/>
      <c r="T1556" s="53"/>
      <c r="U1556" s="53"/>
      <c r="V1556" s="53"/>
      <c r="W1556" s="53"/>
      <c r="X1556" s="53"/>
      <c r="Y1556" s="53"/>
      <c r="Z1556" s="53"/>
    </row>
    <row r="1557" spans="1:26" ht="15.75" customHeight="1">
      <c r="A1557" s="103"/>
      <c r="B1557" s="103"/>
      <c r="C1557" s="104" t="e">
        <v>#REF!</v>
      </c>
      <c r="D1557" s="103"/>
      <c r="E1557" s="53"/>
      <c r="F1557" s="53"/>
      <c r="G1557" s="53"/>
      <c r="H1557" s="53"/>
      <c r="I1557" s="53"/>
      <c r="J1557" s="53"/>
      <c r="K1557" s="53"/>
      <c r="L1557" s="53"/>
      <c r="M1557" s="53"/>
      <c r="N1557" s="53"/>
      <c r="O1557" s="53"/>
      <c r="P1557" s="53"/>
      <c r="Q1557" s="53"/>
      <c r="R1557" s="53"/>
      <c r="S1557" s="53"/>
      <c r="T1557" s="53"/>
      <c r="U1557" s="53"/>
      <c r="V1557" s="53"/>
      <c r="W1557" s="53"/>
      <c r="X1557" s="53"/>
      <c r="Y1557" s="53"/>
      <c r="Z1557" s="53"/>
    </row>
    <row r="1558" spans="1:26" ht="15.75" customHeight="1">
      <c r="A1558" s="103"/>
      <c r="B1558" s="103"/>
      <c r="C1558" s="104" t="e">
        <v>#REF!</v>
      </c>
      <c r="D1558" s="103"/>
      <c r="E1558" s="53"/>
      <c r="F1558" s="53"/>
      <c r="G1558" s="53"/>
      <c r="H1558" s="53"/>
      <c r="I1558" s="53"/>
      <c r="J1558" s="53"/>
      <c r="K1558" s="53"/>
      <c r="L1558" s="53"/>
      <c r="M1558" s="53"/>
      <c r="N1558" s="53"/>
      <c r="O1558" s="53"/>
      <c r="P1558" s="53"/>
      <c r="Q1558" s="53"/>
      <c r="R1558" s="53"/>
      <c r="S1558" s="53"/>
      <c r="T1558" s="53"/>
      <c r="U1558" s="53"/>
      <c r="V1558" s="53"/>
      <c r="W1558" s="53"/>
      <c r="X1558" s="53"/>
      <c r="Y1558" s="53"/>
      <c r="Z1558" s="53"/>
    </row>
    <row r="1559" spans="1:26" ht="15.75" customHeight="1">
      <c r="A1559" s="103"/>
      <c r="B1559" s="103"/>
      <c r="C1559" s="104" t="e">
        <v>#REF!</v>
      </c>
      <c r="D1559" s="103"/>
      <c r="E1559" s="53"/>
      <c r="F1559" s="53"/>
      <c r="G1559" s="53"/>
      <c r="H1559" s="53"/>
      <c r="I1559" s="53"/>
      <c r="J1559" s="53"/>
      <c r="K1559" s="53"/>
      <c r="L1559" s="53"/>
      <c r="M1559" s="53"/>
      <c r="N1559" s="53"/>
      <c r="O1559" s="53"/>
      <c r="P1559" s="53"/>
      <c r="Q1559" s="53"/>
      <c r="R1559" s="53"/>
      <c r="S1559" s="53"/>
      <c r="T1559" s="53"/>
      <c r="U1559" s="53"/>
      <c r="V1559" s="53"/>
      <c r="W1559" s="53"/>
      <c r="X1559" s="53"/>
      <c r="Y1559" s="53"/>
      <c r="Z1559" s="53"/>
    </row>
    <row r="1560" spans="1:26" ht="15.75" customHeight="1">
      <c r="A1560" s="103"/>
      <c r="B1560" s="103"/>
      <c r="C1560" s="104" t="e">
        <v>#REF!</v>
      </c>
      <c r="D1560" s="103"/>
      <c r="E1560" s="53"/>
      <c r="F1560" s="53"/>
      <c r="G1560" s="53"/>
      <c r="H1560" s="53"/>
      <c r="I1560" s="53"/>
      <c r="J1560" s="53"/>
      <c r="K1560" s="53"/>
      <c r="L1560" s="53"/>
      <c r="M1560" s="53"/>
      <c r="N1560" s="53"/>
      <c r="O1560" s="53"/>
      <c r="P1560" s="53"/>
      <c r="Q1560" s="53"/>
      <c r="R1560" s="53"/>
      <c r="S1560" s="53"/>
      <c r="T1560" s="53"/>
      <c r="U1560" s="53"/>
      <c r="V1560" s="53"/>
      <c r="W1560" s="53"/>
      <c r="X1560" s="53"/>
      <c r="Y1560" s="53"/>
      <c r="Z1560" s="53"/>
    </row>
    <row r="1561" spans="1:26" ht="15.75" customHeight="1">
      <c r="A1561" s="103"/>
      <c r="B1561" s="103"/>
      <c r="C1561" s="104" t="e">
        <v>#REF!</v>
      </c>
      <c r="D1561" s="103"/>
      <c r="E1561" s="53"/>
      <c r="F1561" s="53"/>
      <c r="G1561" s="53"/>
      <c r="H1561" s="53"/>
      <c r="I1561" s="53"/>
      <c r="J1561" s="53"/>
      <c r="K1561" s="53"/>
      <c r="L1561" s="53"/>
      <c r="M1561" s="53"/>
      <c r="N1561" s="53"/>
      <c r="O1561" s="53"/>
      <c r="P1561" s="53"/>
      <c r="Q1561" s="53"/>
      <c r="R1561" s="53"/>
      <c r="S1561" s="53"/>
      <c r="T1561" s="53"/>
      <c r="U1561" s="53"/>
      <c r="V1561" s="53"/>
      <c r="W1561" s="53"/>
      <c r="X1561" s="53"/>
      <c r="Y1561" s="53"/>
      <c r="Z1561" s="53"/>
    </row>
    <row r="1562" spans="1:26" ht="15.75" customHeight="1">
      <c r="A1562" s="103"/>
      <c r="B1562" s="103"/>
      <c r="C1562" s="104" t="e">
        <v>#REF!</v>
      </c>
      <c r="D1562" s="103"/>
      <c r="E1562" s="53"/>
      <c r="F1562" s="53"/>
      <c r="G1562" s="53"/>
      <c r="H1562" s="53"/>
      <c r="I1562" s="53"/>
      <c r="J1562" s="53"/>
      <c r="K1562" s="53"/>
      <c r="L1562" s="53"/>
      <c r="M1562" s="53"/>
      <c r="N1562" s="53"/>
      <c r="O1562" s="53"/>
      <c r="P1562" s="53"/>
      <c r="Q1562" s="53"/>
      <c r="R1562" s="53"/>
      <c r="S1562" s="53"/>
      <c r="T1562" s="53"/>
      <c r="U1562" s="53"/>
      <c r="V1562" s="53"/>
      <c r="W1562" s="53"/>
      <c r="X1562" s="53"/>
      <c r="Y1562" s="53"/>
      <c r="Z1562" s="53"/>
    </row>
    <row r="1563" spans="1:26" ht="15.75" customHeight="1">
      <c r="A1563" s="103"/>
      <c r="B1563" s="103"/>
      <c r="C1563" s="104" t="e">
        <v>#REF!</v>
      </c>
      <c r="D1563" s="103"/>
      <c r="E1563" s="53"/>
      <c r="F1563" s="53"/>
      <c r="G1563" s="53"/>
      <c r="H1563" s="53"/>
      <c r="I1563" s="53"/>
      <c r="J1563" s="53"/>
      <c r="K1563" s="53"/>
      <c r="L1563" s="53"/>
      <c r="M1563" s="53"/>
      <c r="N1563" s="53"/>
      <c r="O1563" s="53"/>
      <c r="P1563" s="53"/>
      <c r="Q1563" s="53"/>
      <c r="R1563" s="53"/>
      <c r="S1563" s="53"/>
      <c r="T1563" s="53"/>
      <c r="U1563" s="53"/>
      <c r="V1563" s="53"/>
      <c r="W1563" s="53"/>
      <c r="X1563" s="53"/>
      <c r="Y1563" s="53"/>
      <c r="Z1563" s="53"/>
    </row>
    <row r="1564" spans="1:26" ht="15.75" customHeight="1">
      <c r="A1564" s="103"/>
      <c r="B1564" s="103"/>
      <c r="C1564" s="104" t="e">
        <v>#REF!</v>
      </c>
      <c r="D1564" s="103"/>
      <c r="E1564" s="53"/>
      <c r="F1564" s="53"/>
      <c r="G1564" s="53"/>
      <c r="H1564" s="53"/>
      <c r="I1564" s="53"/>
      <c r="J1564" s="53"/>
      <c r="K1564" s="53"/>
      <c r="L1564" s="53"/>
      <c r="M1564" s="53"/>
      <c r="N1564" s="53"/>
      <c r="O1564" s="53"/>
      <c r="P1564" s="53"/>
      <c r="Q1564" s="53"/>
      <c r="R1564" s="53"/>
      <c r="S1564" s="53"/>
      <c r="T1564" s="53"/>
      <c r="U1564" s="53"/>
      <c r="V1564" s="53"/>
      <c r="W1564" s="53"/>
      <c r="X1564" s="53"/>
      <c r="Y1564" s="53"/>
      <c r="Z1564" s="53"/>
    </row>
    <row r="1565" spans="1:26" ht="15.75" customHeight="1">
      <c r="A1565" s="103"/>
      <c r="B1565" s="103"/>
      <c r="C1565" s="104" t="e">
        <v>#REF!</v>
      </c>
      <c r="D1565" s="103"/>
      <c r="E1565" s="53"/>
      <c r="F1565" s="53"/>
      <c r="G1565" s="53"/>
      <c r="H1565" s="53"/>
      <c r="I1565" s="53"/>
      <c r="J1565" s="53"/>
      <c r="K1565" s="53"/>
      <c r="L1565" s="53"/>
      <c r="M1565" s="53"/>
      <c r="N1565" s="53"/>
      <c r="O1565" s="53"/>
      <c r="P1565" s="53"/>
      <c r="Q1565" s="53"/>
      <c r="R1565" s="53"/>
      <c r="S1565" s="53"/>
      <c r="T1565" s="53"/>
      <c r="U1565" s="53"/>
      <c r="V1565" s="53"/>
      <c r="W1565" s="53"/>
      <c r="X1565" s="53"/>
      <c r="Y1565" s="53"/>
      <c r="Z1565" s="53"/>
    </row>
    <row r="1566" spans="1:26" ht="15.75" customHeight="1">
      <c r="A1566" s="103"/>
      <c r="B1566" s="103"/>
      <c r="C1566" s="104" t="e">
        <v>#REF!</v>
      </c>
      <c r="D1566" s="103"/>
      <c r="E1566" s="53"/>
      <c r="F1566" s="53"/>
      <c r="G1566" s="53"/>
      <c r="H1566" s="53"/>
      <c r="I1566" s="53"/>
      <c r="J1566" s="53"/>
      <c r="K1566" s="53"/>
      <c r="L1566" s="53"/>
      <c r="M1566" s="53"/>
      <c r="N1566" s="53"/>
      <c r="O1566" s="53"/>
      <c r="P1566" s="53"/>
      <c r="Q1566" s="53"/>
      <c r="R1566" s="53"/>
      <c r="S1566" s="53"/>
      <c r="T1566" s="53"/>
      <c r="U1566" s="53"/>
      <c r="V1566" s="53"/>
      <c r="W1566" s="53"/>
      <c r="X1566" s="53"/>
      <c r="Y1566" s="53"/>
      <c r="Z1566" s="53"/>
    </row>
    <row r="1567" spans="1:26" ht="15.75" customHeight="1">
      <c r="A1567" s="103"/>
      <c r="B1567" s="103"/>
      <c r="C1567" s="104" t="e">
        <v>#REF!</v>
      </c>
      <c r="D1567" s="103"/>
      <c r="E1567" s="53"/>
      <c r="F1567" s="53"/>
      <c r="G1567" s="53"/>
      <c r="H1567" s="53"/>
      <c r="I1567" s="53"/>
      <c r="J1567" s="53"/>
      <c r="K1567" s="53"/>
      <c r="L1567" s="53"/>
      <c r="M1567" s="53"/>
      <c r="N1567" s="53"/>
      <c r="O1567" s="53"/>
      <c r="P1567" s="53"/>
      <c r="Q1567" s="53"/>
      <c r="R1567" s="53"/>
      <c r="S1567" s="53"/>
      <c r="T1567" s="53"/>
      <c r="U1567" s="53"/>
      <c r="V1567" s="53"/>
      <c r="W1567" s="53"/>
      <c r="X1567" s="53"/>
      <c r="Y1567" s="53"/>
      <c r="Z1567" s="53"/>
    </row>
    <row r="1568" spans="1:26" ht="15.75" customHeight="1">
      <c r="A1568" s="103"/>
      <c r="B1568" s="103"/>
      <c r="C1568" s="104" t="e">
        <v>#REF!</v>
      </c>
      <c r="D1568" s="103"/>
      <c r="E1568" s="53"/>
      <c r="F1568" s="53"/>
      <c r="G1568" s="53"/>
      <c r="H1568" s="53"/>
      <c r="I1568" s="53"/>
      <c r="J1568" s="53"/>
      <c r="K1568" s="53"/>
      <c r="L1568" s="53"/>
      <c r="M1568" s="53"/>
      <c r="N1568" s="53"/>
      <c r="O1568" s="53"/>
      <c r="P1568" s="53"/>
      <c r="Q1568" s="53"/>
      <c r="R1568" s="53"/>
      <c r="S1568" s="53"/>
      <c r="T1568" s="53"/>
      <c r="U1568" s="53"/>
      <c r="V1568" s="53"/>
      <c r="W1568" s="53"/>
      <c r="X1568" s="53"/>
      <c r="Y1568" s="53"/>
      <c r="Z1568" s="53"/>
    </row>
    <row r="1569" spans="1:26" ht="15.75" customHeight="1">
      <c r="A1569" s="103"/>
      <c r="B1569" s="103"/>
      <c r="C1569" s="104" t="e">
        <v>#REF!</v>
      </c>
      <c r="D1569" s="103"/>
      <c r="E1569" s="53"/>
      <c r="F1569" s="53"/>
      <c r="G1569" s="53"/>
      <c r="H1569" s="53"/>
      <c r="I1569" s="53"/>
      <c r="J1569" s="53"/>
      <c r="K1569" s="53"/>
      <c r="L1569" s="53"/>
      <c r="M1569" s="53"/>
      <c r="N1569" s="53"/>
      <c r="O1569" s="53"/>
      <c r="P1569" s="53"/>
      <c r="Q1569" s="53"/>
      <c r="R1569" s="53"/>
      <c r="S1569" s="53"/>
      <c r="T1569" s="53"/>
      <c r="U1569" s="53"/>
      <c r="V1569" s="53"/>
      <c r="W1569" s="53"/>
      <c r="X1569" s="53"/>
      <c r="Y1569" s="53"/>
      <c r="Z1569" s="53"/>
    </row>
    <row r="1570" spans="1:26" ht="15.75" customHeight="1">
      <c r="A1570" s="103"/>
      <c r="B1570" s="103"/>
      <c r="C1570" s="104" t="e">
        <v>#REF!</v>
      </c>
      <c r="D1570" s="103"/>
      <c r="E1570" s="53"/>
      <c r="F1570" s="53"/>
      <c r="G1570" s="53"/>
      <c r="H1570" s="53"/>
      <c r="I1570" s="53"/>
      <c r="J1570" s="53"/>
      <c r="K1570" s="53"/>
      <c r="L1570" s="53"/>
      <c r="M1570" s="53"/>
      <c r="N1570" s="53"/>
      <c r="O1570" s="53"/>
      <c r="P1570" s="53"/>
      <c r="Q1570" s="53"/>
      <c r="R1570" s="53"/>
      <c r="S1570" s="53"/>
      <c r="T1570" s="53"/>
      <c r="U1570" s="53"/>
      <c r="V1570" s="53"/>
      <c r="W1570" s="53"/>
      <c r="X1570" s="53"/>
      <c r="Y1570" s="53"/>
      <c r="Z1570" s="53"/>
    </row>
    <row r="1571" spans="1:26" ht="15.75" customHeight="1">
      <c r="A1571" s="103"/>
      <c r="B1571" s="103"/>
      <c r="C1571" s="104" t="e">
        <v>#REF!</v>
      </c>
      <c r="D1571" s="103"/>
      <c r="E1571" s="53"/>
      <c r="F1571" s="53"/>
      <c r="G1571" s="53"/>
      <c r="H1571" s="53"/>
      <c r="I1571" s="53"/>
      <c r="J1571" s="53"/>
      <c r="K1571" s="53"/>
      <c r="L1571" s="53"/>
      <c r="M1571" s="53"/>
      <c r="N1571" s="53"/>
      <c r="O1571" s="53"/>
      <c r="P1571" s="53"/>
      <c r="Q1571" s="53"/>
      <c r="R1571" s="53"/>
      <c r="S1571" s="53"/>
      <c r="T1571" s="53"/>
      <c r="U1571" s="53"/>
      <c r="V1571" s="53"/>
      <c r="W1571" s="53"/>
      <c r="X1571" s="53"/>
      <c r="Y1571" s="53"/>
      <c r="Z1571" s="53"/>
    </row>
    <row r="1572" spans="1:26" ht="15.75" customHeight="1">
      <c r="A1572" s="103"/>
      <c r="B1572" s="103"/>
      <c r="C1572" s="104" t="e">
        <v>#REF!</v>
      </c>
      <c r="D1572" s="103"/>
      <c r="E1572" s="53"/>
      <c r="F1572" s="53"/>
      <c r="G1572" s="53"/>
      <c r="H1572" s="53"/>
      <c r="I1572" s="53"/>
      <c r="J1572" s="53"/>
      <c r="K1572" s="53"/>
      <c r="L1572" s="53"/>
      <c r="M1572" s="53"/>
      <c r="N1572" s="53"/>
      <c r="O1572" s="53"/>
      <c r="P1572" s="53"/>
      <c r="Q1572" s="53"/>
      <c r="R1572" s="53"/>
      <c r="S1572" s="53"/>
      <c r="T1572" s="53"/>
      <c r="U1572" s="53"/>
      <c r="V1572" s="53"/>
      <c r="W1572" s="53"/>
      <c r="X1572" s="53"/>
      <c r="Y1572" s="53"/>
      <c r="Z1572" s="53"/>
    </row>
    <row r="1573" spans="1:26" ht="15.75" customHeight="1">
      <c r="A1573" s="103"/>
      <c r="B1573" s="103"/>
      <c r="C1573" s="104" t="e">
        <v>#REF!</v>
      </c>
      <c r="D1573" s="10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</row>
    <row r="1574" spans="1:26" ht="15.75" customHeight="1">
      <c r="A1574" s="103"/>
      <c r="B1574" s="103"/>
      <c r="C1574" s="104" t="e">
        <v>#REF!</v>
      </c>
      <c r="D1574" s="103"/>
      <c r="E1574" s="53"/>
      <c r="F1574" s="53"/>
      <c r="G1574" s="53"/>
      <c r="H1574" s="53"/>
      <c r="I1574" s="53"/>
      <c r="J1574" s="53"/>
      <c r="K1574" s="53"/>
      <c r="L1574" s="53"/>
      <c r="M1574" s="53"/>
      <c r="N1574" s="53"/>
      <c r="O1574" s="53"/>
      <c r="P1574" s="53"/>
      <c r="Q1574" s="53"/>
      <c r="R1574" s="53"/>
      <c r="S1574" s="53"/>
      <c r="T1574" s="53"/>
      <c r="U1574" s="53"/>
      <c r="V1574" s="53"/>
      <c r="W1574" s="53"/>
      <c r="X1574" s="53"/>
      <c r="Y1574" s="53"/>
      <c r="Z1574" s="53"/>
    </row>
    <row r="1575" spans="1:26" ht="15.75" customHeight="1">
      <c r="A1575" s="103"/>
      <c r="B1575" s="103"/>
      <c r="C1575" s="104" t="e">
        <v>#REF!</v>
      </c>
      <c r="D1575" s="103"/>
      <c r="E1575" s="53"/>
      <c r="F1575" s="53"/>
      <c r="G1575" s="53"/>
      <c r="H1575" s="53"/>
      <c r="I1575" s="53"/>
      <c r="J1575" s="53"/>
      <c r="K1575" s="53"/>
      <c r="L1575" s="53"/>
      <c r="M1575" s="53"/>
      <c r="N1575" s="53"/>
      <c r="O1575" s="53"/>
      <c r="P1575" s="53"/>
      <c r="Q1575" s="53"/>
      <c r="R1575" s="53"/>
      <c r="S1575" s="53"/>
      <c r="T1575" s="53"/>
      <c r="U1575" s="53"/>
      <c r="V1575" s="53"/>
      <c r="W1575" s="53"/>
      <c r="X1575" s="53"/>
      <c r="Y1575" s="53"/>
      <c r="Z1575" s="53"/>
    </row>
    <row r="1576" spans="1:26" ht="15.75" customHeight="1">
      <c r="A1576" s="103"/>
      <c r="B1576" s="103"/>
      <c r="C1576" s="104" t="e">
        <v>#REF!</v>
      </c>
      <c r="D1576" s="103"/>
      <c r="E1576" s="53"/>
      <c r="F1576" s="53"/>
      <c r="G1576" s="53"/>
      <c r="H1576" s="53"/>
      <c r="I1576" s="53"/>
      <c r="J1576" s="53"/>
      <c r="K1576" s="53"/>
      <c r="L1576" s="53"/>
      <c r="M1576" s="53"/>
      <c r="N1576" s="53"/>
      <c r="O1576" s="53"/>
      <c r="P1576" s="53"/>
      <c r="Q1576" s="53"/>
      <c r="R1576" s="53"/>
      <c r="S1576" s="53"/>
      <c r="T1576" s="53"/>
      <c r="U1576" s="53"/>
      <c r="V1576" s="53"/>
      <c r="W1576" s="53"/>
      <c r="X1576" s="53"/>
      <c r="Y1576" s="53"/>
      <c r="Z1576" s="53"/>
    </row>
    <row r="1577" spans="1:26" ht="15.75" customHeight="1">
      <c r="A1577" s="103"/>
      <c r="B1577" s="103"/>
      <c r="C1577" s="104" t="e">
        <v>#REF!</v>
      </c>
      <c r="D1577" s="103"/>
      <c r="E1577" s="53"/>
      <c r="F1577" s="53"/>
      <c r="G1577" s="53"/>
      <c r="H1577" s="53"/>
      <c r="I1577" s="53"/>
      <c r="J1577" s="53"/>
      <c r="K1577" s="53"/>
      <c r="L1577" s="53"/>
      <c r="M1577" s="53"/>
      <c r="N1577" s="53"/>
      <c r="O1577" s="53"/>
      <c r="P1577" s="53"/>
      <c r="Q1577" s="53"/>
      <c r="R1577" s="53"/>
      <c r="S1577" s="53"/>
      <c r="T1577" s="53"/>
      <c r="U1577" s="53"/>
      <c r="V1577" s="53"/>
      <c r="W1577" s="53"/>
      <c r="X1577" s="53"/>
      <c r="Y1577" s="53"/>
      <c r="Z1577" s="53"/>
    </row>
    <row r="1578" spans="1:26" ht="15.75" customHeight="1">
      <c r="A1578" s="103"/>
      <c r="B1578" s="103"/>
      <c r="C1578" s="104" t="e">
        <v>#REF!</v>
      </c>
      <c r="D1578" s="10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53"/>
      <c r="T1578" s="53"/>
      <c r="U1578" s="53"/>
      <c r="V1578" s="53"/>
      <c r="W1578" s="53"/>
      <c r="X1578" s="53"/>
      <c r="Y1578" s="53"/>
      <c r="Z1578" s="53"/>
    </row>
    <row r="1579" spans="1:26" ht="15.75" customHeight="1">
      <c r="A1579" s="103"/>
      <c r="B1579" s="103"/>
      <c r="C1579" s="104" t="e">
        <v>#REF!</v>
      </c>
      <c r="D1579" s="103"/>
      <c r="E1579" s="53"/>
      <c r="F1579" s="53"/>
      <c r="G1579" s="53"/>
      <c r="H1579" s="53"/>
      <c r="I1579" s="53"/>
      <c r="J1579" s="53"/>
      <c r="K1579" s="53"/>
      <c r="L1579" s="53"/>
      <c r="M1579" s="53"/>
      <c r="N1579" s="53"/>
      <c r="O1579" s="53"/>
      <c r="P1579" s="53"/>
      <c r="Q1579" s="53"/>
      <c r="R1579" s="53"/>
      <c r="S1579" s="53"/>
      <c r="T1579" s="53"/>
      <c r="U1579" s="53"/>
      <c r="V1579" s="53"/>
      <c r="W1579" s="53"/>
      <c r="X1579" s="53"/>
      <c r="Y1579" s="53"/>
      <c r="Z1579" s="53"/>
    </row>
    <row r="1580" spans="1:26" ht="15.75" customHeight="1">
      <c r="A1580" s="103"/>
      <c r="B1580" s="103"/>
      <c r="C1580" s="104" t="e">
        <v>#REF!</v>
      </c>
      <c r="D1580" s="103"/>
      <c r="E1580" s="53"/>
      <c r="F1580" s="53"/>
      <c r="G1580" s="53"/>
      <c r="H1580" s="53"/>
      <c r="I1580" s="53"/>
      <c r="J1580" s="53"/>
      <c r="K1580" s="53"/>
      <c r="L1580" s="53"/>
      <c r="M1580" s="53"/>
      <c r="N1580" s="53"/>
      <c r="O1580" s="53"/>
      <c r="P1580" s="53"/>
      <c r="Q1580" s="53"/>
      <c r="R1580" s="53"/>
      <c r="S1580" s="53"/>
      <c r="T1580" s="53"/>
      <c r="U1580" s="53"/>
      <c r="V1580" s="53"/>
      <c r="W1580" s="53"/>
      <c r="X1580" s="53"/>
      <c r="Y1580" s="53"/>
      <c r="Z1580" s="53"/>
    </row>
    <row r="1581" spans="1:26" ht="15.75" customHeight="1">
      <c r="A1581" s="103"/>
      <c r="B1581" s="103"/>
      <c r="C1581" s="104" t="e">
        <v>#REF!</v>
      </c>
      <c r="D1581" s="103"/>
      <c r="E1581" s="53"/>
      <c r="F1581" s="53"/>
      <c r="G1581" s="53"/>
      <c r="H1581" s="53"/>
      <c r="I1581" s="53"/>
      <c r="J1581" s="53"/>
      <c r="K1581" s="53"/>
      <c r="L1581" s="53"/>
      <c r="M1581" s="53"/>
      <c r="N1581" s="53"/>
      <c r="O1581" s="53"/>
      <c r="P1581" s="53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</row>
    <row r="1582" spans="1:26" ht="15.75" customHeight="1">
      <c r="A1582" s="103"/>
      <c r="B1582" s="103"/>
      <c r="C1582" s="104" t="e">
        <v>#REF!</v>
      </c>
      <c r="D1582" s="103"/>
      <c r="E1582" s="53"/>
      <c r="F1582" s="53"/>
      <c r="G1582" s="53"/>
      <c r="H1582" s="53"/>
      <c r="I1582" s="53"/>
      <c r="J1582" s="53"/>
      <c r="K1582" s="53"/>
      <c r="L1582" s="53"/>
      <c r="M1582" s="53"/>
      <c r="N1582" s="53"/>
      <c r="O1582" s="53"/>
      <c r="P1582" s="53"/>
      <c r="Q1582" s="53"/>
      <c r="R1582" s="53"/>
      <c r="S1582" s="53"/>
      <c r="T1582" s="53"/>
      <c r="U1582" s="53"/>
      <c r="V1582" s="53"/>
      <c r="W1582" s="53"/>
      <c r="X1582" s="53"/>
      <c r="Y1582" s="53"/>
      <c r="Z1582" s="53"/>
    </row>
    <row r="1583" spans="1:26" ht="15.75" customHeight="1">
      <c r="A1583" s="103"/>
      <c r="B1583" s="103"/>
      <c r="C1583" s="104" t="e">
        <v>#REF!</v>
      </c>
      <c r="D1583" s="103"/>
      <c r="E1583" s="53"/>
      <c r="F1583" s="53"/>
      <c r="G1583" s="53"/>
      <c r="H1583" s="53"/>
      <c r="I1583" s="53"/>
      <c r="J1583" s="53"/>
      <c r="K1583" s="53"/>
      <c r="L1583" s="53"/>
      <c r="M1583" s="53"/>
      <c r="N1583" s="53"/>
      <c r="O1583" s="53"/>
      <c r="P1583" s="53"/>
      <c r="Q1583" s="53"/>
      <c r="R1583" s="53"/>
      <c r="S1583" s="53"/>
      <c r="T1583" s="53"/>
      <c r="U1583" s="53"/>
      <c r="V1583" s="53"/>
      <c r="W1583" s="53"/>
      <c r="X1583" s="53"/>
      <c r="Y1583" s="53"/>
      <c r="Z1583" s="53"/>
    </row>
    <row r="1584" spans="1:26" ht="15.75" customHeight="1">
      <c r="A1584" s="103"/>
      <c r="B1584" s="103"/>
      <c r="C1584" s="104" t="e">
        <v>#REF!</v>
      </c>
      <c r="D1584" s="103"/>
      <c r="E1584" s="53"/>
      <c r="F1584" s="53"/>
      <c r="G1584" s="53"/>
      <c r="H1584" s="53"/>
      <c r="I1584" s="53"/>
      <c r="J1584" s="53"/>
      <c r="K1584" s="53"/>
      <c r="L1584" s="53"/>
      <c r="M1584" s="53"/>
      <c r="N1584" s="53"/>
      <c r="O1584" s="53"/>
      <c r="P1584" s="53"/>
      <c r="Q1584" s="53"/>
      <c r="R1584" s="53"/>
      <c r="S1584" s="53"/>
      <c r="T1584" s="53"/>
      <c r="U1584" s="53"/>
      <c r="V1584" s="53"/>
      <c r="W1584" s="53"/>
      <c r="X1584" s="53"/>
      <c r="Y1584" s="53"/>
      <c r="Z1584" s="53"/>
    </row>
    <row r="1585" spans="1:26" ht="15.75" customHeight="1">
      <c r="A1585" s="103"/>
      <c r="B1585" s="103"/>
      <c r="C1585" s="104" t="e">
        <v>#REF!</v>
      </c>
      <c r="D1585" s="103"/>
      <c r="E1585" s="53"/>
      <c r="F1585" s="53"/>
      <c r="G1585" s="53"/>
      <c r="H1585" s="53"/>
      <c r="I1585" s="53"/>
      <c r="J1585" s="53"/>
      <c r="K1585" s="53"/>
      <c r="L1585" s="53"/>
      <c r="M1585" s="53"/>
      <c r="N1585" s="53"/>
      <c r="O1585" s="53"/>
      <c r="P1585" s="53"/>
      <c r="Q1585" s="53"/>
      <c r="R1585" s="53"/>
      <c r="S1585" s="53"/>
      <c r="T1585" s="53"/>
      <c r="U1585" s="53"/>
      <c r="V1585" s="53"/>
      <c r="W1585" s="53"/>
      <c r="X1585" s="53"/>
      <c r="Y1585" s="53"/>
      <c r="Z1585" s="53"/>
    </row>
    <row r="1586" spans="1:26" ht="15.75" customHeight="1">
      <c r="A1586" s="103"/>
      <c r="B1586" s="103"/>
      <c r="C1586" s="104" t="e">
        <v>#REF!</v>
      </c>
      <c r="D1586" s="103"/>
      <c r="E1586" s="53"/>
      <c r="F1586" s="53"/>
      <c r="G1586" s="53"/>
      <c r="H1586" s="53"/>
      <c r="I1586" s="53"/>
      <c r="J1586" s="53"/>
      <c r="K1586" s="53"/>
      <c r="L1586" s="53"/>
      <c r="M1586" s="53"/>
      <c r="N1586" s="53"/>
      <c r="O1586" s="53"/>
      <c r="P1586" s="53"/>
      <c r="Q1586" s="53"/>
      <c r="R1586" s="53"/>
      <c r="S1586" s="53"/>
      <c r="T1586" s="53"/>
      <c r="U1586" s="53"/>
      <c r="V1586" s="53"/>
      <c r="W1586" s="53"/>
      <c r="X1586" s="53"/>
      <c r="Y1586" s="53"/>
      <c r="Z1586" s="53"/>
    </row>
    <row r="1587" spans="1:26" ht="15.75" customHeight="1">
      <c r="A1587" s="103"/>
      <c r="B1587" s="103"/>
      <c r="C1587" s="104" t="e">
        <v>#REF!</v>
      </c>
      <c r="D1587" s="103"/>
      <c r="E1587" s="53"/>
      <c r="F1587" s="53"/>
      <c r="G1587" s="53"/>
      <c r="H1587" s="53"/>
      <c r="I1587" s="53"/>
      <c r="J1587" s="53"/>
      <c r="K1587" s="53"/>
      <c r="L1587" s="53"/>
      <c r="M1587" s="53"/>
      <c r="N1587" s="53"/>
      <c r="O1587" s="53"/>
      <c r="P1587" s="53"/>
      <c r="Q1587" s="53"/>
      <c r="R1587" s="53"/>
      <c r="S1587" s="53"/>
      <c r="T1587" s="53"/>
      <c r="U1587" s="53"/>
      <c r="V1587" s="53"/>
      <c r="W1587" s="53"/>
      <c r="X1587" s="53"/>
      <c r="Y1587" s="53"/>
      <c r="Z1587" s="53"/>
    </row>
    <row r="1588" spans="1:26" ht="15.75" customHeight="1">
      <c r="A1588" s="103"/>
      <c r="B1588" s="103"/>
      <c r="C1588" s="104" t="e">
        <v>#REF!</v>
      </c>
      <c r="D1588" s="103"/>
      <c r="E1588" s="53"/>
      <c r="F1588" s="53"/>
      <c r="G1588" s="53"/>
      <c r="H1588" s="53"/>
      <c r="I1588" s="53"/>
      <c r="J1588" s="53"/>
      <c r="K1588" s="53"/>
      <c r="L1588" s="53"/>
      <c r="M1588" s="53"/>
      <c r="N1588" s="53"/>
      <c r="O1588" s="53"/>
      <c r="P1588" s="53"/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</row>
    <row r="1589" spans="1:26" ht="15.75" customHeight="1">
      <c r="A1589" s="103"/>
      <c r="B1589" s="103"/>
      <c r="C1589" s="104" t="e">
        <v>#REF!</v>
      </c>
      <c r="D1589" s="103"/>
      <c r="E1589" s="53"/>
      <c r="F1589" s="53"/>
      <c r="G1589" s="53"/>
      <c r="H1589" s="53"/>
      <c r="I1589" s="53"/>
      <c r="J1589" s="53"/>
      <c r="K1589" s="53"/>
      <c r="L1589" s="53"/>
      <c r="M1589" s="53"/>
      <c r="N1589" s="53"/>
      <c r="O1589" s="53"/>
      <c r="P1589" s="53"/>
      <c r="Q1589" s="53"/>
      <c r="R1589" s="53"/>
      <c r="S1589" s="53"/>
      <c r="T1589" s="53"/>
      <c r="U1589" s="53"/>
      <c r="V1589" s="53"/>
      <c r="W1589" s="53"/>
      <c r="X1589" s="53"/>
      <c r="Y1589" s="53"/>
      <c r="Z1589" s="53"/>
    </row>
    <row r="1590" spans="1:26" ht="15.75" customHeight="1">
      <c r="A1590" s="103"/>
      <c r="B1590" s="103"/>
      <c r="C1590" s="104" t="e">
        <v>#REF!</v>
      </c>
      <c r="D1590" s="103"/>
      <c r="E1590" s="53"/>
      <c r="F1590" s="53"/>
      <c r="G1590" s="53"/>
      <c r="H1590" s="53"/>
      <c r="I1590" s="53"/>
      <c r="J1590" s="53"/>
      <c r="K1590" s="53"/>
      <c r="L1590" s="53"/>
      <c r="M1590" s="53"/>
      <c r="N1590" s="53"/>
      <c r="O1590" s="53"/>
      <c r="P1590" s="53"/>
      <c r="Q1590" s="53"/>
      <c r="R1590" s="53"/>
      <c r="S1590" s="53"/>
      <c r="T1590" s="53"/>
      <c r="U1590" s="53"/>
      <c r="V1590" s="53"/>
      <c r="W1590" s="53"/>
      <c r="X1590" s="53"/>
      <c r="Y1590" s="53"/>
      <c r="Z1590" s="53"/>
    </row>
    <row r="1591" spans="1:26" ht="15.75" customHeight="1">
      <c r="A1591" s="103"/>
      <c r="B1591" s="103"/>
      <c r="C1591" s="104" t="e">
        <v>#REF!</v>
      </c>
      <c r="D1591" s="103"/>
      <c r="E1591" s="53"/>
      <c r="F1591" s="53"/>
      <c r="G1591" s="53"/>
      <c r="H1591" s="53"/>
      <c r="I1591" s="53"/>
      <c r="J1591" s="53"/>
      <c r="K1591" s="53"/>
      <c r="L1591" s="53"/>
      <c r="M1591" s="53"/>
      <c r="N1591" s="53"/>
      <c r="O1591" s="53"/>
      <c r="P1591" s="53"/>
      <c r="Q1591" s="53"/>
      <c r="R1591" s="53"/>
      <c r="S1591" s="53"/>
      <c r="T1591" s="53"/>
      <c r="U1591" s="53"/>
      <c r="V1591" s="53"/>
      <c r="W1591" s="53"/>
      <c r="X1591" s="53"/>
      <c r="Y1591" s="53"/>
      <c r="Z1591" s="53"/>
    </row>
    <row r="1592" spans="1:26" ht="15.75" customHeight="1">
      <c r="A1592" s="103"/>
      <c r="B1592" s="103"/>
      <c r="C1592" s="104" t="e">
        <v>#REF!</v>
      </c>
      <c r="D1592" s="103"/>
      <c r="E1592" s="53"/>
      <c r="F1592" s="53"/>
      <c r="G1592" s="53"/>
      <c r="H1592" s="53"/>
      <c r="I1592" s="53"/>
      <c r="J1592" s="53"/>
      <c r="K1592" s="53"/>
      <c r="L1592" s="53"/>
      <c r="M1592" s="53"/>
      <c r="N1592" s="53"/>
      <c r="O1592" s="53"/>
      <c r="P1592" s="53"/>
      <c r="Q1592" s="53"/>
      <c r="R1592" s="53"/>
      <c r="S1592" s="53"/>
      <c r="T1592" s="53"/>
      <c r="U1592" s="53"/>
      <c r="V1592" s="53"/>
      <c r="W1592" s="53"/>
      <c r="X1592" s="53"/>
      <c r="Y1592" s="53"/>
      <c r="Z1592" s="53"/>
    </row>
    <row r="1593" spans="1:26" ht="15.75" customHeight="1">
      <c r="A1593" s="103"/>
      <c r="B1593" s="103"/>
      <c r="C1593" s="104" t="e">
        <v>#REF!</v>
      </c>
      <c r="D1593" s="103"/>
      <c r="E1593" s="53"/>
      <c r="F1593" s="53"/>
      <c r="G1593" s="53"/>
      <c r="H1593" s="53"/>
      <c r="I1593" s="53"/>
      <c r="J1593" s="53"/>
      <c r="K1593" s="53"/>
      <c r="L1593" s="53"/>
      <c r="M1593" s="53"/>
      <c r="N1593" s="53"/>
      <c r="O1593" s="53"/>
      <c r="P1593" s="53"/>
      <c r="Q1593" s="53"/>
      <c r="R1593" s="53"/>
      <c r="S1593" s="53"/>
      <c r="T1593" s="53"/>
      <c r="U1593" s="53"/>
      <c r="V1593" s="53"/>
      <c r="W1593" s="53"/>
      <c r="X1593" s="53"/>
      <c r="Y1593" s="53"/>
      <c r="Z1593" s="53"/>
    </row>
    <row r="1594" spans="1:26" ht="15.75" customHeight="1">
      <c r="A1594" s="103"/>
      <c r="B1594" s="103"/>
      <c r="C1594" s="104" t="e">
        <v>#REF!</v>
      </c>
      <c r="D1594" s="103"/>
      <c r="E1594" s="53"/>
      <c r="F1594" s="53"/>
      <c r="G1594" s="53"/>
      <c r="H1594" s="53"/>
      <c r="I1594" s="53"/>
      <c r="J1594" s="53"/>
      <c r="K1594" s="53"/>
      <c r="L1594" s="53"/>
      <c r="M1594" s="53"/>
      <c r="N1594" s="53"/>
      <c r="O1594" s="53"/>
      <c r="P1594" s="53"/>
      <c r="Q1594" s="53"/>
      <c r="R1594" s="53"/>
      <c r="S1594" s="53"/>
      <c r="T1594" s="53"/>
      <c r="U1594" s="53"/>
      <c r="V1594" s="53"/>
      <c r="W1594" s="53"/>
      <c r="X1594" s="53"/>
      <c r="Y1594" s="53"/>
      <c r="Z1594" s="53"/>
    </row>
    <row r="1595" spans="1:26" ht="15.75" customHeight="1">
      <c r="A1595" s="103"/>
      <c r="B1595" s="103"/>
      <c r="C1595" s="104" t="e">
        <v>#REF!</v>
      </c>
      <c r="D1595" s="103"/>
      <c r="E1595" s="53"/>
      <c r="F1595" s="53"/>
      <c r="G1595" s="53"/>
      <c r="H1595" s="53"/>
      <c r="I1595" s="53"/>
      <c r="J1595" s="53"/>
      <c r="K1595" s="53"/>
      <c r="L1595" s="53"/>
      <c r="M1595" s="53"/>
      <c r="N1595" s="53"/>
      <c r="O1595" s="53"/>
      <c r="P1595" s="53"/>
      <c r="Q1595" s="53"/>
      <c r="R1595" s="53"/>
      <c r="S1595" s="53"/>
      <c r="T1595" s="53"/>
      <c r="U1595" s="53"/>
      <c r="V1595" s="53"/>
      <c r="W1595" s="53"/>
      <c r="X1595" s="53"/>
      <c r="Y1595" s="53"/>
      <c r="Z1595" s="53"/>
    </row>
    <row r="1596" spans="1:26" ht="15.75" customHeight="1">
      <c r="A1596" s="103"/>
      <c r="B1596" s="103"/>
      <c r="C1596" s="104" t="e">
        <v>#REF!</v>
      </c>
      <c r="D1596" s="103"/>
      <c r="E1596" s="53"/>
      <c r="F1596" s="53"/>
      <c r="G1596" s="53"/>
      <c r="H1596" s="53"/>
      <c r="I1596" s="53"/>
      <c r="J1596" s="53"/>
      <c r="K1596" s="53"/>
      <c r="L1596" s="53"/>
      <c r="M1596" s="53"/>
      <c r="N1596" s="53"/>
      <c r="O1596" s="53"/>
      <c r="P1596" s="53"/>
      <c r="Q1596" s="53"/>
      <c r="R1596" s="53"/>
      <c r="S1596" s="53"/>
      <c r="T1596" s="53"/>
      <c r="U1596" s="53"/>
      <c r="V1596" s="53"/>
      <c r="W1596" s="53"/>
      <c r="X1596" s="53"/>
      <c r="Y1596" s="53"/>
      <c r="Z1596" s="53"/>
    </row>
    <row r="1597" spans="1:26" ht="15.75" customHeight="1">
      <c r="A1597" s="103"/>
      <c r="B1597" s="103"/>
      <c r="C1597" s="104" t="e">
        <v>#REF!</v>
      </c>
      <c r="D1597" s="103"/>
      <c r="E1597" s="53"/>
      <c r="F1597" s="53"/>
      <c r="G1597" s="53"/>
      <c r="H1597" s="53"/>
      <c r="I1597" s="53"/>
      <c r="J1597" s="53"/>
      <c r="K1597" s="53"/>
      <c r="L1597" s="53"/>
      <c r="M1597" s="53"/>
      <c r="N1597" s="53"/>
      <c r="O1597" s="53"/>
      <c r="P1597" s="53"/>
      <c r="Q1597" s="53"/>
      <c r="R1597" s="53"/>
      <c r="S1597" s="53"/>
      <c r="T1597" s="53"/>
      <c r="U1597" s="53"/>
      <c r="V1597" s="53"/>
      <c r="W1597" s="53"/>
      <c r="X1597" s="53"/>
      <c r="Y1597" s="53"/>
      <c r="Z1597" s="53"/>
    </row>
    <row r="1598" spans="1:26" ht="15.75" customHeight="1">
      <c r="A1598" s="103"/>
      <c r="B1598" s="103"/>
      <c r="C1598" s="104" t="e">
        <v>#REF!</v>
      </c>
      <c r="D1598" s="103"/>
      <c r="E1598" s="53"/>
      <c r="F1598" s="53"/>
      <c r="G1598" s="53"/>
      <c r="H1598" s="53"/>
      <c r="I1598" s="53"/>
      <c r="J1598" s="53"/>
      <c r="K1598" s="53"/>
      <c r="L1598" s="53"/>
      <c r="M1598" s="53"/>
      <c r="N1598" s="53"/>
      <c r="O1598" s="53"/>
      <c r="P1598" s="53"/>
      <c r="Q1598" s="53"/>
      <c r="R1598" s="53"/>
      <c r="S1598" s="53"/>
      <c r="T1598" s="53"/>
      <c r="U1598" s="53"/>
      <c r="V1598" s="53"/>
      <c r="W1598" s="53"/>
      <c r="X1598" s="53"/>
      <c r="Y1598" s="53"/>
      <c r="Z1598" s="53"/>
    </row>
    <row r="1599" spans="1:26" ht="15.75" customHeight="1">
      <c r="A1599" s="103"/>
      <c r="B1599" s="103"/>
      <c r="C1599" s="104" t="e">
        <v>#REF!</v>
      </c>
      <c r="D1599" s="103"/>
      <c r="E1599" s="53"/>
      <c r="F1599" s="53"/>
      <c r="G1599" s="53"/>
      <c r="H1599" s="53"/>
      <c r="I1599" s="53"/>
      <c r="J1599" s="53"/>
      <c r="K1599" s="53"/>
      <c r="L1599" s="53"/>
      <c r="M1599" s="53"/>
      <c r="N1599" s="53"/>
      <c r="O1599" s="53"/>
      <c r="P1599" s="53"/>
      <c r="Q1599" s="53"/>
      <c r="R1599" s="53"/>
      <c r="S1599" s="53"/>
      <c r="T1599" s="53"/>
      <c r="U1599" s="53"/>
      <c r="V1599" s="53"/>
      <c r="W1599" s="53"/>
      <c r="X1599" s="53"/>
      <c r="Y1599" s="53"/>
      <c r="Z1599" s="53"/>
    </row>
    <row r="1600" spans="1:26" ht="15.75" customHeight="1">
      <c r="A1600" s="103"/>
      <c r="B1600" s="103"/>
      <c r="C1600" s="104" t="e">
        <v>#REF!</v>
      </c>
      <c r="D1600" s="103"/>
      <c r="E1600" s="53"/>
      <c r="F1600" s="53"/>
      <c r="G1600" s="53"/>
      <c r="H1600" s="53"/>
      <c r="I1600" s="53"/>
      <c r="J1600" s="53"/>
      <c r="K1600" s="53"/>
      <c r="L1600" s="53"/>
      <c r="M1600" s="53"/>
      <c r="N1600" s="53"/>
      <c r="O1600" s="53"/>
      <c r="P1600" s="53"/>
      <c r="Q1600" s="53"/>
      <c r="R1600" s="53"/>
      <c r="S1600" s="53"/>
      <c r="T1600" s="53"/>
      <c r="U1600" s="53"/>
      <c r="V1600" s="53"/>
      <c r="W1600" s="53"/>
      <c r="X1600" s="53"/>
      <c r="Y1600" s="53"/>
      <c r="Z1600" s="53"/>
    </row>
    <row r="1601" spans="1:26" ht="15.75" customHeight="1">
      <c r="A1601" s="103"/>
      <c r="B1601" s="103"/>
      <c r="C1601" s="104" t="e">
        <v>#REF!</v>
      </c>
      <c r="D1601" s="103"/>
      <c r="E1601" s="53"/>
      <c r="F1601" s="53"/>
      <c r="G1601" s="53"/>
      <c r="H1601" s="53"/>
      <c r="I1601" s="53"/>
      <c r="J1601" s="53"/>
      <c r="K1601" s="53"/>
      <c r="L1601" s="53"/>
      <c r="M1601" s="53"/>
      <c r="N1601" s="53"/>
      <c r="O1601" s="53"/>
      <c r="P1601" s="53"/>
      <c r="Q1601" s="53"/>
      <c r="R1601" s="53"/>
      <c r="S1601" s="53"/>
      <c r="T1601" s="53"/>
      <c r="U1601" s="53"/>
      <c r="V1601" s="53"/>
      <c r="W1601" s="53"/>
      <c r="X1601" s="53"/>
      <c r="Y1601" s="53"/>
      <c r="Z1601" s="53"/>
    </row>
    <row r="1602" spans="1:26" ht="15.75" customHeight="1">
      <c r="A1602" s="103"/>
      <c r="B1602" s="103"/>
      <c r="C1602" s="104" t="e">
        <v>#REF!</v>
      </c>
      <c r="D1602" s="103"/>
      <c r="E1602" s="53"/>
      <c r="F1602" s="53"/>
      <c r="G1602" s="53"/>
      <c r="H1602" s="53"/>
      <c r="I1602" s="53"/>
      <c r="J1602" s="53"/>
      <c r="K1602" s="53"/>
      <c r="L1602" s="53"/>
      <c r="M1602" s="53"/>
      <c r="N1602" s="53"/>
      <c r="O1602" s="53"/>
      <c r="P1602" s="53"/>
      <c r="Q1602" s="53"/>
      <c r="R1602" s="53"/>
      <c r="S1602" s="53"/>
      <c r="T1602" s="53"/>
      <c r="U1602" s="53"/>
      <c r="V1602" s="53"/>
      <c r="W1602" s="53"/>
      <c r="X1602" s="53"/>
      <c r="Y1602" s="53"/>
      <c r="Z1602" s="53"/>
    </row>
    <row r="1603" spans="1:26" ht="15.75" customHeight="1">
      <c r="A1603" s="103"/>
      <c r="B1603" s="103"/>
      <c r="C1603" s="104" t="e">
        <v>#REF!</v>
      </c>
      <c r="D1603" s="103"/>
      <c r="E1603" s="53"/>
      <c r="F1603" s="53"/>
      <c r="G1603" s="53"/>
      <c r="H1603" s="53"/>
      <c r="I1603" s="53"/>
      <c r="J1603" s="53"/>
      <c r="K1603" s="53"/>
      <c r="L1603" s="53"/>
      <c r="M1603" s="53"/>
      <c r="N1603" s="53"/>
      <c r="O1603" s="53"/>
      <c r="P1603" s="53"/>
      <c r="Q1603" s="53"/>
      <c r="R1603" s="53"/>
      <c r="S1603" s="53"/>
      <c r="T1603" s="53"/>
      <c r="U1603" s="53"/>
      <c r="V1603" s="53"/>
      <c r="W1603" s="53"/>
      <c r="X1603" s="53"/>
      <c r="Y1603" s="53"/>
      <c r="Z1603" s="53"/>
    </row>
    <row r="1604" spans="1:26" ht="15.75" customHeight="1">
      <c r="A1604" s="103"/>
      <c r="B1604" s="103"/>
      <c r="C1604" s="104" t="e">
        <v>#REF!</v>
      </c>
      <c r="D1604" s="103"/>
      <c r="E1604" s="53"/>
      <c r="F1604" s="53"/>
      <c r="G1604" s="53"/>
      <c r="H1604" s="53"/>
      <c r="I1604" s="53"/>
      <c r="J1604" s="53"/>
      <c r="K1604" s="53"/>
      <c r="L1604" s="53"/>
      <c r="M1604" s="53"/>
      <c r="N1604" s="53"/>
      <c r="O1604" s="53"/>
      <c r="P1604" s="53"/>
      <c r="Q1604" s="53"/>
      <c r="R1604" s="53"/>
      <c r="S1604" s="53"/>
      <c r="T1604" s="53"/>
      <c r="U1604" s="53"/>
      <c r="V1604" s="53"/>
      <c r="W1604" s="53"/>
      <c r="X1604" s="53"/>
      <c r="Y1604" s="53"/>
      <c r="Z1604" s="53"/>
    </row>
    <row r="1605" spans="1:26" ht="15.75" customHeight="1">
      <c r="A1605" s="103"/>
      <c r="B1605" s="103"/>
      <c r="C1605" s="104" t="e">
        <v>#REF!</v>
      </c>
      <c r="D1605" s="103"/>
      <c r="E1605" s="53"/>
      <c r="F1605" s="53"/>
      <c r="G1605" s="53"/>
      <c r="H1605" s="53"/>
      <c r="I1605" s="53"/>
      <c r="J1605" s="53"/>
      <c r="K1605" s="53"/>
      <c r="L1605" s="53"/>
      <c r="M1605" s="53"/>
      <c r="N1605" s="53"/>
      <c r="O1605" s="53"/>
      <c r="P1605" s="53"/>
      <c r="Q1605" s="53"/>
      <c r="R1605" s="53"/>
      <c r="S1605" s="53"/>
      <c r="T1605" s="53"/>
      <c r="U1605" s="53"/>
      <c r="V1605" s="53"/>
      <c r="W1605" s="53"/>
      <c r="X1605" s="53"/>
      <c r="Y1605" s="53"/>
      <c r="Z1605" s="53"/>
    </row>
    <row r="1606" spans="1:26" ht="15.75" customHeight="1">
      <c r="A1606" s="103"/>
      <c r="B1606" s="103"/>
      <c r="C1606" s="104" t="e">
        <v>#REF!</v>
      </c>
      <c r="D1606" s="103"/>
      <c r="E1606" s="53"/>
      <c r="F1606" s="53"/>
      <c r="G1606" s="53"/>
      <c r="H1606" s="53"/>
      <c r="I1606" s="53"/>
      <c r="J1606" s="53"/>
      <c r="K1606" s="53"/>
      <c r="L1606" s="53"/>
      <c r="M1606" s="53"/>
      <c r="N1606" s="53"/>
      <c r="O1606" s="53"/>
      <c r="P1606" s="53"/>
      <c r="Q1606" s="53"/>
      <c r="R1606" s="53"/>
      <c r="S1606" s="53"/>
      <c r="T1606" s="53"/>
      <c r="U1606" s="53"/>
      <c r="V1606" s="53"/>
      <c r="W1606" s="53"/>
      <c r="X1606" s="53"/>
      <c r="Y1606" s="53"/>
      <c r="Z1606" s="53"/>
    </row>
    <row r="1607" spans="1:26" ht="15.75" customHeight="1">
      <c r="A1607" s="103"/>
      <c r="B1607" s="103"/>
      <c r="C1607" s="104" t="e">
        <v>#REF!</v>
      </c>
      <c r="D1607" s="103"/>
      <c r="E1607" s="53"/>
      <c r="F1607" s="53"/>
      <c r="G1607" s="53"/>
      <c r="H1607" s="53"/>
      <c r="I1607" s="53"/>
      <c r="J1607" s="53"/>
      <c r="K1607" s="53"/>
      <c r="L1607" s="53"/>
      <c r="M1607" s="53"/>
      <c r="N1607" s="53"/>
      <c r="O1607" s="53"/>
      <c r="P1607" s="53"/>
      <c r="Q1607" s="53"/>
      <c r="R1607" s="53"/>
      <c r="S1607" s="53"/>
      <c r="T1607" s="53"/>
      <c r="U1607" s="53"/>
      <c r="V1607" s="53"/>
      <c r="W1607" s="53"/>
      <c r="X1607" s="53"/>
      <c r="Y1607" s="53"/>
      <c r="Z1607" s="53"/>
    </row>
    <row r="1608" spans="1:26" ht="15.75" customHeight="1">
      <c r="A1608" s="103"/>
      <c r="B1608" s="103"/>
      <c r="C1608" s="104" t="e">
        <v>#REF!</v>
      </c>
      <c r="D1608" s="103"/>
      <c r="E1608" s="53"/>
      <c r="F1608" s="53"/>
      <c r="G1608" s="53"/>
      <c r="H1608" s="53"/>
      <c r="I1608" s="53"/>
      <c r="J1608" s="53"/>
      <c r="K1608" s="53"/>
      <c r="L1608" s="53"/>
      <c r="M1608" s="53"/>
      <c r="N1608" s="53"/>
      <c r="O1608" s="53"/>
      <c r="P1608" s="53"/>
      <c r="Q1608" s="53"/>
      <c r="R1608" s="53"/>
      <c r="S1608" s="53"/>
      <c r="T1608" s="53"/>
      <c r="U1608" s="53"/>
      <c r="V1608" s="53"/>
      <c r="W1608" s="53"/>
      <c r="X1608" s="53"/>
      <c r="Y1608" s="53"/>
      <c r="Z1608" s="53"/>
    </row>
    <row r="1609" spans="1:26" ht="15.75" customHeight="1">
      <c r="A1609" s="103"/>
      <c r="B1609" s="103"/>
      <c r="C1609" s="104" t="e">
        <v>#REF!</v>
      </c>
      <c r="D1609" s="103"/>
      <c r="E1609" s="53"/>
      <c r="F1609" s="53"/>
      <c r="G1609" s="53"/>
      <c r="H1609" s="53"/>
      <c r="I1609" s="53"/>
      <c r="J1609" s="53"/>
      <c r="K1609" s="53"/>
      <c r="L1609" s="53"/>
      <c r="M1609" s="53"/>
      <c r="N1609" s="53"/>
      <c r="O1609" s="53"/>
      <c r="P1609" s="53"/>
      <c r="Q1609" s="53"/>
      <c r="R1609" s="53"/>
      <c r="S1609" s="53"/>
      <c r="T1609" s="53"/>
      <c r="U1609" s="53"/>
      <c r="V1609" s="53"/>
      <c r="W1609" s="53"/>
      <c r="X1609" s="53"/>
      <c r="Y1609" s="53"/>
      <c r="Z1609" s="53"/>
    </row>
    <row r="1610" spans="1:26" ht="15.75" customHeight="1">
      <c r="A1610" s="103"/>
      <c r="B1610" s="103"/>
      <c r="C1610" s="104" t="e">
        <v>#REF!</v>
      </c>
      <c r="D1610" s="103"/>
      <c r="E1610" s="53"/>
      <c r="F1610" s="53"/>
      <c r="G1610" s="53"/>
      <c r="H1610" s="53"/>
      <c r="I1610" s="53"/>
      <c r="J1610" s="53"/>
      <c r="K1610" s="53"/>
      <c r="L1610" s="53"/>
      <c r="M1610" s="53"/>
      <c r="N1610" s="53"/>
      <c r="O1610" s="53"/>
      <c r="P1610" s="53"/>
      <c r="Q1610" s="53"/>
      <c r="R1610" s="53"/>
      <c r="S1610" s="53"/>
      <c r="T1610" s="53"/>
      <c r="U1610" s="53"/>
      <c r="V1610" s="53"/>
      <c r="W1610" s="53"/>
      <c r="X1610" s="53"/>
      <c r="Y1610" s="53"/>
      <c r="Z1610" s="53"/>
    </row>
    <row r="1611" spans="1:26" ht="15.75" customHeight="1">
      <c r="A1611" s="103"/>
      <c r="B1611" s="103"/>
      <c r="C1611" s="104" t="e">
        <v>#REF!</v>
      </c>
      <c r="D1611" s="103"/>
      <c r="E1611" s="53"/>
      <c r="F1611" s="53"/>
      <c r="G1611" s="53"/>
      <c r="H1611" s="53"/>
      <c r="I1611" s="53"/>
      <c r="J1611" s="53"/>
      <c r="K1611" s="53"/>
      <c r="L1611" s="53"/>
      <c r="M1611" s="53"/>
      <c r="N1611" s="53"/>
      <c r="O1611" s="53"/>
      <c r="P1611" s="53"/>
      <c r="Q1611" s="53"/>
      <c r="R1611" s="53"/>
      <c r="S1611" s="53"/>
      <c r="T1611" s="53"/>
      <c r="U1611" s="53"/>
      <c r="V1611" s="53"/>
      <c r="W1611" s="53"/>
      <c r="X1611" s="53"/>
      <c r="Y1611" s="53"/>
      <c r="Z1611" s="53"/>
    </row>
    <row r="1612" spans="1:26" ht="15.75" customHeight="1">
      <c r="A1612" s="103"/>
      <c r="B1612" s="103"/>
      <c r="C1612" s="104" t="e">
        <v>#REF!</v>
      </c>
      <c r="D1612" s="103"/>
      <c r="E1612" s="53"/>
      <c r="F1612" s="53"/>
      <c r="G1612" s="53"/>
      <c r="H1612" s="53"/>
      <c r="I1612" s="53"/>
      <c r="J1612" s="53"/>
      <c r="K1612" s="53"/>
      <c r="L1612" s="53"/>
      <c r="M1612" s="53"/>
      <c r="N1612" s="53"/>
      <c r="O1612" s="53"/>
      <c r="P1612" s="53"/>
      <c r="Q1612" s="53"/>
      <c r="R1612" s="53"/>
      <c r="S1612" s="53"/>
      <c r="T1612" s="53"/>
      <c r="U1612" s="53"/>
      <c r="V1612" s="53"/>
      <c r="W1612" s="53"/>
      <c r="X1612" s="53"/>
      <c r="Y1612" s="53"/>
      <c r="Z1612" s="53"/>
    </row>
    <row r="1613" spans="1:26" ht="15.75" customHeight="1">
      <c r="A1613" s="103"/>
      <c r="B1613" s="103"/>
      <c r="C1613" s="104" t="e">
        <v>#REF!</v>
      </c>
      <c r="D1613" s="103"/>
      <c r="E1613" s="53"/>
      <c r="F1613" s="53"/>
      <c r="G1613" s="53"/>
      <c r="H1613" s="53"/>
      <c r="I1613" s="53"/>
      <c r="J1613" s="53"/>
      <c r="K1613" s="53"/>
      <c r="L1613" s="53"/>
      <c r="M1613" s="53"/>
      <c r="N1613" s="53"/>
      <c r="O1613" s="53"/>
      <c r="P1613" s="53"/>
      <c r="Q1613" s="53"/>
      <c r="R1613" s="53"/>
      <c r="S1613" s="53"/>
      <c r="T1613" s="53"/>
      <c r="U1613" s="53"/>
      <c r="V1613" s="53"/>
      <c r="W1613" s="53"/>
      <c r="X1613" s="53"/>
      <c r="Y1613" s="53"/>
      <c r="Z1613" s="53"/>
    </row>
    <row r="1614" spans="1:26" ht="15.75" customHeight="1">
      <c r="A1614" s="103"/>
      <c r="B1614" s="103"/>
      <c r="C1614" s="104" t="e">
        <v>#REF!</v>
      </c>
      <c r="D1614" s="103"/>
      <c r="E1614" s="53"/>
      <c r="F1614" s="53"/>
      <c r="G1614" s="53"/>
      <c r="H1614" s="53"/>
      <c r="I1614" s="53"/>
      <c r="J1614" s="53"/>
      <c r="K1614" s="53"/>
      <c r="L1614" s="53"/>
      <c r="M1614" s="53"/>
      <c r="N1614" s="53"/>
      <c r="O1614" s="53"/>
      <c r="P1614" s="53"/>
      <c r="Q1614" s="53"/>
      <c r="R1614" s="53"/>
      <c r="S1614" s="53"/>
      <c r="T1614" s="53"/>
      <c r="U1614" s="53"/>
      <c r="V1614" s="53"/>
      <c r="W1614" s="53"/>
      <c r="X1614" s="53"/>
      <c r="Y1614" s="53"/>
      <c r="Z1614" s="53"/>
    </row>
    <row r="1615" spans="1:26" ht="15.75" customHeight="1">
      <c r="A1615" s="103"/>
      <c r="B1615" s="103"/>
      <c r="C1615" s="104" t="e">
        <v>#REF!</v>
      </c>
      <c r="D1615" s="103"/>
      <c r="E1615" s="53"/>
      <c r="F1615" s="53"/>
      <c r="G1615" s="53"/>
      <c r="H1615" s="53"/>
      <c r="I1615" s="53"/>
      <c r="J1615" s="53"/>
      <c r="K1615" s="53"/>
      <c r="L1615" s="53"/>
      <c r="M1615" s="53"/>
      <c r="N1615" s="53"/>
      <c r="O1615" s="53"/>
      <c r="P1615" s="53"/>
      <c r="Q1615" s="53"/>
      <c r="R1615" s="53"/>
      <c r="S1615" s="53"/>
      <c r="T1615" s="53"/>
      <c r="U1615" s="53"/>
      <c r="V1615" s="53"/>
      <c r="W1615" s="53"/>
      <c r="X1615" s="53"/>
      <c r="Y1615" s="53"/>
      <c r="Z1615" s="53"/>
    </row>
    <row r="1616" spans="1:26" ht="15.75" customHeight="1">
      <c r="A1616" s="103"/>
      <c r="B1616" s="103"/>
      <c r="C1616" s="104" t="e">
        <v>#REF!</v>
      </c>
      <c r="D1616" s="103"/>
      <c r="E1616" s="53"/>
      <c r="F1616" s="53"/>
      <c r="G1616" s="53"/>
      <c r="H1616" s="53"/>
      <c r="I1616" s="53"/>
      <c r="J1616" s="53"/>
      <c r="K1616" s="53"/>
      <c r="L1616" s="53"/>
      <c r="M1616" s="53"/>
      <c r="N1616" s="53"/>
      <c r="O1616" s="53"/>
      <c r="P1616" s="53"/>
      <c r="Q1616" s="53"/>
      <c r="R1616" s="53"/>
      <c r="S1616" s="53"/>
      <c r="T1616" s="53"/>
      <c r="U1616" s="53"/>
      <c r="V1616" s="53"/>
      <c r="W1616" s="53"/>
      <c r="X1616" s="53"/>
      <c r="Y1616" s="53"/>
      <c r="Z1616" s="53"/>
    </row>
    <row r="1617" spans="1:26" ht="15.75" customHeight="1">
      <c r="A1617" s="103"/>
      <c r="B1617" s="103"/>
      <c r="C1617" s="104" t="e">
        <v>#REF!</v>
      </c>
      <c r="D1617" s="103"/>
      <c r="E1617" s="53"/>
      <c r="F1617" s="53"/>
      <c r="G1617" s="53"/>
      <c r="H1617" s="53"/>
      <c r="I1617" s="53"/>
      <c r="J1617" s="53"/>
      <c r="K1617" s="53"/>
      <c r="L1617" s="53"/>
      <c r="M1617" s="53"/>
      <c r="N1617" s="53"/>
      <c r="O1617" s="53"/>
      <c r="P1617" s="53"/>
      <c r="Q1617" s="53"/>
      <c r="R1617" s="53"/>
      <c r="S1617" s="53"/>
      <c r="T1617" s="53"/>
      <c r="U1617" s="53"/>
      <c r="V1617" s="53"/>
      <c r="W1617" s="53"/>
      <c r="X1617" s="53"/>
      <c r="Y1617" s="53"/>
      <c r="Z1617" s="53"/>
    </row>
    <row r="1618" spans="1:26" ht="15.75" customHeight="1">
      <c r="A1618" s="103"/>
      <c r="B1618" s="103"/>
      <c r="C1618" s="104" t="e">
        <v>#REF!</v>
      </c>
      <c r="D1618" s="103"/>
      <c r="E1618" s="53"/>
      <c r="F1618" s="53"/>
      <c r="G1618" s="53"/>
      <c r="H1618" s="53"/>
      <c r="I1618" s="53"/>
      <c r="J1618" s="53"/>
      <c r="K1618" s="53"/>
      <c r="L1618" s="53"/>
      <c r="M1618" s="53"/>
      <c r="N1618" s="53"/>
      <c r="O1618" s="53"/>
      <c r="P1618" s="53"/>
      <c r="Q1618" s="53"/>
      <c r="R1618" s="53"/>
      <c r="S1618" s="53"/>
      <c r="T1618" s="53"/>
      <c r="U1618" s="53"/>
      <c r="V1618" s="53"/>
      <c r="W1618" s="53"/>
      <c r="X1618" s="53"/>
      <c r="Y1618" s="53"/>
      <c r="Z1618" s="53"/>
    </row>
    <row r="1619" spans="1:26" ht="15.75" customHeight="1">
      <c r="A1619" s="103"/>
      <c r="B1619" s="103"/>
      <c r="C1619" s="104" t="e">
        <v>#REF!</v>
      </c>
      <c r="D1619" s="103"/>
      <c r="E1619" s="53"/>
      <c r="F1619" s="53"/>
      <c r="G1619" s="53"/>
      <c r="H1619" s="53"/>
      <c r="I1619" s="53"/>
      <c r="J1619" s="53"/>
      <c r="K1619" s="53"/>
      <c r="L1619" s="53"/>
      <c r="M1619" s="53"/>
      <c r="N1619" s="53"/>
      <c r="O1619" s="53"/>
      <c r="P1619" s="53"/>
      <c r="Q1619" s="53"/>
      <c r="R1619" s="53"/>
      <c r="S1619" s="53"/>
      <c r="T1619" s="53"/>
      <c r="U1619" s="53"/>
      <c r="V1619" s="53"/>
      <c r="W1619" s="53"/>
      <c r="X1619" s="53"/>
      <c r="Y1619" s="53"/>
      <c r="Z1619" s="53"/>
    </row>
    <row r="1620" spans="1:26" ht="15.75" customHeight="1">
      <c r="A1620" s="103"/>
      <c r="B1620" s="103"/>
      <c r="C1620" s="104" t="e">
        <v>#REF!</v>
      </c>
      <c r="D1620" s="103"/>
      <c r="E1620" s="53"/>
      <c r="F1620" s="53"/>
      <c r="G1620" s="53"/>
      <c r="H1620" s="53"/>
      <c r="I1620" s="53"/>
      <c r="J1620" s="53"/>
      <c r="K1620" s="53"/>
      <c r="L1620" s="53"/>
      <c r="M1620" s="53"/>
      <c r="N1620" s="53"/>
      <c r="O1620" s="53"/>
      <c r="P1620" s="53"/>
      <c r="Q1620" s="53"/>
      <c r="R1620" s="53"/>
      <c r="S1620" s="53"/>
      <c r="T1620" s="53"/>
      <c r="U1620" s="53"/>
      <c r="V1620" s="53"/>
      <c r="W1620" s="53"/>
      <c r="X1620" s="53"/>
      <c r="Y1620" s="53"/>
      <c r="Z1620" s="53"/>
    </row>
    <row r="1621" spans="1:26" ht="15.75" customHeight="1">
      <c r="A1621" s="103"/>
      <c r="B1621" s="103"/>
      <c r="C1621" s="104" t="e">
        <v>#REF!</v>
      </c>
      <c r="D1621" s="103"/>
      <c r="E1621" s="53"/>
      <c r="F1621" s="53"/>
      <c r="G1621" s="53"/>
      <c r="H1621" s="53"/>
      <c r="I1621" s="53"/>
      <c r="J1621" s="53"/>
      <c r="K1621" s="53"/>
      <c r="L1621" s="53"/>
      <c r="M1621" s="53"/>
      <c r="N1621" s="53"/>
      <c r="O1621" s="53"/>
      <c r="P1621" s="53"/>
      <c r="Q1621" s="53"/>
      <c r="R1621" s="53"/>
      <c r="S1621" s="53"/>
      <c r="T1621" s="53"/>
      <c r="U1621" s="53"/>
      <c r="V1621" s="53"/>
      <c r="W1621" s="53"/>
      <c r="X1621" s="53"/>
      <c r="Y1621" s="53"/>
      <c r="Z1621" s="53"/>
    </row>
    <row r="1622" spans="1:26" ht="15.75" customHeight="1">
      <c r="A1622" s="103"/>
      <c r="B1622" s="103"/>
      <c r="C1622" s="104" t="e">
        <v>#REF!</v>
      </c>
      <c r="D1622" s="103"/>
      <c r="E1622" s="53"/>
      <c r="F1622" s="53"/>
      <c r="G1622" s="53"/>
      <c r="H1622" s="53"/>
      <c r="I1622" s="53"/>
      <c r="J1622" s="53"/>
      <c r="K1622" s="53"/>
      <c r="L1622" s="53"/>
      <c r="M1622" s="53"/>
      <c r="N1622" s="53"/>
      <c r="O1622" s="53"/>
      <c r="P1622" s="53"/>
      <c r="Q1622" s="53"/>
      <c r="R1622" s="53"/>
      <c r="S1622" s="53"/>
      <c r="T1622" s="53"/>
      <c r="U1622" s="53"/>
      <c r="V1622" s="53"/>
      <c r="W1622" s="53"/>
      <c r="X1622" s="53"/>
      <c r="Y1622" s="53"/>
      <c r="Z1622" s="53"/>
    </row>
    <row r="1623" spans="1:26" ht="15.75" customHeight="1">
      <c r="A1623" s="103"/>
      <c r="B1623" s="103"/>
      <c r="C1623" s="104" t="e">
        <v>#REF!</v>
      </c>
      <c r="D1623" s="103"/>
      <c r="E1623" s="53"/>
      <c r="F1623" s="53"/>
      <c r="G1623" s="53"/>
      <c r="H1623" s="53"/>
      <c r="I1623" s="53"/>
      <c r="J1623" s="53"/>
      <c r="K1623" s="53"/>
      <c r="L1623" s="53"/>
      <c r="M1623" s="53"/>
      <c r="N1623" s="53"/>
      <c r="O1623" s="53"/>
      <c r="P1623" s="53"/>
      <c r="Q1623" s="53"/>
      <c r="R1623" s="53"/>
      <c r="S1623" s="53"/>
      <c r="T1623" s="53"/>
      <c r="U1623" s="53"/>
      <c r="V1623" s="53"/>
      <c r="W1623" s="53"/>
      <c r="X1623" s="53"/>
      <c r="Y1623" s="53"/>
      <c r="Z1623" s="53"/>
    </row>
    <row r="1624" spans="1:26" ht="15.75" customHeight="1">
      <c r="A1624" s="103"/>
      <c r="B1624" s="103"/>
      <c r="C1624" s="104" t="e">
        <v>#REF!</v>
      </c>
      <c r="D1624" s="103"/>
      <c r="E1624" s="53"/>
      <c r="F1624" s="53"/>
      <c r="G1624" s="53"/>
      <c r="H1624" s="53"/>
      <c r="I1624" s="53"/>
      <c r="J1624" s="53"/>
      <c r="K1624" s="53"/>
      <c r="L1624" s="53"/>
      <c r="M1624" s="53"/>
      <c r="N1624" s="53"/>
      <c r="O1624" s="53"/>
      <c r="P1624" s="53"/>
      <c r="Q1624" s="53"/>
      <c r="R1624" s="53"/>
      <c r="S1624" s="53"/>
      <c r="T1624" s="53"/>
      <c r="U1624" s="53"/>
      <c r="V1624" s="53"/>
      <c r="W1624" s="53"/>
      <c r="X1624" s="53"/>
      <c r="Y1624" s="53"/>
      <c r="Z1624" s="53"/>
    </row>
    <row r="1625" spans="1:26" ht="15.75" customHeight="1">
      <c r="A1625" s="103"/>
      <c r="B1625" s="103"/>
      <c r="C1625" s="104" t="e">
        <v>#REF!</v>
      </c>
      <c r="D1625" s="103"/>
      <c r="E1625" s="53"/>
      <c r="F1625" s="53"/>
      <c r="G1625" s="53"/>
      <c r="H1625" s="53"/>
      <c r="I1625" s="53"/>
      <c r="J1625" s="53"/>
      <c r="K1625" s="53"/>
      <c r="L1625" s="53"/>
      <c r="M1625" s="53"/>
      <c r="N1625" s="53"/>
      <c r="O1625" s="53"/>
      <c r="P1625" s="53"/>
      <c r="Q1625" s="53"/>
      <c r="R1625" s="53"/>
      <c r="S1625" s="53"/>
      <c r="T1625" s="53"/>
      <c r="U1625" s="53"/>
      <c r="V1625" s="53"/>
      <c r="W1625" s="53"/>
      <c r="X1625" s="53"/>
      <c r="Y1625" s="53"/>
      <c r="Z1625" s="53"/>
    </row>
    <row r="1626" spans="1:26" ht="15.75" customHeight="1">
      <c r="A1626" s="103"/>
      <c r="B1626" s="103"/>
      <c r="C1626" s="104" t="e">
        <v>#REF!</v>
      </c>
      <c r="D1626" s="10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</row>
    <row r="1627" spans="1:26" ht="15.75" customHeight="1">
      <c r="A1627" s="103"/>
      <c r="B1627" s="103"/>
      <c r="C1627" s="104" t="e">
        <v>#REF!</v>
      </c>
      <c r="D1627" s="103"/>
      <c r="E1627" s="53"/>
      <c r="F1627" s="53"/>
      <c r="G1627" s="53"/>
      <c r="H1627" s="53"/>
      <c r="I1627" s="53"/>
      <c r="J1627" s="53"/>
      <c r="K1627" s="53"/>
      <c r="L1627" s="53"/>
      <c r="M1627" s="53"/>
      <c r="N1627" s="53"/>
      <c r="O1627" s="53"/>
      <c r="P1627" s="53"/>
      <c r="Q1627" s="53"/>
      <c r="R1627" s="53"/>
      <c r="S1627" s="53"/>
      <c r="T1627" s="53"/>
      <c r="U1627" s="53"/>
      <c r="V1627" s="53"/>
      <c r="W1627" s="53"/>
      <c r="X1627" s="53"/>
      <c r="Y1627" s="53"/>
      <c r="Z1627" s="53"/>
    </row>
    <row r="1628" spans="1:26" ht="15.75" customHeight="1">
      <c r="A1628" s="103"/>
      <c r="B1628" s="103"/>
      <c r="C1628" s="104" t="e">
        <v>#REF!</v>
      </c>
      <c r="D1628" s="103"/>
      <c r="E1628" s="53"/>
      <c r="F1628" s="53"/>
      <c r="G1628" s="53"/>
      <c r="H1628" s="53"/>
      <c r="I1628" s="53"/>
      <c r="J1628" s="53"/>
      <c r="K1628" s="53"/>
      <c r="L1628" s="53"/>
      <c r="M1628" s="53"/>
      <c r="N1628" s="53"/>
      <c r="O1628" s="53"/>
      <c r="P1628" s="53"/>
      <c r="Q1628" s="53"/>
      <c r="R1628" s="53"/>
      <c r="S1628" s="53"/>
      <c r="T1628" s="53"/>
      <c r="U1628" s="53"/>
      <c r="V1628" s="53"/>
      <c r="W1628" s="53"/>
      <c r="X1628" s="53"/>
      <c r="Y1628" s="53"/>
      <c r="Z1628" s="53"/>
    </row>
    <row r="1629" spans="1:26" ht="15.75" customHeight="1">
      <c r="A1629" s="103"/>
      <c r="B1629" s="103"/>
      <c r="C1629" s="104" t="e">
        <v>#REF!</v>
      </c>
      <c r="D1629" s="103"/>
      <c r="E1629" s="53"/>
      <c r="F1629" s="53"/>
      <c r="G1629" s="53"/>
      <c r="H1629" s="53"/>
      <c r="I1629" s="53"/>
      <c r="J1629" s="53"/>
      <c r="K1629" s="53"/>
      <c r="L1629" s="53"/>
      <c r="M1629" s="53"/>
      <c r="N1629" s="53"/>
      <c r="O1629" s="53"/>
      <c r="P1629" s="53"/>
      <c r="Q1629" s="53"/>
      <c r="R1629" s="53"/>
      <c r="S1629" s="53"/>
      <c r="T1629" s="53"/>
      <c r="U1629" s="53"/>
      <c r="V1629" s="53"/>
      <c r="W1629" s="53"/>
      <c r="X1629" s="53"/>
      <c r="Y1629" s="53"/>
      <c r="Z1629" s="53"/>
    </row>
    <row r="1630" spans="1:26" ht="15.75" customHeight="1">
      <c r="A1630" s="103"/>
      <c r="B1630" s="103"/>
      <c r="C1630" s="104" t="e">
        <v>#REF!</v>
      </c>
      <c r="D1630" s="103"/>
      <c r="E1630" s="53"/>
      <c r="F1630" s="53"/>
      <c r="G1630" s="53"/>
      <c r="H1630" s="53"/>
      <c r="I1630" s="53"/>
      <c r="J1630" s="53"/>
      <c r="K1630" s="53"/>
      <c r="L1630" s="53"/>
      <c r="M1630" s="53"/>
      <c r="N1630" s="53"/>
      <c r="O1630" s="53"/>
      <c r="P1630" s="53"/>
      <c r="Q1630" s="53"/>
      <c r="R1630" s="53"/>
      <c r="S1630" s="53"/>
      <c r="T1630" s="53"/>
      <c r="U1630" s="53"/>
      <c r="V1630" s="53"/>
      <c r="W1630" s="53"/>
      <c r="X1630" s="53"/>
      <c r="Y1630" s="53"/>
      <c r="Z1630" s="53"/>
    </row>
    <row r="1631" spans="1:26" ht="15.75" customHeight="1">
      <c r="A1631" s="103"/>
      <c r="B1631" s="103"/>
      <c r="C1631" s="104" t="e">
        <v>#REF!</v>
      </c>
      <c r="D1631" s="10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53"/>
      <c r="T1631" s="53"/>
      <c r="U1631" s="53"/>
      <c r="V1631" s="53"/>
      <c r="W1631" s="53"/>
      <c r="X1631" s="53"/>
      <c r="Y1631" s="53"/>
      <c r="Z1631" s="53"/>
    </row>
    <row r="1632" spans="1:26" ht="15.75" customHeight="1">
      <c r="A1632" s="103"/>
      <c r="B1632" s="103"/>
      <c r="C1632" s="104" t="e">
        <v>#REF!</v>
      </c>
      <c r="D1632" s="103"/>
      <c r="E1632" s="53"/>
      <c r="F1632" s="53"/>
      <c r="G1632" s="53"/>
      <c r="H1632" s="53"/>
      <c r="I1632" s="53"/>
      <c r="J1632" s="53"/>
      <c r="K1632" s="53"/>
      <c r="L1632" s="53"/>
      <c r="M1632" s="53"/>
      <c r="N1632" s="53"/>
      <c r="O1632" s="53"/>
      <c r="P1632" s="53"/>
      <c r="Q1632" s="53"/>
      <c r="R1632" s="53"/>
      <c r="S1632" s="53"/>
      <c r="T1632" s="53"/>
      <c r="U1632" s="53"/>
      <c r="V1632" s="53"/>
      <c r="W1632" s="53"/>
      <c r="X1632" s="53"/>
      <c r="Y1632" s="53"/>
      <c r="Z1632" s="53"/>
    </row>
    <row r="1633" spans="1:26" ht="15.75" customHeight="1">
      <c r="A1633" s="103"/>
      <c r="B1633" s="103"/>
      <c r="C1633" s="104" t="e">
        <v>#REF!</v>
      </c>
      <c r="D1633" s="103"/>
      <c r="E1633" s="53"/>
      <c r="F1633" s="53"/>
      <c r="G1633" s="53"/>
      <c r="H1633" s="53"/>
      <c r="I1633" s="53"/>
      <c r="J1633" s="53"/>
      <c r="K1633" s="53"/>
      <c r="L1633" s="53"/>
      <c r="M1633" s="53"/>
      <c r="N1633" s="53"/>
      <c r="O1633" s="53"/>
      <c r="P1633" s="53"/>
      <c r="Q1633" s="53"/>
      <c r="R1633" s="53"/>
      <c r="S1633" s="53"/>
      <c r="T1633" s="53"/>
      <c r="U1633" s="53"/>
      <c r="V1633" s="53"/>
      <c r="W1633" s="53"/>
      <c r="X1633" s="53"/>
      <c r="Y1633" s="53"/>
      <c r="Z1633" s="53"/>
    </row>
    <row r="1634" spans="1:26" ht="15.75" customHeight="1">
      <c r="A1634" s="103"/>
      <c r="B1634" s="103"/>
      <c r="C1634" s="104" t="e">
        <v>#REF!</v>
      </c>
      <c r="D1634" s="103"/>
      <c r="E1634" s="53"/>
      <c r="F1634" s="53"/>
      <c r="G1634" s="53"/>
      <c r="H1634" s="53"/>
      <c r="I1634" s="53"/>
      <c r="J1634" s="53"/>
      <c r="K1634" s="53"/>
      <c r="L1634" s="53"/>
      <c r="M1634" s="53"/>
      <c r="N1634" s="53"/>
      <c r="O1634" s="53"/>
      <c r="P1634" s="53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</row>
    <row r="1635" spans="1:26" ht="15.75" customHeight="1">
      <c r="A1635" s="103"/>
      <c r="B1635" s="103"/>
      <c r="C1635" s="104" t="e">
        <v>#REF!</v>
      </c>
      <c r="D1635" s="103"/>
      <c r="E1635" s="53"/>
      <c r="F1635" s="53"/>
      <c r="G1635" s="53"/>
      <c r="H1635" s="53"/>
      <c r="I1635" s="53"/>
      <c r="J1635" s="53"/>
      <c r="K1635" s="53"/>
      <c r="L1635" s="53"/>
      <c r="M1635" s="53"/>
      <c r="N1635" s="53"/>
      <c r="O1635" s="53"/>
      <c r="P1635" s="53"/>
      <c r="Q1635" s="53"/>
      <c r="R1635" s="53"/>
      <c r="S1635" s="53"/>
      <c r="T1635" s="53"/>
      <c r="U1635" s="53"/>
      <c r="V1635" s="53"/>
      <c r="W1635" s="53"/>
      <c r="X1635" s="53"/>
      <c r="Y1635" s="53"/>
      <c r="Z1635" s="53"/>
    </row>
    <row r="1636" spans="1:26" ht="15.75" customHeight="1">
      <c r="A1636" s="103"/>
      <c r="B1636" s="103"/>
      <c r="C1636" s="104" t="e">
        <v>#REF!</v>
      </c>
      <c r="D1636" s="103"/>
      <c r="E1636" s="53"/>
      <c r="F1636" s="53"/>
      <c r="G1636" s="53"/>
      <c r="H1636" s="53"/>
      <c r="I1636" s="53"/>
      <c r="J1636" s="53"/>
      <c r="K1636" s="53"/>
      <c r="L1636" s="53"/>
      <c r="M1636" s="53"/>
      <c r="N1636" s="53"/>
      <c r="O1636" s="53"/>
      <c r="P1636" s="53"/>
      <c r="Q1636" s="53"/>
      <c r="R1636" s="53"/>
      <c r="S1636" s="53"/>
      <c r="T1636" s="53"/>
      <c r="U1636" s="53"/>
      <c r="V1636" s="53"/>
      <c r="W1636" s="53"/>
      <c r="X1636" s="53"/>
      <c r="Y1636" s="53"/>
      <c r="Z1636" s="53"/>
    </row>
    <row r="1637" spans="1:26" ht="15.75" customHeight="1">
      <c r="A1637" s="103"/>
      <c r="B1637" s="103"/>
      <c r="C1637" s="104" t="e">
        <v>#REF!</v>
      </c>
      <c r="D1637" s="103"/>
      <c r="E1637" s="53"/>
      <c r="F1637" s="53"/>
      <c r="G1637" s="53"/>
      <c r="H1637" s="53"/>
      <c r="I1637" s="53"/>
      <c r="J1637" s="53"/>
      <c r="K1637" s="53"/>
      <c r="L1637" s="53"/>
      <c r="M1637" s="53"/>
      <c r="N1637" s="53"/>
      <c r="O1637" s="53"/>
      <c r="P1637" s="53"/>
      <c r="Q1637" s="53"/>
      <c r="R1637" s="53"/>
      <c r="S1637" s="53"/>
      <c r="T1637" s="53"/>
      <c r="U1637" s="53"/>
      <c r="V1637" s="53"/>
      <c r="W1637" s="53"/>
      <c r="X1637" s="53"/>
      <c r="Y1637" s="53"/>
      <c r="Z1637" s="53"/>
    </row>
    <row r="1638" spans="1:26" ht="15.75" customHeight="1">
      <c r="A1638" s="103"/>
      <c r="B1638" s="103"/>
      <c r="C1638" s="104" t="e">
        <v>#REF!</v>
      </c>
      <c r="D1638" s="103"/>
      <c r="E1638" s="53"/>
      <c r="F1638" s="53"/>
      <c r="G1638" s="53"/>
      <c r="H1638" s="53"/>
      <c r="I1638" s="53"/>
      <c r="J1638" s="53"/>
      <c r="K1638" s="53"/>
      <c r="L1638" s="53"/>
      <c r="M1638" s="53"/>
      <c r="N1638" s="53"/>
      <c r="O1638" s="53"/>
      <c r="P1638" s="53"/>
      <c r="Q1638" s="53"/>
      <c r="R1638" s="53"/>
      <c r="S1638" s="53"/>
      <c r="T1638" s="53"/>
      <c r="U1638" s="53"/>
      <c r="V1638" s="53"/>
      <c r="W1638" s="53"/>
      <c r="X1638" s="53"/>
      <c r="Y1638" s="53"/>
      <c r="Z1638" s="53"/>
    </row>
    <row r="1639" spans="1:26" ht="15.75" customHeight="1">
      <c r="A1639" s="103"/>
      <c r="B1639" s="103"/>
      <c r="C1639" s="104" t="e">
        <v>#REF!</v>
      </c>
      <c r="D1639" s="103"/>
      <c r="E1639" s="53"/>
      <c r="F1639" s="53"/>
      <c r="G1639" s="53"/>
      <c r="H1639" s="53"/>
      <c r="I1639" s="53"/>
      <c r="J1639" s="53"/>
      <c r="K1639" s="53"/>
      <c r="L1639" s="53"/>
      <c r="M1639" s="53"/>
      <c r="N1639" s="53"/>
      <c r="O1639" s="53"/>
      <c r="P1639" s="53"/>
      <c r="Q1639" s="53"/>
      <c r="R1639" s="53"/>
      <c r="S1639" s="53"/>
      <c r="T1639" s="53"/>
      <c r="U1639" s="53"/>
      <c r="V1639" s="53"/>
      <c r="W1639" s="53"/>
      <c r="X1639" s="53"/>
      <c r="Y1639" s="53"/>
      <c r="Z1639" s="53"/>
    </row>
    <row r="1640" spans="1:26" ht="15.75" customHeight="1">
      <c r="A1640" s="103"/>
      <c r="B1640" s="103"/>
      <c r="C1640" s="104" t="e">
        <v>#REF!</v>
      </c>
      <c r="D1640" s="103"/>
      <c r="E1640" s="53"/>
      <c r="F1640" s="53"/>
      <c r="G1640" s="53"/>
      <c r="H1640" s="53"/>
      <c r="I1640" s="53"/>
      <c r="J1640" s="53"/>
      <c r="K1640" s="53"/>
      <c r="L1640" s="53"/>
      <c r="M1640" s="53"/>
      <c r="N1640" s="53"/>
      <c r="O1640" s="53"/>
      <c r="P1640" s="53"/>
      <c r="Q1640" s="53"/>
      <c r="R1640" s="53"/>
      <c r="S1640" s="53"/>
      <c r="T1640" s="53"/>
      <c r="U1640" s="53"/>
      <c r="V1640" s="53"/>
      <c r="W1640" s="53"/>
      <c r="X1640" s="53"/>
      <c r="Y1640" s="53"/>
      <c r="Z1640" s="53"/>
    </row>
    <row r="1641" spans="1:26" ht="15.75" customHeight="1">
      <c r="A1641" s="103"/>
      <c r="B1641" s="103"/>
      <c r="C1641" s="104" t="e">
        <v>#REF!</v>
      </c>
      <c r="D1641" s="103"/>
      <c r="E1641" s="53"/>
      <c r="F1641" s="53"/>
      <c r="G1641" s="53"/>
      <c r="H1641" s="53"/>
      <c r="I1641" s="53"/>
      <c r="J1641" s="53"/>
      <c r="K1641" s="53"/>
      <c r="L1641" s="53"/>
      <c r="M1641" s="53"/>
      <c r="N1641" s="53"/>
      <c r="O1641" s="53"/>
      <c r="P1641" s="53"/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</row>
    <row r="1642" spans="1:26" ht="15.75" customHeight="1">
      <c r="A1642" s="103"/>
      <c r="B1642" s="103"/>
      <c r="C1642" s="104" t="e">
        <v>#REF!</v>
      </c>
      <c r="D1642" s="103"/>
      <c r="E1642" s="53"/>
      <c r="F1642" s="53"/>
      <c r="G1642" s="53"/>
      <c r="H1642" s="53"/>
      <c r="I1642" s="53"/>
      <c r="J1642" s="53"/>
      <c r="K1642" s="53"/>
      <c r="L1642" s="53"/>
      <c r="M1642" s="53"/>
      <c r="N1642" s="53"/>
      <c r="O1642" s="53"/>
      <c r="P1642" s="53"/>
      <c r="Q1642" s="53"/>
      <c r="R1642" s="53"/>
      <c r="S1642" s="53"/>
      <c r="T1642" s="53"/>
      <c r="U1642" s="53"/>
      <c r="V1642" s="53"/>
      <c r="W1642" s="53"/>
      <c r="X1642" s="53"/>
      <c r="Y1642" s="53"/>
      <c r="Z1642" s="53"/>
    </row>
    <row r="1643" spans="1:26" ht="15.75" customHeight="1">
      <c r="A1643" s="103"/>
      <c r="B1643" s="103"/>
      <c r="C1643" s="104" t="e">
        <v>#REF!</v>
      </c>
      <c r="D1643" s="103"/>
      <c r="E1643" s="53"/>
      <c r="F1643" s="53"/>
      <c r="G1643" s="53"/>
      <c r="H1643" s="53"/>
      <c r="I1643" s="53"/>
      <c r="J1643" s="53"/>
      <c r="K1643" s="53"/>
      <c r="L1643" s="53"/>
      <c r="M1643" s="53"/>
      <c r="N1643" s="53"/>
      <c r="O1643" s="53"/>
      <c r="P1643" s="53"/>
      <c r="Q1643" s="53"/>
      <c r="R1643" s="53"/>
      <c r="S1643" s="53"/>
      <c r="T1643" s="53"/>
      <c r="U1643" s="53"/>
      <c r="V1643" s="53"/>
      <c r="W1643" s="53"/>
      <c r="X1643" s="53"/>
      <c r="Y1643" s="53"/>
      <c r="Z1643" s="53"/>
    </row>
    <row r="1644" spans="1:26" ht="15.75" customHeight="1">
      <c r="A1644" s="103"/>
      <c r="B1644" s="103"/>
      <c r="C1644" s="104" t="e">
        <v>#REF!</v>
      </c>
      <c r="D1644" s="103"/>
      <c r="E1644" s="53"/>
      <c r="F1644" s="53"/>
      <c r="G1644" s="53"/>
      <c r="H1644" s="53"/>
      <c r="I1644" s="53"/>
      <c r="J1644" s="53"/>
      <c r="K1644" s="53"/>
      <c r="L1644" s="53"/>
      <c r="M1644" s="53"/>
      <c r="N1644" s="53"/>
      <c r="O1644" s="53"/>
      <c r="P1644" s="53"/>
      <c r="Q1644" s="53"/>
      <c r="R1644" s="53"/>
      <c r="S1644" s="53"/>
      <c r="T1644" s="53"/>
      <c r="U1644" s="53"/>
      <c r="V1644" s="53"/>
      <c r="W1644" s="53"/>
      <c r="X1644" s="53"/>
      <c r="Y1644" s="53"/>
      <c r="Z1644" s="53"/>
    </row>
    <row r="1645" spans="1:26" ht="15.75" customHeight="1">
      <c r="A1645" s="103"/>
      <c r="B1645" s="103"/>
      <c r="C1645" s="104" t="e">
        <v>#REF!</v>
      </c>
      <c r="D1645" s="103"/>
      <c r="E1645" s="53"/>
      <c r="F1645" s="53"/>
      <c r="G1645" s="53"/>
      <c r="H1645" s="53"/>
      <c r="I1645" s="53"/>
      <c r="J1645" s="53"/>
      <c r="K1645" s="53"/>
      <c r="L1645" s="53"/>
      <c r="M1645" s="53"/>
      <c r="N1645" s="53"/>
      <c r="O1645" s="53"/>
      <c r="P1645" s="53"/>
      <c r="Q1645" s="53"/>
      <c r="R1645" s="53"/>
      <c r="S1645" s="53"/>
      <c r="T1645" s="53"/>
      <c r="U1645" s="53"/>
      <c r="V1645" s="53"/>
      <c r="W1645" s="53"/>
      <c r="X1645" s="53"/>
      <c r="Y1645" s="53"/>
      <c r="Z1645" s="53"/>
    </row>
    <row r="1646" spans="1:26" ht="15.75" customHeight="1">
      <c r="A1646" s="103"/>
      <c r="B1646" s="103"/>
      <c r="C1646" s="104" t="e">
        <v>#REF!</v>
      </c>
      <c r="D1646" s="103"/>
      <c r="E1646" s="53"/>
      <c r="F1646" s="53"/>
      <c r="G1646" s="53"/>
      <c r="H1646" s="53"/>
      <c r="I1646" s="53"/>
      <c r="J1646" s="53"/>
      <c r="K1646" s="53"/>
      <c r="L1646" s="53"/>
      <c r="M1646" s="53"/>
      <c r="N1646" s="53"/>
      <c r="O1646" s="53"/>
      <c r="P1646" s="53"/>
      <c r="Q1646" s="53"/>
      <c r="R1646" s="53"/>
      <c r="S1646" s="53"/>
      <c r="T1646" s="53"/>
      <c r="U1646" s="53"/>
      <c r="V1646" s="53"/>
      <c r="W1646" s="53"/>
      <c r="X1646" s="53"/>
      <c r="Y1646" s="53"/>
      <c r="Z1646" s="53"/>
    </row>
    <row r="1647" spans="1:26" ht="15.75" customHeight="1">
      <c r="A1647" s="103"/>
      <c r="B1647" s="103"/>
      <c r="C1647" s="104" t="e">
        <v>#REF!</v>
      </c>
      <c r="D1647" s="103"/>
      <c r="E1647" s="53"/>
      <c r="F1647" s="53"/>
      <c r="G1647" s="53"/>
      <c r="H1647" s="53"/>
      <c r="I1647" s="53"/>
      <c r="J1647" s="53"/>
      <c r="K1647" s="53"/>
      <c r="L1647" s="53"/>
      <c r="M1647" s="53"/>
      <c r="N1647" s="53"/>
      <c r="O1647" s="53"/>
      <c r="P1647" s="53"/>
      <c r="Q1647" s="53"/>
      <c r="R1647" s="53"/>
      <c r="S1647" s="53"/>
      <c r="T1647" s="53"/>
      <c r="U1647" s="53"/>
      <c r="V1647" s="53"/>
      <c r="W1647" s="53"/>
      <c r="X1647" s="53"/>
      <c r="Y1647" s="53"/>
      <c r="Z1647" s="53"/>
    </row>
    <row r="1648" spans="1:26" ht="15.75" customHeight="1">
      <c r="A1648" s="103"/>
      <c r="B1648" s="103"/>
      <c r="C1648" s="104" t="e">
        <v>#REF!</v>
      </c>
      <c r="D1648" s="103"/>
      <c r="E1648" s="53"/>
      <c r="F1648" s="53"/>
      <c r="G1648" s="53"/>
      <c r="H1648" s="53"/>
      <c r="I1648" s="53"/>
      <c r="J1648" s="53"/>
      <c r="K1648" s="53"/>
      <c r="L1648" s="53"/>
      <c r="M1648" s="53"/>
      <c r="N1648" s="53"/>
      <c r="O1648" s="53"/>
      <c r="P1648" s="53"/>
      <c r="Q1648" s="53"/>
      <c r="R1648" s="53"/>
      <c r="S1648" s="53"/>
      <c r="T1648" s="53"/>
      <c r="U1648" s="53"/>
      <c r="V1648" s="53"/>
      <c r="W1648" s="53"/>
      <c r="X1648" s="53"/>
      <c r="Y1648" s="53"/>
      <c r="Z1648" s="53"/>
    </row>
    <row r="1649" spans="1:26" ht="15.75" customHeight="1">
      <c r="A1649" s="103"/>
      <c r="B1649" s="103"/>
      <c r="C1649" s="104" t="e">
        <v>#REF!</v>
      </c>
      <c r="D1649" s="103"/>
      <c r="E1649" s="53"/>
      <c r="F1649" s="53"/>
      <c r="G1649" s="53"/>
      <c r="H1649" s="53"/>
      <c r="I1649" s="53"/>
      <c r="J1649" s="53"/>
      <c r="K1649" s="53"/>
      <c r="L1649" s="53"/>
      <c r="M1649" s="53"/>
      <c r="N1649" s="53"/>
      <c r="O1649" s="53"/>
      <c r="P1649" s="53"/>
      <c r="Q1649" s="53"/>
      <c r="R1649" s="53"/>
      <c r="S1649" s="53"/>
      <c r="T1649" s="53"/>
      <c r="U1649" s="53"/>
      <c r="V1649" s="53"/>
      <c r="W1649" s="53"/>
      <c r="X1649" s="53"/>
      <c r="Y1649" s="53"/>
      <c r="Z1649" s="53"/>
    </row>
    <row r="1650" spans="1:26" ht="15.75" customHeight="1">
      <c r="A1650" s="103"/>
      <c r="B1650" s="103"/>
      <c r="C1650" s="104" t="e">
        <v>#REF!</v>
      </c>
      <c r="D1650" s="103"/>
      <c r="E1650" s="53"/>
      <c r="F1650" s="53"/>
      <c r="G1650" s="53"/>
      <c r="H1650" s="53"/>
      <c r="I1650" s="53"/>
      <c r="J1650" s="53"/>
      <c r="K1650" s="53"/>
      <c r="L1650" s="53"/>
      <c r="M1650" s="53"/>
      <c r="N1650" s="53"/>
      <c r="O1650" s="53"/>
      <c r="P1650" s="53"/>
      <c r="Q1650" s="53"/>
      <c r="R1650" s="53"/>
      <c r="S1650" s="53"/>
      <c r="T1650" s="53"/>
      <c r="U1650" s="53"/>
      <c r="V1650" s="53"/>
      <c r="W1650" s="53"/>
      <c r="X1650" s="53"/>
      <c r="Y1650" s="53"/>
      <c r="Z1650" s="53"/>
    </row>
    <row r="1651" spans="1:26" ht="15.75" customHeight="1">
      <c r="A1651" s="103"/>
      <c r="B1651" s="103"/>
      <c r="C1651" s="104" t="e">
        <v>#REF!</v>
      </c>
      <c r="D1651" s="103"/>
      <c r="E1651" s="53"/>
      <c r="F1651" s="53"/>
      <c r="G1651" s="53"/>
      <c r="H1651" s="53"/>
      <c r="I1651" s="53"/>
      <c r="J1651" s="53"/>
      <c r="K1651" s="53"/>
      <c r="L1651" s="53"/>
      <c r="M1651" s="53"/>
      <c r="N1651" s="53"/>
      <c r="O1651" s="53"/>
      <c r="P1651" s="53"/>
      <c r="Q1651" s="53"/>
      <c r="R1651" s="53"/>
      <c r="S1651" s="53"/>
      <c r="T1651" s="53"/>
      <c r="U1651" s="53"/>
      <c r="V1651" s="53"/>
      <c r="W1651" s="53"/>
      <c r="X1651" s="53"/>
      <c r="Y1651" s="53"/>
      <c r="Z1651" s="53"/>
    </row>
    <row r="1652" spans="1:26" ht="15.75" customHeight="1">
      <c r="A1652" s="103"/>
      <c r="B1652" s="103"/>
      <c r="C1652" s="104" t="e">
        <v>#REF!</v>
      </c>
      <c r="D1652" s="103"/>
      <c r="E1652" s="53"/>
      <c r="F1652" s="53"/>
      <c r="G1652" s="53"/>
      <c r="H1652" s="53"/>
      <c r="I1652" s="53"/>
      <c r="J1652" s="53"/>
      <c r="K1652" s="53"/>
      <c r="L1652" s="53"/>
      <c r="M1652" s="53"/>
      <c r="N1652" s="53"/>
      <c r="O1652" s="53"/>
      <c r="P1652" s="53"/>
      <c r="Q1652" s="53"/>
      <c r="R1652" s="53"/>
      <c r="S1652" s="53"/>
      <c r="T1652" s="53"/>
      <c r="U1652" s="53"/>
      <c r="V1652" s="53"/>
      <c r="W1652" s="53"/>
      <c r="X1652" s="53"/>
      <c r="Y1652" s="53"/>
      <c r="Z1652" s="53"/>
    </row>
    <row r="1653" spans="1:26" ht="15.75" customHeight="1">
      <c r="A1653" s="103"/>
      <c r="B1653" s="103"/>
      <c r="C1653" s="104" t="e">
        <v>#REF!</v>
      </c>
      <c r="D1653" s="103"/>
      <c r="E1653" s="53"/>
      <c r="F1653" s="53"/>
      <c r="G1653" s="53"/>
      <c r="H1653" s="53"/>
      <c r="I1653" s="53"/>
      <c r="J1653" s="53"/>
      <c r="K1653" s="53"/>
      <c r="L1653" s="53"/>
      <c r="M1653" s="53"/>
      <c r="N1653" s="53"/>
      <c r="O1653" s="53"/>
      <c r="P1653" s="53"/>
      <c r="Q1653" s="53"/>
      <c r="R1653" s="53"/>
      <c r="S1653" s="53"/>
      <c r="T1653" s="53"/>
      <c r="U1653" s="53"/>
      <c r="V1653" s="53"/>
      <c r="W1653" s="53"/>
      <c r="X1653" s="53"/>
      <c r="Y1653" s="53"/>
      <c r="Z1653" s="53"/>
    </row>
    <row r="1654" spans="1:26" ht="15.75" customHeight="1">
      <c r="A1654" s="103"/>
      <c r="B1654" s="103"/>
      <c r="C1654" s="104" t="e">
        <v>#REF!</v>
      </c>
      <c r="D1654" s="103"/>
      <c r="E1654" s="53"/>
      <c r="F1654" s="53"/>
      <c r="G1654" s="53"/>
      <c r="H1654" s="53"/>
      <c r="I1654" s="53"/>
      <c r="J1654" s="53"/>
      <c r="K1654" s="53"/>
      <c r="L1654" s="53"/>
      <c r="M1654" s="53"/>
      <c r="N1654" s="53"/>
      <c r="O1654" s="53"/>
      <c r="P1654" s="53"/>
      <c r="Q1654" s="53"/>
      <c r="R1654" s="53"/>
      <c r="S1654" s="53"/>
      <c r="T1654" s="53"/>
      <c r="U1654" s="53"/>
      <c r="V1654" s="53"/>
      <c r="W1654" s="53"/>
      <c r="X1654" s="53"/>
      <c r="Y1654" s="53"/>
      <c r="Z1654" s="53"/>
    </row>
    <row r="1655" spans="1:26" ht="15.75" customHeight="1">
      <c r="A1655" s="103"/>
      <c r="B1655" s="103"/>
      <c r="C1655" s="104" t="e">
        <v>#REF!</v>
      </c>
      <c r="D1655" s="103"/>
      <c r="E1655" s="53"/>
      <c r="F1655" s="53"/>
      <c r="G1655" s="53"/>
      <c r="H1655" s="53"/>
      <c r="I1655" s="53"/>
      <c r="J1655" s="53"/>
      <c r="K1655" s="53"/>
      <c r="L1655" s="53"/>
      <c r="M1655" s="53"/>
      <c r="N1655" s="53"/>
      <c r="O1655" s="53"/>
      <c r="P1655" s="53"/>
      <c r="Q1655" s="53"/>
      <c r="R1655" s="53"/>
      <c r="S1655" s="53"/>
      <c r="T1655" s="53"/>
      <c r="U1655" s="53"/>
      <c r="V1655" s="53"/>
      <c r="W1655" s="53"/>
      <c r="X1655" s="53"/>
      <c r="Y1655" s="53"/>
      <c r="Z1655" s="53"/>
    </row>
    <row r="1656" spans="1:26" ht="15.75" customHeight="1">
      <c r="A1656" s="103"/>
      <c r="B1656" s="103"/>
      <c r="C1656" s="104" t="e">
        <v>#REF!</v>
      </c>
      <c r="D1656" s="103"/>
      <c r="E1656" s="53"/>
      <c r="F1656" s="53"/>
      <c r="G1656" s="53"/>
      <c r="H1656" s="53"/>
      <c r="I1656" s="53"/>
      <c r="J1656" s="53"/>
      <c r="K1656" s="53"/>
      <c r="L1656" s="53"/>
      <c r="M1656" s="53"/>
      <c r="N1656" s="53"/>
      <c r="O1656" s="53"/>
      <c r="P1656" s="53"/>
      <c r="Q1656" s="53"/>
      <c r="R1656" s="53"/>
      <c r="S1656" s="53"/>
      <c r="T1656" s="53"/>
      <c r="U1656" s="53"/>
      <c r="V1656" s="53"/>
      <c r="W1656" s="53"/>
      <c r="X1656" s="53"/>
      <c r="Y1656" s="53"/>
      <c r="Z1656" s="53"/>
    </row>
    <row r="1657" spans="1:26" ht="15.75" customHeight="1">
      <c r="A1657" s="103"/>
      <c r="B1657" s="103"/>
      <c r="C1657" s="104" t="e">
        <v>#REF!</v>
      </c>
      <c r="D1657" s="103"/>
      <c r="E1657" s="53"/>
      <c r="F1657" s="53"/>
      <c r="G1657" s="53"/>
      <c r="H1657" s="53"/>
      <c r="I1657" s="53"/>
      <c r="J1657" s="53"/>
      <c r="K1657" s="53"/>
      <c r="L1657" s="53"/>
      <c r="M1657" s="53"/>
      <c r="N1657" s="53"/>
      <c r="O1657" s="53"/>
      <c r="P1657" s="53"/>
      <c r="Q1657" s="53"/>
      <c r="R1657" s="53"/>
      <c r="S1657" s="53"/>
      <c r="T1657" s="53"/>
      <c r="U1657" s="53"/>
      <c r="V1657" s="53"/>
      <c r="W1657" s="53"/>
      <c r="X1657" s="53"/>
      <c r="Y1657" s="53"/>
      <c r="Z1657" s="53"/>
    </row>
    <row r="1658" spans="1:26" ht="15.75" customHeight="1">
      <c r="A1658" s="103"/>
      <c r="B1658" s="103"/>
      <c r="C1658" s="104" t="e">
        <v>#REF!</v>
      </c>
      <c r="D1658" s="103"/>
      <c r="E1658" s="53"/>
      <c r="F1658" s="53"/>
      <c r="G1658" s="53"/>
      <c r="H1658" s="53"/>
      <c r="I1658" s="53"/>
      <c r="J1658" s="53"/>
      <c r="K1658" s="53"/>
      <c r="L1658" s="53"/>
      <c r="M1658" s="53"/>
      <c r="N1658" s="53"/>
      <c r="O1658" s="53"/>
      <c r="P1658" s="53"/>
      <c r="Q1658" s="53"/>
      <c r="R1658" s="53"/>
      <c r="S1658" s="53"/>
      <c r="T1658" s="53"/>
      <c r="U1658" s="53"/>
      <c r="V1658" s="53"/>
      <c r="W1658" s="53"/>
      <c r="X1658" s="53"/>
      <c r="Y1658" s="53"/>
      <c r="Z1658" s="53"/>
    </row>
    <row r="1659" spans="1:26" ht="15.75" customHeight="1">
      <c r="A1659" s="103"/>
      <c r="B1659" s="103"/>
      <c r="C1659" s="104" t="e">
        <v>#REF!</v>
      </c>
      <c r="D1659" s="103"/>
      <c r="E1659" s="53"/>
      <c r="F1659" s="53"/>
      <c r="G1659" s="53"/>
      <c r="H1659" s="53"/>
      <c r="I1659" s="53"/>
      <c r="J1659" s="53"/>
      <c r="K1659" s="53"/>
      <c r="L1659" s="53"/>
      <c r="M1659" s="53"/>
      <c r="N1659" s="53"/>
      <c r="O1659" s="53"/>
      <c r="P1659" s="53"/>
      <c r="Q1659" s="53"/>
      <c r="R1659" s="53"/>
      <c r="S1659" s="53"/>
      <c r="T1659" s="53"/>
      <c r="U1659" s="53"/>
      <c r="V1659" s="53"/>
      <c r="W1659" s="53"/>
      <c r="X1659" s="53"/>
      <c r="Y1659" s="53"/>
      <c r="Z1659" s="53"/>
    </row>
    <row r="1660" spans="1:26" ht="15.75" customHeight="1">
      <c r="A1660" s="103"/>
      <c r="B1660" s="103"/>
      <c r="C1660" s="104" t="e">
        <v>#REF!</v>
      </c>
      <c r="D1660" s="103"/>
      <c r="E1660" s="53"/>
      <c r="F1660" s="53"/>
      <c r="G1660" s="53"/>
      <c r="H1660" s="53"/>
      <c r="I1660" s="53"/>
      <c r="J1660" s="53"/>
      <c r="K1660" s="53"/>
      <c r="L1660" s="53"/>
      <c r="M1660" s="53"/>
      <c r="N1660" s="53"/>
      <c r="O1660" s="53"/>
      <c r="P1660" s="53"/>
      <c r="Q1660" s="53"/>
      <c r="R1660" s="53"/>
      <c r="S1660" s="53"/>
      <c r="T1660" s="53"/>
      <c r="U1660" s="53"/>
      <c r="V1660" s="53"/>
      <c r="W1660" s="53"/>
      <c r="X1660" s="53"/>
      <c r="Y1660" s="53"/>
      <c r="Z1660" s="53"/>
    </row>
    <row r="1661" spans="1:26" ht="15.75" customHeight="1">
      <c r="A1661" s="103"/>
      <c r="B1661" s="103"/>
      <c r="C1661" s="104" t="e">
        <v>#REF!</v>
      </c>
      <c r="D1661" s="103"/>
      <c r="E1661" s="53"/>
      <c r="F1661" s="53"/>
      <c r="G1661" s="53"/>
      <c r="H1661" s="53"/>
      <c r="I1661" s="53"/>
      <c r="J1661" s="53"/>
      <c r="K1661" s="53"/>
      <c r="L1661" s="53"/>
      <c r="M1661" s="53"/>
      <c r="N1661" s="53"/>
      <c r="O1661" s="53"/>
      <c r="P1661" s="53"/>
      <c r="Q1661" s="53"/>
      <c r="R1661" s="53"/>
      <c r="S1661" s="53"/>
      <c r="T1661" s="53"/>
      <c r="U1661" s="53"/>
      <c r="V1661" s="53"/>
      <c r="W1661" s="53"/>
      <c r="X1661" s="53"/>
      <c r="Y1661" s="53"/>
      <c r="Z1661" s="53"/>
    </row>
    <row r="1662" spans="1:26" ht="15.75" customHeight="1">
      <c r="A1662" s="103"/>
      <c r="B1662" s="103"/>
      <c r="C1662" s="104" t="e">
        <v>#REF!</v>
      </c>
      <c r="D1662" s="103"/>
      <c r="E1662" s="53"/>
      <c r="F1662" s="53"/>
      <c r="G1662" s="53"/>
      <c r="H1662" s="53"/>
      <c r="I1662" s="53"/>
      <c r="J1662" s="53"/>
      <c r="K1662" s="53"/>
      <c r="L1662" s="53"/>
      <c r="M1662" s="53"/>
      <c r="N1662" s="53"/>
      <c r="O1662" s="53"/>
      <c r="P1662" s="53"/>
      <c r="Q1662" s="53"/>
      <c r="R1662" s="53"/>
      <c r="S1662" s="53"/>
      <c r="T1662" s="53"/>
      <c r="U1662" s="53"/>
      <c r="V1662" s="53"/>
      <c r="W1662" s="53"/>
      <c r="X1662" s="53"/>
      <c r="Y1662" s="53"/>
      <c r="Z1662" s="53"/>
    </row>
    <row r="1663" spans="1:26" ht="15.75" customHeight="1">
      <c r="A1663" s="103"/>
      <c r="B1663" s="103"/>
      <c r="C1663" s="104" t="e">
        <v>#REF!</v>
      </c>
      <c r="D1663" s="103"/>
      <c r="E1663" s="53"/>
      <c r="F1663" s="53"/>
      <c r="G1663" s="53"/>
      <c r="H1663" s="53"/>
      <c r="I1663" s="53"/>
      <c r="J1663" s="53"/>
      <c r="K1663" s="53"/>
      <c r="L1663" s="53"/>
      <c r="M1663" s="53"/>
      <c r="N1663" s="53"/>
      <c r="O1663" s="53"/>
      <c r="P1663" s="53"/>
      <c r="Q1663" s="53"/>
      <c r="R1663" s="53"/>
      <c r="S1663" s="53"/>
      <c r="T1663" s="53"/>
      <c r="U1663" s="53"/>
      <c r="V1663" s="53"/>
      <c r="W1663" s="53"/>
      <c r="X1663" s="53"/>
      <c r="Y1663" s="53"/>
      <c r="Z1663" s="53"/>
    </row>
    <row r="1664" spans="1:26" ht="15.75" customHeight="1">
      <c r="A1664" s="103"/>
      <c r="B1664" s="103"/>
      <c r="C1664" s="104" t="e">
        <v>#REF!</v>
      </c>
      <c r="D1664" s="103"/>
      <c r="E1664" s="53"/>
      <c r="F1664" s="53"/>
      <c r="G1664" s="53"/>
      <c r="H1664" s="53"/>
      <c r="I1664" s="53"/>
      <c r="J1664" s="53"/>
      <c r="K1664" s="53"/>
      <c r="L1664" s="53"/>
      <c r="M1664" s="53"/>
      <c r="N1664" s="53"/>
      <c r="O1664" s="53"/>
      <c r="P1664" s="53"/>
      <c r="Q1664" s="53"/>
      <c r="R1664" s="53"/>
      <c r="S1664" s="53"/>
      <c r="T1664" s="53"/>
      <c r="U1664" s="53"/>
      <c r="V1664" s="53"/>
      <c r="W1664" s="53"/>
      <c r="X1664" s="53"/>
      <c r="Y1664" s="53"/>
      <c r="Z1664" s="53"/>
    </row>
    <row r="1665" spans="1:26" ht="15.75" customHeight="1">
      <c r="A1665" s="103"/>
      <c r="B1665" s="103"/>
      <c r="C1665" s="104" t="e">
        <v>#REF!</v>
      </c>
      <c r="D1665" s="103"/>
      <c r="E1665" s="53"/>
      <c r="F1665" s="53"/>
      <c r="G1665" s="53"/>
      <c r="H1665" s="53"/>
      <c r="I1665" s="53"/>
      <c r="J1665" s="53"/>
      <c r="K1665" s="53"/>
      <c r="L1665" s="53"/>
      <c r="M1665" s="53"/>
      <c r="N1665" s="53"/>
      <c r="O1665" s="53"/>
      <c r="P1665" s="53"/>
      <c r="Q1665" s="53"/>
      <c r="R1665" s="53"/>
      <c r="S1665" s="53"/>
      <c r="T1665" s="53"/>
      <c r="U1665" s="53"/>
      <c r="V1665" s="53"/>
      <c r="W1665" s="53"/>
      <c r="X1665" s="53"/>
      <c r="Y1665" s="53"/>
      <c r="Z1665" s="53"/>
    </row>
    <row r="1666" spans="1:26" ht="15.75" customHeight="1">
      <c r="A1666" s="103"/>
      <c r="B1666" s="103"/>
      <c r="C1666" s="104" t="e">
        <v>#REF!</v>
      </c>
      <c r="D1666" s="103"/>
      <c r="E1666" s="53"/>
      <c r="F1666" s="53"/>
      <c r="G1666" s="53"/>
      <c r="H1666" s="53"/>
      <c r="I1666" s="53"/>
      <c r="J1666" s="53"/>
      <c r="K1666" s="53"/>
      <c r="L1666" s="53"/>
      <c r="M1666" s="53"/>
      <c r="N1666" s="53"/>
      <c r="O1666" s="53"/>
      <c r="P1666" s="53"/>
      <c r="Q1666" s="53"/>
      <c r="R1666" s="53"/>
      <c r="S1666" s="53"/>
      <c r="T1666" s="53"/>
      <c r="U1666" s="53"/>
      <c r="V1666" s="53"/>
      <c r="W1666" s="53"/>
      <c r="X1666" s="53"/>
      <c r="Y1666" s="53"/>
      <c r="Z1666" s="53"/>
    </row>
    <row r="1667" spans="1:26" ht="15.75" customHeight="1">
      <c r="A1667" s="103"/>
      <c r="B1667" s="103"/>
      <c r="C1667" s="104" t="e">
        <v>#REF!</v>
      </c>
      <c r="D1667" s="103"/>
      <c r="E1667" s="53"/>
      <c r="F1667" s="53"/>
      <c r="G1667" s="53"/>
      <c r="H1667" s="53"/>
      <c r="I1667" s="53"/>
      <c r="J1667" s="53"/>
      <c r="K1667" s="53"/>
      <c r="L1667" s="53"/>
      <c r="M1667" s="53"/>
      <c r="N1667" s="53"/>
      <c r="O1667" s="53"/>
      <c r="P1667" s="53"/>
      <c r="Q1667" s="53"/>
      <c r="R1667" s="53"/>
      <c r="S1667" s="53"/>
      <c r="T1667" s="53"/>
      <c r="U1667" s="53"/>
      <c r="V1667" s="53"/>
      <c r="W1667" s="53"/>
      <c r="X1667" s="53"/>
      <c r="Y1667" s="53"/>
      <c r="Z1667" s="53"/>
    </row>
    <row r="1668" spans="1:26" ht="15.75" customHeight="1">
      <c r="A1668" s="103"/>
      <c r="B1668" s="103"/>
      <c r="C1668" s="104" t="e">
        <v>#REF!</v>
      </c>
      <c r="D1668" s="103"/>
      <c r="E1668" s="53"/>
      <c r="F1668" s="53"/>
      <c r="G1668" s="53"/>
      <c r="H1668" s="53"/>
      <c r="I1668" s="53"/>
      <c r="J1668" s="53"/>
      <c r="K1668" s="53"/>
      <c r="L1668" s="53"/>
      <c r="M1668" s="53"/>
      <c r="N1668" s="53"/>
      <c r="O1668" s="53"/>
      <c r="P1668" s="53"/>
      <c r="Q1668" s="53"/>
      <c r="R1668" s="53"/>
      <c r="S1668" s="53"/>
      <c r="T1668" s="53"/>
      <c r="U1668" s="53"/>
      <c r="V1668" s="53"/>
      <c r="W1668" s="53"/>
      <c r="X1668" s="53"/>
      <c r="Y1668" s="53"/>
      <c r="Z1668" s="53"/>
    </row>
    <row r="1669" spans="1:26" ht="15.75" customHeight="1">
      <c r="A1669" s="103"/>
      <c r="B1669" s="103"/>
      <c r="C1669" s="104" t="e">
        <v>#REF!</v>
      </c>
      <c r="D1669" s="103"/>
      <c r="E1669" s="53"/>
      <c r="F1669" s="53"/>
      <c r="G1669" s="53"/>
      <c r="H1669" s="53"/>
      <c r="I1669" s="53"/>
      <c r="J1669" s="53"/>
      <c r="K1669" s="53"/>
      <c r="L1669" s="53"/>
      <c r="M1669" s="53"/>
      <c r="N1669" s="53"/>
      <c r="O1669" s="53"/>
      <c r="P1669" s="53"/>
      <c r="Q1669" s="53"/>
      <c r="R1669" s="53"/>
      <c r="S1669" s="53"/>
      <c r="T1669" s="53"/>
      <c r="U1669" s="53"/>
      <c r="V1669" s="53"/>
      <c r="W1669" s="53"/>
      <c r="X1669" s="53"/>
      <c r="Y1669" s="53"/>
      <c r="Z1669" s="53"/>
    </row>
    <row r="1670" spans="1:26" ht="15.75" customHeight="1">
      <c r="A1670" s="103"/>
      <c r="B1670" s="103"/>
      <c r="C1670" s="104" t="e">
        <v>#REF!</v>
      </c>
      <c r="D1670" s="103"/>
      <c r="E1670" s="53"/>
      <c r="F1670" s="53"/>
      <c r="G1670" s="53"/>
      <c r="H1670" s="53"/>
      <c r="I1670" s="53"/>
      <c r="J1670" s="53"/>
      <c r="K1670" s="53"/>
      <c r="L1670" s="53"/>
      <c r="M1670" s="53"/>
      <c r="N1670" s="53"/>
      <c r="O1670" s="53"/>
      <c r="P1670" s="53"/>
      <c r="Q1670" s="53"/>
      <c r="R1670" s="53"/>
      <c r="S1670" s="53"/>
      <c r="T1670" s="53"/>
      <c r="U1670" s="53"/>
      <c r="V1670" s="53"/>
      <c r="W1670" s="53"/>
      <c r="X1670" s="53"/>
      <c r="Y1670" s="53"/>
      <c r="Z1670" s="53"/>
    </row>
    <row r="1671" spans="1:26" ht="15.75" customHeight="1">
      <c r="A1671" s="103"/>
      <c r="B1671" s="103"/>
      <c r="C1671" s="104" t="e">
        <v>#REF!</v>
      </c>
      <c r="D1671" s="103"/>
      <c r="E1671" s="53"/>
      <c r="F1671" s="53"/>
      <c r="G1671" s="53"/>
      <c r="H1671" s="53"/>
      <c r="I1671" s="53"/>
      <c r="J1671" s="53"/>
      <c r="K1671" s="53"/>
      <c r="L1671" s="53"/>
      <c r="M1671" s="53"/>
      <c r="N1671" s="53"/>
      <c r="O1671" s="53"/>
      <c r="P1671" s="53"/>
      <c r="Q1671" s="53"/>
      <c r="R1671" s="53"/>
      <c r="S1671" s="53"/>
      <c r="T1671" s="53"/>
      <c r="U1671" s="53"/>
      <c r="V1671" s="53"/>
      <c r="W1671" s="53"/>
      <c r="X1671" s="53"/>
      <c r="Y1671" s="53"/>
      <c r="Z1671" s="53"/>
    </row>
    <row r="1672" spans="1:26" ht="15.75" customHeight="1">
      <c r="A1672" s="103"/>
      <c r="B1672" s="103"/>
      <c r="C1672" s="104" t="e">
        <v>#REF!</v>
      </c>
      <c r="D1672" s="103"/>
      <c r="E1672" s="53"/>
      <c r="F1672" s="53"/>
      <c r="G1672" s="53"/>
      <c r="H1672" s="53"/>
      <c r="I1672" s="53"/>
      <c r="J1672" s="53"/>
      <c r="K1672" s="53"/>
      <c r="L1672" s="53"/>
      <c r="M1672" s="53"/>
      <c r="N1672" s="53"/>
      <c r="O1672" s="53"/>
      <c r="P1672" s="53"/>
      <c r="Q1672" s="53"/>
      <c r="R1672" s="53"/>
      <c r="S1672" s="53"/>
      <c r="T1672" s="53"/>
      <c r="U1672" s="53"/>
      <c r="V1672" s="53"/>
      <c r="W1672" s="53"/>
      <c r="X1672" s="53"/>
      <c r="Y1672" s="53"/>
      <c r="Z1672" s="53"/>
    </row>
    <row r="1673" spans="1:26" ht="15.75" customHeight="1">
      <c r="A1673" s="103"/>
      <c r="B1673" s="103"/>
      <c r="C1673" s="104" t="e">
        <v>#REF!</v>
      </c>
      <c r="D1673" s="103"/>
      <c r="E1673" s="53"/>
      <c r="F1673" s="53"/>
      <c r="G1673" s="53"/>
      <c r="H1673" s="53"/>
      <c r="I1673" s="53"/>
      <c r="J1673" s="53"/>
      <c r="K1673" s="53"/>
      <c r="L1673" s="53"/>
      <c r="M1673" s="53"/>
      <c r="N1673" s="53"/>
      <c r="O1673" s="53"/>
      <c r="P1673" s="53"/>
      <c r="Q1673" s="53"/>
      <c r="R1673" s="53"/>
      <c r="S1673" s="53"/>
      <c r="T1673" s="53"/>
      <c r="U1673" s="53"/>
      <c r="V1673" s="53"/>
      <c r="W1673" s="53"/>
      <c r="X1673" s="53"/>
      <c r="Y1673" s="53"/>
      <c r="Z1673" s="53"/>
    </row>
    <row r="1674" spans="1:26" ht="15.75" customHeight="1">
      <c r="A1674" s="103"/>
      <c r="B1674" s="103"/>
      <c r="C1674" s="104" t="e">
        <v>#REF!</v>
      </c>
      <c r="D1674" s="103"/>
      <c r="E1674" s="53"/>
      <c r="F1674" s="53"/>
      <c r="G1674" s="53"/>
      <c r="H1674" s="53"/>
      <c r="I1674" s="53"/>
      <c r="J1674" s="53"/>
      <c r="K1674" s="53"/>
      <c r="L1674" s="53"/>
      <c r="M1674" s="53"/>
      <c r="N1674" s="53"/>
      <c r="O1674" s="53"/>
      <c r="P1674" s="53"/>
      <c r="Q1674" s="53"/>
      <c r="R1674" s="53"/>
      <c r="S1674" s="53"/>
      <c r="T1674" s="53"/>
      <c r="U1674" s="53"/>
      <c r="V1674" s="53"/>
      <c r="W1674" s="53"/>
      <c r="X1674" s="53"/>
      <c r="Y1674" s="53"/>
      <c r="Z1674" s="53"/>
    </row>
    <row r="1675" spans="1:26" ht="15.75" customHeight="1">
      <c r="A1675" s="103"/>
      <c r="B1675" s="103"/>
      <c r="C1675" s="104" t="e">
        <v>#REF!</v>
      </c>
      <c r="D1675" s="103"/>
      <c r="E1675" s="53"/>
      <c r="F1675" s="53"/>
      <c r="G1675" s="53"/>
      <c r="H1675" s="53"/>
      <c r="I1675" s="53"/>
      <c r="J1675" s="53"/>
      <c r="K1675" s="53"/>
      <c r="L1675" s="53"/>
      <c r="M1675" s="53"/>
      <c r="N1675" s="53"/>
      <c r="O1675" s="53"/>
      <c r="P1675" s="53"/>
      <c r="Q1675" s="53"/>
      <c r="R1675" s="53"/>
      <c r="S1675" s="53"/>
      <c r="T1675" s="53"/>
      <c r="U1675" s="53"/>
      <c r="V1675" s="53"/>
      <c r="W1675" s="53"/>
      <c r="X1675" s="53"/>
      <c r="Y1675" s="53"/>
      <c r="Z1675" s="53"/>
    </row>
    <row r="1676" spans="1:26" ht="15.75" customHeight="1">
      <c r="A1676" s="103"/>
      <c r="B1676" s="103"/>
      <c r="C1676" s="104" t="e">
        <v>#REF!</v>
      </c>
      <c r="D1676" s="103"/>
      <c r="E1676" s="53"/>
      <c r="F1676" s="53"/>
      <c r="G1676" s="53"/>
      <c r="H1676" s="53"/>
      <c r="I1676" s="53"/>
      <c r="J1676" s="53"/>
      <c r="K1676" s="53"/>
      <c r="L1676" s="53"/>
      <c r="M1676" s="53"/>
      <c r="N1676" s="53"/>
      <c r="O1676" s="53"/>
      <c r="P1676" s="53"/>
      <c r="Q1676" s="53"/>
      <c r="R1676" s="53"/>
      <c r="S1676" s="53"/>
      <c r="T1676" s="53"/>
      <c r="U1676" s="53"/>
      <c r="V1676" s="53"/>
      <c r="W1676" s="53"/>
      <c r="X1676" s="53"/>
      <c r="Y1676" s="53"/>
      <c r="Z1676" s="53"/>
    </row>
    <row r="1677" spans="1:26" ht="15.75" customHeight="1">
      <c r="A1677" s="103"/>
      <c r="B1677" s="103"/>
      <c r="C1677" s="104" t="e">
        <v>#REF!</v>
      </c>
      <c r="D1677" s="103"/>
      <c r="E1677" s="53"/>
      <c r="F1677" s="53"/>
      <c r="G1677" s="53"/>
      <c r="H1677" s="53"/>
      <c r="I1677" s="53"/>
      <c r="J1677" s="53"/>
      <c r="K1677" s="53"/>
      <c r="L1677" s="53"/>
      <c r="M1677" s="53"/>
      <c r="N1677" s="53"/>
      <c r="O1677" s="53"/>
      <c r="P1677" s="53"/>
      <c r="Q1677" s="53"/>
      <c r="R1677" s="53"/>
      <c r="S1677" s="53"/>
      <c r="T1677" s="53"/>
      <c r="U1677" s="53"/>
      <c r="V1677" s="53"/>
      <c r="W1677" s="53"/>
      <c r="X1677" s="53"/>
      <c r="Y1677" s="53"/>
      <c r="Z1677" s="53"/>
    </row>
    <row r="1678" spans="1:26" ht="15.75" customHeight="1">
      <c r="A1678" s="103"/>
      <c r="B1678" s="103"/>
      <c r="C1678" s="104" t="e">
        <v>#REF!</v>
      </c>
      <c r="D1678" s="103"/>
      <c r="E1678" s="53"/>
      <c r="F1678" s="53"/>
      <c r="G1678" s="53"/>
      <c r="H1678" s="53"/>
      <c r="I1678" s="53"/>
      <c r="J1678" s="53"/>
      <c r="K1678" s="53"/>
      <c r="L1678" s="53"/>
      <c r="M1678" s="53"/>
      <c r="N1678" s="53"/>
      <c r="O1678" s="53"/>
      <c r="P1678" s="53"/>
      <c r="Q1678" s="53"/>
      <c r="R1678" s="53"/>
      <c r="S1678" s="53"/>
      <c r="T1678" s="53"/>
      <c r="U1678" s="53"/>
      <c r="V1678" s="53"/>
      <c r="W1678" s="53"/>
      <c r="X1678" s="53"/>
      <c r="Y1678" s="53"/>
      <c r="Z1678" s="53"/>
    </row>
    <row r="1679" spans="1:26" ht="15.75" customHeight="1">
      <c r="A1679" s="103"/>
      <c r="B1679" s="103"/>
      <c r="C1679" s="104" t="e">
        <v>#REF!</v>
      </c>
      <c r="D1679" s="10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</row>
    <row r="1680" spans="1:26" ht="15.75" customHeight="1">
      <c r="A1680" s="103"/>
      <c r="B1680" s="103"/>
      <c r="C1680" s="104" t="e">
        <v>#REF!</v>
      </c>
      <c r="D1680" s="103"/>
      <c r="E1680" s="53"/>
      <c r="F1680" s="53"/>
      <c r="G1680" s="53"/>
      <c r="H1680" s="53"/>
      <c r="I1680" s="53"/>
      <c r="J1680" s="53"/>
      <c r="K1680" s="53"/>
      <c r="L1680" s="53"/>
      <c r="M1680" s="53"/>
      <c r="N1680" s="53"/>
      <c r="O1680" s="53"/>
      <c r="P1680" s="53"/>
      <c r="Q1680" s="53"/>
      <c r="R1680" s="53"/>
      <c r="S1680" s="53"/>
      <c r="T1680" s="53"/>
      <c r="U1680" s="53"/>
      <c r="V1680" s="53"/>
      <c r="W1680" s="53"/>
      <c r="X1680" s="53"/>
      <c r="Y1680" s="53"/>
      <c r="Z1680" s="53"/>
    </row>
    <row r="1681" spans="1:26" ht="15.75" customHeight="1">
      <c r="A1681" s="103"/>
      <c r="B1681" s="103"/>
      <c r="C1681" s="104" t="e">
        <v>#REF!</v>
      </c>
      <c r="D1681" s="103"/>
      <c r="E1681" s="53"/>
      <c r="F1681" s="53"/>
      <c r="G1681" s="53"/>
      <c r="H1681" s="53"/>
      <c r="I1681" s="53"/>
      <c r="J1681" s="53"/>
      <c r="K1681" s="53"/>
      <c r="L1681" s="53"/>
      <c r="M1681" s="53"/>
      <c r="N1681" s="53"/>
      <c r="O1681" s="53"/>
      <c r="P1681" s="53"/>
      <c r="Q1681" s="53"/>
      <c r="R1681" s="53"/>
      <c r="S1681" s="53"/>
      <c r="T1681" s="53"/>
      <c r="U1681" s="53"/>
      <c r="V1681" s="53"/>
      <c r="W1681" s="53"/>
      <c r="X1681" s="53"/>
      <c r="Y1681" s="53"/>
      <c r="Z1681" s="53"/>
    </row>
    <row r="1682" spans="1:26" ht="15.75" customHeight="1">
      <c r="A1682" s="103"/>
      <c r="B1682" s="103"/>
      <c r="C1682" s="104" t="e">
        <v>#REF!</v>
      </c>
      <c r="D1682" s="103"/>
      <c r="E1682" s="53"/>
      <c r="F1682" s="53"/>
      <c r="G1682" s="53"/>
      <c r="H1682" s="53"/>
      <c r="I1682" s="53"/>
      <c r="J1682" s="53"/>
      <c r="K1682" s="53"/>
      <c r="L1682" s="53"/>
      <c r="M1682" s="53"/>
      <c r="N1682" s="53"/>
      <c r="O1682" s="53"/>
      <c r="P1682" s="53"/>
      <c r="Q1682" s="53"/>
      <c r="R1682" s="53"/>
      <c r="S1682" s="53"/>
      <c r="T1682" s="53"/>
      <c r="U1682" s="53"/>
      <c r="V1682" s="53"/>
      <c r="W1682" s="53"/>
      <c r="X1682" s="53"/>
      <c r="Y1682" s="53"/>
      <c r="Z1682" s="53"/>
    </row>
    <row r="1683" spans="1:26" ht="15.75" customHeight="1">
      <c r="A1683" s="103"/>
      <c r="B1683" s="103"/>
      <c r="C1683" s="104" t="e">
        <v>#REF!</v>
      </c>
      <c r="D1683" s="103"/>
      <c r="E1683" s="53"/>
      <c r="F1683" s="53"/>
      <c r="G1683" s="53"/>
      <c r="H1683" s="53"/>
      <c r="I1683" s="53"/>
      <c r="J1683" s="53"/>
      <c r="K1683" s="53"/>
      <c r="L1683" s="53"/>
      <c r="M1683" s="53"/>
      <c r="N1683" s="53"/>
      <c r="O1683" s="53"/>
      <c r="P1683" s="53"/>
      <c r="Q1683" s="53"/>
      <c r="R1683" s="53"/>
      <c r="S1683" s="53"/>
      <c r="T1683" s="53"/>
      <c r="U1683" s="53"/>
      <c r="V1683" s="53"/>
      <c r="W1683" s="53"/>
      <c r="X1683" s="53"/>
      <c r="Y1683" s="53"/>
      <c r="Z1683" s="53"/>
    </row>
    <row r="1684" spans="1:26" ht="15.75" customHeight="1">
      <c r="A1684" s="103"/>
      <c r="B1684" s="103"/>
      <c r="C1684" s="104" t="e">
        <v>#REF!</v>
      </c>
      <c r="D1684" s="10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53"/>
      <c r="T1684" s="53"/>
      <c r="U1684" s="53"/>
      <c r="V1684" s="53"/>
      <c r="W1684" s="53"/>
      <c r="X1684" s="53"/>
      <c r="Y1684" s="53"/>
      <c r="Z1684" s="53"/>
    </row>
    <row r="1685" spans="1:26" ht="15.75" customHeight="1">
      <c r="A1685" s="103"/>
      <c r="B1685" s="103"/>
      <c r="C1685" s="104" t="e">
        <v>#REF!</v>
      </c>
      <c r="D1685" s="103"/>
      <c r="E1685" s="53"/>
      <c r="F1685" s="53"/>
      <c r="G1685" s="53"/>
      <c r="H1685" s="53"/>
      <c r="I1685" s="53"/>
      <c r="J1685" s="53"/>
      <c r="K1685" s="53"/>
      <c r="L1685" s="53"/>
      <c r="M1685" s="53"/>
      <c r="N1685" s="53"/>
      <c r="O1685" s="53"/>
      <c r="P1685" s="53"/>
      <c r="Q1685" s="53"/>
      <c r="R1685" s="53"/>
      <c r="S1685" s="53"/>
      <c r="T1685" s="53"/>
      <c r="U1685" s="53"/>
      <c r="V1685" s="53"/>
      <c r="W1685" s="53"/>
      <c r="X1685" s="53"/>
      <c r="Y1685" s="53"/>
      <c r="Z1685" s="53"/>
    </row>
    <row r="1686" spans="1:26" ht="15.75" customHeight="1">
      <c r="A1686" s="103"/>
      <c r="B1686" s="103"/>
      <c r="C1686" s="104" t="e">
        <v>#REF!</v>
      </c>
      <c r="D1686" s="103"/>
      <c r="E1686" s="53"/>
      <c r="F1686" s="53"/>
      <c r="G1686" s="53"/>
      <c r="H1686" s="53"/>
      <c r="I1686" s="53"/>
      <c r="J1686" s="53"/>
      <c r="K1686" s="53"/>
      <c r="L1686" s="53"/>
      <c r="M1686" s="53"/>
      <c r="N1686" s="53"/>
      <c r="O1686" s="53"/>
      <c r="P1686" s="53"/>
      <c r="Q1686" s="53"/>
      <c r="R1686" s="53"/>
      <c r="S1686" s="53"/>
      <c r="T1686" s="53"/>
      <c r="U1686" s="53"/>
      <c r="V1686" s="53"/>
      <c r="W1686" s="53"/>
      <c r="X1686" s="53"/>
      <c r="Y1686" s="53"/>
      <c r="Z1686" s="53"/>
    </row>
    <row r="1687" spans="1:26" ht="15.75" customHeight="1">
      <c r="A1687" s="103"/>
      <c r="B1687" s="103"/>
      <c r="C1687" s="104" t="e">
        <v>#REF!</v>
      </c>
      <c r="D1687" s="103"/>
      <c r="E1687" s="53"/>
      <c r="F1687" s="53"/>
      <c r="G1687" s="53"/>
      <c r="H1687" s="53"/>
      <c r="I1687" s="53"/>
      <c r="J1687" s="53"/>
      <c r="K1687" s="53"/>
      <c r="L1687" s="53"/>
      <c r="M1687" s="53"/>
      <c r="N1687" s="53"/>
      <c r="O1687" s="53"/>
      <c r="P1687" s="53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</row>
    <row r="1688" spans="1:26" ht="15.75" customHeight="1">
      <c r="A1688" s="103"/>
      <c r="B1688" s="103"/>
      <c r="C1688" s="104" t="e">
        <v>#REF!</v>
      </c>
      <c r="D1688" s="103"/>
      <c r="E1688" s="53"/>
      <c r="F1688" s="53"/>
      <c r="G1688" s="53"/>
      <c r="H1688" s="53"/>
      <c r="I1688" s="53"/>
      <c r="J1688" s="53"/>
      <c r="K1688" s="53"/>
      <c r="L1688" s="53"/>
      <c r="M1688" s="53"/>
      <c r="N1688" s="53"/>
      <c r="O1688" s="53"/>
      <c r="P1688" s="53"/>
      <c r="Q1688" s="53"/>
      <c r="R1688" s="53"/>
      <c r="S1688" s="53"/>
      <c r="T1688" s="53"/>
      <c r="U1688" s="53"/>
      <c r="V1688" s="53"/>
      <c r="W1688" s="53"/>
      <c r="X1688" s="53"/>
      <c r="Y1688" s="53"/>
      <c r="Z1688" s="53"/>
    </row>
    <row r="1689" spans="1:26" ht="15.75" customHeight="1">
      <c r="A1689" s="103"/>
      <c r="B1689" s="103"/>
      <c r="C1689" s="104" t="e">
        <v>#REF!</v>
      </c>
      <c r="D1689" s="103"/>
      <c r="E1689" s="53"/>
      <c r="F1689" s="53"/>
      <c r="G1689" s="53"/>
      <c r="H1689" s="53"/>
      <c r="I1689" s="53"/>
      <c r="J1689" s="53"/>
      <c r="K1689" s="53"/>
      <c r="L1689" s="53"/>
      <c r="M1689" s="53"/>
      <c r="N1689" s="53"/>
      <c r="O1689" s="53"/>
      <c r="P1689" s="53"/>
      <c r="Q1689" s="53"/>
      <c r="R1689" s="53"/>
      <c r="S1689" s="53"/>
      <c r="T1689" s="53"/>
      <c r="U1689" s="53"/>
      <c r="V1689" s="53"/>
      <c r="W1689" s="53"/>
      <c r="X1689" s="53"/>
      <c r="Y1689" s="53"/>
      <c r="Z1689" s="53"/>
    </row>
    <row r="1690" spans="1:26" ht="15.75" customHeight="1">
      <c r="A1690" s="103"/>
      <c r="B1690" s="103"/>
      <c r="C1690" s="104" t="e">
        <v>#REF!</v>
      </c>
      <c r="D1690" s="103"/>
      <c r="E1690" s="53"/>
      <c r="F1690" s="53"/>
      <c r="G1690" s="53"/>
      <c r="H1690" s="53"/>
      <c r="I1690" s="53"/>
      <c r="J1690" s="53"/>
      <c r="K1690" s="53"/>
      <c r="L1690" s="53"/>
      <c r="M1690" s="53"/>
      <c r="N1690" s="53"/>
      <c r="O1690" s="53"/>
      <c r="P1690" s="53"/>
      <c r="Q1690" s="53"/>
      <c r="R1690" s="53"/>
      <c r="S1690" s="53"/>
      <c r="T1690" s="53"/>
      <c r="U1690" s="53"/>
      <c r="V1690" s="53"/>
      <c r="W1690" s="53"/>
      <c r="X1690" s="53"/>
      <c r="Y1690" s="53"/>
      <c r="Z1690" s="53"/>
    </row>
    <row r="1691" spans="1:26" ht="15.75" customHeight="1">
      <c r="A1691" s="103"/>
      <c r="B1691" s="103"/>
      <c r="C1691" s="104" t="e">
        <v>#REF!</v>
      </c>
      <c r="D1691" s="103"/>
      <c r="E1691" s="53"/>
      <c r="F1691" s="53"/>
      <c r="G1691" s="53"/>
      <c r="H1691" s="53"/>
      <c r="I1691" s="53"/>
      <c r="J1691" s="53"/>
      <c r="K1691" s="53"/>
      <c r="L1691" s="53"/>
      <c r="M1691" s="53"/>
      <c r="N1691" s="53"/>
      <c r="O1691" s="53"/>
      <c r="P1691" s="53"/>
      <c r="Q1691" s="53"/>
      <c r="R1691" s="53"/>
      <c r="S1691" s="53"/>
      <c r="T1691" s="53"/>
      <c r="U1691" s="53"/>
      <c r="V1691" s="53"/>
      <c r="W1691" s="53"/>
      <c r="X1691" s="53"/>
      <c r="Y1691" s="53"/>
      <c r="Z1691" s="53"/>
    </row>
    <row r="1692" spans="1:26" ht="15.75" customHeight="1">
      <c r="A1692" s="103"/>
      <c r="B1692" s="103"/>
      <c r="C1692" s="104" t="e">
        <v>#REF!</v>
      </c>
      <c r="D1692" s="103"/>
      <c r="E1692" s="53"/>
      <c r="F1692" s="53"/>
      <c r="G1692" s="53"/>
      <c r="H1692" s="53"/>
      <c r="I1692" s="53"/>
      <c r="J1692" s="53"/>
      <c r="K1692" s="53"/>
      <c r="L1692" s="53"/>
      <c r="M1692" s="53"/>
      <c r="N1692" s="53"/>
      <c r="O1692" s="53"/>
      <c r="P1692" s="53"/>
      <c r="Q1692" s="53"/>
      <c r="R1692" s="53"/>
      <c r="S1692" s="53"/>
      <c r="T1692" s="53"/>
      <c r="U1692" s="53"/>
      <c r="V1692" s="53"/>
      <c r="W1692" s="53"/>
      <c r="X1692" s="53"/>
      <c r="Y1692" s="53"/>
      <c r="Z1692" s="53"/>
    </row>
    <row r="1693" spans="1:26" ht="15.75" customHeight="1">
      <c r="A1693" s="103"/>
      <c r="B1693" s="103"/>
      <c r="C1693" s="104" t="e">
        <v>#REF!</v>
      </c>
      <c r="D1693" s="103"/>
      <c r="E1693" s="53"/>
      <c r="F1693" s="53"/>
      <c r="G1693" s="53"/>
      <c r="H1693" s="53"/>
      <c r="I1693" s="53"/>
      <c r="J1693" s="53"/>
      <c r="K1693" s="53"/>
      <c r="L1693" s="53"/>
      <c r="M1693" s="53"/>
      <c r="N1693" s="53"/>
      <c r="O1693" s="53"/>
      <c r="P1693" s="53"/>
      <c r="Q1693" s="53"/>
      <c r="R1693" s="53"/>
      <c r="S1693" s="53"/>
      <c r="T1693" s="53"/>
      <c r="U1693" s="53"/>
      <c r="V1693" s="53"/>
      <c r="W1693" s="53"/>
      <c r="X1693" s="53"/>
      <c r="Y1693" s="53"/>
      <c r="Z1693" s="53"/>
    </row>
    <row r="1694" spans="1:26" ht="15.75" customHeight="1">
      <c r="A1694" s="103"/>
      <c r="B1694" s="103"/>
      <c r="C1694" s="104" t="e">
        <v>#REF!</v>
      </c>
      <c r="D1694" s="103"/>
      <c r="E1694" s="53"/>
      <c r="F1694" s="53"/>
      <c r="G1694" s="53"/>
      <c r="H1694" s="53"/>
      <c r="I1694" s="53"/>
      <c r="J1694" s="53"/>
      <c r="K1694" s="53"/>
      <c r="L1694" s="53"/>
      <c r="M1694" s="53"/>
      <c r="N1694" s="53"/>
      <c r="O1694" s="53"/>
      <c r="P1694" s="53"/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</row>
    <row r="1695" spans="1:26" ht="15.75" customHeight="1">
      <c r="A1695" s="103"/>
      <c r="B1695" s="103"/>
      <c r="C1695" s="104" t="e">
        <v>#REF!</v>
      </c>
      <c r="D1695" s="103"/>
      <c r="E1695" s="53"/>
      <c r="F1695" s="53"/>
      <c r="G1695" s="53"/>
      <c r="H1695" s="53"/>
      <c r="I1695" s="53"/>
      <c r="J1695" s="53"/>
      <c r="K1695" s="53"/>
      <c r="L1695" s="53"/>
      <c r="M1695" s="53"/>
      <c r="N1695" s="53"/>
      <c r="O1695" s="53"/>
      <c r="P1695" s="53"/>
      <c r="Q1695" s="53"/>
      <c r="R1695" s="53"/>
      <c r="S1695" s="53"/>
      <c r="T1695" s="53"/>
      <c r="U1695" s="53"/>
      <c r="V1695" s="53"/>
      <c r="W1695" s="53"/>
      <c r="X1695" s="53"/>
      <c r="Y1695" s="53"/>
      <c r="Z1695" s="53"/>
    </row>
    <row r="1696" spans="1:26" ht="15.75" customHeight="1">
      <c r="A1696" s="103"/>
      <c r="B1696" s="103"/>
      <c r="C1696" s="104" t="e">
        <v>#REF!</v>
      </c>
      <c r="D1696" s="103"/>
      <c r="E1696" s="53"/>
      <c r="F1696" s="53"/>
      <c r="G1696" s="53"/>
      <c r="H1696" s="53"/>
      <c r="I1696" s="53"/>
      <c r="J1696" s="53"/>
      <c r="K1696" s="53"/>
      <c r="L1696" s="53"/>
      <c r="M1696" s="53"/>
      <c r="N1696" s="53"/>
      <c r="O1696" s="53"/>
      <c r="P1696" s="53"/>
      <c r="Q1696" s="53"/>
      <c r="R1696" s="53"/>
      <c r="S1696" s="53"/>
      <c r="T1696" s="53"/>
      <c r="U1696" s="53"/>
      <c r="V1696" s="53"/>
      <c r="W1696" s="53"/>
      <c r="X1696" s="53"/>
      <c r="Y1696" s="53"/>
      <c r="Z1696" s="53"/>
    </row>
    <row r="1697" spans="1:26" ht="15.75" customHeight="1">
      <c r="A1697" s="103"/>
      <c r="B1697" s="103"/>
      <c r="C1697" s="104" t="e">
        <v>#REF!</v>
      </c>
      <c r="D1697" s="103"/>
      <c r="E1697" s="53"/>
      <c r="F1697" s="53"/>
      <c r="G1697" s="53"/>
      <c r="H1697" s="53"/>
      <c r="I1697" s="53"/>
      <c r="J1697" s="53"/>
      <c r="K1697" s="53"/>
      <c r="L1697" s="53"/>
      <c r="M1697" s="53"/>
      <c r="N1697" s="53"/>
      <c r="O1697" s="53"/>
      <c r="P1697" s="53"/>
      <c r="Q1697" s="53"/>
      <c r="R1697" s="53"/>
      <c r="S1697" s="53"/>
      <c r="T1697" s="53"/>
      <c r="U1697" s="53"/>
      <c r="V1697" s="53"/>
      <c r="W1697" s="53"/>
      <c r="X1697" s="53"/>
      <c r="Y1697" s="53"/>
      <c r="Z1697" s="53"/>
    </row>
    <row r="1698" spans="1:26" ht="15.75" customHeight="1">
      <c r="A1698" s="103"/>
      <c r="B1698" s="103"/>
      <c r="C1698" s="104" t="e">
        <v>#REF!</v>
      </c>
      <c r="D1698" s="103"/>
      <c r="E1698" s="53"/>
      <c r="F1698" s="53"/>
      <c r="G1698" s="53"/>
      <c r="H1698" s="53"/>
      <c r="I1698" s="53"/>
      <c r="J1698" s="53"/>
      <c r="K1698" s="53"/>
      <c r="L1698" s="53"/>
      <c r="M1698" s="53"/>
      <c r="N1698" s="53"/>
      <c r="O1698" s="53"/>
      <c r="P1698" s="53"/>
      <c r="Q1698" s="53"/>
      <c r="R1698" s="53"/>
      <c r="S1698" s="53"/>
      <c r="T1698" s="53"/>
      <c r="U1698" s="53"/>
      <c r="V1698" s="53"/>
      <c r="W1698" s="53"/>
      <c r="X1698" s="53"/>
      <c r="Y1698" s="53"/>
      <c r="Z1698" s="53"/>
    </row>
    <row r="1699" spans="1:26" ht="15.75" customHeight="1">
      <c r="A1699" s="103"/>
      <c r="B1699" s="103"/>
      <c r="C1699" s="104" t="e">
        <v>#REF!</v>
      </c>
      <c r="D1699" s="103"/>
      <c r="E1699" s="53"/>
      <c r="F1699" s="53"/>
      <c r="G1699" s="53"/>
      <c r="H1699" s="53"/>
      <c r="I1699" s="53"/>
      <c r="J1699" s="53"/>
      <c r="K1699" s="53"/>
      <c r="L1699" s="53"/>
      <c r="M1699" s="53"/>
      <c r="N1699" s="53"/>
      <c r="O1699" s="53"/>
      <c r="P1699" s="53"/>
      <c r="Q1699" s="53"/>
      <c r="R1699" s="53"/>
      <c r="S1699" s="53"/>
      <c r="T1699" s="53"/>
      <c r="U1699" s="53"/>
      <c r="V1699" s="53"/>
      <c r="W1699" s="53"/>
      <c r="X1699" s="53"/>
      <c r="Y1699" s="53"/>
      <c r="Z1699" s="53"/>
    </row>
    <row r="1700" spans="1:26" ht="15.75" customHeight="1">
      <c r="A1700" s="103"/>
      <c r="B1700" s="103"/>
      <c r="C1700" s="104" t="e">
        <v>#REF!</v>
      </c>
      <c r="D1700" s="103"/>
      <c r="E1700" s="53"/>
      <c r="F1700" s="53"/>
      <c r="G1700" s="53"/>
      <c r="H1700" s="53"/>
      <c r="I1700" s="53"/>
      <c r="J1700" s="53"/>
      <c r="K1700" s="53"/>
      <c r="L1700" s="53"/>
      <c r="M1700" s="53"/>
      <c r="N1700" s="53"/>
      <c r="O1700" s="53"/>
      <c r="P1700" s="53"/>
      <c r="Q1700" s="53"/>
      <c r="R1700" s="53"/>
      <c r="S1700" s="53"/>
      <c r="T1700" s="53"/>
      <c r="U1700" s="53"/>
      <c r="V1700" s="53"/>
      <c r="W1700" s="53"/>
      <c r="X1700" s="53"/>
      <c r="Y1700" s="53"/>
      <c r="Z1700" s="53"/>
    </row>
    <row r="1701" spans="1:26" ht="15.75" customHeight="1">
      <c r="A1701" s="103"/>
      <c r="B1701" s="103"/>
      <c r="C1701" s="104" t="e">
        <v>#REF!</v>
      </c>
      <c r="D1701" s="103"/>
      <c r="E1701" s="53"/>
      <c r="F1701" s="53"/>
      <c r="G1701" s="53"/>
      <c r="H1701" s="53"/>
      <c r="I1701" s="53"/>
      <c r="J1701" s="53"/>
      <c r="K1701" s="53"/>
      <c r="L1701" s="53"/>
      <c r="M1701" s="53"/>
      <c r="N1701" s="53"/>
      <c r="O1701" s="53"/>
      <c r="P1701" s="53"/>
      <c r="Q1701" s="53"/>
      <c r="R1701" s="53"/>
      <c r="S1701" s="53"/>
      <c r="T1701" s="53"/>
      <c r="U1701" s="53"/>
      <c r="V1701" s="53"/>
      <c r="W1701" s="53"/>
      <c r="X1701" s="53"/>
      <c r="Y1701" s="53"/>
      <c r="Z1701" s="53"/>
    </row>
    <row r="1702" spans="1:26" ht="15.75" customHeight="1">
      <c r="A1702" s="103"/>
      <c r="B1702" s="103"/>
      <c r="C1702" s="104" t="e">
        <v>#REF!</v>
      </c>
      <c r="D1702" s="103"/>
      <c r="E1702" s="53"/>
      <c r="F1702" s="53"/>
      <c r="G1702" s="53"/>
      <c r="H1702" s="53"/>
      <c r="I1702" s="53"/>
      <c r="J1702" s="53"/>
      <c r="K1702" s="53"/>
      <c r="L1702" s="53"/>
      <c r="M1702" s="53"/>
      <c r="N1702" s="53"/>
      <c r="O1702" s="53"/>
      <c r="P1702" s="53"/>
      <c r="Q1702" s="53"/>
      <c r="R1702" s="53"/>
      <c r="S1702" s="53"/>
      <c r="T1702" s="53"/>
      <c r="U1702" s="53"/>
      <c r="V1702" s="53"/>
      <c r="W1702" s="53"/>
      <c r="X1702" s="53"/>
      <c r="Y1702" s="53"/>
      <c r="Z1702" s="53"/>
    </row>
    <row r="1703" spans="1:26" ht="15.75" customHeight="1">
      <c r="A1703" s="103"/>
      <c r="B1703" s="103"/>
      <c r="C1703" s="104" t="e">
        <v>#REF!</v>
      </c>
      <c r="D1703" s="103"/>
      <c r="E1703" s="53"/>
      <c r="F1703" s="53"/>
      <c r="G1703" s="53"/>
      <c r="H1703" s="53"/>
      <c r="I1703" s="53"/>
      <c r="J1703" s="53"/>
      <c r="K1703" s="53"/>
      <c r="L1703" s="53"/>
      <c r="M1703" s="53"/>
      <c r="N1703" s="53"/>
      <c r="O1703" s="53"/>
      <c r="P1703" s="53"/>
      <c r="Q1703" s="53"/>
      <c r="R1703" s="53"/>
      <c r="S1703" s="53"/>
      <c r="T1703" s="53"/>
      <c r="U1703" s="53"/>
      <c r="V1703" s="53"/>
      <c r="W1703" s="53"/>
      <c r="X1703" s="53"/>
      <c r="Y1703" s="53"/>
      <c r="Z1703" s="53"/>
    </row>
    <row r="1704" spans="1:26" ht="15.75" customHeight="1">
      <c r="A1704" s="103"/>
      <c r="B1704" s="103"/>
      <c r="C1704" s="104" t="e">
        <v>#REF!</v>
      </c>
      <c r="D1704" s="103"/>
      <c r="E1704" s="53"/>
      <c r="F1704" s="53"/>
      <c r="G1704" s="53"/>
      <c r="H1704" s="53"/>
      <c r="I1704" s="53"/>
      <c r="J1704" s="53"/>
      <c r="K1704" s="53"/>
      <c r="L1704" s="53"/>
      <c r="M1704" s="53"/>
      <c r="N1704" s="53"/>
      <c r="O1704" s="53"/>
      <c r="P1704" s="53"/>
      <c r="Q1704" s="53"/>
      <c r="R1704" s="53"/>
      <c r="S1704" s="53"/>
      <c r="T1704" s="53"/>
      <c r="U1704" s="53"/>
      <c r="V1704" s="53"/>
      <c r="W1704" s="53"/>
      <c r="X1704" s="53"/>
      <c r="Y1704" s="53"/>
      <c r="Z1704" s="53"/>
    </row>
    <row r="1705" spans="1:26" ht="15.75" customHeight="1">
      <c r="A1705" s="103"/>
      <c r="B1705" s="103"/>
      <c r="C1705" s="104" t="e">
        <v>#REF!</v>
      </c>
      <c r="D1705" s="103"/>
      <c r="E1705" s="53"/>
      <c r="F1705" s="53"/>
      <c r="G1705" s="53"/>
      <c r="H1705" s="53"/>
      <c r="I1705" s="53"/>
      <c r="J1705" s="53"/>
      <c r="K1705" s="53"/>
      <c r="L1705" s="53"/>
      <c r="M1705" s="53"/>
      <c r="N1705" s="53"/>
      <c r="O1705" s="53"/>
      <c r="P1705" s="53"/>
      <c r="Q1705" s="53"/>
      <c r="R1705" s="53"/>
      <c r="S1705" s="53"/>
      <c r="T1705" s="53"/>
      <c r="U1705" s="53"/>
      <c r="V1705" s="53"/>
      <c r="W1705" s="53"/>
      <c r="X1705" s="53"/>
      <c r="Y1705" s="53"/>
      <c r="Z1705" s="53"/>
    </row>
    <row r="1706" spans="1:26" ht="15.75" customHeight="1">
      <c r="A1706" s="103"/>
      <c r="B1706" s="103"/>
      <c r="C1706" s="104" t="e">
        <v>#REF!</v>
      </c>
      <c r="D1706" s="103"/>
      <c r="E1706" s="53"/>
      <c r="F1706" s="53"/>
      <c r="G1706" s="53"/>
      <c r="H1706" s="53"/>
      <c r="I1706" s="53"/>
      <c r="J1706" s="53"/>
      <c r="K1706" s="53"/>
      <c r="L1706" s="53"/>
      <c r="M1706" s="53"/>
      <c r="N1706" s="53"/>
      <c r="O1706" s="53"/>
      <c r="P1706" s="53"/>
      <c r="Q1706" s="53"/>
      <c r="R1706" s="53"/>
      <c r="S1706" s="53"/>
      <c r="T1706" s="53"/>
      <c r="U1706" s="53"/>
      <c r="V1706" s="53"/>
      <c r="W1706" s="53"/>
      <c r="X1706" s="53"/>
      <c r="Y1706" s="53"/>
      <c r="Z1706" s="53"/>
    </row>
    <row r="1707" spans="1:26" ht="15.75" customHeight="1">
      <c r="A1707" s="103"/>
      <c r="B1707" s="103"/>
      <c r="C1707" s="104" t="e">
        <v>#REF!</v>
      </c>
      <c r="D1707" s="103"/>
      <c r="E1707" s="53"/>
      <c r="F1707" s="53"/>
      <c r="G1707" s="53"/>
      <c r="H1707" s="53"/>
      <c r="I1707" s="53"/>
      <c r="J1707" s="53"/>
      <c r="K1707" s="53"/>
      <c r="L1707" s="53"/>
      <c r="M1707" s="53"/>
      <c r="N1707" s="53"/>
      <c r="O1707" s="53"/>
      <c r="P1707" s="53"/>
      <c r="Q1707" s="53"/>
      <c r="R1707" s="53"/>
      <c r="S1707" s="53"/>
      <c r="T1707" s="53"/>
      <c r="U1707" s="53"/>
      <c r="V1707" s="53"/>
      <c r="W1707" s="53"/>
      <c r="X1707" s="53"/>
      <c r="Y1707" s="53"/>
      <c r="Z1707" s="53"/>
    </row>
    <row r="1708" spans="1:26" ht="15.75" customHeight="1">
      <c r="A1708" s="103"/>
      <c r="B1708" s="103"/>
      <c r="C1708" s="104" t="e">
        <v>#REF!</v>
      </c>
      <c r="D1708" s="103"/>
      <c r="E1708" s="53"/>
      <c r="F1708" s="53"/>
      <c r="G1708" s="53"/>
      <c r="H1708" s="53"/>
      <c r="I1708" s="53"/>
      <c r="J1708" s="53"/>
      <c r="K1708" s="53"/>
      <c r="L1708" s="53"/>
      <c r="M1708" s="53"/>
      <c r="N1708" s="53"/>
      <c r="O1708" s="53"/>
      <c r="P1708" s="53"/>
      <c r="Q1708" s="53"/>
      <c r="R1708" s="53"/>
      <c r="S1708" s="53"/>
      <c r="T1708" s="53"/>
      <c r="U1708" s="53"/>
      <c r="V1708" s="53"/>
      <c r="W1708" s="53"/>
      <c r="X1708" s="53"/>
      <c r="Y1708" s="53"/>
      <c r="Z1708" s="53"/>
    </row>
    <row r="1709" spans="1:26" ht="15.75" customHeight="1">
      <c r="A1709" s="103"/>
      <c r="B1709" s="103"/>
      <c r="C1709" s="104" t="e">
        <v>#REF!</v>
      </c>
      <c r="D1709" s="103"/>
      <c r="E1709" s="53"/>
      <c r="F1709" s="53"/>
      <c r="G1709" s="53"/>
      <c r="H1709" s="53"/>
      <c r="I1709" s="53"/>
      <c r="J1709" s="53"/>
      <c r="K1709" s="53"/>
      <c r="L1709" s="53"/>
      <c r="M1709" s="53"/>
      <c r="N1709" s="53"/>
      <c r="O1709" s="53"/>
      <c r="P1709" s="53"/>
      <c r="Q1709" s="53"/>
      <c r="R1709" s="53"/>
      <c r="S1709" s="53"/>
      <c r="T1709" s="53"/>
      <c r="U1709" s="53"/>
      <c r="V1709" s="53"/>
      <c r="W1709" s="53"/>
      <c r="X1709" s="53"/>
      <c r="Y1709" s="53"/>
      <c r="Z1709" s="53"/>
    </row>
    <row r="1710" spans="1:26" ht="15.75" customHeight="1">
      <c r="A1710" s="103"/>
      <c r="B1710" s="103"/>
      <c r="C1710" s="104" t="e">
        <v>#REF!</v>
      </c>
      <c r="D1710" s="103"/>
      <c r="E1710" s="53"/>
      <c r="F1710" s="53"/>
      <c r="G1710" s="53"/>
      <c r="H1710" s="53"/>
      <c r="I1710" s="53"/>
      <c r="J1710" s="53"/>
      <c r="K1710" s="53"/>
      <c r="L1710" s="53"/>
      <c r="M1710" s="53"/>
      <c r="N1710" s="53"/>
      <c r="O1710" s="53"/>
      <c r="P1710" s="53"/>
      <c r="Q1710" s="53"/>
      <c r="R1710" s="53"/>
      <c r="S1710" s="53"/>
      <c r="T1710" s="53"/>
      <c r="U1710" s="53"/>
      <c r="V1710" s="53"/>
      <c r="W1710" s="53"/>
      <c r="X1710" s="53"/>
      <c r="Y1710" s="53"/>
      <c r="Z1710" s="53"/>
    </row>
    <row r="1711" spans="1:26" ht="15.75" customHeight="1">
      <c r="A1711" s="103"/>
      <c r="B1711" s="103"/>
      <c r="C1711" s="104" t="e">
        <v>#REF!</v>
      </c>
      <c r="D1711" s="103"/>
      <c r="E1711" s="53"/>
      <c r="F1711" s="53"/>
      <c r="G1711" s="53"/>
      <c r="H1711" s="53"/>
      <c r="I1711" s="53"/>
      <c r="J1711" s="53"/>
      <c r="K1711" s="53"/>
      <c r="L1711" s="53"/>
      <c r="M1711" s="53"/>
      <c r="N1711" s="53"/>
      <c r="O1711" s="53"/>
      <c r="P1711" s="53"/>
      <c r="Q1711" s="53"/>
      <c r="R1711" s="53"/>
      <c r="S1711" s="53"/>
      <c r="T1711" s="53"/>
      <c r="U1711" s="53"/>
      <c r="V1711" s="53"/>
      <c r="W1711" s="53"/>
      <c r="X1711" s="53"/>
      <c r="Y1711" s="53"/>
      <c r="Z1711" s="53"/>
    </row>
    <row r="1712" spans="1:26" ht="15.75" customHeight="1">
      <c r="A1712" s="103"/>
      <c r="B1712" s="103"/>
      <c r="C1712" s="104" t="e">
        <v>#REF!</v>
      </c>
      <c r="D1712" s="103"/>
      <c r="E1712" s="53"/>
      <c r="F1712" s="53"/>
      <c r="G1712" s="53"/>
      <c r="H1712" s="53"/>
      <c r="I1712" s="53"/>
      <c r="J1712" s="53"/>
      <c r="K1712" s="53"/>
      <c r="L1712" s="53"/>
      <c r="M1712" s="53"/>
      <c r="N1712" s="53"/>
      <c r="O1712" s="53"/>
      <c r="P1712" s="53"/>
      <c r="Q1712" s="53"/>
      <c r="R1712" s="53"/>
      <c r="S1712" s="53"/>
      <c r="T1712" s="53"/>
      <c r="U1712" s="53"/>
      <c r="V1712" s="53"/>
      <c r="W1712" s="53"/>
      <c r="X1712" s="53"/>
      <c r="Y1712" s="53"/>
      <c r="Z1712" s="53"/>
    </row>
    <row r="1713" spans="1:26" ht="15.75" customHeight="1">
      <c r="A1713" s="103"/>
      <c r="B1713" s="103"/>
      <c r="C1713" s="104" t="e">
        <v>#REF!</v>
      </c>
      <c r="D1713" s="103"/>
      <c r="E1713" s="53"/>
      <c r="F1713" s="53"/>
      <c r="G1713" s="53"/>
      <c r="H1713" s="53"/>
      <c r="I1713" s="53"/>
      <c r="J1713" s="53"/>
      <c r="K1713" s="53"/>
      <c r="L1713" s="53"/>
      <c r="M1713" s="53"/>
      <c r="N1713" s="53"/>
      <c r="O1713" s="53"/>
      <c r="P1713" s="53"/>
      <c r="Q1713" s="53"/>
      <c r="R1713" s="53"/>
      <c r="S1713" s="53"/>
      <c r="T1713" s="53"/>
      <c r="U1713" s="53"/>
      <c r="V1713" s="53"/>
      <c r="W1713" s="53"/>
      <c r="X1713" s="53"/>
      <c r="Y1713" s="53"/>
      <c r="Z1713" s="53"/>
    </row>
    <row r="1714" spans="1:26" ht="15.75" customHeight="1">
      <c r="A1714" s="103"/>
      <c r="B1714" s="103"/>
      <c r="C1714" s="104" t="e">
        <v>#REF!</v>
      </c>
      <c r="D1714" s="103"/>
      <c r="E1714" s="53"/>
      <c r="F1714" s="53"/>
      <c r="G1714" s="53"/>
      <c r="H1714" s="53"/>
      <c r="I1714" s="53"/>
      <c r="J1714" s="53"/>
      <c r="K1714" s="53"/>
      <c r="L1714" s="53"/>
      <c r="M1714" s="53"/>
      <c r="N1714" s="53"/>
      <c r="O1714" s="53"/>
      <c r="P1714" s="53"/>
      <c r="Q1714" s="53"/>
      <c r="R1714" s="53"/>
      <c r="S1714" s="53"/>
      <c r="T1714" s="53"/>
      <c r="U1714" s="53"/>
      <c r="V1714" s="53"/>
      <c r="W1714" s="53"/>
      <c r="X1714" s="53"/>
      <c r="Y1714" s="53"/>
      <c r="Z1714" s="53"/>
    </row>
    <row r="1715" spans="1:26" ht="15.75" customHeight="1">
      <c r="A1715" s="103"/>
      <c r="B1715" s="103"/>
      <c r="C1715" s="104" t="e">
        <v>#REF!</v>
      </c>
      <c r="D1715" s="103"/>
      <c r="E1715" s="53"/>
      <c r="F1715" s="53"/>
      <c r="G1715" s="53"/>
      <c r="H1715" s="53"/>
      <c r="I1715" s="53"/>
      <c r="J1715" s="53"/>
      <c r="K1715" s="53"/>
      <c r="L1715" s="53"/>
      <c r="M1715" s="53"/>
      <c r="N1715" s="53"/>
      <c r="O1715" s="53"/>
      <c r="P1715" s="53"/>
      <c r="Q1715" s="53"/>
      <c r="R1715" s="53"/>
      <c r="S1715" s="53"/>
      <c r="T1715" s="53"/>
      <c r="U1715" s="53"/>
      <c r="V1715" s="53"/>
      <c r="W1715" s="53"/>
      <c r="X1715" s="53"/>
      <c r="Y1715" s="53"/>
      <c r="Z1715" s="53"/>
    </row>
    <row r="1716" spans="1:26" ht="15.75" customHeight="1">
      <c r="A1716" s="103"/>
      <c r="B1716" s="103"/>
      <c r="C1716" s="104" t="e">
        <v>#REF!</v>
      </c>
      <c r="D1716" s="103"/>
      <c r="E1716" s="53"/>
      <c r="F1716" s="53"/>
      <c r="G1716" s="53"/>
      <c r="H1716" s="53"/>
      <c r="I1716" s="53"/>
      <c r="J1716" s="53"/>
      <c r="K1716" s="53"/>
      <c r="L1716" s="53"/>
      <c r="M1716" s="53"/>
      <c r="N1716" s="53"/>
      <c r="O1716" s="53"/>
      <c r="P1716" s="53"/>
      <c r="Q1716" s="53"/>
      <c r="R1716" s="53"/>
      <c r="S1716" s="53"/>
      <c r="T1716" s="53"/>
      <c r="U1716" s="53"/>
      <c r="V1716" s="53"/>
      <c r="W1716" s="53"/>
      <c r="X1716" s="53"/>
      <c r="Y1716" s="53"/>
      <c r="Z1716" s="53"/>
    </row>
    <row r="1717" spans="1:26" ht="15.75" customHeight="1">
      <c r="A1717" s="103"/>
      <c r="B1717" s="103"/>
      <c r="C1717" s="104" t="e">
        <v>#REF!</v>
      </c>
      <c r="D1717" s="103"/>
      <c r="E1717" s="53"/>
      <c r="F1717" s="53"/>
      <c r="G1717" s="53"/>
      <c r="H1717" s="53"/>
      <c r="I1717" s="53"/>
      <c r="J1717" s="53"/>
      <c r="K1717" s="53"/>
      <c r="L1717" s="53"/>
      <c r="M1717" s="53"/>
      <c r="N1717" s="53"/>
      <c r="O1717" s="53"/>
      <c r="P1717" s="53"/>
      <c r="Q1717" s="53"/>
      <c r="R1717" s="53"/>
      <c r="S1717" s="53"/>
      <c r="T1717" s="53"/>
      <c r="U1717" s="53"/>
      <c r="V1717" s="53"/>
      <c r="W1717" s="53"/>
      <c r="X1717" s="53"/>
      <c r="Y1717" s="53"/>
      <c r="Z1717" s="53"/>
    </row>
    <row r="1718" spans="1:26" ht="15.75" customHeight="1">
      <c r="A1718" s="103"/>
      <c r="B1718" s="103"/>
      <c r="C1718" s="104" t="e">
        <v>#REF!</v>
      </c>
      <c r="D1718" s="103"/>
      <c r="E1718" s="53"/>
      <c r="F1718" s="53"/>
      <c r="G1718" s="53"/>
      <c r="H1718" s="53"/>
      <c r="I1718" s="53"/>
      <c r="J1718" s="53"/>
      <c r="K1718" s="53"/>
      <c r="L1718" s="53"/>
      <c r="M1718" s="53"/>
      <c r="N1718" s="53"/>
      <c r="O1718" s="53"/>
      <c r="P1718" s="53"/>
      <c r="Q1718" s="53"/>
      <c r="R1718" s="53"/>
      <c r="S1718" s="53"/>
      <c r="T1718" s="53"/>
      <c r="U1718" s="53"/>
      <c r="V1718" s="53"/>
      <c r="W1718" s="53"/>
      <c r="X1718" s="53"/>
      <c r="Y1718" s="53"/>
      <c r="Z1718" s="53"/>
    </row>
    <row r="1719" spans="1:26" ht="15.75" customHeight="1">
      <c r="A1719" s="103"/>
      <c r="B1719" s="103"/>
      <c r="C1719" s="104" t="e">
        <v>#REF!</v>
      </c>
      <c r="D1719" s="103"/>
      <c r="E1719" s="53"/>
      <c r="F1719" s="53"/>
      <c r="G1719" s="53"/>
      <c r="H1719" s="53"/>
      <c r="I1719" s="53"/>
      <c r="J1719" s="53"/>
      <c r="K1719" s="53"/>
      <c r="L1719" s="53"/>
      <c r="M1719" s="53"/>
      <c r="N1719" s="53"/>
      <c r="O1719" s="53"/>
      <c r="P1719" s="53"/>
      <c r="Q1719" s="53"/>
      <c r="R1719" s="53"/>
      <c r="S1719" s="53"/>
      <c r="T1719" s="53"/>
      <c r="U1719" s="53"/>
      <c r="V1719" s="53"/>
      <c r="W1719" s="53"/>
      <c r="X1719" s="53"/>
      <c r="Y1719" s="53"/>
      <c r="Z1719" s="53"/>
    </row>
    <row r="1720" spans="1:26" ht="15.75" customHeight="1">
      <c r="A1720" s="103"/>
      <c r="B1720" s="103"/>
      <c r="C1720" s="104" t="e">
        <v>#REF!</v>
      </c>
      <c r="D1720" s="103"/>
      <c r="E1720" s="53"/>
      <c r="F1720" s="53"/>
      <c r="G1720" s="53"/>
      <c r="H1720" s="53"/>
      <c r="I1720" s="53"/>
      <c r="J1720" s="53"/>
      <c r="K1720" s="53"/>
      <c r="L1720" s="53"/>
      <c r="M1720" s="53"/>
      <c r="N1720" s="53"/>
      <c r="O1720" s="53"/>
      <c r="P1720" s="53"/>
      <c r="Q1720" s="53"/>
      <c r="R1720" s="53"/>
      <c r="S1720" s="53"/>
      <c r="T1720" s="53"/>
      <c r="U1720" s="53"/>
      <c r="V1720" s="53"/>
      <c r="W1720" s="53"/>
      <c r="X1720" s="53"/>
      <c r="Y1720" s="53"/>
      <c r="Z1720" s="53"/>
    </row>
    <row r="1721" spans="1:26" ht="15.75" customHeight="1">
      <c r="A1721" s="103"/>
      <c r="B1721" s="103"/>
      <c r="C1721" s="104" t="e">
        <v>#REF!</v>
      </c>
      <c r="D1721" s="103"/>
      <c r="E1721" s="53"/>
      <c r="F1721" s="53"/>
      <c r="G1721" s="53"/>
      <c r="H1721" s="53"/>
      <c r="I1721" s="53"/>
      <c r="J1721" s="53"/>
      <c r="K1721" s="53"/>
      <c r="L1721" s="53"/>
      <c r="M1721" s="53"/>
      <c r="N1721" s="53"/>
      <c r="O1721" s="53"/>
      <c r="P1721" s="53"/>
      <c r="Q1721" s="53"/>
      <c r="R1721" s="53"/>
      <c r="S1721" s="53"/>
      <c r="T1721" s="53"/>
      <c r="U1721" s="53"/>
      <c r="V1721" s="53"/>
      <c r="W1721" s="53"/>
      <c r="X1721" s="53"/>
      <c r="Y1721" s="53"/>
      <c r="Z1721" s="53"/>
    </row>
    <row r="1722" spans="1:26" ht="15.75" customHeight="1">
      <c r="A1722" s="103"/>
      <c r="B1722" s="103"/>
      <c r="C1722" s="104" t="e">
        <v>#REF!</v>
      </c>
      <c r="D1722" s="103"/>
      <c r="E1722" s="53"/>
      <c r="F1722" s="53"/>
      <c r="G1722" s="53"/>
      <c r="H1722" s="53"/>
      <c r="I1722" s="53"/>
      <c r="J1722" s="53"/>
      <c r="K1722" s="53"/>
      <c r="L1722" s="53"/>
      <c r="M1722" s="53"/>
      <c r="N1722" s="53"/>
      <c r="O1722" s="53"/>
      <c r="P1722" s="53"/>
      <c r="Q1722" s="53"/>
      <c r="R1722" s="53"/>
      <c r="S1722" s="53"/>
      <c r="T1722" s="53"/>
      <c r="U1722" s="53"/>
      <c r="V1722" s="53"/>
      <c r="W1722" s="53"/>
      <c r="X1722" s="53"/>
      <c r="Y1722" s="53"/>
      <c r="Z1722" s="53"/>
    </row>
    <row r="1723" spans="1:26" ht="15.75" customHeight="1">
      <c r="A1723" s="103"/>
      <c r="B1723" s="103"/>
      <c r="C1723" s="104" t="e">
        <v>#REF!</v>
      </c>
      <c r="D1723" s="103"/>
      <c r="E1723" s="53"/>
      <c r="F1723" s="53"/>
      <c r="G1723" s="53"/>
      <c r="H1723" s="53"/>
      <c r="I1723" s="53"/>
      <c r="J1723" s="53"/>
      <c r="K1723" s="53"/>
      <c r="L1723" s="53"/>
      <c r="M1723" s="53"/>
      <c r="N1723" s="53"/>
      <c r="O1723" s="53"/>
      <c r="P1723" s="53"/>
      <c r="Q1723" s="53"/>
      <c r="R1723" s="53"/>
      <c r="S1723" s="53"/>
      <c r="T1723" s="53"/>
      <c r="U1723" s="53"/>
      <c r="V1723" s="53"/>
      <c r="W1723" s="53"/>
      <c r="X1723" s="53"/>
      <c r="Y1723" s="53"/>
      <c r="Z1723" s="53"/>
    </row>
    <row r="1724" spans="1:26" ht="15.75" customHeight="1">
      <c r="A1724" s="103"/>
      <c r="B1724" s="103"/>
      <c r="C1724" s="104" t="e">
        <v>#REF!</v>
      </c>
      <c r="D1724" s="103"/>
      <c r="E1724" s="53"/>
      <c r="F1724" s="53"/>
      <c r="G1724" s="53"/>
      <c r="H1724" s="53"/>
      <c r="I1724" s="53"/>
      <c r="J1724" s="53"/>
      <c r="K1724" s="53"/>
      <c r="L1724" s="53"/>
      <c r="M1724" s="53"/>
      <c r="N1724" s="53"/>
      <c r="O1724" s="53"/>
      <c r="P1724" s="53"/>
      <c r="Q1724" s="53"/>
      <c r="R1724" s="53"/>
      <c r="S1724" s="53"/>
      <c r="T1724" s="53"/>
      <c r="U1724" s="53"/>
      <c r="V1724" s="53"/>
      <c r="W1724" s="53"/>
      <c r="X1724" s="53"/>
      <c r="Y1724" s="53"/>
      <c r="Z1724" s="53"/>
    </row>
    <row r="1725" spans="1:26" ht="15.75" customHeight="1">
      <c r="A1725" s="103"/>
      <c r="B1725" s="103"/>
      <c r="C1725" s="104" t="e">
        <v>#REF!</v>
      </c>
      <c r="D1725" s="103"/>
      <c r="E1725" s="53"/>
      <c r="F1725" s="53"/>
      <c r="G1725" s="53"/>
      <c r="H1725" s="53"/>
      <c r="I1725" s="53"/>
      <c r="J1725" s="53"/>
      <c r="K1725" s="53"/>
      <c r="L1725" s="53"/>
      <c r="M1725" s="53"/>
      <c r="N1725" s="53"/>
      <c r="O1725" s="53"/>
      <c r="P1725" s="53"/>
      <c r="Q1725" s="53"/>
      <c r="R1725" s="53"/>
      <c r="S1725" s="53"/>
      <c r="T1725" s="53"/>
      <c r="U1725" s="53"/>
      <c r="V1725" s="53"/>
      <c r="W1725" s="53"/>
      <c r="X1725" s="53"/>
      <c r="Y1725" s="53"/>
      <c r="Z1725" s="53"/>
    </row>
    <row r="1726" spans="1:26" ht="15.75" customHeight="1">
      <c r="A1726" s="103"/>
      <c r="B1726" s="103"/>
      <c r="C1726" s="104" t="e">
        <v>#REF!</v>
      </c>
      <c r="D1726" s="103"/>
      <c r="E1726" s="53"/>
      <c r="F1726" s="53"/>
      <c r="G1726" s="53"/>
      <c r="H1726" s="53"/>
      <c r="I1726" s="53"/>
      <c r="J1726" s="53"/>
      <c r="K1726" s="53"/>
      <c r="L1726" s="53"/>
      <c r="M1726" s="53"/>
      <c r="N1726" s="53"/>
      <c r="O1726" s="53"/>
      <c r="P1726" s="53"/>
      <c r="Q1726" s="53"/>
      <c r="R1726" s="53"/>
      <c r="S1726" s="53"/>
      <c r="T1726" s="53"/>
      <c r="U1726" s="53"/>
      <c r="V1726" s="53"/>
      <c r="W1726" s="53"/>
      <c r="X1726" s="53"/>
      <c r="Y1726" s="53"/>
      <c r="Z1726" s="53"/>
    </row>
    <row r="1727" spans="1:26" ht="15.75" customHeight="1">
      <c r="A1727" s="103"/>
      <c r="B1727" s="103"/>
      <c r="C1727" s="104" t="e">
        <v>#REF!</v>
      </c>
      <c r="D1727" s="103"/>
      <c r="E1727" s="53"/>
      <c r="F1727" s="53"/>
      <c r="G1727" s="53"/>
      <c r="H1727" s="53"/>
      <c r="I1727" s="53"/>
      <c r="J1727" s="53"/>
      <c r="K1727" s="53"/>
      <c r="L1727" s="53"/>
      <c r="M1727" s="53"/>
      <c r="N1727" s="53"/>
      <c r="O1727" s="53"/>
      <c r="P1727" s="53"/>
      <c r="Q1727" s="53"/>
      <c r="R1727" s="53"/>
      <c r="S1727" s="53"/>
      <c r="T1727" s="53"/>
      <c r="U1727" s="53"/>
      <c r="V1727" s="53"/>
      <c r="W1727" s="53"/>
      <c r="X1727" s="53"/>
      <c r="Y1727" s="53"/>
      <c r="Z1727" s="53"/>
    </row>
    <row r="1728" spans="1:26" ht="15.75" customHeight="1">
      <c r="A1728" s="103"/>
      <c r="B1728" s="103"/>
      <c r="C1728" s="104" t="e">
        <v>#REF!</v>
      </c>
      <c r="D1728" s="103"/>
      <c r="E1728" s="53"/>
      <c r="F1728" s="53"/>
      <c r="G1728" s="53"/>
      <c r="H1728" s="53"/>
      <c r="I1728" s="53"/>
      <c r="J1728" s="53"/>
      <c r="K1728" s="53"/>
      <c r="L1728" s="53"/>
      <c r="M1728" s="53"/>
      <c r="N1728" s="53"/>
      <c r="O1728" s="53"/>
      <c r="P1728" s="53"/>
      <c r="Q1728" s="53"/>
      <c r="R1728" s="53"/>
      <c r="S1728" s="53"/>
      <c r="T1728" s="53"/>
      <c r="U1728" s="53"/>
      <c r="V1728" s="53"/>
      <c r="W1728" s="53"/>
      <c r="X1728" s="53"/>
      <c r="Y1728" s="53"/>
      <c r="Z1728" s="53"/>
    </row>
    <row r="1729" spans="1:26" ht="15.75" customHeight="1">
      <c r="A1729" s="103"/>
      <c r="B1729" s="103"/>
      <c r="C1729" s="104" t="e">
        <v>#REF!</v>
      </c>
      <c r="D1729" s="103"/>
      <c r="E1729" s="53"/>
      <c r="F1729" s="53"/>
      <c r="G1729" s="53"/>
      <c r="H1729" s="53"/>
      <c r="I1729" s="53"/>
      <c r="J1729" s="53"/>
      <c r="K1729" s="53"/>
      <c r="L1729" s="53"/>
      <c r="M1729" s="53"/>
      <c r="N1729" s="53"/>
      <c r="O1729" s="53"/>
      <c r="P1729" s="53"/>
      <c r="Q1729" s="53"/>
      <c r="R1729" s="53"/>
      <c r="S1729" s="53"/>
      <c r="T1729" s="53"/>
      <c r="U1729" s="53"/>
      <c r="V1729" s="53"/>
      <c r="W1729" s="53"/>
      <c r="X1729" s="53"/>
      <c r="Y1729" s="53"/>
      <c r="Z1729" s="53"/>
    </row>
    <row r="1730" spans="1:26" ht="15.75" customHeight="1">
      <c r="A1730" s="103"/>
      <c r="B1730" s="103"/>
      <c r="C1730" s="104" t="e">
        <v>#REF!</v>
      </c>
      <c r="D1730" s="103"/>
      <c r="E1730" s="53"/>
      <c r="F1730" s="53"/>
      <c r="G1730" s="53"/>
      <c r="H1730" s="53"/>
      <c r="I1730" s="53"/>
      <c r="J1730" s="53"/>
      <c r="K1730" s="53"/>
      <c r="L1730" s="53"/>
      <c r="M1730" s="53"/>
      <c r="N1730" s="53"/>
      <c r="O1730" s="53"/>
      <c r="P1730" s="53"/>
      <c r="Q1730" s="53"/>
      <c r="R1730" s="53"/>
      <c r="S1730" s="53"/>
      <c r="T1730" s="53"/>
      <c r="U1730" s="53"/>
      <c r="V1730" s="53"/>
      <c r="W1730" s="53"/>
      <c r="X1730" s="53"/>
      <c r="Y1730" s="53"/>
      <c r="Z1730" s="53"/>
    </row>
    <row r="1731" spans="1:26" ht="15.75" customHeight="1">
      <c r="A1731" s="103"/>
      <c r="B1731" s="103"/>
      <c r="C1731" s="104" t="e">
        <v>#REF!</v>
      </c>
      <c r="D1731" s="103"/>
      <c r="E1731" s="53"/>
      <c r="F1731" s="53"/>
      <c r="G1731" s="53"/>
      <c r="H1731" s="53"/>
      <c r="I1731" s="53"/>
      <c r="J1731" s="53"/>
      <c r="K1731" s="53"/>
      <c r="L1731" s="53"/>
      <c r="M1731" s="53"/>
      <c r="N1731" s="53"/>
      <c r="O1731" s="53"/>
      <c r="P1731" s="53"/>
      <c r="Q1731" s="53"/>
      <c r="R1731" s="53"/>
      <c r="S1731" s="53"/>
      <c r="T1731" s="53"/>
      <c r="U1731" s="53"/>
      <c r="V1731" s="53"/>
      <c r="W1731" s="53"/>
      <c r="X1731" s="53"/>
      <c r="Y1731" s="53"/>
      <c r="Z1731" s="53"/>
    </row>
    <row r="1732" spans="1:26" ht="15.75" customHeight="1">
      <c r="A1732" s="103"/>
      <c r="B1732" s="103"/>
      <c r="C1732" s="104" t="e">
        <v>#REF!</v>
      </c>
      <c r="D1732" s="10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</row>
    <row r="1733" spans="1:26" ht="15.75" customHeight="1">
      <c r="A1733" s="103"/>
      <c r="B1733" s="103"/>
      <c r="C1733" s="104" t="e">
        <v>#REF!</v>
      </c>
      <c r="D1733" s="103"/>
      <c r="E1733" s="53"/>
      <c r="F1733" s="53"/>
      <c r="G1733" s="53"/>
      <c r="H1733" s="53"/>
      <c r="I1733" s="53"/>
      <c r="J1733" s="53"/>
      <c r="K1733" s="53"/>
      <c r="L1733" s="53"/>
      <c r="M1733" s="53"/>
      <c r="N1733" s="53"/>
      <c r="O1733" s="53"/>
      <c r="P1733" s="53"/>
      <c r="Q1733" s="53"/>
      <c r="R1733" s="53"/>
      <c r="S1733" s="53"/>
      <c r="T1733" s="53"/>
      <c r="U1733" s="53"/>
      <c r="V1733" s="53"/>
      <c r="W1733" s="53"/>
      <c r="X1733" s="53"/>
      <c r="Y1733" s="53"/>
      <c r="Z1733" s="53"/>
    </row>
    <row r="1734" spans="1:26" ht="15.75" customHeight="1">
      <c r="A1734" s="103"/>
      <c r="B1734" s="103"/>
      <c r="C1734" s="104" t="e">
        <v>#REF!</v>
      </c>
      <c r="D1734" s="103"/>
      <c r="E1734" s="53"/>
      <c r="F1734" s="53"/>
      <c r="G1734" s="53"/>
      <c r="H1734" s="53"/>
      <c r="I1734" s="53"/>
      <c r="J1734" s="53"/>
      <c r="K1734" s="53"/>
      <c r="L1734" s="53"/>
      <c r="M1734" s="53"/>
      <c r="N1734" s="53"/>
      <c r="O1734" s="53"/>
      <c r="P1734" s="53"/>
      <c r="Q1734" s="53"/>
      <c r="R1734" s="53"/>
      <c r="S1734" s="53"/>
      <c r="T1734" s="53"/>
      <c r="U1734" s="53"/>
      <c r="V1734" s="53"/>
      <c r="W1734" s="53"/>
      <c r="X1734" s="53"/>
      <c r="Y1734" s="53"/>
      <c r="Z1734" s="53"/>
    </row>
    <row r="1735" spans="1:26" ht="15.75" customHeight="1">
      <c r="A1735" s="103"/>
      <c r="B1735" s="103"/>
      <c r="C1735" s="104" t="e">
        <v>#REF!</v>
      </c>
      <c r="D1735" s="103"/>
      <c r="E1735" s="53"/>
      <c r="F1735" s="53"/>
      <c r="G1735" s="53"/>
      <c r="H1735" s="53"/>
      <c r="I1735" s="53"/>
      <c r="J1735" s="53"/>
      <c r="K1735" s="53"/>
      <c r="L1735" s="53"/>
      <c r="M1735" s="53"/>
      <c r="N1735" s="53"/>
      <c r="O1735" s="53"/>
      <c r="P1735" s="53"/>
      <c r="Q1735" s="53"/>
      <c r="R1735" s="53"/>
      <c r="S1735" s="53"/>
      <c r="T1735" s="53"/>
      <c r="U1735" s="53"/>
      <c r="V1735" s="53"/>
      <c r="W1735" s="53"/>
      <c r="X1735" s="53"/>
      <c r="Y1735" s="53"/>
      <c r="Z1735" s="53"/>
    </row>
    <row r="1736" spans="1:26" ht="15.75" customHeight="1">
      <c r="A1736" s="103"/>
      <c r="B1736" s="103"/>
      <c r="C1736" s="104" t="e">
        <v>#REF!</v>
      </c>
      <c r="D1736" s="103"/>
      <c r="E1736" s="53"/>
      <c r="F1736" s="53"/>
      <c r="G1736" s="53"/>
      <c r="H1736" s="53"/>
      <c r="I1736" s="53"/>
      <c r="J1736" s="53"/>
      <c r="K1736" s="53"/>
      <c r="L1736" s="53"/>
      <c r="M1736" s="53"/>
      <c r="N1736" s="53"/>
      <c r="O1736" s="53"/>
      <c r="P1736" s="53"/>
      <c r="Q1736" s="53"/>
      <c r="R1736" s="53"/>
      <c r="S1736" s="53"/>
      <c r="T1736" s="53"/>
      <c r="U1736" s="53"/>
      <c r="V1736" s="53"/>
      <c r="W1736" s="53"/>
      <c r="X1736" s="53"/>
      <c r="Y1736" s="53"/>
      <c r="Z1736" s="53"/>
    </row>
    <row r="1737" spans="1:26" ht="15.75" customHeight="1">
      <c r="A1737" s="103"/>
      <c r="B1737" s="103"/>
      <c r="C1737" s="104" t="e">
        <v>#REF!</v>
      </c>
      <c r="D1737" s="10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53"/>
      <c r="T1737" s="53"/>
      <c r="U1737" s="53"/>
      <c r="V1737" s="53"/>
      <c r="W1737" s="53"/>
      <c r="X1737" s="53"/>
      <c r="Y1737" s="53"/>
      <c r="Z1737" s="53"/>
    </row>
    <row r="1738" spans="1:26" ht="15.75" customHeight="1">
      <c r="A1738" s="103"/>
      <c r="B1738" s="103"/>
      <c r="C1738" s="104" t="e">
        <v>#REF!</v>
      </c>
      <c r="D1738" s="103"/>
      <c r="E1738" s="53"/>
      <c r="F1738" s="53"/>
      <c r="G1738" s="53"/>
      <c r="H1738" s="53"/>
      <c r="I1738" s="53"/>
      <c r="J1738" s="53"/>
      <c r="K1738" s="53"/>
      <c r="L1738" s="53"/>
      <c r="M1738" s="53"/>
      <c r="N1738" s="53"/>
      <c r="O1738" s="53"/>
      <c r="P1738" s="53"/>
      <c r="Q1738" s="53"/>
      <c r="R1738" s="53"/>
      <c r="S1738" s="53"/>
      <c r="T1738" s="53"/>
      <c r="U1738" s="53"/>
      <c r="V1738" s="53"/>
      <c r="W1738" s="53"/>
      <c r="X1738" s="53"/>
      <c r="Y1738" s="53"/>
      <c r="Z1738" s="53"/>
    </row>
    <row r="1739" spans="1:26" ht="15.75" customHeight="1">
      <c r="A1739" s="103"/>
      <c r="B1739" s="103"/>
      <c r="C1739" s="104" t="e">
        <v>#REF!</v>
      </c>
      <c r="D1739" s="103"/>
      <c r="E1739" s="53"/>
      <c r="F1739" s="53"/>
      <c r="G1739" s="53"/>
      <c r="H1739" s="53"/>
      <c r="I1739" s="53"/>
      <c r="J1739" s="53"/>
      <c r="K1739" s="53"/>
      <c r="L1739" s="53"/>
      <c r="M1739" s="53"/>
      <c r="N1739" s="53"/>
      <c r="O1739" s="53"/>
      <c r="P1739" s="53"/>
      <c r="Q1739" s="53"/>
      <c r="R1739" s="53"/>
      <c r="S1739" s="53"/>
      <c r="T1739" s="53"/>
      <c r="U1739" s="53"/>
      <c r="V1739" s="53"/>
      <c r="W1739" s="53"/>
      <c r="X1739" s="53"/>
      <c r="Y1739" s="53"/>
      <c r="Z1739" s="53"/>
    </row>
    <row r="1740" spans="1:26" ht="15.75" customHeight="1">
      <c r="A1740" s="103"/>
      <c r="B1740" s="103"/>
      <c r="C1740" s="104" t="e">
        <v>#REF!</v>
      </c>
      <c r="D1740" s="103"/>
      <c r="E1740" s="53"/>
      <c r="F1740" s="53"/>
      <c r="G1740" s="53"/>
      <c r="H1740" s="53"/>
      <c r="I1740" s="53"/>
      <c r="J1740" s="53"/>
      <c r="K1740" s="53"/>
      <c r="L1740" s="53"/>
      <c r="M1740" s="53"/>
      <c r="N1740" s="53"/>
      <c r="O1740" s="53"/>
      <c r="P1740" s="53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</row>
    <row r="1741" spans="1:26" ht="15.75" customHeight="1">
      <c r="A1741" s="103"/>
      <c r="B1741" s="103"/>
      <c r="C1741" s="104" t="e">
        <v>#REF!</v>
      </c>
      <c r="D1741" s="103"/>
      <c r="E1741" s="53"/>
      <c r="F1741" s="53"/>
      <c r="G1741" s="53"/>
      <c r="H1741" s="53"/>
      <c r="I1741" s="53"/>
      <c r="J1741" s="53"/>
      <c r="K1741" s="53"/>
      <c r="L1741" s="53"/>
      <c r="M1741" s="53"/>
      <c r="N1741" s="53"/>
      <c r="O1741" s="53"/>
      <c r="P1741" s="53"/>
      <c r="Q1741" s="53"/>
      <c r="R1741" s="53"/>
      <c r="S1741" s="53"/>
      <c r="T1741" s="53"/>
      <c r="U1741" s="53"/>
      <c r="V1741" s="53"/>
      <c r="W1741" s="53"/>
      <c r="X1741" s="53"/>
      <c r="Y1741" s="53"/>
      <c r="Z1741" s="53"/>
    </row>
    <row r="1742" spans="1:26" ht="15.75" customHeight="1">
      <c r="A1742" s="103"/>
      <c r="B1742" s="103"/>
      <c r="C1742" s="104" t="e">
        <v>#REF!</v>
      </c>
      <c r="D1742" s="103"/>
      <c r="E1742" s="53"/>
      <c r="F1742" s="53"/>
      <c r="G1742" s="53"/>
      <c r="H1742" s="53"/>
      <c r="I1742" s="53"/>
      <c r="J1742" s="53"/>
      <c r="K1742" s="53"/>
      <c r="L1742" s="53"/>
      <c r="M1742" s="53"/>
      <c r="N1742" s="53"/>
      <c r="O1742" s="53"/>
      <c r="P1742" s="53"/>
      <c r="Q1742" s="53"/>
      <c r="R1742" s="53"/>
      <c r="S1742" s="53"/>
      <c r="T1742" s="53"/>
      <c r="U1742" s="53"/>
      <c r="V1742" s="53"/>
      <c r="W1742" s="53"/>
      <c r="X1742" s="53"/>
      <c r="Y1742" s="53"/>
      <c r="Z1742" s="53"/>
    </row>
    <row r="1743" spans="1:26" ht="15.75" customHeight="1">
      <c r="A1743" s="103"/>
      <c r="B1743" s="103"/>
      <c r="C1743" s="104" t="e">
        <v>#REF!</v>
      </c>
      <c r="D1743" s="103"/>
      <c r="E1743" s="53"/>
      <c r="F1743" s="53"/>
      <c r="G1743" s="53"/>
      <c r="H1743" s="53"/>
      <c r="I1743" s="53"/>
      <c r="J1743" s="53"/>
      <c r="K1743" s="53"/>
      <c r="L1743" s="53"/>
      <c r="M1743" s="53"/>
      <c r="N1743" s="53"/>
      <c r="O1743" s="53"/>
      <c r="P1743" s="53"/>
      <c r="Q1743" s="53"/>
      <c r="R1743" s="53"/>
      <c r="S1743" s="53"/>
      <c r="T1743" s="53"/>
      <c r="U1743" s="53"/>
      <c r="V1743" s="53"/>
      <c r="W1743" s="53"/>
      <c r="X1743" s="53"/>
      <c r="Y1743" s="53"/>
      <c r="Z1743" s="53"/>
    </row>
    <row r="1744" spans="1:26" ht="15.75" customHeight="1">
      <c r="A1744" s="103"/>
      <c r="B1744" s="103"/>
      <c r="C1744" s="104" t="e">
        <v>#REF!</v>
      </c>
      <c r="D1744" s="103"/>
      <c r="E1744" s="53"/>
      <c r="F1744" s="53"/>
      <c r="G1744" s="53"/>
      <c r="H1744" s="53"/>
      <c r="I1744" s="53"/>
      <c r="J1744" s="53"/>
      <c r="K1744" s="53"/>
      <c r="L1744" s="53"/>
      <c r="M1744" s="53"/>
      <c r="N1744" s="53"/>
      <c r="O1744" s="53"/>
      <c r="P1744" s="53"/>
      <c r="Q1744" s="53"/>
      <c r="R1744" s="53"/>
      <c r="S1744" s="53"/>
      <c r="T1744" s="53"/>
      <c r="U1744" s="53"/>
      <c r="V1744" s="53"/>
      <c r="W1744" s="53"/>
      <c r="X1744" s="53"/>
      <c r="Y1744" s="53"/>
      <c r="Z1744" s="53"/>
    </row>
    <row r="1745" spans="1:26" ht="15.75" customHeight="1">
      <c r="A1745" s="103"/>
      <c r="B1745" s="103"/>
      <c r="C1745" s="104" t="e">
        <v>#REF!</v>
      </c>
      <c r="D1745" s="103"/>
      <c r="E1745" s="53"/>
      <c r="F1745" s="53"/>
      <c r="G1745" s="53"/>
      <c r="H1745" s="53"/>
      <c r="I1745" s="53"/>
      <c r="J1745" s="53"/>
      <c r="K1745" s="53"/>
      <c r="L1745" s="53"/>
      <c r="M1745" s="53"/>
      <c r="N1745" s="53"/>
      <c r="O1745" s="53"/>
      <c r="P1745" s="53"/>
      <c r="Q1745" s="53"/>
      <c r="R1745" s="53"/>
      <c r="S1745" s="53"/>
      <c r="T1745" s="53"/>
      <c r="U1745" s="53"/>
      <c r="V1745" s="53"/>
      <c r="W1745" s="53"/>
      <c r="X1745" s="53"/>
      <c r="Y1745" s="53"/>
      <c r="Z1745" s="53"/>
    </row>
    <row r="1746" spans="1:26" ht="15.75" customHeight="1">
      <c r="A1746" s="103"/>
      <c r="B1746" s="103"/>
      <c r="C1746" s="104" t="e">
        <v>#REF!</v>
      </c>
      <c r="D1746" s="103"/>
      <c r="E1746" s="53"/>
      <c r="F1746" s="53"/>
      <c r="G1746" s="53"/>
      <c r="H1746" s="53"/>
      <c r="I1746" s="53"/>
      <c r="J1746" s="53"/>
      <c r="K1746" s="53"/>
      <c r="L1746" s="53"/>
      <c r="M1746" s="53"/>
      <c r="N1746" s="53"/>
      <c r="O1746" s="53"/>
      <c r="P1746" s="53"/>
      <c r="Q1746" s="53"/>
      <c r="R1746" s="53"/>
      <c r="S1746" s="53"/>
      <c r="T1746" s="53"/>
      <c r="U1746" s="53"/>
      <c r="V1746" s="53"/>
      <c r="W1746" s="53"/>
      <c r="X1746" s="53"/>
      <c r="Y1746" s="53"/>
      <c r="Z1746" s="53"/>
    </row>
    <row r="1747" spans="1:26" ht="15.75" customHeight="1">
      <c r="A1747" s="103"/>
      <c r="B1747" s="103"/>
      <c r="C1747" s="104" t="e">
        <v>#REF!</v>
      </c>
      <c r="D1747" s="103"/>
      <c r="E1747" s="53"/>
      <c r="F1747" s="53"/>
      <c r="G1747" s="53"/>
      <c r="H1747" s="53"/>
      <c r="I1747" s="53"/>
      <c r="J1747" s="53"/>
      <c r="K1747" s="53"/>
      <c r="L1747" s="53"/>
      <c r="M1747" s="53"/>
      <c r="N1747" s="53"/>
      <c r="O1747" s="53"/>
      <c r="P1747" s="53"/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</row>
    <row r="1748" spans="1:26" ht="15.75" customHeight="1">
      <c r="A1748" s="103"/>
      <c r="B1748" s="103"/>
      <c r="C1748" s="104" t="e">
        <v>#REF!</v>
      </c>
      <c r="D1748" s="103"/>
      <c r="E1748" s="53"/>
      <c r="F1748" s="53"/>
      <c r="G1748" s="53"/>
      <c r="H1748" s="53"/>
      <c r="I1748" s="53"/>
      <c r="J1748" s="53"/>
      <c r="K1748" s="53"/>
      <c r="L1748" s="53"/>
      <c r="M1748" s="53"/>
      <c r="N1748" s="53"/>
      <c r="O1748" s="53"/>
      <c r="P1748" s="53"/>
      <c r="Q1748" s="53"/>
      <c r="R1748" s="53"/>
      <c r="S1748" s="53"/>
      <c r="T1748" s="53"/>
      <c r="U1748" s="53"/>
      <c r="V1748" s="53"/>
      <c r="W1748" s="53"/>
      <c r="X1748" s="53"/>
      <c r="Y1748" s="53"/>
      <c r="Z1748" s="53"/>
    </row>
    <row r="1749" spans="1:26" ht="15.75" customHeight="1">
      <c r="A1749" s="103"/>
      <c r="B1749" s="103"/>
      <c r="C1749" s="104" t="e">
        <v>#REF!</v>
      </c>
      <c r="D1749" s="103"/>
      <c r="E1749" s="53"/>
      <c r="F1749" s="53"/>
      <c r="G1749" s="53"/>
      <c r="H1749" s="53"/>
      <c r="I1749" s="53"/>
      <c r="J1749" s="53"/>
      <c r="K1749" s="53"/>
      <c r="L1749" s="53"/>
      <c r="M1749" s="53"/>
      <c r="N1749" s="53"/>
      <c r="O1749" s="53"/>
      <c r="P1749" s="53"/>
      <c r="Q1749" s="53"/>
      <c r="R1749" s="53"/>
      <c r="S1749" s="53"/>
      <c r="T1749" s="53"/>
      <c r="U1749" s="53"/>
      <c r="V1749" s="53"/>
      <c r="W1749" s="53"/>
      <c r="X1749" s="53"/>
      <c r="Y1749" s="53"/>
      <c r="Z1749" s="53"/>
    </row>
    <row r="1750" spans="1:26" ht="15.75" customHeight="1">
      <c r="A1750" s="103"/>
      <c r="B1750" s="103"/>
      <c r="C1750" s="104" t="e">
        <v>#REF!</v>
      </c>
      <c r="D1750" s="103"/>
      <c r="E1750" s="53"/>
      <c r="F1750" s="53"/>
      <c r="G1750" s="53"/>
      <c r="H1750" s="53"/>
      <c r="I1750" s="53"/>
      <c r="J1750" s="53"/>
      <c r="K1750" s="53"/>
      <c r="L1750" s="53"/>
      <c r="M1750" s="53"/>
      <c r="N1750" s="53"/>
      <c r="O1750" s="53"/>
      <c r="P1750" s="53"/>
      <c r="Q1750" s="53"/>
      <c r="R1750" s="53"/>
      <c r="S1750" s="53"/>
      <c r="T1750" s="53"/>
      <c r="U1750" s="53"/>
      <c r="V1750" s="53"/>
      <c r="W1750" s="53"/>
      <c r="X1750" s="53"/>
      <c r="Y1750" s="53"/>
      <c r="Z1750" s="53"/>
    </row>
    <row r="1751" spans="1:26" ht="15.75" customHeight="1">
      <c r="A1751" s="103"/>
      <c r="B1751" s="103"/>
      <c r="C1751" s="104" t="e">
        <v>#REF!</v>
      </c>
      <c r="D1751" s="103"/>
      <c r="E1751" s="53"/>
      <c r="F1751" s="53"/>
      <c r="G1751" s="53"/>
      <c r="H1751" s="53"/>
      <c r="I1751" s="53"/>
      <c r="J1751" s="53"/>
      <c r="K1751" s="53"/>
      <c r="L1751" s="53"/>
      <c r="M1751" s="53"/>
      <c r="N1751" s="53"/>
      <c r="O1751" s="53"/>
      <c r="P1751" s="53"/>
      <c r="Q1751" s="53"/>
      <c r="R1751" s="53"/>
      <c r="S1751" s="53"/>
      <c r="T1751" s="53"/>
      <c r="U1751" s="53"/>
      <c r="V1751" s="53"/>
      <c r="W1751" s="53"/>
      <c r="X1751" s="53"/>
      <c r="Y1751" s="53"/>
      <c r="Z1751" s="53"/>
    </row>
    <row r="1752" spans="1:26" ht="15.75" customHeight="1">
      <c r="A1752" s="103"/>
      <c r="B1752" s="103"/>
      <c r="C1752" s="104" t="e">
        <v>#REF!</v>
      </c>
      <c r="D1752" s="103"/>
      <c r="E1752" s="53"/>
      <c r="F1752" s="53"/>
      <c r="G1752" s="53"/>
      <c r="H1752" s="53"/>
      <c r="I1752" s="53"/>
      <c r="J1752" s="53"/>
      <c r="K1752" s="53"/>
      <c r="L1752" s="53"/>
      <c r="M1752" s="53"/>
      <c r="N1752" s="53"/>
      <c r="O1752" s="53"/>
      <c r="P1752" s="53"/>
      <c r="Q1752" s="53"/>
      <c r="R1752" s="53"/>
      <c r="S1752" s="53"/>
      <c r="T1752" s="53"/>
      <c r="U1752" s="53"/>
      <c r="V1752" s="53"/>
      <c r="W1752" s="53"/>
      <c r="X1752" s="53"/>
      <c r="Y1752" s="53"/>
      <c r="Z1752" s="53"/>
    </row>
    <row r="1753" spans="1:26" ht="15.75" customHeight="1">
      <c r="A1753" s="103"/>
      <c r="B1753" s="103"/>
      <c r="C1753" s="104" t="e">
        <v>#REF!</v>
      </c>
      <c r="D1753" s="103"/>
      <c r="E1753" s="53"/>
      <c r="F1753" s="53"/>
      <c r="G1753" s="53"/>
      <c r="H1753" s="53"/>
      <c r="I1753" s="53"/>
      <c r="J1753" s="53"/>
      <c r="K1753" s="53"/>
      <c r="L1753" s="53"/>
      <c r="M1753" s="53"/>
      <c r="N1753" s="53"/>
      <c r="O1753" s="53"/>
      <c r="P1753" s="53"/>
      <c r="Q1753" s="53"/>
      <c r="R1753" s="53"/>
      <c r="S1753" s="53"/>
      <c r="T1753" s="53"/>
      <c r="U1753" s="53"/>
      <c r="V1753" s="53"/>
      <c r="W1753" s="53"/>
      <c r="X1753" s="53"/>
      <c r="Y1753" s="53"/>
      <c r="Z1753" s="53"/>
    </row>
    <row r="1754" spans="1:26" ht="15.75" customHeight="1">
      <c r="A1754" s="103"/>
      <c r="B1754" s="103"/>
      <c r="C1754" s="104" t="e">
        <v>#REF!</v>
      </c>
      <c r="D1754" s="103"/>
      <c r="E1754" s="53"/>
      <c r="F1754" s="53"/>
      <c r="G1754" s="53"/>
      <c r="H1754" s="53"/>
      <c r="I1754" s="53"/>
      <c r="J1754" s="53"/>
      <c r="K1754" s="53"/>
      <c r="L1754" s="53"/>
      <c r="M1754" s="53"/>
      <c r="N1754" s="53"/>
      <c r="O1754" s="53"/>
      <c r="P1754" s="53"/>
      <c r="Q1754" s="53"/>
      <c r="R1754" s="53"/>
      <c r="S1754" s="53"/>
      <c r="T1754" s="53"/>
      <c r="U1754" s="53"/>
      <c r="V1754" s="53"/>
      <c r="W1754" s="53"/>
      <c r="X1754" s="53"/>
      <c r="Y1754" s="53"/>
      <c r="Z1754" s="53"/>
    </row>
    <row r="1755" spans="1:26" ht="15.75" customHeight="1">
      <c r="A1755" s="103"/>
      <c r="B1755" s="103"/>
      <c r="C1755" s="104" t="e">
        <v>#REF!</v>
      </c>
      <c r="D1755" s="103"/>
      <c r="E1755" s="53"/>
      <c r="F1755" s="53"/>
      <c r="G1755" s="53"/>
      <c r="H1755" s="53"/>
      <c r="I1755" s="53"/>
      <c r="J1755" s="53"/>
      <c r="K1755" s="53"/>
      <c r="L1755" s="53"/>
      <c r="M1755" s="53"/>
      <c r="N1755" s="53"/>
      <c r="O1755" s="53"/>
      <c r="P1755" s="53"/>
      <c r="Q1755" s="53"/>
      <c r="R1755" s="53"/>
      <c r="S1755" s="53"/>
      <c r="T1755" s="53"/>
      <c r="U1755" s="53"/>
      <c r="V1755" s="53"/>
      <c r="W1755" s="53"/>
      <c r="X1755" s="53"/>
      <c r="Y1755" s="53"/>
      <c r="Z1755" s="53"/>
    </row>
    <row r="1756" spans="1:26" ht="15.75" customHeight="1">
      <c r="A1756" s="103"/>
      <c r="B1756" s="103"/>
      <c r="C1756" s="104" t="e">
        <v>#REF!</v>
      </c>
      <c r="D1756" s="103"/>
      <c r="E1756" s="53"/>
      <c r="F1756" s="53"/>
      <c r="G1756" s="53"/>
      <c r="H1756" s="53"/>
      <c r="I1756" s="53"/>
      <c r="J1756" s="53"/>
      <c r="K1756" s="53"/>
      <c r="L1756" s="53"/>
      <c r="M1756" s="53"/>
      <c r="N1756" s="53"/>
      <c r="O1756" s="53"/>
      <c r="P1756" s="53"/>
      <c r="Q1756" s="53"/>
      <c r="R1756" s="53"/>
      <c r="S1756" s="53"/>
      <c r="T1756" s="53"/>
      <c r="U1756" s="53"/>
      <c r="V1756" s="53"/>
      <c r="W1756" s="53"/>
      <c r="X1756" s="53"/>
      <c r="Y1756" s="53"/>
      <c r="Z1756" s="53"/>
    </row>
    <row r="1757" spans="1:26" ht="15.75" customHeight="1">
      <c r="A1757" s="103"/>
      <c r="B1757" s="103"/>
      <c r="C1757" s="104" t="e">
        <v>#REF!</v>
      </c>
      <c r="D1757" s="103"/>
      <c r="E1757" s="53"/>
      <c r="F1757" s="53"/>
      <c r="G1757" s="53"/>
      <c r="H1757" s="53"/>
      <c r="I1757" s="53"/>
      <c r="J1757" s="53"/>
      <c r="K1757" s="53"/>
      <c r="L1757" s="53"/>
      <c r="M1757" s="53"/>
      <c r="N1757" s="53"/>
      <c r="O1757" s="53"/>
      <c r="P1757" s="53"/>
      <c r="Q1757" s="53"/>
      <c r="R1757" s="53"/>
      <c r="S1757" s="53"/>
      <c r="T1757" s="53"/>
      <c r="U1757" s="53"/>
      <c r="V1757" s="53"/>
      <c r="W1757" s="53"/>
      <c r="X1757" s="53"/>
      <c r="Y1757" s="53"/>
      <c r="Z1757" s="53"/>
    </row>
    <row r="1758" spans="1:26" ht="15.75" customHeight="1">
      <c r="A1758" s="103"/>
      <c r="B1758" s="103"/>
      <c r="C1758" s="104" t="e">
        <v>#REF!</v>
      </c>
      <c r="D1758" s="103"/>
      <c r="E1758" s="53"/>
      <c r="F1758" s="53"/>
      <c r="G1758" s="53"/>
      <c r="H1758" s="53"/>
      <c r="I1758" s="53"/>
      <c r="J1758" s="53"/>
      <c r="K1758" s="53"/>
      <c r="L1758" s="53"/>
      <c r="M1758" s="53"/>
      <c r="N1758" s="53"/>
      <c r="O1758" s="53"/>
      <c r="P1758" s="53"/>
      <c r="Q1758" s="53"/>
      <c r="R1758" s="53"/>
      <c r="S1758" s="53"/>
      <c r="T1758" s="53"/>
      <c r="U1758" s="53"/>
      <c r="V1758" s="53"/>
      <c r="W1758" s="53"/>
      <c r="X1758" s="53"/>
      <c r="Y1758" s="53"/>
      <c r="Z1758" s="53"/>
    </row>
    <row r="1759" spans="1:26" ht="15.75" customHeight="1">
      <c r="A1759" s="103"/>
      <c r="B1759" s="103"/>
      <c r="C1759" s="104" t="e">
        <v>#REF!</v>
      </c>
      <c r="D1759" s="103"/>
      <c r="E1759" s="53"/>
      <c r="F1759" s="53"/>
      <c r="G1759" s="53"/>
      <c r="H1759" s="53"/>
      <c r="I1759" s="53"/>
      <c r="J1759" s="53"/>
      <c r="K1759" s="53"/>
      <c r="L1759" s="53"/>
      <c r="M1759" s="53"/>
      <c r="N1759" s="53"/>
      <c r="O1759" s="53"/>
      <c r="P1759" s="53"/>
      <c r="Q1759" s="53"/>
      <c r="R1759" s="53"/>
      <c r="S1759" s="53"/>
      <c r="T1759" s="53"/>
      <c r="U1759" s="53"/>
      <c r="V1759" s="53"/>
      <c r="W1759" s="53"/>
      <c r="X1759" s="53"/>
      <c r="Y1759" s="53"/>
      <c r="Z1759" s="53"/>
    </row>
    <row r="1760" spans="1:26" ht="15.75" customHeight="1">
      <c r="A1760" s="103"/>
      <c r="B1760" s="103"/>
      <c r="C1760" s="104" t="e">
        <v>#REF!</v>
      </c>
      <c r="D1760" s="103"/>
      <c r="E1760" s="53"/>
      <c r="F1760" s="53"/>
      <c r="G1760" s="53"/>
      <c r="H1760" s="53"/>
      <c r="I1760" s="53"/>
      <c r="J1760" s="53"/>
      <c r="K1760" s="53"/>
      <c r="L1760" s="53"/>
      <c r="M1760" s="53"/>
      <c r="N1760" s="53"/>
      <c r="O1760" s="53"/>
      <c r="P1760" s="53"/>
      <c r="Q1760" s="53"/>
      <c r="R1760" s="53"/>
      <c r="S1760" s="53"/>
      <c r="T1760" s="53"/>
      <c r="U1760" s="53"/>
      <c r="V1760" s="53"/>
      <c r="W1760" s="53"/>
      <c r="X1760" s="53"/>
      <c r="Y1760" s="53"/>
      <c r="Z1760" s="53"/>
    </row>
    <row r="1761" spans="1:26" ht="15.75" customHeight="1">
      <c r="A1761" s="103"/>
      <c r="B1761" s="103"/>
      <c r="C1761" s="104" t="e">
        <v>#REF!</v>
      </c>
      <c r="D1761" s="103"/>
      <c r="E1761" s="53"/>
      <c r="F1761" s="53"/>
      <c r="G1761" s="53"/>
      <c r="H1761" s="53"/>
      <c r="I1761" s="53"/>
      <c r="J1761" s="53"/>
      <c r="K1761" s="53"/>
      <c r="L1761" s="53"/>
      <c r="M1761" s="53"/>
      <c r="N1761" s="53"/>
      <c r="O1761" s="53"/>
      <c r="P1761" s="53"/>
      <c r="Q1761" s="53"/>
      <c r="R1761" s="53"/>
      <c r="S1761" s="53"/>
      <c r="T1761" s="53"/>
      <c r="U1761" s="53"/>
      <c r="V1761" s="53"/>
      <c r="W1761" s="53"/>
      <c r="X1761" s="53"/>
      <c r="Y1761" s="53"/>
      <c r="Z1761" s="53"/>
    </row>
    <row r="1762" spans="1:26" ht="15.75" customHeight="1">
      <c r="A1762" s="103"/>
      <c r="B1762" s="103"/>
      <c r="C1762" s="104" t="e">
        <v>#REF!</v>
      </c>
      <c r="D1762" s="103"/>
      <c r="E1762" s="53"/>
      <c r="F1762" s="53"/>
      <c r="G1762" s="53"/>
      <c r="H1762" s="53"/>
      <c r="I1762" s="53"/>
      <c r="J1762" s="53"/>
      <c r="K1762" s="53"/>
      <c r="L1762" s="53"/>
      <c r="M1762" s="53"/>
      <c r="N1762" s="53"/>
      <c r="O1762" s="53"/>
      <c r="P1762" s="53"/>
      <c r="Q1762" s="53"/>
      <c r="R1762" s="53"/>
      <c r="S1762" s="53"/>
      <c r="T1762" s="53"/>
      <c r="U1762" s="53"/>
      <c r="V1762" s="53"/>
      <c r="W1762" s="53"/>
      <c r="X1762" s="53"/>
      <c r="Y1762" s="53"/>
      <c r="Z1762" s="53"/>
    </row>
    <row r="1763" spans="1:26" ht="15.75" customHeight="1">
      <c r="A1763" s="103"/>
      <c r="B1763" s="103"/>
      <c r="C1763" s="104" t="e">
        <v>#REF!</v>
      </c>
      <c r="D1763" s="103"/>
      <c r="E1763" s="53"/>
      <c r="F1763" s="53"/>
      <c r="G1763" s="53"/>
      <c r="H1763" s="53"/>
      <c r="I1763" s="53"/>
      <c r="J1763" s="53"/>
      <c r="K1763" s="53"/>
      <c r="L1763" s="53"/>
      <c r="M1763" s="53"/>
      <c r="N1763" s="53"/>
      <c r="O1763" s="53"/>
      <c r="P1763" s="53"/>
      <c r="Q1763" s="53"/>
      <c r="R1763" s="53"/>
      <c r="S1763" s="53"/>
      <c r="T1763" s="53"/>
      <c r="U1763" s="53"/>
      <c r="V1763" s="53"/>
      <c r="W1763" s="53"/>
      <c r="X1763" s="53"/>
      <c r="Y1763" s="53"/>
      <c r="Z1763" s="53"/>
    </row>
    <row r="1764" spans="1:26" ht="15.75" customHeight="1">
      <c r="A1764" s="103"/>
      <c r="B1764" s="103"/>
      <c r="C1764" s="104" t="e">
        <v>#REF!</v>
      </c>
      <c r="D1764" s="103"/>
      <c r="E1764" s="53"/>
      <c r="F1764" s="53"/>
      <c r="G1764" s="53"/>
      <c r="H1764" s="53"/>
      <c r="I1764" s="53"/>
      <c r="J1764" s="53"/>
      <c r="K1764" s="53"/>
      <c r="L1764" s="53"/>
      <c r="M1764" s="53"/>
      <c r="N1764" s="53"/>
      <c r="O1764" s="53"/>
      <c r="P1764" s="53"/>
      <c r="Q1764" s="53"/>
      <c r="R1764" s="53"/>
      <c r="S1764" s="53"/>
      <c r="T1764" s="53"/>
      <c r="U1764" s="53"/>
      <c r="V1764" s="53"/>
      <c r="W1764" s="53"/>
      <c r="X1764" s="53"/>
      <c r="Y1764" s="53"/>
      <c r="Z1764" s="53"/>
    </row>
    <row r="1765" spans="1:26" ht="15.75" customHeight="1">
      <c r="A1765" s="103"/>
      <c r="B1765" s="103"/>
      <c r="C1765" s="104" t="e">
        <v>#REF!</v>
      </c>
      <c r="D1765" s="103"/>
      <c r="E1765" s="53"/>
      <c r="F1765" s="53"/>
      <c r="G1765" s="53"/>
      <c r="H1765" s="53"/>
      <c r="I1765" s="53"/>
      <c r="J1765" s="53"/>
      <c r="K1765" s="53"/>
      <c r="L1765" s="53"/>
      <c r="M1765" s="53"/>
      <c r="N1765" s="53"/>
      <c r="O1765" s="53"/>
      <c r="P1765" s="53"/>
      <c r="Q1765" s="53"/>
      <c r="R1765" s="53"/>
      <c r="S1765" s="53"/>
      <c r="T1765" s="53"/>
      <c r="U1765" s="53"/>
      <c r="V1765" s="53"/>
      <c r="W1765" s="53"/>
      <c r="X1765" s="53"/>
      <c r="Y1765" s="53"/>
      <c r="Z1765" s="53"/>
    </row>
    <row r="1766" spans="1:26" ht="15.75" customHeight="1">
      <c r="A1766" s="103"/>
      <c r="B1766" s="103"/>
      <c r="C1766" s="104" t="e">
        <v>#REF!</v>
      </c>
      <c r="D1766" s="103"/>
      <c r="E1766" s="53"/>
      <c r="F1766" s="53"/>
      <c r="G1766" s="53"/>
      <c r="H1766" s="53"/>
      <c r="I1766" s="53"/>
      <c r="J1766" s="53"/>
      <c r="K1766" s="53"/>
      <c r="L1766" s="53"/>
      <c r="M1766" s="53"/>
      <c r="N1766" s="53"/>
      <c r="O1766" s="53"/>
      <c r="P1766" s="53"/>
      <c r="Q1766" s="53"/>
      <c r="R1766" s="53"/>
      <c r="S1766" s="53"/>
      <c r="T1766" s="53"/>
      <c r="U1766" s="53"/>
      <c r="V1766" s="53"/>
      <c r="W1766" s="53"/>
      <c r="X1766" s="53"/>
      <c r="Y1766" s="53"/>
      <c r="Z1766" s="53"/>
    </row>
    <row r="1767" spans="1:26" ht="15.75" customHeight="1">
      <c r="A1767" s="103"/>
      <c r="B1767" s="103"/>
      <c r="C1767" s="104" t="e">
        <v>#REF!</v>
      </c>
      <c r="D1767" s="103"/>
      <c r="E1767" s="53"/>
      <c r="F1767" s="53"/>
      <c r="G1767" s="53"/>
      <c r="H1767" s="53"/>
      <c r="I1767" s="53"/>
      <c r="J1767" s="53"/>
      <c r="K1767" s="53"/>
      <c r="L1767" s="53"/>
      <c r="M1767" s="53"/>
      <c r="N1767" s="53"/>
      <c r="O1767" s="53"/>
      <c r="P1767" s="53"/>
      <c r="Q1767" s="53"/>
      <c r="R1767" s="53"/>
      <c r="S1767" s="53"/>
      <c r="T1767" s="53"/>
      <c r="U1767" s="53"/>
      <c r="V1767" s="53"/>
      <c r="W1767" s="53"/>
      <c r="X1767" s="53"/>
      <c r="Y1767" s="53"/>
      <c r="Z1767" s="53"/>
    </row>
    <row r="1768" spans="1:26" ht="15.75" customHeight="1">
      <c r="A1768" s="103"/>
      <c r="B1768" s="103"/>
      <c r="C1768" s="104" t="e">
        <v>#REF!</v>
      </c>
      <c r="D1768" s="103"/>
      <c r="E1768" s="53"/>
      <c r="F1768" s="53"/>
      <c r="G1768" s="53"/>
      <c r="H1768" s="53"/>
      <c r="I1768" s="53"/>
      <c r="J1768" s="53"/>
      <c r="K1768" s="53"/>
      <c r="L1768" s="53"/>
      <c r="M1768" s="53"/>
      <c r="N1768" s="53"/>
      <c r="O1768" s="53"/>
      <c r="P1768" s="53"/>
      <c r="Q1768" s="53"/>
      <c r="R1768" s="53"/>
      <c r="S1768" s="53"/>
      <c r="T1768" s="53"/>
      <c r="U1768" s="53"/>
      <c r="V1768" s="53"/>
      <c r="W1768" s="53"/>
      <c r="X1768" s="53"/>
      <c r="Y1768" s="53"/>
      <c r="Z1768" s="53"/>
    </row>
    <row r="1769" spans="1:26" ht="15.75" customHeight="1">
      <c r="A1769" s="103"/>
      <c r="B1769" s="103"/>
      <c r="C1769" s="104" t="e">
        <v>#REF!</v>
      </c>
      <c r="D1769" s="103"/>
      <c r="E1769" s="53"/>
      <c r="F1769" s="53"/>
      <c r="G1769" s="53"/>
      <c r="H1769" s="53"/>
      <c r="I1769" s="53"/>
      <c r="J1769" s="53"/>
      <c r="K1769" s="53"/>
      <c r="L1769" s="53"/>
      <c r="M1769" s="53"/>
      <c r="N1769" s="53"/>
      <c r="O1769" s="53"/>
      <c r="P1769" s="53"/>
      <c r="Q1769" s="53"/>
      <c r="R1769" s="53"/>
      <c r="S1769" s="53"/>
      <c r="T1769" s="53"/>
      <c r="U1769" s="53"/>
      <c r="V1769" s="53"/>
      <c r="W1769" s="53"/>
      <c r="X1769" s="53"/>
      <c r="Y1769" s="53"/>
      <c r="Z1769" s="53"/>
    </row>
    <row r="1770" spans="1:26" ht="15.75" customHeight="1">
      <c r="A1770" s="103"/>
      <c r="B1770" s="103"/>
      <c r="C1770" s="104" t="e">
        <v>#REF!</v>
      </c>
      <c r="D1770" s="103"/>
      <c r="E1770" s="53"/>
      <c r="F1770" s="53"/>
      <c r="G1770" s="53"/>
      <c r="H1770" s="53"/>
      <c r="I1770" s="53"/>
      <c r="J1770" s="53"/>
      <c r="K1770" s="53"/>
      <c r="L1770" s="53"/>
      <c r="M1770" s="53"/>
      <c r="N1770" s="53"/>
      <c r="O1770" s="53"/>
      <c r="P1770" s="53"/>
      <c r="Q1770" s="53"/>
      <c r="R1770" s="53"/>
      <c r="S1770" s="53"/>
      <c r="T1770" s="53"/>
      <c r="U1770" s="53"/>
      <c r="V1770" s="53"/>
      <c r="W1770" s="53"/>
      <c r="X1770" s="53"/>
      <c r="Y1770" s="53"/>
      <c r="Z1770" s="53"/>
    </row>
    <row r="1771" spans="1:26" ht="15.75" customHeight="1">
      <c r="A1771" s="103"/>
      <c r="B1771" s="103"/>
      <c r="C1771" s="104" t="e">
        <v>#REF!</v>
      </c>
      <c r="D1771" s="103"/>
      <c r="E1771" s="53"/>
      <c r="F1771" s="53"/>
      <c r="G1771" s="53"/>
      <c r="H1771" s="53"/>
      <c r="I1771" s="53"/>
      <c r="J1771" s="53"/>
      <c r="K1771" s="53"/>
      <c r="L1771" s="53"/>
      <c r="M1771" s="53"/>
      <c r="N1771" s="53"/>
      <c r="O1771" s="53"/>
      <c r="P1771" s="53"/>
      <c r="Q1771" s="53"/>
      <c r="R1771" s="53"/>
      <c r="S1771" s="53"/>
      <c r="T1771" s="53"/>
      <c r="U1771" s="53"/>
      <c r="V1771" s="53"/>
      <c r="W1771" s="53"/>
      <c r="X1771" s="53"/>
      <c r="Y1771" s="53"/>
      <c r="Z1771" s="53"/>
    </row>
    <row r="1772" spans="1:26" ht="15.75" customHeight="1">
      <c r="A1772" s="103"/>
      <c r="B1772" s="103"/>
      <c r="C1772" s="104" t="e">
        <v>#REF!</v>
      </c>
      <c r="D1772" s="103"/>
      <c r="E1772" s="53"/>
      <c r="F1772" s="53"/>
      <c r="G1772" s="53"/>
      <c r="H1772" s="53"/>
      <c r="I1772" s="53"/>
      <c r="J1772" s="53"/>
      <c r="K1772" s="53"/>
      <c r="L1772" s="53"/>
      <c r="M1772" s="53"/>
      <c r="N1772" s="53"/>
      <c r="O1772" s="53"/>
      <c r="P1772" s="53"/>
      <c r="Q1772" s="53"/>
      <c r="R1772" s="53"/>
      <c r="S1772" s="53"/>
      <c r="T1772" s="53"/>
      <c r="U1772" s="53"/>
      <c r="V1772" s="53"/>
      <c r="W1772" s="53"/>
      <c r="X1772" s="53"/>
      <c r="Y1772" s="53"/>
      <c r="Z1772" s="53"/>
    </row>
    <row r="1773" spans="1:26" ht="15.75" customHeight="1">
      <c r="A1773" s="103"/>
      <c r="B1773" s="103"/>
      <c r="C1773" s="104" t="e">
        <v>#REF!</v>
      </c>
      <c r="D1773" s="103"/>
      <c r="E1773" s="53"/>
      <c r="F1773" s="53"/>
      <c r="G1773" s="53"/>
      <c r="H1773" s="53"/>
      <c r="I1773" s="53"/>
      <c r="J1773" s="53"/>
      <c r="K1773" s="53"/>
      <c r="L1773" s="53"/>
      <c r="M1773" s="53"/>
      <c r="N1773" s="53"/>
      <c r="O1773" s="53"/>
      <c r="P1773" s="53"/>
      <c r="Q1773" s="53"/>
      <c r="R1773" s="53"/>
      <c r="S1773" s="53"/>
      <c r="T1773" s="53"/>
      <c r="U1773" s="53"/>
      <c r="V1773" s="53"/>
      <c r="W1773" s="53"/>
      <c r="X1773" s="53"/>
      <c r="Y1773" s="53"/>
      <c r="Z1773" s="53"/>
    </row>
    <row r="1774" spans="1:26" ht="15.75" customHeight="1">
      <c r="A1774" s="103"/>
      <c r="B1774" s="103"/>
      <c r="C1774" s="104" t="e">
        <v>#REF!</v>
      </c>
      <c r="D1774" s="103"/>
      <c r="E1774" s="53"/>
      <c r="F1774" s="53"/>
      <c r="G1774" s="53"/>
      <c r="H1774" s="53"/>
      <c r="I1774" s="53"/>
      <c r="J1774" s="53"/>
      <c r="K1774" s="53"/>
      <c r="L1774" s="53"/>
      <c r="M1774" s="53"/>
      <c r="N1774" s="53"/>
      <c r="O1774" s="53"/>
      <c r="P1774" s="53"/>
      <c r="Q1774" s="53"/>
      <c r="R1774" s="53"/>
      <c r="S1774" s="53"/>
      <c r="T1774" s="53"/>
      <c r="U1774" s="53"/>
      <c r="V1774" s="53"/>
      <c r="W1774" s="53"/>
      <c r="X1774" s="53"/>
      <c r="Y1774" s="53"/>
      <c r="Z1774" s="53"/>
    </row>
    <row r="1775" spans="1:26" ht="15.75" customHeight="1">
      <c r="A1775" s="103"/>
      <c r="B1775" s="103"/>
      <c r="C1775" s="104" t="e">
        <v>#REF!</v>
      </c>
      <c r="D1775" s="103"/>
      <c r="E1775" s="53"/>
      <c r="F1775" s="53"/>
      <c r="G1775" s="53"/>
      <c r="H1775" s="53"/>
      <c r="I1775" s="53"/>
      <c r="J1775" s="53"/>
      <c r="K1775" s="53"/>
      <c r="L1775" s="53"/>
      <c r="M1775" s="53"/>
      <c r="N1775" s="53"/>
      <c r="O1775" s="53"/>
      <c r="P1775" s="53"/>
      <c r="Q1775" s="53"/>
      <c r="R1775" s="53"/>
      <c r="S1775" s="53"/>
      <c r="T1775" s="53"/>
      <c r="U1775" s="53"/>
      <c r="V1775" s="53"/>
      <c r="W1775" s="53"/>
      <c r="X1775" s="53"/>
      <c r="Y1775" s="53"/>
      <c r="Z1775" s="53"/>
    </row>
    <row r="1776" spans="1:26" ht="15.75" customHeight="1">
      <c r="A1776" s="103"/>
      <c r="B1776" s="103"/>
      <c r="C1776" s="104" t="e">
        <v>#REF!</v>
      </c>
      <c r="D1776" s="103"/>
      <c r="E1776" s="53"/>
      <c r="F1776" s="53"/>
      <c r="G1776" s="53"/>
      <c r="H1776" s="53"/>
      <c r="I1776" s="53"/>
      <c r="J1776" s="53"/>
      <c r="K1776" s="53"/>
      <c r="L1776" s="53"/>
      <c r="M1776" s="53"/>
      <c r="N1776" s="53"/>
      <c r="O1776" s="53"/>
      <c r="P1776" s="53"/>
      <c r="Q1776" s="53"/>
      <c r="R1776" s="53"/>
      <c r="S1776" s="53"/>
      <c r="T1776" s="53"/>
      <c r="U1776" s="53"/>
      <c r="V1776" s="53"/>
      <c r="W1776" s="53"/>
      <c r="X1776" s="53"/>
      <c r="Y1776" s="53"/>
      <c r="Z1776" s="53"/>
    </row>
    <row r="1777" spans="1:26" ht="15.75" customHeight="1">
      <c r="A1777" s="103"/>
      <c r="B1777" s="103"/>
      <c r="C1777" s="104" t="e">
        <v>#REF!</v>
      </c>
      <c r="D1777" s="103"/>
      <c r="E1777" s="53"/>
      <c r="F1777" s="53"/>
      <c r="G1777" s="53"/>
      <c r="H1777" s="53"/>
      <c r="I1777" s="53"/>
      <c r="J1777" s="53"/>
      <c r="K1777" s="53"/>
      <c r="L1777" s="53"/>
      <c r="M1777" s="53"/>
      <c r="N1777" s="53"/>
      <c r="O1777" s="53"/>
      <c r="P1777" s="53"/>
      <c r="Q1777" s="53"/>
      <c r="R1777" s="53"/>
      <c r="S1777" s="53"/>
      <c r="T1777" s="53"/>
      <c r="U1777" s="53"/>
      <c r="V1777" s="53"/>
      <c r="W1777" s="53"/>
      <c r="X1777" s="53"/>
      <c r="Y1777" s="53"/>
      <c r="Z1777" s="53"/>
    </row>
    <row r="1778" spans="1:26" ht="15.75" customHeight="1">
      <c r="A1778" s="103"/>
      <c r="B1778" s="103"/>
      <c r="C1778" s="104" t="e">
        <v>#REF!</v>
      </c>
      <c r="D1778" s="103"/>
      <c r="E1778" s="53"/>
      <c r="F1778" s="53"/>
      <c r="G1778" s="53"/>
      <c r="H1778" s="53"/>
      <c r="I1778" s="53"/>
      <c r="J1778" s="53"/>
      <c r="K1778" s="53"/>
      <c r="L1778" s="53"/>
      <c r="M1778" s="53"/>
      <c r="N1778" s="53"/>
      <c r="O1778" s="53"/>
      <c r="P1778" s="53"/>
      <c r="Q1778" s="53"/>
      <c r="R1778" s="53"/>
      <c r="S1778" s="53"/>
      <c r="T1778" s="53"/>
      <c r="U1778" s="53"/>
      <c r="V1778" s="53"/>
      <c r="W1778" s="53"/>
      <c r="X1778" s="53"/>
      <c r="Y1778" s="53"/>
      <c r="Z1778" s="53"/>
    </row>
    <row r="1779" spans="1:26" ht="15.75" customHeight="1">
      <c r="A1779" s="103"/>
      <c r="B1779" s="103"/>
      <c r="C1779" s="104" t="e">
        <v>#REF!</v>
      </c>
      <c r="D1779" s="103"/>
      <c r="E1779" s="53"/>
      <c r="F1779" s="53"/>
      <c r="G1779" s="53"/>
      <c r="H1779" s="53"/>
      <c r="I1779" s="53"/>
      <c r="J1779" s="53"/>
      <c r="K1779" s="53"/>
      <c r="L1779" s="53"/>
      <c r="M1779" s="53"/>
      <c r="N1779" s="53"/>
      <c r="O1779" s="53"/>
      <c r="P1779" s="53"/>
      <c r="Q1779" s="53"/>
      <c r="R1779" s="53"/>
      <c r="S1779" s="53"/>
      <c r="T1779" s="53"/>
      <c r="U1779" s="53"/>
      <c r="V1779" s="53"/>
      <c r="W1779" s="53"/>
      <c r="X1779" s="53"/>
      <c r="Y1779" s="53"/>
      <c r="Z1779" s="53"/>
    </row>
    <row r="1780" spans="1:26" ht="15.75" customHeight="1">
      <c r="A1780" s="103"/>
      <c r="B1780" s="103"/>
      <c r="C1780" s="104" t="e">
        <v>#REF!</v>
      </c>
      <c r="D1780" s="103"/>
      <c r="E1780" s="53"/>
      <c r="F1780" s="53"/>
      <c r="G1780" s="53"/>
      <c r="H1780" s="53"/>
      <c r="I1780" s="53"/>
      <c r="J1780" s="53"/>
      <c r="K1780" s="53"/>
      <c r="L1780" s="53"/>
      <c r="M1780" s="53"/>
      <c r="N1780" s="53"/>
      <c r="O1780" s="53"/>
      <c r="P1780" s="53"/>
      <c r="Q1780" s="53"/>
      <c r="R1780" s="53"/>
      <c r="S1780" s="53"/>
      <c r="T1780" s="53"/>
      <c r="U1780" s="53"/>
      <c r="V1780" s="53"/>
      <c r="W1780" s="53"/>
      <c r="X1780" s="53"/>
      <c r="Y1780" s="53"/>
      <c r="Z1780" s="53"/>
    </row>
    <row r="1781" spans="1:26" ht="15.75" customHeight="1">
      <c r="A1781" s="103"/>
      <c r="B1781" s="103"/>
      <c r="C1781" s="104" t="e">
        <v>#REF!</v>
      </c>
      <c r="D1781" s="103"/>
      <c r="E1781" s="53"/>
      <c r="F1781" s="53"/>
      <c r="G1781" s="53"/>
      <c r="H1781" s="53"/>
      <c r="I1781" s="53"/>
      <c r="J1781" s="53"/>
      <c r="K1781" s="53"/>
      <c r="L1781" s="53"/>
      <c r="M1781" s="53"/>
      <c r="N1781" s="53"/>
      <c r="O1781" s="53"/>
      <c r="P1781" s="53"/>
      <c r="Q1781" s="53"/>
      <c r="R1781" s="53"/>
      <c r="S1781" s="53"/>
      <c r="T1781" s="53"/>
      <c r="U1781" s="53"/>
      <c r="V1781" s="53"/>
      <c r="W1781" s="53"/>
      <c r="X1781" s="53"/>
      <c r="Y1781" s="53"/>
      <c r="Z1781" s="53"/>
    </row>
    <row r="1782" spans="1:26" ht="15.75" customHeight="1">
      <c r="A1782" s="103"/>
      <c r="B1782" s="103"/>
      <c r="C1782" s="104" t="e">
        <v>#REF!</v>
      </c>
      <c r="D1782" s="103"/>
      <c r="E1782" s="53"/>
      <c r="F1782" s="53"/>
      <c r="G1782" s="53"/>
      <c r="H1782" s="53"/>
      <c r="I1782" s="53"/>
      <c r="J1782" s="53"/>
      <c r="K1782" s="53"/>
      <c r="L1782" s="53"/>
      <c r="M1782" s="53"/>
      <c r="N1782" s="53"/>
      <c r="O1782" s="53"/>
      <c r="P1782" s="53"/>
      <c r="Q1782" s="53"/>
      <c r="R1782" s="53"/>
      <c r="S1782" s="53"/>
      <c r="T1782" s="53"/>
      <c r="U1782" s="53"/>
      <c r="V1782" s="53"/>
      <c r="W1782" s="53"/>
      <c r="X1782" s="53"/>
      <c r="Y1782" s="53"/>
      <c r="Z1782" s="53"/>
    </row>
    <row r="1783" spans="1:26" ht="15.75" customHeight="1">
      <c r="A1783" s="103"/>
      <c r="B1783" s="103"/>
      <c r="C1783" s="104" t="e">
        <v>#REF!</v>
      </c>
      <c r="D1783" s="103"/>
      <c r="E1783" s="53"/>
      <c r="F1783" s="53"/>
      <c r="G1783" s="53"/>
      <c r="H1783" s="53"/>
      <c r="I1783" s="53"/>
      <c r="J1783" s="53"/>
      <c r="K1783" s="53"/>
      <c r="L1783" s="53"/>
      <c r="M1783" s="53"/>
      <c r="N1783" s="53"/>
      <c r="O1783" s="53"/>
      <c r="P1783" s="53"/>
      <c r="Q1783" s="53"/>
      <c r="R1783" s="53"/>
      <c r="S1783" s="53"/>
      <c r="T1783" s="53"/>
      <c r="U1783" s="53"/>
      <c r="V1783" s="53"/>
      <c r="W1783" s="53"/>
      <c r="X1783" s="53"/>
      <c r="Y1783" s="53"/>
      <c r="Z1783" s="53"/>
    </row>
    <row r="1784" spans="1:26" ht="15.75" customHeight="1">
      <c r="A1784" s="103"/>
      <c r="B1784" s="103"/>
      <c r="C1784" s="104" t="e">
        <v>#REF!</v>
      </c>
      <c r="D1784" s="103"/>
      <c r="E1784" s="53"/>
      <c r="F1784" s="53"/>
      <c r="G1784" s="53"/>
      <c r="H1784" s="53"/>
      <c r="I1784" s="53"/>
      <c r="J1784" s="53"/>
      <c r="K1784" s="53"/>
      <c r="L1784" s="53"/>
      <c r="M1784" s="53"/>
      <c r="N1784" s="53"/>
      <c r="O1784" s="53"/>
      <c r="P1784" s="53"/>
      <c r="Q1784" s="53"/>
      <c r="R1784" s="53"/>
      <c r="S1784" s="53"/>
      <c r="T1784" s="53"/>
      <c r="U1784" s="53"/>
      <c r="V1784" s="53"/>
      <c r="W1784" s="53"/>
      <c r="X1784" s="53"/>
      <c r="Y1784" s="53"/>
      <c r="Z1784" s="53"/>
    </row>
    <row r="1785" spans="1:26" ht="15.75" customHeight="1">
      <c r="A1785" s="103"/>
      <c r="B1785" s="103"/>
      <c r="C1785" s="104" t="e">
        <v>#REF!</v>
      </c>
      <c r="D1785" s="10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</row>
    <row r="1786" spans="1:26" ht="15.75" customHeight="1">
      <c r="A1786" s="103"/>
      <c r="B1786" s="103"/>
      <c r="C1786" s="104" t="e">
        <v>#REF!</v>
      </c>
      <c r="D1786" s="103"/>
      <c r="E1786" s="53"/>
      <c r="F1786" s="53"/>
      <c r="G1786" s="53"/>
      <c r="H1786" s="53"/>
      <c r="I1786" s="53"/>
      <c r="J1786" s="53"/>
      <c r="K1786" s="53"/>
      <c r="L1786" s="53"/>
      <c r="M1786" s="53"/>
      <c r="N1786" s="53"/>
      <c r="O1786" s="53"/>
      <c r="P1786" s="53"/>
      <c r="Q1786" s="53"/>
      <c r="R1786" s="53"/>
      <c r="S1786" s="53"/>
      <c r="T1786" s="53"/>
      <c r="U1786" s="53"/>
      <c r="V1786" s="53"/>
      <c r="W1786" s="53"/>
      <c r="X1786" s="53"/>
      <c r="Y1786" s="53"/>
      <c r="Z1786" s="53"/>
    </row>
    <row r="1787" spans="1:26" ht="15.75" customHeight="1">
      <c r="A1787" s="103"/>
      <c r="B1787" s="103"/>
      <c r="C1787" s="104" t="e">
        <v>#REF!</v>
      </c>
      <c r="D1787" s="103"/>
      <c r="E1787" s="53"/>
      <c r="F1787" s="53"/>
      <c r="G1787" s="53"/>
      <c r="H1787" s="53"/>
      <c r="I1787" s="53"/>
      <c r="J1787" s="53"/>
      <c r="K1787" s="53"/>
      <c r="L1787" s="53"/>
      <c r="M1787" s="53"/>
      <c r="N1787" s="53"/>
      <c r="O1787" s="53"/>
      <c r="P1787" s="53"/>
      <c r="Q1787" s="53"/>
      <c r="R1787" s="53"/>
      <c r="S1787" s="53"/>
      <c r="T1787" s="53"/>
      <c r="U1787" s="53"/>
      <c r="V1787" s="53"/>
      <c r="W1787" s="53"/>
      <c r="X1787" s="53"/>
      <c r="Y1787" s="53"/>
      <c r="Z1787" s="53"/>
    </row>
    <row r="1788" spans="1:26" ht="15.75" customHeight="1">
      <c r="A1788" s="103"/>
      <c r="B1788" s="103"/>
      <c r="C1788" s="104" t="e">
        <v>#REF!</v>
      </c>
      <c r="D1788" s="103"/>
      <c r="E1788" s="53"/>
      <c r="F1788" s="53"/>
      <c r="G1788" s="53"/>
      <c r="H1788" s="53"/>
      <c r="I1788" s="53"/>
      <c r="J1788" s="53"/>
      <c r="K1788" s="53"/>
      <c r="L1788" s="53"/>
      <c r="M1788" s="53"/>
      <c r="N1788" s="53"/>
      <c r="O1788" s="53"/>
      <c r="P1788" s="53"/>
      <c r="Q1788" s="53"/>
      <c r="R1788" s="53"/>
      <c r="S1788" s="53"/>
      <c r="T1788" s="53"/>
      <c r="U1788" s="53"/>
      <c r="V1788" s="53"/>
      <c r="W1788" s="53"/>
      <c r="X1788" s="53"/>
      <c r="Y1788" s="53"/>
      <c r="Z1788" s="53"/>
    </row>
    <row r="1789" spans="1:26" ht="15.75" customHeight="1">
      <c r="A1789" s="103"/>
      <c r="B1789" s="103"/>
      <c r="C1789" s="104" t="e">
        <v>#REF!</v>
      </c>
      <c r="D1789" s="103"/>
      <c r="E1789" s="53"/>
      <c r="F1789" s="53"/>
      <c r="G1789" s="53"/>
      <c r="H1789" s="53"/>
      <c r="I1789" s="53"/>
      <c r="J1789" s="53"/>
      <c r="K1789" s="53"/>
      <c r="L1789" s="53"/>
      <c r="M1789" s="53"/>
      <c r="N1789" s="53"/>
      <c r="O1789" s="53"/>
      <c r="P1789" s="53"/>
      <c r="Q1789" s="53"/>
      <c r="R1789" s="53"/>
      <c r="S1789" s="53"/>
      <c r="T1789" s="53"/>
      <c r="U1789" s="53"/>
      <c r="V1789" s="53"/>
      <c r="W1789" s="53"/>
      <c r="X1789" s="53"/>
      <c r="Y1789" s="53"/>
      <c r="Z1789" s="53"/>
    </row>
    <row r="1790" spans="1:26" ht="15.75" customHeight="1">
      <c r="A1790" s="103"/>
      <c r="B1790" s="103"/>
      <c r="C1790" s="104" t="e">
        <v>#REF!</v>
      </c>
      <c r="D1790" s="10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53"/>
      <c r="T1790" s="53"/>
      <c r="U1790" s="53"/>
      <c r="V1790" s="53"/>
      <c r="W1790" s="53"/>
      <c r="X1790" s="53"/>
      <c r="Y1790" s="53"/>
      <c r="Z1790" s="53"/>
    </row>
    <row r="1791" spans="1:26" ht="15.75" customHeight="1">
      <c r="A1791" s="103"/>
      <c r="B1791" s="103"/>
      <c r="C1791" s="104" t="e">
        <v>#REF!</v>
      </c>
      <c r="D1791" s="103"/>
      <c r="E1791" s="53"/>
      <c r="F1791" s="53"/>
      <c r="G1791" s="53"/>
      <c r="H1791" s="53"/>
      <c r="I1791" s="53"/>
      <c r="J1791" s="53"/>
      <c r="K1791" s="53"/>
      <c r="L1791" s="53"/>
      <c r="M1791" s="53"/>
      <c r="N1791" s="53"/>
      <c r="O1791" s="53"/>
      <c r="P1791" s="53"/>
      <c r="Q1791" s="53"/>
      <c r="R1791" s="53"/>
      <c r="S1791" s="53"/>
      <c r="T1791" s="53"/>
      <c r="U1791" s="53"/>
      <c r="V1791" s="53"/>
      <c r="W1791" s="53"/>
      <c r="X1791" s="53"/>
      <c r="Y1791" s="53"/>
      <c r="Z1791" s="53"/>
    </row>
    <row r="1792" spans="1:26" ht="15.75" customHeight="1">
      <c r="A1792" s="103"/>
      <c r="B1792" s="103"/>
      <c r="C1792" s="104" t="e">
        <v>#REF!</v>
      </c>
      <c r="D1792" s="103"/>
      <c r="E1792" s="53"/>
      <c r="F1792" s="53"/>
      <c r="G1792" s="53"/>
      <c r="H1792" s="53"/>
      <c r="I1792" s="53"/>
      <c r="J1792" s="53"/>
      <c r="K1792" s="53"/>
      <c r="L1792" s="53"/>
      <c r="M1792" s="53"/>
      <c r="N1792" s="53"/>
      <c r="O1792" s="53"/>
      <c r="P1792" s="53"/>
      <c r="Q1792" s="53"/>
      <c r="R1792" s="53"/>
      <c r="S1792" s="53"/>
      <c r="T1792" s="53"/>
      <c r="U1792" s="53"/>
      <c r="V1792" s="53"/>
      <c r="W1792" s="53"/>
      <c r="X1792" s="53"/>
      <c r="Y1792" s="53"/>
      <c r="Z1792" s="53"/>
    </row>
    <row r="1793" spans="1:26" ht="15.75" customHeight="1">
      <c r="A1793" s="103"/>
      <c r="B1793" s="103"/>
      <c r="C1793" s="104" t="e">
        <v>#REF!</v>
      </c>
      <c r="D1793" s="103"/>
      <c r="E1793" s="53"/>
      <c r="F1793" s="53"/>
      <c r="G1793" s="53"/>
      <c r="H1793" s="53"/>
      <c r="I1793" s="53"/>
      <c r="J1793" s="53"/>
      <c r="K1793" s="53"/>
      <c r="L1793" s="53"/>
      <c r="M1793" s="53"/>
      <c r="N1793" s="53"/>
      <c r="O1793" s="53"/>
      <c r="P1793" s="53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</row>
    <row r="1794" spans="1:26" ht="15.75" customHeight="1">
      <c r="A1794" s="103"/>
      <c r="B1794" s="103"/>
      <c r="C1794" s="104" t="e">
        <v>#REF!</v>
      </c>
      <c r="D1794" s="103"/>
      <c r="E1794" s="53"/>
      <c r="F1794" s="53"/>
      <c r="G1794" s="53"/>
      <c r="H1794" s="53"/>
      <c r="I1794" s="53"/>
      <c r="J1794" s="53"/>
      <c r="K1794" s="53"/>
      <c r="L1794" s="53"/>
      <c r="M1794" s="53"/>
      <c r="N1794" s="53"/>
      <c r="O1794" s="53"/>
      <c r="P1794" s="53"/>
      <c r="Q1794" s="53"/>
      <c r="R1794" s="53"/>
      <c r="S1794" s="53"/>
      <c r="T1794" s="53"/>
      <c r="U1794" s="53"/>
      <c r="V1794" s="53"/>
      <c r="W1794" s="53"/>
      <c r="X1794" s="53"/>
      <c r="Y1794" s="53"/>
      <c r="Z1794" s="53"/>
    </row>
    <row r="1795" spans="1:26" ht="15.75" customHeight="1">
      <c r="A1795" s="103"/>
      <c r="B1795" s="103"/>
      <c r="C1795" s="104" t="e">
        <v>#REF!</v>
      </c>
      <c r="D1795" s="103"/>
      <c r="E1795" s="53"/>
      <c r="F1795" s="53"/>
      <c r="G1795" s="53"/>
      <c r="H1795" s="53"/>
      <c r="I1795" s="53"/>
      <c r="J1795" s="53"/>
      <c r="K1795" s="53"/>
      <c r="L1795" s="53"/>
      <c r="M1795" s="53"/>
      <c r="N1795" s="53"/>
      <c r="O1795" s="53"/>
      <c r="P1795" s="53"/>
      <c r="Q1795" s="53"/>
      <c r="R1795" s="53"/>
      <c r="S1795" s="53"/>
      <c r="T1795" s="53"/>
      <c r="U1795" s="53"/>
      <c r="V1795" s="53"/>
      <c r="W1795" s="53"/>
      <c r="X1795" s="53"/>
      <c r="Y1795" s="53"/>
      <c r="Z1795" s="53"/>
    </row>
    <row r="1796" spans="1:26" ht="15.75" customHeight="1">
      <c r="A1796" s="103"/>
      <c r="B1796" s="103"/>
      <c r="C1796" s="104" t="e">
        <v>#REF!</v>
      </c>
      <c r="D1796" s="103"/>
      <c r="E1796" s="53"/>
      <c r="F1796" s="53"/>
      <c r="G1796" s="53"/>
      <c r="H1796" s="53"/>
      <c r="I1796" s="53"/>
      <c r="J1796" s="53"/>
      <c r="K1796" s="53"/>
      <c r="L1796" s="53"/>
      <c r="M1796" s="53"/>
      <c r="N1796" s="53"/>
      <c r="O1796" s="53"/>
      <c r="P1796" s="53"/>
      <c r="Q1796" s="53"/>
      <c r="R1796" s="53"/>
      <c r="S1796" s="53"/>
      <c r="T1796" s="53"/>
      <c r="U1796" s="53"/>
      <c r="V1796" s="53"/>
      <c r="W1796" s="53"/>
      <c r="X1796" s="53"/>
      <c r="Y1796" s="53"/>
      <c r="Z1796" s="53"/>
    </row>
    <row r="1797" spans="1:26" ht="15.75" customHeight="1">
      <c r="A1797" s="103"/>
      <c r="B1797" s="103"/>
      <c r="C1797" s="104" t="e">
        <v>#REF!</v>
      </c>
      <c r="D1797" s="103"/>
      <c r="E1797" s="53"/>
      <c r="F1797" s="53"/>
      <c r="G1797" s="53"/>
      <c r="H1797" s="53"/>
      <c r="I1797" s="53"/>
      <c r="J1797" s="53"/>
      <c r="K1797" s="53"/>
      <c r="L1797" s="53"/>
      <c r="M1797" s="53"/>
      <c r="N1797" s="53"/>
      <c r="O1797" s="53"/>
      <c r="P1797" s="53"/>
      <c r="Q1797" s="53"/>
      <c r="R1797" s="53"/>
      <c r="S1797" s="53"/>
      <c r="T1797" s="53"/>
      <c r="U1797" s="53"/>
      <c r="V1797" s="53"/>
      <c r="W1797" s="53"/>
      <c r="X1797" s="53"/>
      <c r="Y1797" s="53"/>
      <c r="Z1797" s="53"/>
    </row>
    <row r="1798" spans="1:26" ht="15.75" customHeight="1">
      <c r="A1798" s="103"/>
      <c r="B1798" s="103"/>
      <c r="C1798" s="104" t="e">
        <v>#REF!</v>
      </c>
      <c r="D1798" s="103"/>
      <c r="E1798" s="53"/>
      <c r="F1798" s="53"/>
      <c r="G1798" s="53"/>
      <c r="H1798" s="53"/>
      <c r="I1798" s="53"/>
      <c r="J1798" s="53"/>
      <c r="K1798" s="53"/>
      <c r="L1798" s="53"/>
      <c r="M1798" s="53"/>
      <c r="N1798" s="53"/>
      <c r="O1798" s="53"/>
      <c r="P1798" s="53"/>
      <c r="Q1798" s="53"/>
      <c r="R1798" s="53"/>
      <c r="S1798" s="53"/>
      <c r="T1798" s="53"/>
      <c r="U1798" s="53"/>
      <c r="V1798" s="53"/>
      <c r="W1798" s="53"/>
      <c r="X1798" s="53"/>
      <c r="Y1798" s="53"/>
      <c r="Z1798" s="53"/>
    </row>
    <row r="1799" spans="1:26" ht="15.75" customHeight="1">
      <c r="A1799" s="103"/>
      <c r="B1799" s="103"/>
      <c r="C1799" s="104" t="e">
        <v>#REF!</v>
      </c>
      <c r="D1799" s="103"/>
      <c r="E1799" s="53"/>
      <c r="F1799" s="53"/>
      <c r="G1799" s="53"/>
      <c r="H1799" s="53"/>
      <c r="I1799" s="53"/>
      <c r="J1799" s="53"/>
      <c r="K1799" s="53"/>
      <c r="L1799" s="53"/>
      <c r="M1799" s="53"/>
      <c r="N1799" s="53"/>
      <c r="O1799" s="53"/>
      <c r="P1799" s="53"/>
      <c r="Q1799" s="53"/>
      <c r="R1799" s="53"/>
      <c r="S1799" s="53"/>
      <c r="T1799" s="53"/>
      <c r="U1799" s="53"/>
      <c r="V1799" s="53"/>
      <c r="W1799" s="53"/>
      <c r="X1799" s="53"/>
      <c r="Y1799" s="53"/>
      <c r="Z1799" s="53"/>
    </row>
    <row r="1800" spans="1:26" ht="15.75" customHeight="1">
      <c r="A1800" s="103"/>
      <c r="B1800" s="103"/>
      <c r="C1800" s="104" t="e">
        <v>#REF!</v>
      </c>
      <c r="D1800" s="103"/>
      <c r="E1800" s="53"/>
      <c r="F1800" s="53"/>
      <c r="G1800" s="53"/>
      <c r="H1800" s="53"/>
      <c r="I1800" s="53"/>
      <c r="J1800" s="53"/>
      <c r="K1800" s="53"/>
      <c r="L1800" s="53"/>
      <c r="M1800" s="53"/>
      <c r="N1800" s="53"/>
      <c r="O1800" s="53"/>
      <c r="P1800" s="53"/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</row>
    <row r="1801" spans="1:26" ht="15.75" customHeight="1">
      <c r="A1801" s="103"/>
      <c r="B1801" s="103"/>
      <c r="C1801" s="104" t="e">
        <v>#REF!</v>
      </c>
      <c r="D1801" s="103"/>
      <c r="E1801" s="53"/>
      <c r="F1801" s="53"/>
      <c r="G1801" s="53"/>
      <c r="H1801" s="53"/>
      <c r="I1801" s="53"/>
      <c r="J1801" s="53"/>
      <c r="K1801" s="53"/>
      <c r="L1801" s="53"/>
      <c r="M1801" s="53"/>
      <c r="N1801" s="53"/>
      <c r="O1801" s="53"/>
      <c r="P1801" s="53"/>
      <c r="Q1801" s="53"/>
      <c r="R1801" s="53"/>
      <c r="S1801" s="53"/>
      <c r="T1801" s="53"/>
      <c r="U1801" s="53"/>
      <c r="V1801" s="53"/>
      <c r="W1801" s="53"/>
      <c r="X1801" s="53"/>
      <c r="Y1801" s="53"/>
      <c r="Z1801" s="53"/>
    </row>
    <row r="1802" spans="1:26" ht="15.75" customHeight="1">
      <c r="A1802" s="103"/>
      <c r="B1802" s="103"/>
      <c r="C1802" s="104" t="e">
        <v>#REF!</v>
      </c>
      <c r="D1802" s="103"/>
      <c r="E1802" s="53"/>
      <c r="F1802" s="53"/>
      <c r="G1802" s="53"/>
      <c r="H1802" s="53"/>
      <c r="I1802" s="53"/>
      <c r="J1802" s="53"/>
      <c r="K1802" s="53"/>
      <c r="L1802" s="53"/>
      <c r="M1802" s="53"/>
      <c r="N1802" s="53"/>
      <c r="O1802" s="53"/>
      <c r="P1802" s="53"/>
      <c r="Q1802" s="53"/>
      <c r="R1802" s="53"/>
      <c r="S1802" s="53"/>
      <c r="T1802" s="53"/>
      <c r="U1802" s="53"/>
      <c r="V1802" s="53"/>
      <c r="W1802" s="53"/>
      <c r="X1802" s="53"/>
      <c r="Y1802" s="53"/>
      <c r="Z1802" s="53"/>
    </row>
    <row r="1803" spans="1:26" ht="15.75" customHeight="1">
      <c r="A1803" s="103"/>
      <c r="B1803" s="103"/>
      <c r="C1803" s="104" t="e">
        <v>#REF!</v>
      </c>
      <c r="D1803" s="103"/>
      <c r="E1803" s="53"/>
      <c r="F1803" s="53"/>
      <c r="G1803" s="53"/>
      <c r="H1803" s="53"/>
      <c r="I1803" s="53"/>
      <c r="J1803" s="53"/>
      <c r="K1803" s="53"/>
      <c r="L1803" s="53"/>
      <c r="M1803" s="53"/>
      <c r="N1803" s="53"/>
      <c r="O1803" s="53"/>
      <c r="P1803" s="53"/>
      <c r="Q1803" s="53"/>
      <c r="R1803" s="53"/>
      <c r="S1803" s="53"/>
      <c r="T1803" s="53"/>
      <c r="U1803" s="53"/>
      <c r="V1803" s="53"/>
      <c r="W1803" s="53"/>
      <c r="X1803" s="53"/>
      <c r="Y1803" s="53"/>
      <c r="Z1803" s="53"/>
    </row>
    <row r="1804" spans="1:26" ht="15.75" customHeight="1">
      <c r="A1804" s="103"/>
      <c r="B1804" s="103"/>
      <c r="C1804" s="104" t="e">
        <v>#REF!</v>
      </c>
      <c r="D1804" s="103"/>
      <c r="E1804" s="53"/>
      <c r="F1804" s="53"/>
      <c r="G1804" s="53"/>
      <c r="H1804" s="53"/>
      <c r="I1804" s="53"/>
      <c r="J1804" s="53"/>
      <c r="K1804" s="53"/>
      <c r="L1804" s="53"/>
      <c r="M1804" s="53"/>
      <c r="N1804" s="53"/>
      <c r="O1804" s="53"/>
      <c r="P1804" s="53"/>
      <c r="Q1804" s="53"/>
      <c r="R1804" s="53"/>
      <c r="S1804" s="53"/>
      <c r="T1804" s="53"/>
      <c r="U1804" s="53"/>
      <c r="V1804" s="53"/>
      <c r="W1804" s="53"/>
      <c r="X1804" s="53"/>
      <c r="Y1804" s="53"/>
      <c r="Z1804" s="53"/>
    </row>
    <row r="1805" spans="1:26" ht="15.75" customHeight="1">
      <c r="A1805" s="103"/>
      <c r="B1805" s="103"/>
      <c r="C1805" s="104" t="e">
        <v>#REF!</v>
      </c>
      <c r="D1805" s="103"/>
      <c r="E1805" s="53"/>
      <c r="F1805" s="53"/>
      <c r="G1805" s="53"/>
      <c r="H1805" s="53"/>
      <c r="I1805" s="53"/>
      <c r="J1805" s="53"/>
      <c r="K1805" s="53"/>
      <c r="L1805" s="53"/>
      <c r="M1805" s="53"/>
      <c r="N1805" s="53"/>
      <c r="O1805" s="53"/>
      <c r="P1805" s="53"/>
      <c r="Q1805" s="53"/>
      <c r="R1805" s="53"/>
      <c r="S1805" s="53"/>
      <c r="T1805" s="53"/>
      <c r="U1805" s="53"/>
      <c r="V1805" s="53"/>
      <c r="W1805" s="53"/>
      <c r="X1805" s="53"/>
      <c r="Y1805" s="53"/>
      <c r="Z1805" s="53"/>
    </row>
    <row r="1806" spans="1:26" ht="15.75" customHeight="1">
      <c r="A1806" s="103"/>
      <c r="B1806" s="103"/>
      <c r="C1806" s="104" t="e">
        <v>#REF!</v>
      </c>
      <c r="D1806" s="103"/>
      <c r="E1806" s="53"/>
      <c r="F1806" s="53"/>
      <c r="G1806" s="53"/>
      <c r="H1806" s="53"/>
      <c r="I1806" s="53"/>
      <c r="J1806" s="53"/>
      <c r="K1806" s="53"/>
      <c r="L1806" s="53"/>
      <c r="M1806" s="53"/>
      <c r="N1806" s="53"/>
      <c r="O1806" s="53"/>
      <c r="P1806" s="53"/>
      <c r="Q1806" s="53"/>
      <c r="R1806" s="53"/>
      <c r="S1806" s="53"/>
      <c r="T1806" s="53"/>
      <c r="U1806" s="53"/>
      <c r="V1806" s="53"/>
      <c r="W1806" s="53"/>
      <c r="X1806" s="53"/>
      <c r="Y1806" s="53"/>
      <c r="Z1806" s="53"/>
    </row>
    <row r="1807" spans="1:26" ht="15.75" customHeight="1">
      <c r="A1807" s="103"/>
      <c r="B1807" s="103"/>
      <c r="C1807" s="104" t="e">
        <v>#REF!</v>
      </c>
      <c r="D1807" s="103"/>
      <c r="E1807" s="53"/>
      <c r="F1807" s="53"/>
      <c r="G1807" s="53"/>
      <c r="H1807" s="53"/>
      <c r="I1807" s="53"/>
      <c r="J1807" s="53"/>
      <c r="K1807" s="53"/>
      <c r="L1807" s="53"/>
      <c r="M1807" s="53"/>
      <c r="N1807" s="53"/>
      <c r="O1807" s="53"/>
      <c r="P1807" s="53"/>
      <c r="Q1807" s="53"/>
      <c r="R1807" s="53"/>
      <c r="S1807" s="53"/>
      <c r="T1807" s="53"/>
      <c r="U1807" s="53"/>
      <c r="V1807" s="53"/>
      <c r="W1807" s="53"/>
      <c r="X1807" s="53"/>
      <c r="Y1807" s="53"/>
      <c r="Z1807" s="53"/>
    </row>
    <row r="1808" spans="1:26" ht="15.75" customHeight="1">
      <c r="A1808" s="103"/>
      <c r="B1808" s="103"/>
      <c r="C1808" s="104" t="e">
        <v>#REF!</v>
      </c>
      <c r="D1808" s="103"/>
      <c r="E1808" s="53"/>
      <c r="F1808" s="53"/>
      <c r="G1808" s="53"/>
      <c r="H1808" s="53"/>
      <c r="I1808" s="53"/>
      <c r="J1808" s="53"/>
      <c r="K1808" s="53"/>
      <c r="L1808" s="53"/>
      <c r="M1808" s="53"/>
      <c r="N1808" s="53"/>
      <c r="O1808" s="53"/>
      <c r="P1808" s="53"/>
      <c r="Q1808" s="53"/>
      <c r="R1808" s="53"/>
      <c r="S1808" s="53"/>
      <c r="T1808" s="53"/>
      <c r="U1808" s="53"/>
      <c r="V1808" s="53"/>
      <c r="W1808" s="53"/>
      <c r="X1808" s="53"/>
      <c r="Y1808" s="53"/>
      <c r="Z1808" s="53"/>
    </row>
    <row r="1809" spans="1:26" ht="15.75" customHeight="1">
      <c r="A1809" s="103"/>
      <c r="B1809" s="103"/>
      <c r="C1809" s="104" t="e">
        <v>#REF!</v>
      </c>
      <c r="D1809" s="103"/>
      <c r="E1809" s="53"/>
      <c r="F1809" s="53"/>
      <c r="G1809" s="53"/>
      <c r="H1809" s="53"/>
      <c r="I1809" s="53"/>
      <c r="J1809" s="53"/>
      <c r="K1809" s="53"/>
      <c r="L1809" s="53"/>
      <c r="M1809" s="53"/>
      <c r="N1809" s="53"/>
      <c r="O1809" s="53"/>
      <c r="P1809" s="53"/>
      <c r="Q1809" s="53"/>
      <c r="R1809" s="53"/>
      <c r="S1809" s="53"/>
      <c r="T1809" s="53"/>
      <c r="U1809" s="53"/>
      <c r="V1809" s="53"/>
      <c r="W1809" s="53"/>
      <c r="X1809" s="53"/>
      <c r="Y1809" s="53"/>
      <c r="Z1809" s="53"/>
    </row>
    <row r="1810" spans="1:26" ht="15.75" customHeight="1">
      <c r="A1810" s="103"/>
      <c r="B1810" s="103"/>
      <c r="C1810" s="104" t="e">
        <v>#REF!</v>
      </c>
      <c r="D1810" s="103"/>
      <c r="E1810" s="53"/>
      <c r="F1810" s="53"/>
      <c r="G1810" s="53"/>
      <c r="H1810" s="53"/>
      <c r="I1810" s="53"/>
      <c r="J1810" s="53"/>
      <c r="K1810" s="53"/>
      <c r="L1810" s="53"/>
      <c r="M1810" s="53"/>
      <c r="N1810" s="53"/>
      <c r="O1810" s="53"/>
      <c r="P1810" s="53"/>
      <c r="Q1810" s="53"/>
      <c r="R1810" s="53"/>
      <c r="S1810" s="53"/>
      <c r="T1810" s="53"/>
      <c r="U1810" s="53"/>
      <c r="V1810" s="53"/>
      <c r="W1810" s="53"/>
      <c r="X1810" s="53"/>
      <c r="Y1810" s="53"/>
      <c r="Z1810" s="53"/>
    </row>
    <row r="1811" spans="1:26" ht="15.75" customHeight="1">
      <c r="A1811" s="103"/>
      <c r="B1811" s="103"/>
      <c r="C1811" s="104" t="e">
        <v>#REF!</v>
      </c>
      <c r="D1811" s="103"/>
      <c r="E1811" s="53"/>
      <c r="F1811" s="53"/>
      <c r="G1811" s="53"/>
      <c r="H1811" s="53"/>
      <c r="I1811" s="53"/>
      <c r="J1811" s="53"/>
      <c r="K1811" s="53"/>
      <c r="L1811" s="53"/>
      <c r="M1811" s="53"/>
      <c r="N1811" s="53"/>
      <c r="O1811" s="53"/>
      <c r="P1811" s="53"/>
      <c r="Q1811" s="53"/>
      <c r="R1811" s="53"/>
      <c r="S1811" s="53"/>
      <c r="T1811" s="53"/>
      <c r="U1811" s="53"/>
      <c r="V1811" s="53"/>
      <c r="W1811" s="53"/>
      <c r="X1811" s="53"/>
      <c r="Y1811" s="53"/>
      <c r="Z1811" s="53"/>
    </row>
    <row r="1812" spans="1:26" ht="15.75" customHeight="1">
      <c r="A1812" s="103"/>
      <c r="B1812" s="103"/>
      <c r="C1812" s="104" t="e">
        <v>#REF!</v>
      </c>
      <c r="D1812" s="103"/>
      <c r="E1812" s="53"/>
      <c r="F1812" s="53"/>
      <c r="G1812" s="53"/>
      <c r="H1812" s="53"/>
      <c r="I1812" s="53"/>
      <c r="J1812" s="53"/>
      <c r="K1812" s="53"/>
      <c r="L1812" s="53"/>
      <c r="M1812" s="53"/>
      <c r="N1812" s="53"/>
      <c r="O1812" s="53"/>
      <c r="P1812" s="53"/>
      <c r="Q1812" s="53"/>
      <c r="R1812" s="53"/>
      <c r="S1812" s="53"/>
      <c r="T1812" s="53"/>
      <c r="U1812" s="53"/>
      <c r="V1812" s="53"/>
      <c r="W1812" s="53"/>
      <c r="X1812" s="53"/>
      <c r="Y1812" s="53"/>
      <c r="Z1812" s="53"/>
    </row>
    <row r="1813" spans="1:26" ht="15.75" customHeight="1">
      <c r="A1813" s="103"/>
      <c r="B1813" s="103"/>
      <c r="C1813" s="104" t="e">
        <v>#REF!</v>
      </c>
      <c r="D1813" s="103"/>
      <c r="E1813" s="53"/>
      <c r="F1813" s="53"/>
      <c r="G1813" s="53"/>
      <c r="H1813" s="53"/>
      <c r="I1813" s="53"/>
      <c r="J1813" s="53"/>
      <c r="K1813" s="53"/>
      <c r="L1813" s="53"/>
      <c r="M1813" s="53"/>
      <c r="N1813" s="53"/>
      <c r="O1813" s="53"/>
      <c r="P1813" s="53"/>
      <c r="Q1813" s="53"/>
      <c r="R1813" s="53"/>
      <c r="S1813" s="53"/>
      <c r="T1813" s="53"/>
      <c r="U1813" s="53"/>
      <c r="V1813" s="53"/>
      <c r="W1813" s="53"/>
      <c r="X1813" s="53"/>
      <c r="Y1813" s="53"/>
      <c r="Z1813" s="53"/>
    </row>
    <row r="1814" spans="1:26" ht="15.75" customHeight="1">
      <c r="A1814" s="103"/>
      <c r="B1814" s="103"/>
      <c r="C1814" s="104" t="e">
        <v>#REF!</v>
      </c>
      <c r="D1814" s="103"/>
      <c r="E1814" s="53"/>
      <c r="F1814" s="53"/>
      <c r="G1814" s="53"/>
      <c r="H1814" s="53"/>
      <c r="I1814" s="53"/>
      <c r="J1814" s="53"/>
      <c r="K1814" s="53"/>
      <c r="L1814" s="53"/>
      <c r="M1814" s="53"/>
      <c r="N1814" s="53"/>
      <c r="O1814" s="53"/>
      <c r="P1814" s="53"/>
      <c r="Q1814" s="53"/>
      <c r="R1814" s="53"/>
      <c r="S1814" s="53"/>
      <c r="T1814" s="53"/>
      <c r="U1814" s="53"/>
      <c r="V1814" s="53"/>
      <c r="W1814" s="53"/>
      <c r="X1814" s="53"/>
      <c r="Y1814" s="53"/>
      <c r="Z1814" s="53"/>
    </row>
    <row r="1815" spans="1:26" ht="15.75" customHeight="1">
      <c r="A1815" s="103"/>
      <c r="B1815" s="103"/>
      <c r="C1815" s="104" t="e">
        <v>#REF!</v>
      </c>
      <c r="D1815" s="103"/>
      <c r="E1815" s="53"/>
      <c r="F1815" s="53"/>
      <c r="G1815" s="53"/>
      <c r="H1815" s="53"/>
      <c r="I1815" s="53"/>
      <c r="J1815" s="53"/>
      <c r="K1815" s="53"/>
      <c r="L1815" s="53"/>
      <c r="M1815" s="53"/>
      <c r="N1815" s="53"/>
      <c r="O1815" s="53"/>
      <c r="P1815" s="53"/>
      <c r="Q1815" s="53"/>
      <c r="R1815" s="53"/>
      <c r="S1815" s="53"/>
      <c r="T1815" s="53"/>
      <c r="U1815" s="53"/>
      <c r="V1815" s="53"/>
      <c r="W1815" s="53"/>
      <c r="X1815" s="53"/>
      <c r="Y1815" s="53"/>
      <c r="Z1815" s="53"/>
    </row>
    <row r="1816" spans="1:26" ht="15.75" customHeight="1">
      <c r="A1816" s="103"/>
      <c r="B1816" s="103"/>
      <c r="C1816" s="104" t="e">
        <v>#REF!</v>
      </c>
      <c r="D1816" s="103"/>
      <c r="E1816" s="53"/>
      <c r="F1816" s="53"/>
      <c r="G1816" s="53"/>
      <c r="H1816" s="53"/>
      <c r="I1816" s="53"/>
      <c r="J1816" s="53"/>
      <c r="K1816" s="53"/>
      <c r="L1816" s="53"/>
      <c r="M1816" s="53"/>
      <c r="N1816" s="53"/>
      <c r="O1816" s="53"/>
      <c r="P1816" s="53"/>
      <c r="Q1816" s="53"/>
      <c r="R1816" s="53"/>
      <c r="S1816" s="53"/>
      <c r="T1816" s="53"/>
      <c r="U1816" s="53"/>
      <c r="V1816" s="53"/>
      <c r="W1816" s="53"/>
      <c r="X1816" s="53"/>
      <c r="Y1816" s="53"/>
      <c r="Z1816" s="53"/>
    </row>
    <row r="1817" spans="1:26" ht="15.75" customHeight="1">
      <c r="A1817" s="103"/>
      <c r="B1817" s="103"/>
      <c r="C1817" s="104" t="e">
        <v>#REF!</v>
      </c>
      <c r="D1817" s="103"/>
      <c r="E1817" s="53"/>
      <c r="F1817" s="53"/>
      <c r="G1817" s="53"/>
      <c r="H1817" s="53"/>
      <c r="I1817" s="53"/>
      <c r="J1817" s="53"/>
      <c r="K1817" s="53"/>
      <c r="L1817" s="53"/>
      <c r="M1817" s="53"/>
      <c r="N1817" s="53"/>
      <c r="O1817" s="53"/>
      <c r="P1817" s="53"/>
      <c r="Q1817" s="53"/>
      <c r="R1817" s="53"/>
      <c r="S1817" s="53"/>
      <c r="T1817" s="53"/>
      <c r="U1817" s="53"/>
      <c r="V1817" s="53"/>
      <c r="W1817" s="53"/>
      <c r="X1817" s="53"/>
      <c r="Y1817" s="53"/>
      <c r="Z1817" s="53"/>
    </row>
    <row r="1818" spans="1:26" ht="15.75" customHeight="1">
      <c r="A1818" s="103"/>
      <c r="B1818" s="103"/>
      <c r="C1818" s="104" t="e">
        <v>#REF!</v>
      </c>
      <c r="D1818" s="103"/>
      <c r="E1818" s="53"/>
      <c r="F1818" s="53"/>
      <c r="G1818" s="53"/>
      <c r="H1818" s="53"/>
      <c r="I1818" s="53"/>
      <c r="J1818" s="53"/>
      <c r="K1818" s="53"/>
      <c r="L1818" s="53"/>
      <c r="M1818" s="53"/>
      <c r="N1818" s="53"/>
      <c r="O1818" s="53"/>
      <c r="P1818" s="53"/>
      <c r="Q1818" s="53"/>
      <c r="R1818" s="53"/>
      <c r="S1818" s="53"/>
      <c r="T1818" s="53"/>
      <c r="U1818" s="53"/>
      <c r="V1818" s="53"/>
      <c r="W1818" s="53"/>
      <c r="X1818" s="53"/>
      <c r="Y1818" s="53"/>
      <c r="Z1818" s="53"/>
    </row>
    <row r="1819" spans="1:26" ht="15.75" customHeight="1">
      <c r="A1819" s="103"/>
      <c r="B1819" s="103"/>
      <c r="C1819" s="104" t="e">
        <v>#REF!</v>
      </c>
      <c r="D1819" s="103"/>
      <c r="E1819" s="53"/>
      <c r="F1819" s="53"/>
      <c r="G1819" s="53"/>
      <c r="H1819" s="53"/>
      <c r="I1819" s="53"/>
      <c r="J1819" s="53"/>
      <c r="K1819" s="53"/>
      <c r="L1819" s="53"/>
      <c r="M1819" s="53"/>
      <c r="N1819" s="53"/>
      <c r="O1819" s="53"/>
      <c r="P1819" s="53"/>
      <c r="Q1819" s="53"/>
      <c r="R1819" s="53"/>
      <c r="S1819" s="53"/>
      <c r="T1819" s="53"/>
      <c r="U1819" s="53"/>
      <c r="V1819" s="53"/>
      <c r="W1819" s="53"/>
      <c r="X1819" s="53"/>
      <c r="Y1819" s="53"/>
      <c r="Z1819" s="53"/>
    </row>
    <row r="1820" spans="1:26" ht="15.75" customHeight="1">
      <c r="A1820" s="103"/>
      <c r="B1820" s="103"/>
      <c r="C1820" s="104" t="e">
        <v>#REF!</v>
      </c>
      <c r="D1820" s="103"/>
      <c r="E1820" s="53"/>
      <c r="F1820" s="53"/>
      <c r="G1820" s="53"/>
      <c r="H1820" s="53"/>
      <c r="I1820" s="53"/>
      <c r="J1820" s="53"/>
      <c r="K1820" s="53"/>
      <c r="L1820" s="53"/>
      <c r="M1820" s="53"/>
      <c r="N1820" s="53"/>
      <c r="O1820" s="53"/>
      <c r="P1820" s="53"/>
      <c r="Q1820" s="53"/>
      <c r="R1820" s="53"/>
      <c r="S1820" s="53"/>
      <c r="T1820" s="53"/>
      <c r="U1820" s="53"/>
      <c r="V1820" s="53"/>
      <c r="W1820" s="53"/>
      <c r="X1820" s="53"/>
      <c r="Y1820" s="53"/>
      <c r="Z1820" s="53"/>
    </row>
    <row r="1821" spans="1:26" ht="15.75" customHeight="1">
      <c r="A1821" s="103"/>
      <c r="B1821" s="103"/>
      <c r="C1821" s="104" t="e">
        <v>#REF!</v>
      </c>
      <c r="D1821" s="103"/>
      <c r="E1821" s="53"/>
      <c r="F1821" s="53"/>
      <c r="G1821" s="53"/>
      <c r="H1821" s="53"/>
      <c r="I1821" s="53"/>
      <c r="J1821" s="53"/>
      <c r="K1821" s="53"/>
      <c r="L1821" s="53"/>
      <c r="M1821" s="53"/>
      <c r="N1821" s="53"/>
      <c r="O1821" s="53"/>
      <c r="P1821" s="53"/>
      <c r="Q1821" s="53"/>
      <c r="R1821" s="53"/>
      <c r="S1821" s="53"/>
      <c r="T1821" s="53"/>
      <c r="U1821" s="53"/>
      <c r="V1821" s="53"/>
      <c r="W1821" s="53"/>
      <c r="X1821" s="53"/>
      <c r="Y1821" s="53"/>
      <c r="Z1821" s="53"/>
    </row>
    <row r="1822" spans="1:26" ht="15.75" customHeight="1">
      <c r="A1822" s="103"/>
      <c r="B1822" s="103"/>
      <c r="C1822" s="104" t="e">
        <v>#REF!</v>
      </c>
      <c r="D1822" s="103"/>
      <c r="E1822" s="53"/>
      <c r="F1822" s="53"/>
      <c r="G1822" s="53"/>
      <c r="H1822" s="53"/>
      <c r="I1822" s="53"/>
      <c r="J1822" s="53"/>
      <c r="K1822" s="53"/>
      <c r="L1822" s="53"/>
      <c r="M1822" s="53"/>
      <c r="N1822" s="53"/>
      <c r="O1822" s="53"/>
      <c r="P1822" s="53"/>
      <c r="Q1822" s="53"/>
      <c r="R1822" s="53"/>
      <c r="S1822" s="53"/>
      <c r="T1822" s="53"/>
      <c r="U1822" s="53"/>
      <c r="V1822" s="53"/>
      <c r="W1822" s="53"/>
      <c r="X1822" s="53"/>
      <c r="Y1822" s="53"/>
      <c r="Z1822" s="53"/>
    </row>
    <row r="1823" spans="1:26" ht="15.75" customHeight="1">
      <c r="A1823" s="103"/>
      <c r="B1823" s="103"/>
      <c r="C1823" s="104" t="e">
        <v>#REF!</v>
      </c>
      <c r="D1823" s="103"/>
      <c r="E1823" s="53"/>
      <c r="F1823" s="53"/>
      <c r="G1823" s="53"/>
      <c r="H1823" s="53"/>
      <c r="I1823" s="53"/>
      <c r="J1823" s="53"/>
      <c r="K1823" s="53"/>
      <c r="L1823" s="53"/>
      <c r="M1823" s="53"/>
      <c r="N1823" s="53"/>
      <c r="O1823" s="53"/>
      <c r="P1823" s="53"/>
      <c r="Q1823" s="53"/>
      <c r="R1823" s="53"/>
      <c r="S1823" s="53"/>
      <c r="T1823" s="53"/>
      <c r="U1823" s="53"/>
      <c r="V1823" s="53"/>
      <c r="W1823" s="53"/>
      <c r="X1823" s="53"/>
      <c r="Y1823" s="53"/>
      <c r="Z1823" s="53"/>
    </row>
    <row r="1824" spans="1:26" ht="15.75" customHeight="1">
      <c r="A1824" s="103"/>
      <c r="B1824" s="103"/>
      <c r="C1824" s="104" t="e">
        <v>#REF!</v>
      </c>
      <c r="D1824" s="103"/>
      <c r="E1824" s="53"/>
      <c r="F1824" s="53"/>
      <c r="G1824" s="53"/>
      <c r="H1824" s="53"/>
      <c r="I1824" s="53"/>
      <c r="J1824" s="53"/>
      <c r="K1824" s="53"/>
      <c r="L1824" s="53"/>
      <c r="M1824" s="53"/>
      <c r="N1824" s="53"/>
      <c r="O1824" s="53"/>
      <c r="P1824" s="53"/>
      <c r="Q1824" s="53"/>
      <c r="R1824" s="53"/>
      <c r="S1824" s="53"/>
      <c r="T1824" s="53"/>
      <c r="U1824" s="53"/>
      <c r="V1824" s="53"/>
      <c r="W1824" s="53"/>
      <c r="X1824" s="53"/>
      <c r="Y1824" s="53"/>
      <c r="Z1824" s="53"/>
    </row>
    <row r="1825" spans="1:26" ht="15.75" customHeight="1">
      <c r="A1825" s="103"/>
      <c r="B1825" s="103"/>
      <c r="C1825" s="104" t="e">
        <v>#REF!</v>
      </c>
      <c r="D1825" s="103"/>
      <c r="E1825" s="53"/>
      <c r="F1825" s="53"/>
      <c r="G1825" s="53"/>
      <c r="H1825" s="53"/>
      <c r="I1825" s="53"/>
      <c r="J1825" s="53"/>
      <c r="K1825" s="53"/>
      <c r="L1825" s="53"/>
      <c r="M1825" s="53"/>
      <c r="N1825" s="53"/>
      <c r="O1825" s="53"/>
      <c r="P1825" s="53"/>
      <c r="Q1825" s="53"/>
      <c r="R1825" s="53"/>
      <c r="S1825" s="53"/>
      <c r="T1825" s="53"/>
      <c r="U1825" s="53"/>
      <c r="V1825" s="53"/>
      <c r="W1825" s="53"/>
      <c r="X1825" s="53"/>
      <c r="Y1825" s="53"/>
      <c r="Z1825" s="53"/>
    </row>
    <row r="1826" spans="1:26" ht="15.75" customHeight="1">
      <c r="A1826" s="103"/>
      <c r="B1826" s="103"/>
      <c r="C1826" s="104" t="e">
        <v>#REF!</v>
      </c>
      <c r="D1826" s="103"/>
      <c r="E1826" s="53"/>
      <c r="F1826" s="53"/>
      <c r="G1826" s="53"/>
      <c r="H1826" s="53"/>
      <c r="I1826" s="53"/>
      <c r="J1826" s="53"/>
      <c r="K1826" s="53"/>
      <c r="L1826" s="53"/>
      <c r="M1826" s="53"/>
      <c r="N1826" s="53"/>
      <c r="O1826" s="53"/>
      <c r="P1826" s="53"/>
      <c r="Q1826" s="53"/>
      <c r="R1826" s="53"/>
      <c r="S1826" s="53"/>
      <c r="T1826" s="53"/>
      <c r="U1826" s="53"/>
      <c r="V1826" s="53"/>
      <c r="W1826" s="53"/>
      <c r="X1826" s="53"/>
      <c r="Y1826" s="53"/>
      <c r="Z1826" s="53"/>
    </row>
    <row r="1827" spans="1:26" ht="15.75" customHeight="1">
      <c r="A1827" s="103"/>
      <c r="B1827" s="103"/>
      <c r="C1827" s="104" t="e">
        <v>#REF!</v>
      </c>
      <c r="D1827" s="103"/>
      <c r="E1827" s="53"/>
      <c r="F1827" s="53"/>
      <c r="G1827" s="53"/>
      <c r="H1827" s="53"/>
      <c r="I1827" s="53"/>
      <c r="J1827" s="53"/>
      <c r="K1827" s="53"/>
      <c r="L1827" s="53"/>
      <c r="M1827" s="53"/>
      <c r="N1827" s="53"/>
      <c r="O1827" s="53"/>
      <c r="P1827" s="53"/>
      <c r="Q1827" s="53"/>
      <c r="R1827" s="53"/>
      <c r="S1827" s="53"/>
      <c r="T1827" s="53"/>
      <c r="U1827" s="53"/>
      <c r="V1827" s="53"/>
      <c r="W1827" s="53"/>
      <c r="X1827" s="53"/>
      <c r="Y1827" s="53"/>
      <c r="Z1827" s="53"/>
    </row>
    <row r="1828" spans="1:26" ht="15.75" customHeight="1">
      <c r="A1828" s="103"/>
      <c r="B1828" s="103"/>
      <c r="C1828" s="104" t="e">
        <v>#REF!</v>
      </c>
      <c r="D1828" s="103"/>
      <c r="E1828" s="53"/>
      <c r="F1828" s="53"/>
      <c r="G1828" s="53"/>
      <c r="H1828" s="53"/>
      <c r="I1828" s="53"/>
      <c r="J1828" s="53"/>
      <c r="K1828" s="53"/>
      <c r="L1828" s="53"/>
      <c r="M1828" s="53"/>
      <c r="N1828" s="53"/>
      <c r="O1828" s="53"/>
      <c r="P1828" s="53"/>
      <c r="Q1828" s="53"/>
      <c r="R1828" s="53"/>
      <c r="S1828" s="53"/>
      <c r="T1828" s="53"/>
      <c r="U1828" s="53"/>
      <c r="V1828" s="53"/>
      <c r="W1828" s="53"/>
      <c r="X1828" s="53"/>
      <c r="Y1828" s="53"/>
      <c r="Z1828" s="53"/>
    </row>
    <row r="1829" spans="1:26" ht="15.75" customHeight="1">
      <c r="A1829" s="103"/>
      <c r="B1829" s="103"/>
      <c r="C1829" s="104" t="e">
        <v>#REF!</v>
      </c>
      <c r="D1829" s="103"/>
      <c r="E1829" s="53"/>
      <c r="F1829" s="53"/>
      <c r="G1829" s="53"/>
      <c r="H1829" s="53"/>
      <c r="I1829" s="53"/>
      <c r="J1829" s="53"/>
      <c r="K1829" s="53"/>
      <c r="L1829" s="53"/>
      <c r="M1829" s="53"/>
      <c r="N1829" s="53"/>
      <c r="O1829" s="53"/>
      <c r="P1829" s="53"/>
      <c r="Q1829" s="53"/>
      <c r="R1829" s="53"/>
      <c r="S1829" s="53"/>
      <c r="T1829" s="53"/>
      <c r="U1829" s="53"/>
      <c r="V1829" s="53"/>
      <c r="W1829" s="53"/>
      <c r="X1829" s="53"/>
      <c r="Y1829" s="53"/>
      <c r="Z1829" s="53"/>
    </row>
    <row r="1830" spans="1:26" ht="15.75" customHeight="1">
      <c r="A1830" s="103"/>
      <c r="B1830" s="103"/>
      <c r="C1830" s="104" t="e">
        <v>#REF!</v>
      </c>
      <c r="D1830" s="103"/>
      <c r="E1830" s="53"/>
      <c r="F1830" s="53"/>
      <c r="G1830" s="53"/>
      <c r="H1830" s="53"/>
      <c r="I1830" s="53"/>
      <c r="J1830" s="53"/>
      <c r="K1830" s="53"/>
      <c r="L1830" s="53"/>
      <c r="M1830" s="53"/>
      <c r="N1830" s="53"/>
      <c r="O1830" s="53"/>
      <c r="P1830" s="53"/>
      <c r="Q1830" s="53"/>
      <c r="R1830" s="53"/>
      <c r="S1830" s="53"/>
      <c r="T1830" s="53"/>
      <c r="U1830" s="53"/>
      <c r="V1830" s="53"/>
      <c r="W1830" s="53"/>
      <c r="X1830" s="53"/>
      <c r="Y1830" s="53"/>
      <c r="Z1830" s="53"/>
    </row>
    <row r="1831" spans="1:26" ht="15.75" customHeight="1">
      <c r="A1831" s="103"/>
      <c r="B1831" s="103"/>
      <c r="C1831" s="104" t="e">
        <v>#REF!</v>
      </c>
      <c r="D1831" s="103"/>
      <c r="E1831" s="53"/>
      <c r="F1831" s="53"/>
      <c r="G1831" s="53"/>
      <c r="H1831" s="53"/>
      <c r="I1831" s="53"/>
      <c r="J1831" s="53"/>
      <c r="K1831" s="53"/>
      <c r="L1831" s="53"/>
      <c r="M1831" s="53"/>
      <c r="N1831" s="53"/>
      <c r="O1831" s="53"/>
      <c r="P1831" s="53"/>
      <c r="Q1831" s="53"/>
      <c r="R1831" s="53"/>
      <c r="S1831" s="53"/>
      <c r="T1831" s="53"/>
      <c r="U1831" s="53"/>
      <c r="V1831" s="53"/>
      <c r="W1831" s="53"/>
      <c r="X1831" s="53"/>
      <c r="Y1831" s="53"/>
      <c r="Z1831" s="53"/>
    </row>
    <row r="1832" spans="1:26" ht="15.75" customHeight="1">
      <c r="A1832" s="103"/>
      <c r="B1832" s="103"/>
      <c r="C1832" s="104" t="e">
        <v>#REF!</v>
      </c>
      <c r="D1832" s="103"/>
      <c r="E1832" s="53"/>
      <c r="F1832" s="53"/>
      <c r="G1832" s="53"/>
      <c r="H1832" s="53"/>
      <c r="I1832" s="53"/>
      <c r="J1832" s="53"/>
      <c r="K1832" s="53"/>
      <c r="L1832" s="53"/>
      <c r="M1832" s="53"/>
      <c r="N1832" s="53"/>
      <c r="O1832" s="53"/>
      <c r="P1832" s="53"/>
      <c r="Q1832" s="53"/>
      <c r="R1832" s="53"/>
      <c r="S1832" s="53"/>
      <c r="T1832" s="53"/>
      <c r="U1832" s="53"/>
      <c r="V1832" s="53"/>
      <c r="W1832" s="53"/>
      <c r="X1832" s="53"/>
      <c r="Y1832" s="53"/>
      <c r="Z1832" s="53"/>
    </row>
    <row r="1833" spans="1:26" ht="15.75" customHeight="1">
      <c r="A1833" s="103"/>
      <c r="B1833" s="103"/>
      <c r="C1833" s="104" t="e">
        <v>#REF!</v>
      </c>
      <c r="D1833" s="103"/>
      <c r="E1833" s="53"/>
      <c r="F1833" s="53"/>
      <c r="G1833" s="53"/>
      <c r="H1833" s="53"/>
      <c r="I1833" s="53"/>
      <c r="J1833" s="53"/>
      <c r="K1833" s="53"/>
      <c r="L1833" s="53"/>
      <c r="M1833" s="53"/>
      <c r="N1833" s="53"/>
      <c r="O1833" s="53"/>
      <c r="P1833" s="53"/>
      <c r="Q1833" s="53"/>
      <c r="R1833" s="53"/>
      <c r="S1833" s="53"/>
      <c r="T1833" s="53"/>
      <c r="U1833" s="53"/>
      <c r="V1833" s="53"/>
      <c r="W1833" s="53"/>
      <c r="X1833" s="53"/>
      <c r="Y1833" s="53"/>
      <c r="Z1833" s="53"/>
    </row>
    <row r="1834" spans="1:26" ht="15.75" customHeight="1">
      <c r="A1834" s="103"/>
      <c r="B1834" s="103"/>
      <c r="C1834" s="104" t="e">
        <v>#REF!</v>
      </c>
      <c r="D1834" s="103"/>
      <c r="E1834" s="53"/>
      <c r="F1834" s="53"/>
      <c r="G1834" s="53"/>
      <c r="H1834" s="53"/>
      <c r="I1834" s="53"/>
      <c r="J1834" s="53"/>
      <c r="K1834" s="53"/>
      <c r="L1834" s="53"/>
      <c r="M1834" s="53"/>
      <c r="N1834" s="53"/>
      <c r="O1834" s="53"/>
      <c r="P1834" s="53"/>
      <c r="Q1834" s="53"/>
      <c r="R1834" s="53"/>
      <c r="S1834" s="53"/>
      <c r="T1834" s="53"/>
      <c r="U1834" s="53"/>
      <c r="V1834" s="53"/>
      <c r="W1834" s="53"/>
      <c r="X1834" s="53"/>
      <c r="Y1834" s="53"/>
      <c r="Z1834" s="53"/>
    </row>
    <row r="1835" spans="1:26" ht="15.75" customHeight="1">
      <c r="A1835" s="103"/>
      <c r="B1835" s="103"/>
      <c r="C1835" s="104" t="e">
        <v>#REF!</v>
      </c>
      <c r="D1835" s="103"/>
      <c r="E1835" s="53"/>
      <c r="F1835" s="53"/>
      <c r="G1835" s="53"/>
      <c r="H1835" s="53"/>
      <c r="I1835" s="53"/>
      <c r="J1835" s="53"/>
      <c r="K1835" s="53"/>
      <c r="L1835" s="53"/>
      <c r="M1835" s="53"/>
      <c r="N1835" s="53"/>
      <c r="O1835" s="53"/>
      <c r="P1835" s="53"/>
      <c r="Q1835" s="53"/>
      <c r="R1835" s="53"/>
      <c r="S1835" s="53"/>
      <c r="T1835" s="53"/>
      <c r="U1835" s="53"/>
      <c r="V1835" s="53"/>
      <c r="W1835" s="53"/>
      <c r="X1835" s="53"/>
      <c r="Y1835" s="53"/>
      <c r="Z1835" s="53"/>
    </row>
    <row r="1836" spans="1:26" ht="15.75" customHeight="1">
      <c r="A1836" s="103"/>
      <c r="B1836" s="103"/>
      <c r="C1836" s="104" t="e">
        <v>#REF!</v>
      </c>
      <c r="D1836" s="103"/>
      <c r="E1836" s="53"/>
      <c r="F1836" s="53"/>
      <c r="G1836" s="53"/>
      <c r="H1836" s="53"/>
      <c r="I1836" s="53"/>
      <c r="J1836" s="53"/>
      <c r="K1836" s="53"/>
      <c r="L1836" s="53"/>
      <c r="M1836" s="53"/>
      <c r="N1836" s="53"/>
      <c r="O1836" s="53"/>
      <c r="P1836" s="53"/>
      <c r="Q1836" s="53"/>
      <c r="R1836" s="53"/>
      <c r="S1836" s="53"/>
      <c r="T1836" s="53"/>
      <c r="U1836" s="53"/>
      <c r="V1836" s="53"/>
      <c r="W1836" s="53"/>
      <c r="X1836" s="53"/>
      <c r="Y1836" s="53"/>
      <c r="Z1836" s="53"/>
    </row>
    <row r="1837" spans="1:26" ht="15.75" customHeight="1">
      <c r="A1837" s="103"/>
      <c r="B1837" s="103"/>
      <c r="C1837" s="104" t="e">
        <v>#REF!</v>
      </c>
      <c r="D1837" s="103"/>
      <c r="E1837" s="53"/>
      <c r="F1837" s="53"/>
      <c r="G1837" s="53"/>
      <c r="H1837" s="53"/>
      <c r="I1837" s="53"/>
      <c r="J1837" s="53"/>
      <c r="K1837" s="53"/>
      <c r="L1837" s="53"/>
      <c r="M1837" s="53"/>
      <c r="N1837" s="53"/>
      <c r="O1837" s="53"/>
      <c r="P1837" s="53"/>
      <c r="Q1837" s="53"/>
      <c r="R1837" s="53"/>
      <c r="S1837" s="53"/>
      <c r="T1837" s="53"/>
      <c r="U1837" s="53"/>
      <c r="V1837" s="53"/>
      <c r="W1837" s="53"/>
      <c r="X1837" s="53"/>
      <c r="Y1837" s="53"/>
      <c r="Z1837" s="53"/>
    </row>
    <row r="1838" spans="1:26" ht="15.75" customHeight="1">
      <c r="A1838" s="103"/>
      <c r="B1838" s="103"/>
      <c r="C1838" s="104" t="e">
        <v>#REF!</v>
      </c>
      <c r="D1838" s="10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</row>
    <row r="1839" spans="1:26" ht="15.75" customHeight="1">
      <c r="A1839" s="103"/>
      <c r="B1839" s="103"/>
      <c r="C1839" s="104" t="e">
        <v>#REF!</v>
      </c>
      <c r="D1839" s="103"/>
      <c r="E1839" s="53"/>
      <c r="F1839" s="53"/>
      <c r="G1839" s="53"/>
      <c r="H1839" s="53"/>
      <c r="I1839" s="53"/>
      <c r="J1839" s="53"/>
      <c r="K1839" s="53"/>
      <c r="L1839" s="53"/>
      <c r="M1839" s="53"/>
      <c r="N1839" s="53"/>
      <c r="O1839" s="53"/>
      <c r="P1839" s="53"/>
      <c r="Q1839" s="53"/>
      <c r="R1839" s="53"/>
      <c r="S1839" s="53"/>
      <c r="T1839" s="53"/>
      <c r="U1839" s="53"/>
      <c r="V1839" s="53"/>
      <c r="W1839" s="53"/>
      <c r="X1839" s="53"/>
      <c r="Y1839" s="53"/>
      <c r="Z1839" s="53"/>
    </row>
    <row r="1840" spans="1:26" ht="15.75" customHeight="1">
      <c r="A1840" s="103"/>
      <c r="B1840" s="103"/>
      <c r="C1840" s="104" t="e">
        <v>#REF!</v>
      </c>
      <c r="D1840" s="103"/>
      <c r="E1840" s="53"/>
      <c r="F1840" s="53"/>
      <c r="G1840" s="53"/>
      <c r="H1840" s="53"/>
      <c r="I1840" s="53"/>
      <c r="J1840" s="53"/>
      <c r="K1840" s="53"/>
      <c r="L1840" s="53"/>
      <c r="M1840" s="53"/>
      <c r="N1840" s="53"/>
      <c r="O1840" s="53"/>
      <c r="P1840" s="53"/>
      <c r="Q1840" s="53"/>
      <c r="R1840" s="53"/>
      <c r="S1840" s="53"/>
      <c r="T1840" s="53"/>
      <c r="U1840" s="53"/>
      <c r="V1840" s="53"/>
      <c r="W1840" s="53"/>
      <c r="X1840" s="53"/>
      <c r="Y1840" s="53"/>
      <c r="Z1840" s="53"/>
    </row>
    <row r="1841" spans="1:26" ht="15.75" customHeight="1">
      <c r="A1841" s="103"/>
      <c r="B1841" s="103"/>
      <c r="C1841" s="104" t="e">
        <v>#REF!</v>
      </c>
      <c r="D1841" s="103"/>
      <c r="E1841" s="53"/>
      <c r="F1841" s="53"/>
      <c r="G1841" s="53"/>
      <c r="H1841" s="53"/>
      <c r="I1841" s="53"/>
      <c r="J1841" s="53"/>
      <c r="K1841" s="53"/>
      <c r="L1841" s="53"/>
      <c r="M1841" s="53"/>
      <c r="N1841" s="53"/>
      <c r="O1841" s="53"/>
      <c r="P1841" s="53"/>
      <c r="Q1841" s="53"/>
      <c r="R1841" s="53"/>
      <c r="S1841" s="53"/>
      <c r="T1841" s="53"/>
      <c r="U1841" s="53"/>
      <c r="V1841" s="53"/>
      <c r="W1841" s="53"/>
      <c r="X1841" s="53"/>
      <c r="Y1841" s="53"/>
      <c r="Z1841" s="53"/>
    </row>
    <row r="1842" spans="1:26" ht="15.75" customHeight="1">
      <c r="A1842" s="103"/>
      <c r="B1842" s="103"/>
      <c r="C1842" s="104" t="e">
        <v>#REF!</v>
      </c>
      <c r="D1842" s="103"/>
      <c r="E1842" s="53"/>
      <c r="F1842" s="53"/>
      <c r="G1842" s="53"/>
      <c r="H1842" s="53"/>
      <c r="I1842" s="53"/>
      <c r="J1842" s="53"/>
      <c r="K1842" s="53"/>
      <c r="L1842" s="53"/>
      <c r="M1842" s="53"/>
      <c r="N1842" s="53"/>
      <c r="O1842" s="53"/>
      <c r="P1842" s="53"/>
      <c r="Q1842" s="53"/>
      <c r="R1842" s="53"/>
      <c r="S1842" s="53"/>
      <c r="T1842" s="53"/>
      <c r="U1842" s="53"/>
      <c r="V1842" s="53"/>
      <c r="W1842" s="53"/>
      <c r="X1842" s="53"/>
      <c r="Y1842" s="53"/>
      <c r="Z1842" s="53"/>
    </row>
    <row r="1843" spans="1:26" ht="15.75" customHeight="1">
      <c r="A1843" s="103"/>
      <c r="B1843" s="103"/>
      <c r="C1843" s="104" t="e">
        <v>#REF!</v>
      </c>
      <c r="D1843" s="10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53"/>
      <c r="T1843" s="53"/>
      <c r="U1843" s="53"/>
      <c r="V1843" s="53"/>
      <c r="W1843" s="53"/>
      <c r="X1843" s="53"/>
      <c r="Y1843" s="53"/>
      <c r="Z1843" s="53"/>
    </row>
    <row r="1844" spans="1:26" ht="15.75" customHeight="1">
      <c r="A1844" s="103"/>
      <c r="B1844" s="103"/>
      <c r="C1844" s="104" t="e">
        <v>#REF!</v>
      </c>
      <c r="D1844" s="103"/>
      <c r="E1844" s="53"/>
      <c r="F1844" s="53"/>
      <c r="G1844" s="53"/>
      <c r="H1844" s="53"/>
      <c r="I1844" s="53"/>
      <c r="J1844" s="53"/>
      <c r="K1844" s="53"/>
      <c r="L1844" s="53"/>
      <c r="M1844" s="53"/>
      <c r="N1844" s="53"/>
      <c r="O1844" s="53"/>
      <c r="P1844" s="53"/>
      <c r="Q1844" s="53"/>
      <c r="R1844" s="53"/>
      <c r="S1844" s="53"/>
      <c r="T1844" s="53"/>
      <c r="U1844" s="53"/>
      <c r="V1844" s="53"/>
      <c r="W1844" s="53"/>
      <c r="X1844" s="53"/>
      <c r="Y1844" s="53"/>
      <c r="Z1844" s="53"/>
    </row>
    <row r="1845" spans="1:26" ht="15.75" customHeight="1">
      <c r="A1845" s="103"/>
      <c r="B1845" s="103"/>
      <c r="C1845" s="104" t="e">
        <v>#REF!</v>
      </c>
      <c r="D1845" s="103"/>
      <c r="E1845" s="53"/>
      <c r="F1845" s="53"/>
      <c r="G1845" s="53"/>
      <c r="H1845" s="53"/>
      <c r="I1845" s="53"/>
      <c r="J1845" s="53"/>
      <c r="K1845" s="53"/>
      <c r="L1845" s="53"/>
      <c r="M1845" s="53"/>
      <c r="N1845" s="53"/>
      <c r="O1845" s="53"/>
      <c r="P1845" s="53"/>
      <c r="Q1845" s="53"/>
      <c r="R1845" s="53"/>
      <c r="S1845" s="53"/>
      <c r="T1845" s="53"/>
      <c r="U1845" s="53"/>
      <c r="V1845" s="53"/>
      <c r="W1845" s="53"/>
      <c r="X1845" s="53"/>
      <c r="Y1845" s="53"/>
      <c r="Z1845" s="53"/>
    </row>
    <row r="1846" spans="1:26" ht="15.75" customHeight="1">
      <c r="A1846" s="103"/>
      <c r="B1846" s="103"/>
      <c r="C1846" s="104" t="e">
        <v>#REF!</v>
      </c>
      <c r="D1846" s="103"/>
      <c r="E1846" s="53"/>
      <c r="F1846" s="53"/>
      <c r="G1846" s="53"/>
      <c r="H1846" s="53"/>
      <c r="I1846" s="53"/>
      <c r="J1846" s="53"/>
      <c r="K1846" s="53"/>
      <c r="L1846" s="53"/>
      <c r="M1846" s="53"/>
      <c r="N1846" s="53"/>
      <c r="O1846" s="53"/>
      <c r="P1846" s="53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</row>
    <row r="1847" spans="1:26" ht="15.75" customHeight="1">
      <c r="A1847" s="103"/>
      <c r="B1847" s="103"/>
      <c r="C1847" s="104" t="e">
        <v>#REF!</v>
      </c>
      <c r="D1847" s="103"/>
      <c r="E1847" s="53"/>
      <c r="F1847" s="53"/>
      <c r="G1847" s="53"/>
      <c r="H1847" s="53"/>
      <c r="I1847" s="53"/>
      <c r="J1847" s="53"/>
      <c r="K1847" s="53"/>
      <c r="L1847" s="53"/>
      <c r="M1847" s="53"/>
      <c r="N1847" s="53"/>
      <c r="O1847" s="53"/>
      <c r="P1847" s="53"/>
      <c r="Q1847" s="53"/>
      <c r="R1847" s="53"/>
      <c r="S1847" s="53"/>
      <c r="T1847" s="53"/>
      <c r="U1847" s="53"/>
      <c r="V1847" s="53"/>
      <c r="W1847" s="53"/>
      <c r="X1847" s="53"/>
      <c r="Y1847" s="53"/>
      <c r="Z1847" s="53"/>
    </row>
    <row r="1848" spans="1:26" ht="15.75" customHeight="1">
      <c r="A1848" s="103"/>
      <c r="B1848" s="103"/>
      <c r="C1848" s="104" t="e">
        <v>#REF!</v>
      </c>
      <c r="D1848" s="103"/>
      <c r="E1848" s="53"/>
      <c r="F1848" s="53"/>
      <c r="G1848" s="53"/>
      <c r="H1848" s="53"/>
      <c r="I1848" s="53"/>
      <c r="J1848" s="53"/>
      <c r="K1848" s="53"/>
      <c r="L1848" s="53"/>
      <c r="M1848" s="53"/>
      <c r="N1848" s="53"/>
      <c r="O1848" s="53"/>
      <c r="P1848" s="53"/>
      <c r="Q1848" s="53"/>
      <c r="R1848" s="53"/>
      <c r="S1848" s="53"/>
      <c r="T1848" s="53"/>
      <c r="U1848" s="53"/>
      <c r="V1848" s="53"/>
      <c r="W1848" s="53"/>
      <c r="X1848" s="53"/>
      <c r="Y1848" s="53"/>
      <c r="Z1848" s="53"/>
    </row>
    <row r="1849" spans="1:26" ht="15.75" customHeight="1">
      <c r="A1849" s="103"/>
      <c r="B1849" s="103"/>
      <c r="C1849" s="104" t="e">
        <v>#REF!</v>
      </c>
      <c r="D1849" s="103"/>
      <c r="E1849" s="53"/>
      <c r="F1849" s="53"/>
      <c r="G1849" s="53"/>
      <c r="H1849" s="53"/>
      <c r="I1849" s="53"/>
      <c r="J1849" s="53"/>
      <c r="K1849" s="53"/>
      <c r="L1849" s="53"/>
      <c r="M1849" s="53"/>
      <c r="N1849" s="53"/>
      <c r="O1849" s="53"/>
      <c r="P1849" s="53"/>
      <c r="Q1849" s="53"/>
      <c r="R1849" s="53"/>
      <c r="S1849" s="53"/>
      <c r="T1849" s="53"/>
      <c r="U1849" s="53"/>
      <c r="V1849" s="53"/>
      <c r="W1849" s="53"/>
      <c r="X1849" s="53"/>
      <c r="Y1849" s="53"/>
      <c r="Z1849" s="53"/>
    </row>
    <row r="1850" spans="1:26" ht="15.75" customHeight="1">
      <c r="A1850" s="103"/>
      <c r="B1850" s="103"/>
      <c r="C1850" s="104" t="e">
        <v>#REF!</v>
      </c>
      <c r="D1850" s="103"/>
      <c r="E1850" s="53"/>
      <c r="F1850" s="53"/>
      <c r="G1850" s="53"/>
      <c r="H1850" s="53"/>
      <c r="I1850" s="53"/>
      <c r="J1850" s="53"/>
      <c r="K1850" s="53"/>
      <c r="L1850" s="53"/>
      <c r="M1850" s="53"/>
      <c r="N1850" s="53"/>
      <c r="O1850" s="53"/>
      <c r="P1850" s="53"/>
      <c r="Q1850" s="53"/>
      <c r="R1850" s="53"/>
      <c r="S1850" s="53"/>
      <c r="T1850" s="53"/>
      <c r="U1850" s="53"/>
      <c r="V1850" s="53"/>
      <c r="W1850" s="53"/>
      <c r="X1850" s="53"/>
      <c r="Y1850" s="53"/>
      <c r="Z1850" s="53"/>
    </row>
    <row r="1851" spans="1:26" ht="15.75" customHeight="1">
      <c r="A1851" s="103"/>
      <c r="B1851" s="103"/>
      <c r="C1851" s="104" t="e">
        <v>#REF!</v>
      </c>
      <c r="D1851" s="103"/>
      <c r="E1851" s="53"/>
      <c r="F1851" s="53"/>
      <c r="G1851" s="53"/>
      <c r="H1851" s="53"/>
      <c r="I1851" s="53"/>
      <c r="J1851" s="53"/>
      <c r="K1851" s="53"/>
      <c r="L1851" s="53"/>
      <c r="M1851" s="53"/>
      <c r="N1851" s="53"/>
      <c r="O1851" s="53"/>
      <c r="P1851" s="53"/>
      <c r="Q1851" s="53"/>
      <c r="R1851" s="53"/>
      <c r="S1851" s="53"/>
      <c r="T1851" s="53"/>
      <c r="U1851" s="53"/>
      <c r="V1851" s="53"/>
      <c r="W1851" s="53"/>
      <c r="X1851" s="53"/>
      <c r="Y1851" s="53"/>
      <c r="Z1851" s="53"/>
    </row>
    <row r="1852" spans="1:26" ht="15.75" customHeight="1">
      <c r="A1852" s="103"/>
      <c r="B1852" s="103"/>
      <c r="C1852" s="104" t="e">
        <v>#REF!</v>
      </c>
      <c r="D1852" s="103"/>
      <c r="E1852" s="53"/>
      <c r="F1852" s="53"/>
      <c r="G1852" s="53"/>
      <c r="H1852" s="53"/>
      <c r="I1852" s="53"/>
      <c r="J1852" s="53"/>
      <c r="K1852" s="53"/>
      <c r="L1852" s="53"/>
      <c r="M1852" s="53"/>
      <c r="N1852" s="53"/>
      <c r="O1852" s="53"/>
      <c r="P1852" s="53"/>
      <c r="Q1852" s="53"/>
      <c r="R1852" s="53"/>
      <c r="S1852" s="53"/>
      <c r="T1852" s="53"/>
      <c r="U1852" s="53"/>
      <c r="V1852" s="53"/>
      <c r="W1852" s="53"/>
      <c r="X1852" s="53"/>
      <c r="Y1852" s="53"/>
      <c r="Z1852" s="53"/>
    </row>
    <row r="1853" spans="1:26" ht="15.75" customHeight="1">
      <c r="A1853" s="103"/>
      <c r="B1853" s="103"/>
      <c r="C1853" s="104" t="e">
        <v>#REF!</v>
      </c>
      <c r="D1853" s="103"/>
      <c r="E1853" s="53"/>
      <c r="F1853" s="53"/>
      <c r="G1853" s="53"/>
      <c r="H1853" s="53"/>
      <c r="I1853" s="53"/>
      <c r="J1853" s="53"/>
      <c r="K1853" s="53"/>
      <c r="L1853" s="53"/>
      <c r="M1853" s="53"/>
      <c r="N1853" s="53"/>
      <c r="O1853" s="53"/>
      <c r="P1853" s="53"/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</row>
    <row r="1854" spans="1:26" ht="15.75" customHeight="1">
      <c r="A1854" s="103"/>
      <c r="B1854" s="103"/>
      <c r="C1854" s="104" t="e">
        <v>#REF!</v>
      </c>
      <c r="D1854" s="103"/>
      <c r="E1854" s="53"/>
      <c r="F1854" s="53"/>
      <c r="G1854" s="53"/>
      <c r="H1854" s="53"/>
      <c r="I1854" s="53"/>
      <c r="J1854" s="53"/>
      <c r="K1854" s="53"/>
      <c r="L1854" s="53"/>
      <c r="M1854" s="53"/>
      <c r="N1854" s="53"/>
      <c r="O1854" s="53"/>
      <c r="P1854" s="53"/>
      <c r="Q1854" s="53"/>
      <c r="R1854" s="53"/>
      <c r="S1854" s="53"/>
      <c r="T1854" s="53"/>
      <c r="U1854" s="53"/>
      <c r="V1854" s="53"/>
      <c r="W1854" s="53"/>
      <c r="X1854" s="53"/>
      <c r="Y1854" s="53"/>
      <c r="Z1854" s="53"/>
    </row>
    <row r="1855" spans="1:26" ht="15.75" customHeight="1">
      <c r="A1855" s="103"/>
      <c r="B1855" s="103"/>
      <c r="C1855" s="104" t="e">
        <v>#REF!</v>
      </c>
      <c r="D1855" s="103"/>
      <c r="E1855" s="53"/>
      <c r="F1855" s="53"/>
      <c r="G1855" s="53"/>
      <c r="H1855" s="53"/>
      <c r="I1855" s="53"/>
      <c r="J1855" s="53"/>
      <c r="K1855" s="53"/>
      <c r="L1855" s="53"/>
      <c r="M1855" s="53"/>
      <c r="N1855" s="53"/>
      <c r="O1855" s="53"/>
      <c r="P1855" s="53"/>
      <c r="Q1855" s="53"/>
      <c r="R1855" s="53"/>
      <c r="S1855" s="53"/>
      <c r="T1855" s="53"/>
      <c r="U1855" s="53"/>
      <c r="V1855" s="53"/>
      <c r="W1855" s="53"/>
      <c r="X1855" s="53"/>
      <c r="Y1855" s="53"/>
      <c r="Z1855" s="53"/>
    </row>
    <row r="1856" spans="1:26" ht="15.75" customHeight="1">
      <c r="A1856" s="103"/>
      <c r="B1856" s="103"/>
      <c r="C1856" s="104" t="e">
        <v>#REF!</v>
      </c>
      <c r="D1856" s="103"/>
      <c r="E1856" s="53"/>
      <c r="F1856" s="53"/>
      <c r="G1856" s="53"/>
      <c r="H1856" s="53"/>
      <c r="I1856" s="53"/>
      <c r="J1856" s="53"/>
      <c r="K1856" s="53"/>
      <c r="L1856" s="53"/>
      <c r="M1856" s="53"/>
      <c r="N1856" s="53"/>
      <c r="O1856" s="53"/>
      <c r="P1856" s="53"/>
      <c r="Q1856" s="53"/>
      <c r="R1856" s="53"/>
      <c r="S1856" s="53"/>
      <c r="T1856" s="53"/>
      <c r="U1856" s="53"/>
      <c r="V1856" s="53"/>
      <c r="W1856" s="53"/>
      <c r="X1856" s="53"/>
      <c r="Y1856" s="53"/>
      <c r="Z1856" s="53"/>
    </row>
    <row r="1857" spans="1:26" ht="15.75" customHeight="1">
      <c r="A1857" s="103"/>
      <c r="B1857" s="103"/>
      <c r="C1857" s="104" t="e">
        <v>#REF!</v>
      </c>
      <c r="D1857" s="103"/>
      <c r="E1857" s="53"/>
      <c r="F1857" s="53"/>
      <c r="G1857" s="53"/>
      <c r="H1857" s="53"/>
      <c r="I1857" s="53"/>
      <c r="J1857" s="53"/>
      <c r="K1857" s="53"/>
      <c r="L1857" s="53"/>
      <c r="M1857" s="53"/>
      <c r="N1857" s="53"/>
      <c r="O1857" s="53"/>
      <c r="P1857" s="53"/>
      <c r="Q1857" s="53"/>
      <c r="R1857" s="53"/>
      <c r="S1857" s="53"/>
      <c r="T1857" s="53"/>
      <c r="U1857" s="53"/>
      <c r="V1857" s="53"/>
      <c r="W1857" s="53"/>
      <c r="X1857" s="53"/>
      <c r="Y1857" s="53"/>
      <c r="Z1857" s="53"/>
    </row>
    <row r="1858" spans="1:26" ht="15.75" customHeight="1">
      <c r="A1858" s="103"/>
      <c r="B1858" s="103"/>
      <c r="C1858" s="104" t="e">
        <v>#REF!</v>
      </c>
      <c r="D1858" s="103"/>
      <c r="E1858" s="53"/>
      <c r="F1858" s="53"/>
      <c r="G1858" s="53"/>
      <c r="H1858" s="53"/>
      <c r="I1858" s="53"/>
      <c r="J1858" s="53"/>
      <c r="K1858" s="53"/>
      <c r="L1858" s="53"/>
      <c r="M1858" s="53"/>
      <c r="N1858" s="53"/>
      <c r="O1858" s="53"/>
      <c r="P1858" s="53"/>
      <c r="Q1858" s="53"/>
      <c r="R1858" s="53"/>
      <c r="S1858" s="53"/>
      <c r="T1858" s="53"/>
      <c r="U1858" s="53"/>
      <c r="V1858" s="53"/>
      <c r="W1858" s="53"/>
      <c r="X1858" s="53"/>
      <c r="Y1858" s="53"/>
      <c r="Z1858" s="53"/>
    </row>
    <row r="1859" spans="1:26" ht="15.75" customHeight="1">
      <c r="A1859" s="103"/>
      <c r="B1859" s="103"/>
      <c r="C1859" s="104" t="e">
        <v>#REF!</v>
      </c>
      <c r="D1859" s="103"/>
      <c r="E1859" s="53"/>
      <c r="F1859" s="53"/>
      <c r="G1859" s="53"/>
      <c r="H1859" s="53"/>
      <c r="I1859" s="53"/>
      <c r="J1859" s="53"/>
      <c r="K1859" s="53"/>
      <c r="L1859" s="53"/>
      <c r="M1859" s="53"/>
      <c r="N1859" s="53"/>
      <c r="O1859" s="53"/>
      <c r="P1859" s="53"/>
      <c r="Q1859" s="53"/>
      <c r="R1859" s="53"/>
      <c r="S1859" s="53"/>
      <c r="T1859" s="53"/>
      <c r="U1859" s="53"/>
      <c r="V1859" s="53"/>
      <c r="W1859" s="53"/>
      <c r="X1859" s="53"/>
      <c r="Y1859" s="53"/>
      <c r="Z1859" s="53"/>
    </row>
    <row r="1860" spans="1:26" ht="15.75" customHeight="1">
      <c r="A1860" s="103"/>
      <c r="B1860" s="103"/>
      <c r="C1860" s="104" t="e">
        <v>#REF!</v>
      </c>
      <c r="D1860" s="103"/>
      <c r="E1860" s="53"/>
      <c r="F1860" s="53"/>
      <c r="G1860" s="53"/>
      <c r="H1860" s="53"/>
      <c r="I1860" s="53"/>
      <c r="J1860" s="53"/>
      <c r="K1860" s="53"/>
      <c r="L1860" s="53"/>
      <c r="M1860" s="53"/>
      <c r="N1860" s="53"/>
      <c r="O1860" s="53"/>
      <c r="P1860" s="53"/>
      <c r="Q1860" s="53"/>
      <c r="R1860" s="53"/>
      <c r="S1860" s="53"/>
      <c r="T1860" s="53"/>
      <c r="U1860" s="53"/>
      <c r="V1860" s="53"/>
      <c r="W1860" s="53"/>
      <c r="X1860" s="53"/>
      <c r="Y1860" s="53"/>
      <c r="Z1860" s="53"/>
    </row>
    <row r="1861" spans="1:26" ht="15.75" customHeight="1">
      <c r="A1861" s="103"/>
      <c r="B1861" s="103"/>
      <c r="C1861" s="104" t="e">
        <v>#REF!</v>
      </c>
      <c r="D1861" s="103"/>
      <c r="E1861" s="53"/>
      <c r="F1861" s="53"/>
      <c r="G1861" s="53"/>
      <c r="H1861" s="53"/>
      <c r="I1861" s="53"/>
      <c r="J1861" s="53"/>
      <c r="K1861" s="53"/>
      <c r="L1861" s="53"/>
      <c r="M1861" s="53"/>
      <c r="N1861" s="53"/>
      <c r="O1861" s="53"/>
      <c r="P1861" s="53"/>
      <c r="Q1861" s="53"/>
      <c r="R1861" s="53"/>
      <c r="S1861" s="53"/>
      <c r="T1861" s="53"/>
      <c r="U1861" s="53"/>
      <c r="V1861" s="53"/>
      <c r="W1861" s="53"/>
      <c r="X1861" s="53"/>
      <c r="Y1861" s="53"/>
      <c r="Z1861" s="53"/>
    </row>
    <row r="1862" spans="1:26" ht="15.75" customHeight="1">
      <c r="A1862" s="103"/>
      <c r="B1862" s="103"/>
      <c r="C1862" s="104" t="e">
        <v>#REF!</v>
      </c>
      <c r="D1862" s="103"/>
      <c r="E1862" s="53"/>
      <c r="F1862" s="53"/>
      <c r="G1862" s="53"/>
      <c r="H1862" s="53"/>
      <c r="I1862" s="53"/>
      <c r="J1862" s="53"/>
      <c r="K1862" s="53"/>
      <c r="L1862" s="53"/>
      <c r="M1862" s="53"/>
      <c r="N1862" s="53"/>
      <c r="O1862" s="53"/>
      <c r="P1862" s="53"/>
      <c r="Q1862" s="53"/>
      <c r="R1862" s="53"/>
      <c r="S1862" s="53"/>
      <c r="T1862" s="53"/>
      <c r="U1862" s="53"/>
      <c r="V1862" s="53"/>
      <c r="W1862" s="53"/>
      <c r="X1862" s="53"/>
      <c r="Y1862" s="53"/>
      <c r="Z1862" s="53"/>
    </row>
    <row r="1863" spans="1:26" ht="15.75" customHeight="1">
      <c r="A1863" s="103"/>
      <c r="B1863" s="103"/>
      <c r="C1863" s="104" t="e">
        <v>#REF!</v>
      </c>
      <c r="D1863" s="103"/>
      <c r="E1863" s="53"/>
      <c r="F1863" s="53"/>
      <c r="G1863" s="53"/>
      <c r="H1863" s="53"/>
      <c r="I1863" s="53"/>
      <c r="J1863" s="53"/>
      <c r="K1863" s="53"/>
      <c r="L1863" s="53"/>
      <c r="M1863" s="53"/>
      <c r="N1863" s="53"/>
      <c r="O1863" s="53"/>
      <c r="P1863" s="53"/>
      <c r="Q1863" s="53"/>
      <c r="R1863" s="53"/>
      <c r="S1863" s="53"/>
      <c r="T1863" s="53"/>
      <c r="U1863" s="53"/>
      <c r="V1863" s="53"/>
      <c r="W1863" s="53"/>
      <c r="X1863" s="53"/>
      <c r="Y1863" s="53"/>
      <c r="Z1863" s="53"/>
    </row>
    <row r="1864" spans="1:26" ht="15.75" customHeight="1">
      <c r="A1864" s="103"/>
      <c r="B1864" s="103"/>
      <c r="C1864" s="104" t="e">
        <v>#REF!</v>
      </c>
      <c r="D1864" s="103"/>
      <c r="E1864" s="53"/>
      <c r="F1864" s="53"/>
      <c r="G1864" s="53"/>
      <c r="H1864" s="53"/>
      <c r="I1864" s="53"/>
      <c r="J1864" s="53"/>
      <c r="K1864" s="53"/>
      <c r="L1864" s="53"/>
      <c r="M1864" s="53"/>
      <c r="N1864" s="53"/>
      <c r="O1864" s="53"/>
      <c r="P1864" s="53"/>
      <c r="Q1864" s="53"/>
      <c r="R1864" s="53"/>
      <c r="S1864" s="53"/>
      <c r="T1864" s="53"/>
      <c r="U1864" s="53"/>
      <c r="V1864" s="53"/>
      <c r="W1864" s="53"/>
      <c r="X1864" s="53"/>
      <c r="Y1864" s="53"/>
      <c r="Z1864" s="53"/>
    </row>
    <row r="1865" spans="1:26" ht="15.75" customHeight="1">
      <c r="A1865" s="103"/>
      <c r="B1865" s="103"/>
      <c r="C1865" s="104" t="e">
        <v>#REF!</v>
      </c>
      <c r="D1865" s="103"/>
      <c r="E1865" s="53"/>
      <c r="F1865" s="53"/>
      <c r="G1865" s="53"/>
      <c r="H1865" s="53"/>
      <c r="I1865" s="53"/>
      <c r="J1865" s="53"/>
      <c r="K1865" s="53"/>
      <c r="L1865" s="53"/>
      <c r="M1865" s="53"/>
      <c r="N1865" s="53"/>
      <c r="O1865" s="53"/>
      <c r="P1865" s="53"/>
      <c r="Q1865" s="53"/>
      <c r="R1865" s="53"/>
      <c r="S1865" s="53"/>
      <c r="T1865" s="53"/>
      <c r="U1865" s="53"/>
      <c r="V1865" s="53"/>
      <c r="W1865" s="53"/>
      <c r="X1865" s="53"/>
      <c r="Y1865" s="53"/>
      <c r="Z1865" s="53"/>
    </row>
    <row r="1866" spans="1:26" ht="15.75" customHeight="1">
      <c r="A1866" s="103"/>
      <c r="B1866" s="103"/>
      <c r="C1866" s="104" t="e">
        <v>#REF!</v>
      </c>
      <c r="D1866" s="103"/>
      <c r="E1866" s="53"/>
      <c r="F1866" s="53"/>
      <c r="G1866" s="53"/>
      <c r="H1866" s="53"/>
      <c r="I1866" s="53"/>
      <c r="J1866" s="53"/>
      <c r="K1866" s="53"/>
      <c r="L1866" s="53"/>
      <c r="M1866" s="53"/>
      <c r="N1866" s="53"/>
      <c r="O1866" s="53"/>
      <c r="P1866" s="53"/>
      <c r="Q1866" s="53"/>
      <c r="R1866" s="53"/>
      <c r="S1866" s="53"/>
      <c r="T1866" s="53"/>
      <c r="U1866" s="53"/>
      <c r="V1866" s="53"/>
      <c r="W1866" s="53"/>
      <c r="X1866" s="53"/>
      <c r="Y1866" s="53"/>
      <c r="Z1866" s="53"/>
    </row>
    <row r="1867" spans="1:26" ht="15.75" customHeight="1">
      <c r="A1867" s="103"/>
      <c r="B1867" s="103"/>
      <c r="C1867" s="104" t="e">
        <v>#REF!</v>
      </c>
      <c r="D1867" s="103"/>
      <c r="E1867" s="53"/>
      <c r="F1867" s="53"/>
      <c r="G1867" s="53"/>
      <c r="H1867" s="53"/>
      <c r="I1867" s="53"/>
      <c r="J1867" s="53"/>
      <c r="K1867" s="53"/>
      <c r="L1867" s="53"/>
      <c r="M1867" s="53"/>
      <c r="N1867" s="53"/>
      <c r="O1867" s="53"/>
      <c r="P1867" s="53"/>
      <c r="Q1867" s="53"/>
      <c r="R1867" s="53"/>
      <c r="S1867" s="53"/>
      <c r="T1867" s="53"/>
      <c r="U1867" s="53"/>
      <c r="V1867" s="53"/>
      <c r="W1867" s="53"/>
      <c r="X1867" s="53"/>
      <c r="Y1867" s="53"/>
      <c r="Z1867" s="53"/>
    </row>
    <row r="1868" spans="1:26" ht="15.75" customHeight="1">
      <c r="A1868" s="103"/>
      <c r="B1868" s="103"/>
      <c r="C1868" s="104" t="e">
        <v>#REF!</v>
      </c>
      <c r="D1868" s="103"/>
      <c r="E1868" s="53"/>
      <c r="F1868" s="53"/>
      <c r="G1868" s="53"/>
      <c r="H1868" s="53"/>
      <c r="I1868" s="53"/>
      <c r="J1868" s="53"/>
      <c r="K1868" s="53"/>
      <c r="L1868" s="53"/>
      <c r="M1868" s="53"/>
      <c r="N1868" s="53"/>
      <c r="O1868" s="53"/>
      <c r="P1868" s="53"/>
      <c r="Q1868" s="53"/>
      <c r="R1868" s="53"/>
      <c r="S1868" s="53"/>
      <c r="T1868" s="53"/>
      <c r="U1868" s="53"/>
      <c r="V1868" s="53"/>
      <c r="W1868" s="53"/>
      <c r="X1868" s="53"/>
      <c r="Y1868" s="53"/>
      <c r="Z1868" s="53"/>
    </row>
    <row r="1869" spans="1:26" ht="15.75" customHeight="1">
      <c r="A1869" s="103"/>
      <c r="B1869" s="103"/>
      <c r="C1869" s="104" t="e">
        <v>#REF!</v>
      </c>
      <c r="D1869" s="103"/>
      <c r="E1869" s="53"/>
      <c r="F1869" s="53"/>
      <c r="G1869" s="53"/>
      <c r="H1869" s="53"/>
      <c r="I1869" s="53"/>
      <c r="J1869" s="53"/>
      <c r="K1869" s="53"/>
      <c r="L1869" s="53"/>
      <c r="M1869" s="53"/>
      <c r="N1869" s="53"/>
      <c r="O1869" s="53"/>
      <c r="P1869" s="53"/>
      <c r="Q1869" s="53"/>
      <c r="R1869" s="53"/>
      <c r="S1869" s="53"/>
      <c r="T1869" s="53"/>
      <c r="U1869" s="53"/>
      <c r="V1869" s="53"/>
      <c r="W1869" s="53"/>
      <c r="X1869" s="53"/>
      <c r="Y1869" s="53"/>
      <c r="Z1869" s="53"/>
    </row>
    <row r="1870" spans="1:26" ht="15.75" customHeight="1">
      <c r="A1870" s="103"/>
      <c r="B1870" s="103"/>
      <c r="C1870" s="104" t="e">
        <v>#REF!</v>
      </c>
      <c r="D1870" s="103"/>
      <c r="E1870" s="53"/>
      <c r="F1870" s="53"/>
      <c r="G1870" s="53"/>
      <c r="H1870" s="53"/>
      <c r="I1870" s="53"/>
      <c r="J1870" s="53"/>
      <c r="K1870" s="53"/>
      <c r="L1870" s="53"/>
      <c r="M1870" s="53"/>
      <c r="N1870" s="53"/>
      <c r="O1870" s="53"/>
      <c r="P1870" s="53"/>
      <c r="Q1870" s="53"/>
      <c r="R1870" s="53"/>
      <c r="S1870" s="53"/>
      <c r="T1870" s="53"/>
      <c r="U1870" s="53"/>
      <c r="V1870" s="53"/>
      <c r="W1870" s="53"/>
      <c r="X1870" s="53"/>
      <c r="Y1870" s="53"/>
      <c r="Z1870" s="53"/>
    </row>
    <row r="1871" spans="1:26" ht="15.75" customHeight="1">
      <c r="A1871" s="103"/>
      <c r="B1871" s="103"/>
      <c r="C1871" s="104" t="e">
        <v>#REF!</v>
      </c>
      <c r="D1871" s="103"/>
      <c r="E1871" s="53"/>
      <c r="F1871" s="53"/>
      <c r="G1871" s="53"/>
      <c r="H1871" s="53"/>
      <c r="I1871" s="53"/>
      <c r="J1871" s="53"/>
      <c r="K1871" s="53"/>
      <c r="L1871" s="53"/>
      <c r="M1871" s="53"/>
      <c r="N1871" s="53"/>
      <c r="O1871" s="53"/>
      <c r="P1871" s="53"/>
      <c r="Q1871" s="53"/>
      <c r="R1871" s="53"/>
      <c r="S1871" s="53"/>
      <c r="T1871" s="53"/>
      <c r="U1871" s="53"/>
      <c r="V1871" s="53"/>
      <c r="W1871" s="53"/>
      <c r="X1871" s="53"/>
      <c r="Y1871" s="53"/>
      <c r="Z1871" s="53"/>
    </row>
    <row r="1872" spans="1:26" ht="15.75" customHeight="1">
      <c r="A1872" s="103"/>
      <c r="B1872" s="103"/>
      <c r="C1872" s="104" t="e">
        <v>#REF!</v>
      </c>
      <c r="D1872" s="103"/>
      <c r="E1872" s="53"/>
      <c r="F1872" s="53"/>
      <c r="G1872" s="53"/>
      <c r="H1872" s="53"/>
      <c r="I1872" s="53"/>
      <c r="J1872" s="53"/>
      <c r="K1872" s="53"/>
      <c r="L1872" s="53"/>
      <c r="M1872" s="53"/>
      <c r="N1872" s="53"/>
      <c r="O1872" s="53"/>
      <c r="P1872" s="53"/>
      <c r="Q1872" s="53"/>
      <c r="R1872" s="53"/>
      <c r="S1872" s="53"/>
      <c r="T1872" s="53"/>
      <c r="U1872" s="53"/>
      <c r="V1872" s="53"/>
      <c r="W1872" s="53"/>
      <c r="X1872" s="53"/>
      <c r="Y1872" s="53"/>
      <c r="Z1872" s="53"/>
    </row>
    <row r="1873" spans="1:26" ht="15.75" customHeight="1">
      <c r="A1873" s="103"/>
      <c r="B1873" s="103"/>
      <c r="C1873" s="104" t="e">
        <v>#REF!</v>
      </c>
      <c r="D1873" s="103"/>
      <c r="E1873" s="53"/>
      <c r="F1873" s="53"/>
      <c r="G1873" s="53"/>
      <c r="H1873" s="53"/>
      <c r="I1873" s="53"/>
      <c r="J1873" s="53"/>
      <c r="K1873" s="53"/>
      <c r="L1873" s="53"/>
      <c r="M1873" s="53"/>
      <c r="N1873" s="53"/>
      <c r="O1873" s="53"/>
      <c r="P1873" s="53"/>
      <c r="Q1873" s="53"/>
      <c r="R1873" s="53"/>
      <c r="S1873" s="53"/>
      <c r="T1873" s="53"/>
      <c r="U1873" s="53"/>
      <c r="V1873" s="53"/>
      <c r="W1873" s="53"/>
      <c r="X1873" s="53"/>
      <c r="Y1873" s="53"/>
      <c r="Z1873" s="53"/>
    </row>
    <row r="1874" spans="1:26" ht="15.75" customHeight="1">
      <c r="A1874" s="103"/>
      <c r="B1874" s="103"/>
      <c r="C1874" s="104" t="e">
        <v>#REF!</v>
      </c>
      <c r="D1874" s="103"/>
      <c r="E1874" s="53"/>
      <c r="F1874" s="53"/>
      <c r="G1874" s="53"/>
      <c r="H1874" s="53"/>
      <c r="I1874" s="53"/>
      <c r="J1874" s="53"/>
      <c r="K1874" s="53"/>
      <c r="L1874" s="53"/>
      <c r="M1874" s="53"/>
      <c r="N1874" s="53"/>
      <c r="O1874" s="53"/>
      <c r="P1874" s="53"/>
      <c r="Q1874" s="53"/>
      <c r="R1874" s="53"/>
      <c r="S1874" s="53"/>
      <c r="T1874" s="53"/>
      <c r="U1874" s="53"/>
      <c r="V1874" s="53"/>
      <c r="W1874" s="53"/>
      <c r="X1874" s="53"/>
      <c r="Y1874" s="53"/>
      <c r="Z1874" s="53"/>
    </row>
    <row r="1875" spans="1:26" ht="15.75" customHeight="1">
      <c r="A1875" s="103"/>
      <c r="B1875" s="103"/>
      <c r="C1875" s="104" t="e">
        <v>#REF!</v>
      </c>
      <c r="D1875" s="103"/>
      <c r="E1875" s="53"/>
      <c r="F1875" s="53"/>
      <c r="G1875" s="53"/>
      <c r="H1875" s="53"/>
      <c r="I1875" s="53"/>
      <c r="J1875" s="53"/>
      <c r="K1875" s="53"/>
      <c r="L1875" s="53"/>
      <c r="M1875" s="53"/>
      <c r="N1875" s="53"/>
      <c r="O1875" s="53"/>
      <c r="P1875" s="53"/>
      <c r="Q1875" s="53"/>
      <c r="R1875" s="53"/>
      <c r="S1875" s="53"/>
      <c r="T1875" s="53"/>
      <c r="U1875" s="53"/>
      <c r="V1875" s="53"/>
      <c r="W1875" s="53"/>
      <c r="X1875" s="53"/>
      <c r="Y1875" s="53"/>
      <c r="Z1875" s="53"/>
    </row>
    <row r="1876" spans="1:26" ht="15.75" customHeight="1">
      <c r="A1876" s="103"/>
      <c r="B1876" s="103"/>
      <c r="C1876" s="104" t="e">
        <v>#REF!</v>
      </c>
      <c r="D1876" s="103"/>
      <c r="E1876" s="53"/>
      <c r="F1876" s="53"/>
      <c r="G1876" s="53"/>
      <c r="H1876" s="53"/>
      <c r="I1876" s="53"/>
      <c r="J1876" s="53"/>
      <c r="K1876" s="53"/>
      <c r="L1876" s="53"/>
      <c r="M1876" s="53"/>
      <c r="N1876" s="53"/>
      <c r="O1876" s="53"/>
      <c r="P1876" s="53"/>
      <c r="Q1876" s="53"/>
      <c r="R1876" s="53"/>
      <c r="S1876" s="53"/>
      <c r="T1876" s="53"/>
      <c r="U1876" s="53"/>
      <c r="V1876" s="53"/>
      <c r="W1876" s="53"/>
      <c r="X1876" s="53"/>
      <c r="Y1876" s="53"/>
      <c r="Z1876" s="53"/>
    </row>
    <row r="1877" spans="1:26" ht="15.75" customHeight="1">
      <c r="A1877" s="103"/>
      <c r="B1877" s="103"/>
      <c r="C1877" s="104" t="e">
        <v>#REF!</v>
      </c>
      <c r="D1877" s="103"/>
      <c r="E1877" s="53"/>
      <c r="F1877" s="53"/>
      <c r="G1877" s="53"/>
      <c r="H1877" s="53"/>
      <c r="I1877" s="53"/>
      <c r="J1877" s="53"/>
      <c r="K1877" s="53"/>
      <c r="L1877" s="53"/>
      <c r="M1877" s="53"/>
      <c r="N1877" s="53"/>
      <c r="O1877" s="53"/>
      <c r="P1877" s="53"/>
      <c r="Q1877" s="53"/>
      <c r="R1877" s="53"/>
      <c r="S1877" s="53"/>
      <c r="T1877" s="53"/>
      <c r="U1877" s="53"/>
      <c r="V1877" s="53"/>
      <c r="W1877" s="53"/>
      <c r="X1877" s="53"/>
      <c r="Y1877" s="53"/>
      <c r="Z1877" s="53"/>
    </row>
    <row r="1878" spans="1:26" ht="15.75" customHeight="1">
      <c r="A1878" s="103"/>
      <c r="B1878" s="103"/>
      <c r="C1878" s="104" t="e">
        <v>#REF!</v>
      </c>
      <c r="D1878" s="103"/>
      <c r="E1878" s="53"/>
      <c r="F1878" s="53"/>
      <c r="G1878" s="53"/>
      <c r="H1878" s="53"/>
      <c r="I1878" s="53"/>
      <c r="J1878" s="53"/>
      <c r="K1878" s="53"/>
      <c r="L1878" s="53"/>
      <c r="M1878" s="53"/>
      <c r="N1878" s="53"/>
      <c r="O1878" s="53"/>
      <c r="P1878" s="53"/>
      <c r="Q1878" s="53"/>
      <c r="R1878" s="53"/>
      <c r="S1878" s="53"/>
      <c r="T1878" s="53"/>
      <c r="U1878" s="53"/>
      <c r="V1878" s="53"/>
      <c r="W1878" s="53"/>
      <c r="X1878" s="53"/>
      <c r="Y1878" s="53"/>
      <c r="Z1878" s="53"/>
    </row>
    <row r="1879" spans="1:26" ht="15.75" customHeight="1">
      <c r="A1879" s="103"/>
      <c r="B1879" s="103"/>
      <c r="C1879" s="104" t="e">
        <v>#REF!</v>
      </c>
      <c r="D1879" s="103"/>
      <c r="E1879" s="53"/>
      <c r="F1879" s="53"/>
      <c r="G1879" s="53"/>
      <c r="H1879" s="53"/>
      <c r="I1879" s="53"/>
      <c r="J1879" s="53"/>
      <c r="K1879" s="53"/>
      <c r="L1879" s="53"/>
      <c r="M1879" s="53"/>
      <c r="N1879" s="53"/>
      <c r="O1879" s="53"/>
      <c r="P1879" s="53"/>
      <c r="Q1879" s="53"/>
      <c r="R1879" s="53"/>
      <c r="S1879" s="53"/>
      <c r="T1879" s="53"/>
      <c r="U1879" s="53"/>
      <c r="V1879" s="53"/>
      <c r="W1879" s="53"/>
      <c r="X1879" s="53"/>
      <c r="Y1879" s="53"/>
      <c r="Z1879" s="53"/>
    </row>
    <row r="1880" spans="1:26" ht="15.75" customHeight="1">
      <c r="A1880" s="103"/>
      <c r="B1880" s="103"/>
      <c r="C1880" s="104" t="e">
        <v>#REF!</v>
      </c>
      <c r="D1880" s="103"/>
      <c r="E1880" s="53"/>
      <c r="F1880" s="53"/>
      <c r="G1880" s="53"/>
      <c r="H1880" s="53"/>
      <c r="I1880" s="53"/>
      <c r="J1880" s="53"/>
      <c r="K1880" s="53"/>
      <c r="L1880" s="53"/>
      <c r="M1880" s="53"/>
      <c r="N1880" s="53"/>
      <c r="O1880" s="53"/>
      <c r="P1880" s="53"/>
      <c r="Q1880" s="53"/>
      <c r="R1880" s="53"/>
      <c r="S1880" s="53"/>
      <c r="T1880" s="53"/>
      <c r="U1880" s="53"/>
      <c r="V1880" s="53"/>
      <c r="W1880" s="53"/>
      <c r="X1880" s="53"/>
      <c r="Y1880" s="53"/>
      <c r="Z1880" s="53"/>
    </row>
    <row r="1881" spans="1:26" ht="15.75" customHeight="1">
      <c r="A1881" s="103"/>
      <c r="B1881" s="103"/>
      <c r="C1881" s="104" t="e">
        <v>#REF!</v>
      </c>
      <c r="D1881" s="103"/>
      <c r="E1881" s="53"/>
      <c r="F1881" s="53"/>
      <c r="G1881" s="53"/>
      <c r="H1881" s="53"/>
      <c r="I1881" s="53"/>
      <c r="J1881" s="53"/>
      <c r="K1881" s="53"/>
      <c r="L1881" s="53"/>
      <c r="M1881" s="53"/>
      <c r="N1881" s="53"/>
      <c r="O1881" s="53"/>
      <c r="P1881" s="53"/>
      <c r="Q1881" s="53"/>
      <c r="R1881" s="53"/>
      <c r="S1881" s="53"/>
      <c r="T1881" s="53"/>
      <c r="U1881" s="53"/>
      <c r="V1881" s="53"/>
      <c r="W1881" s="53"/>
      <c r="X1881" s="53"/>
      <c r="Y1881" s="53"/>
      <c r="Z1881" s="53"/>
    </row>
    <row r="1882" spans="1:26" ht="15.75" customHeight="1">
      <c r="A1882" s="103"/>
      <c r="B1882" s="103"/>
      <c r="C1882" s="104" t="e">
        <v>#REF!</v>
      </c>
      <c r="D1882" s="103"/>
      <c r="E1882" s="53"/>
      <c r="F1882" s="53"/>
      <c r="G1882" s="53"/>
      <c r="H1882" s="53"/>
      <c r="I1882" s="53"/>
      <c r="J1882" s="53"/>
      <c r="K1882" s="53"/>
      <c r="L1882" s="53"/>
      <c r="M1882" s="53"/>
      <c r="N1882" s="53"/>
      <c r="O1882" s="53"/>
      <c r="P1882" s="53"/>
      <c r="Q1882" s="53"/>
      <c r="R1882" s="53"/>
      <c r="S1882" s="53"/>
      <c r="T1882" s="53"/>
      <c r="U1882" s="53"/>
      <c r="V1882" s="53"/>
      <c r="W1882" s="53"/>
      <c r="X1882" s="53"/>
      <c r="Y1882" s="53"/>
      <c r="Z1882" s="53"/>
    </row>
    <row r="1883" spans="1:26" ht="15.75" customHeight="1">
      <c r="A1883" s="103"/>
      <c r="B1883" s="103"/>
      <c r="C1883" s="104" t="e">
        <v>#REF!</v>
      </c>
      <c r="D1883" s="103"/>
      <c r="E1883" s="53"/>
      <c r="F1883" s="53"/>
      <c r="G1883" s="53"/>
      <c r="H1883" s="53"/>
      <c r="I1883" s="53"/>
      <c r="J1883" s="53"/>
      <c r="K1883" s="53"/>
      <c r="L1883" s="53"/>
      <c r="M1883" s="53"/>
      <c r="N1883" s="53"/>
      <c r="O1883" s="53"/>
      <c r="P1883" s="53"/>
      <c r="Q1883" s="53"/>
      <c r="R1883" s="53"/>
      <c r="S1883" s="53"/>
      <c r="T1883" s="53"/>
      <c r="U1883" s="53"/>
      <c r="V1883" s="53"/>
      <c r="W1883" s="53"/>
      <c r="X1883" s="53"/>
      <c r="Y1883" s="53"/>
      <c r="Z1883" s="53"/>
    </row>
    <row r="1884" spans="1:26" ht="15.75" customHeight="1">
      <c r="A1884" s="103"/>
      <c r="B1884" s="103"/>
      <c r="C1884" s="104" t="e">
        <v>#REF!</v>
      </c>
      <c r="D1884" s="103"/>
      <c r="E1884" s="53"/>
      <c r="F1884" s="53"/>
      <c r="G1884" s="53"/>
      <c r="H1884" s="53"/>
      <c r="I1884" s="53"/>
      <c r="J1884" s="53"/>
      <c r="K1884" s="53"/>
      <c r="L1884" s="53"/>
      <c r="M1884" s="53"/>
      <c r="N1884" s="53"/>
      <c r="O1884" s="53"/>
      <c r="P1884" s="53"/>
      <c r="Q1884" s="53"/>
      <c r="R1884" s="53"/>
      <c r="S1884" s="53"/>
      <c r="T1884" s="53"/>
      <c r="U1884" s="53"/>
      <c r="V1884" s="53"/>
      <c r="W1884" s="53"/>
      <c r="X1884" s="53"/>
      <c r="Y1884" s="53"/>
      <c r="Z1884" s="53"/>
    </row>
    <row r="1885" spans="1:26" ht="15.75" customHeight="1">
      <c r="A1885" s="103"/>
      <c r="B1885" s="103"/>
      <c r="C1885" s="104" t="e">
        <v>#REF!</v>
      </c>
      <c r="D1885" s="103"/>
      <c r="E1885" s="53"/>
      <c r="F1885" s="53"/>
      <c r="G1885" s="53"/>
      <c r="H1885" s="53"/>
      <c r="I1885" s="53"/>
      <c r="J1885" s="53"/>
      <c r="K1885" s="53"/>
      <c r="L1885" s="53"/>
      <c r="M1885" s="53"/>
      <c r="N1885" s="53"/>
      <c r="O1885" s="53"/>
      <c r="P1885" s="53"/>
      <c r="Q1885" s="53"/>
      <c r="R1885" s="53"/>
      <c r="S1885" s="53"/>
      <c r="T1885" s="53"/>
      <c r="U1885" s="53"/>
      <c r="V1885" s="53"/>
      <c r="W1885" s="53"/>
      <c r="X1885" s="53"/>
      <c r="Y1885" s="53"/>
      <c r="Z1885" s="53"/>
    </row>
    <row r="1886" spans="1:26" ht="15.75" customHeight="1">
      <c r="A1886" s="103"/>
      <c r="B1886" s="103"/>
      <c r="C1886" s="104" t="e">
        <v>#REF!</v>
      </c>
      <c r="D1886" s="103"/>
      <c r="E1886" s="53"/>
      <c r="F1886" s="53"/>
      <c r="G1886" s="53"/>
      <c r="H1886" s="53"/>
      <c r="I1886" s="53"/>
      <c r="J1886" s="53"/>
      <c r="K1886" s="53"/>
      <c r="L1886" s="53"/>
      <c r="M1886" s="53"/>
      <c r="N1886" s="53"/>
      <c r="O1886" s="53"/>
      <c r="P1886" s="53"/>
      <c r="Q1886" s="53"/>
      <c r="R1886" s="53"/>
      <c r="S1886" s="53"/>
      <c r="T1886" s="53"/>
      <c r="U1886" s="53"/>
      <c r="V1886" s="53"/>
      <c r="W1886" s="53"/>
      <c r="X1886" s="53"/>
      <c r="Y1886" s="53"/>
      <c r="Z1886" s="53"/>
    </row>
    <row r="1887" spans="1:26" ht="15.75" customHeight="1">
      <c r="A1887" s="103"/>
      <c r="B1887" s="103"/>
      <c r="C1887" s="104" t="e">
        <v>#REF!</v>
      </c>
      <c r="D1887" s="103"/>
      <c r="E1887" s="53"/>
      <c r="F1887" s="53"/>
      <c r="G1887" s="53"/>
      <c r="H1887" s="53"/>
      <c r="I1887" s="53"/>
      <c r="J1887" s="53"/>
      <c r="K1887" s="53"/>
      <c r="L1887" s="53"/>
      <c r="M1887" s="53"/>
      <c r="N1887" s="53"/>
      <c r="O1887" s="53"/>
      <c r="P1887" s="53"/>
      <c r="Q1887" s="53"/>
      <c r="R1887" s="53"/>
      <c r="S1887" s="53"/>
      <c r="T1887" s="53"/>
      <c r="U1887" s="53"/>
      <c r="V1887" s="53"/>
      <c r="W1887" s="53"/>
      <c r="X1887" s="53"/>
      <c r="Y1887" s="53"/>
      <c r="Z1887" s="53"/>
    </row>
    <row r="1888" spans="1:26" ht="15.75" customHeight="1">
      <c r="A1888" s="103"/>
      <c r="B1888" s="103"/>
      <c r="C1888" s="104" t="e">
        <v>#REF!</v>
      </c>
      <c r="D1888" s="103"/>
      <c r="E1888" s="53"/>
      <c r="F1888" s="53"/>
      <c r="G1888" s="53"/>
      <c r="H1888" s="53"/>
      <c r="I1888" s="53"/>
      <c r="J1888" s="53"/>
      <c r="K1888" s="53"/>
      <c r="L1888" s="53"/>
      <c r="M1888" s="53"/>
      <c r="N1888" s="53"/>
      <c r="O1888" s="53"/>
      <c r="P1888" s="53"/>
      <c r="Q1888" s="53"/>
      <c r="R1888" s="53"/>
      <c r="S1888" s="53"/>
      <c r="T1888" s="53"/>
      <c r="U1888" s="53"/>
      <c r="V1888" s="53"/>
      <c r="W1888" s="53"/>
      <c r="X1888" s="53"/>
      <c r="Y1888" s="53"/>
      <c r="Z1888" s="53"/>
    </row>
    <row r="1889" spans="1:26" ht="15.75" customHeight="1">
      <c r="A1889" s="103"/>
      <c r="B1889" s="103"/>
      <c r="C1889" s="104" t="e">
        <v>#REF!</v>
      </c>
      <c r="D1889" s="103"/>
      <c r="E1889" s="53"/>
      <c r="F1889" s="53"/>
      <c r="G1889" s="53"/>
      <c r="H1889" s="53"/>
      <c r="I1889" s="53"/>
      <c r="J1889" s="53"/>
      <c r="K1889" s="53"/>
      <c r="L1889" s="53"/>
      <c r="M1889" s="53"/>
      <c r="N1889" s="53"/>
      <c r="O1889" s="53"/>
      <c r="P1889" s="53"/>
      <c r="Q1889" s="53"/>
      <c r="R1889" s="53"/>
      <c r="S1889" s="53"/>
      <c r="T1889" s="53"/>
      <c r="U1889" s="53"/>
      <c r="V1889" s="53"/>
      <c r="W1889" s="53"/>
      <c r="X1889" s="53"/>
      <c r="Y1889" s="53"/>
      <c r="Z1889" s="53"/>
    </row>
    <row r="1890" spans="1:26" ht="15.75" customHeight="1">
      <c r="A1890" s="103"/>
      <c r="B1890" s="103"/>
      <c r="C1890" s="104" t="e">
        <v>#REF!</v>
      </c>
      <c r="D1890" s="103"/>
      <c r="E1890" s="53"/>
      <c r="F1890" s="53"/>
      <c r="G1890" s="53"/>
      <c r="H1890" s="53"/>
      <c r="I1890" s="53"/>
      <c r="J1890" s="53"/>
      <c r="K1890" s="53"/>
      <c r="L1890" s="53"/>
      <c r="M1890" s="53"/>
      <c r="N1890" s="53"/>
      <c r="O1890" s="53"/>
      <c r="P1890" s="53"/>
      <c r="Q1890" s="53"/>
      <c r="R1890" s="53"/>
      <c r="S1890" s="53"/>
      <c r="T1890" s="53"/>
      <c r="U1890" s="53"/>
      <c r="V1890" s="53"/>
      <c r="W1890" s="53"/>
      <c r="X1890" s="53"/>
      <c r="Y1890" s="53"/>
      <c r="Z1890" s="53"/>
    </row>
    <row r="1891" spans="1:26" ht="15.75" customHeight="1">
      <c r="A1891" s="103"/>
      <c r="B1891" s="103"/>
      <c r="C1891" s="104" t="e">
        <v>#REF!</v>
      </c>
      <c r="D1891" s="10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</row>
    <row r="1892" spans="1:26" ht="15.75" customHeight="1">
      <c r="A1892" s="103"/>
      <c r="B1892" s="103"/>
      <c r="C1892" s="104" t="e">
        <v>#REF!</v>
      </c>
      <c r="D1892" s="103"/>
      <c r="E1892" s="53"/>
      <c r="F1892" s="53"/>
      <c r="G1892" s="53"/>
      <c r="H1892" s="53"/>
      <c r="I1892" s="53"/>
      <c r="J1892" s="53"/>
      <c r="K1892" s="53"/>
      <c r="L1892" s="53"/>
      <c r="M1892" s="53"/>
      <c r="N1892" s="53"/>
      <c r="O1892" s="53"/>
      <c r="P1892" s="53"/>
      <c r="Q1892" s="53"/>
      <c r="R1892" s="53"/>
      <c r="S1892" s="53"/>
      <c r="T1892" s="53"/>
      <c r="U1892" s="53"/>
      <c r="V1892" s="53"/>
      <c r="W1892" s="53"/>
      <c r="X1892" s="53"/>
      <c r="Y1892" s="53"/>
      <c r="Z1892" s="53"/>
    </row>
    <row r="1893" spans="1:26" ht="15.75" customHeight="1">
      <c r="A1893" s="103"/>
      <c r="B1893" s="103"/>
      <c r="C1893" s="104" t="e">
        <v>#REF!</v>
      </c>
      <c r="D1893" s="103"/>
      <c r="E1893" s="53"/>
      <c r="F1893" s="53"/>
      <c r="G1893" s="53"/>
      <c r="H1893" s="53"/>
      <c r="I1893" s="53"/>
      <c r="J1893" s="53"/>
      <c r="K1893" s="53"/>
      <c r="L1893" s="53"/>
      <c r="M1893" s="53"/>
      <c r="N1893" s="53"/>
      <c r="O1893" s="53"/>
      <c r="P1893" s="53"/>
      <c r="Q1893" s="53"/>
      <c r="R1893" s="53"/>
      <c r="S1893" s="53"/>
      <c r="T1893" s="53"/>
      <c r="U1893" s="53"/>
      <c r="V1893" s="53"/>
      <c r="W1893" s="53"/>
      <c r="X1893" s="53"/>
      <c r="Y1893" s="53"/>
      <c r="Z1893" s="53"/>
    </row>
    <row r="1894" spans="1:26" ht="15.75" customHeight="1">
      <c r="A1894" s="103"/>
      <c r="B1894" s="103"/>
      <c r="C1894" s="104" t="e">
        <v>#REF!</v>
      </c>
      <c r="D1894" s="103"/>
      <c r="E1894" s="53"/>
      <c r="F1894" s="53"/>
      <c r="G1894" s="53"/>
      <c r="H1894" s="53"/>
      <c r="I1894" s="53"/>
      <c r="J1894" s="53"/>
      <c r="K1894" s="53"/>
      <c r="L1894" s="53"/>
      <c r="M1894" s="53"/>
      <c r="N1894" s="53"/>
      <c r="O1894" s="53"/>
      <c r="P1894" s="53"/>
      <c r="Q1894" s="53"/>
      <c r="R1894" s="53"/>
      <c r="S1894" s="53"/>
      <c r="T1894" s="53"/>
      <c r="U1894" s="53"/>
      <c r="V1894" s="53"/>
      <c r="W1894" s="53"/>
      <c r="X1894" s="53"/>
      <c r="Y1894" s="53"/>
      <c r="Z1894" s="53"/>
    </row>
    <row r="1895" spans="1:26" ht="15.75" customHeight="1">
      <c r="A1895" s="103"/>
      <c r="B1895" s="103"/>
      <c r="C1895" s="104" t="e">
        <v>#REF!</v>
      </c>
      <c r="D1895" s="103"/>
      <c r="E1895" s="53"/>
      <c r="F1895" s="53"/>
      <c r="G1895" s="53"/>
      <c r="H1895" s="53"/>
      <c r="I1895" s="53"/>
      <c r="J1895" s="53"/>
      <c r="K1895" s="53"/>
      <c r="L1895" s="53"/>
      <c r="M1895" s="53"/>
      <c r="N1895" s="53"/>
      <c r="O1895" s="53"/>
      <c r="P1895" s="53"/>
      <c r="Q1895" s="53"/>
      <c r="R1895" s="53"/>
      <c r="S1895" s="53"/>
      <c r="T1895" s="53"/>
      <c r="U1895" s="53"/>
      <c r="V1895" s="53"/>
      <c r="W1895" s="53"/>
      <c r="X1895" s="53"/>
      <c r="Y1895" s="53"/>
      <c r="Z1895" s="53"/>
    </row>
    <row r="1896" spans="1:26" ht="15.75" customHeight="1">
      <c r="A1896" s="103"/>
      <c r="B1896" s="103"/>
      <c r="C1896" s="104" t="e">
        <v>#REF!</v>
      </c>
      <c r="D1896" s="10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53"/>
      <c r="T1896" s="53"/>
      <c r="U1896" s="53"/>
      <c r="V1896" s="53"/>
      <c r="W1896" s="53"/>
      <c r="X1896" s="53"/>
      <c r="Y1896" s="53"/>
      <c r="Z1896" s="53"/>
    </row>
    <row r="1897" spans="1:26" ht="15.75" customHeight="1">
      <c r="A1897" s="103"/>
      <c r="B1897" s="103"/>
      <c r="C1897" s="104" t="e">
        <v>#REF!</v>
      </c>
      <c r="D1897" s="103"/>
      <c r="E1897" s="53"/>
      <c r="F1897" s="53"/>
      <c r="G1897" s="53"/>
      <c r="H1897" s="53"/>
      <c r="I1897" s="53"/>
      <c r="J1897" s="53"/>
      <c r="K1897" s="53"/>
      <c r="L1897" s="53"/>
      <c r="M1897" s="53"/>
      <c r="N1897" s="53"/>
      <c r="O1897" s="53"/>
      <c r="P1897" s="53"/>
      <c r="Q1897" s="53"/>
      <c r="R1897" s="53"/>
      <c r="S1897" s="53"/>
      <c r="T1897" s="53"/>
      <c r="U1897" s="53"/>
      <c r="V1897" s="53"/>
      <c r="W1897" s="53"/>
      <c r="X1897" s="53"/>
      <c r="Y1897" s="53"/>
      <c r="Z1897" s="53"/>
    </row>
    <row r="1898" spans="1:26" ht="15.75" customHeight="1">
      <c r="A1898" s="103"/>
      <c r="B1898" s="103"/>
      <c r="C1898" s="104" t="e">
        <v>#REF!</v>
      </c>
      <c r="D1898" s="103"/>
      <c r="E1898" s="53"/>
      <c r="F1898" s="53"/>
      <c r="G1898" s="53"/>
      <c r="H1898" s="53"/>
      <c r="I1898" s="53"/>
      <c r="J1898" s="53"/>
      <c r="K1898" s="53"/>
      <c r="L1898" s="53"/>
      <c r="M1898" s="53"/>
      <c r="N1898" s="53"/>
      <c r="O1898" s="53"/>
      <c r="P1898" s="53"/>
      <c r="Q1898" s="53"/>
      <c r="R1898" s="53"/>
      <c r="S1898" s="53"/>
      <c r="T1898" s="53"/>
      <c r="U1898" s="53"/>
      <c r="V1898" s="53"/>
      <c r="W1898" s="53"/>
      <c r="X1898" s="53"/>
      <c r="Y1898" s="53"/>
      <c r="Z1898" s="53"/>
    </row>
    <row r="1899" spans="1:26" ht="15.75" customHeight="1">
      <c r="A1899" s="103"/>
      <c r="B1899" s="103"/>
      <c r="C1899" s="104" t="e">
        <v>#REF!</v>
      </c>
      <c r="D1899" s="103"/>
      <c r="E1899" s="53"/>
      <c r="F1899" s="53"/>
      <c r="G1899" s="53"/>
      <c r="H1899" s="53"/>
      <c r="I1899" s="53"/>
      <c r="J1899" s="53"/>
      <c r="K1899" s="53"/>
      <c r="L1899" s="53"/>
      <c r="M1899" s="53"/>
      <c r="N1899" s="53"/>
      <c r="O1899" s="53"/>
      <c r="P1899" s="53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</row>
    <row r="1900" spans="1:26" ht="15.75" customHeight="1">
      <c r="A1900" s="103"/>
      <c r="B1900" s="103"/>
      <c r="C1900" s="104" t="e">
        <v>#REF!</v>
      </c>
      <c r="D1900" s="103"/>
      <c r="E1900" s="53"/>
      <c r="F1900" s="53"/>
      <c r="G1900" s="53"/>
      <c r="H1900" s="53"/>
      <c r="I1900" s="53"/>
      <c r="J1900" s="53"/>
      <c r="K1900" s="53"/>
      <c r="L1900" s="53"/>
      <c r="M1900" s="53"/>
      <c r="N1900" s="53"/>
      <c r="O1900" s="53"/>
      <c r="P1900" s="53"/>
      <c r="Q1900" s="53"/>
      <c r="R1900" s="53"/>
      <c r="S1900" s="53"/>
      <c r="T1900" s="53"/>
      <c r="U1900" s="53"/>
      <c r="V1900" s="53"/>
      <c r="W1900" s="53"/>
      <c r="X1900" s="53"/>
      <c r="Y1900" s="53"/>
      <c r="Z1900" s="53"/>
    </row>
    <row r="1901" spans="1:26" ht="15.75" customHeight="1">
      <c r="A1901" s="103"/>
      <c r="B1901" s="103"/>
      <c r="C1901" s="104" t="e">
        <v>#REF!</v>
      </c>
      <c r="D1901" s="103"/>
      <c r="E1901" s="53"/>
      <c r="F1901" s="53"/>
      <c r="G1901" s="53"/>
      <c r="H1901" s="53"/>
      <c r="I1901" s="53"/>
      <c r="J1901" s="53"/>
      <c r="K1901" s="53"/>
      <c r="L1901" s="53"/>
      <c r="M1901" s="53"/>
      <c r="N1901" s="53"/>
      <c r="O1901" s="53"/>
      <c r="P1901" s="53"/>
      <c r="Q1901" s="53"/>
      <c r="R1901" s="53"/>
      <c r="S1901" s="53"/>
      <c r="T1901" s="53"/>
      <c r="U1901" s="53"/>
      <c r="V1901" s="53"/>
      <c r="W1901" s="53"/>
      <c r="X1901" s="53"/>
      <c r="Y1901" s="53"/>
      <c r="Z1901" s="53"/>
    </row>
    <row r="1902" spans="1:26" ht="15.75" customHeight="1">
      <c r="A1902" s="103"/>
      <c r="B1902" s="103"/>
      <c r="C1902" s="104" t="e">
        <v>#REF!</v>
      </c>
      <c r="D1902" s="103"/>
      <c r="E1902" s="53"/>
      <c r="F1902" s="53"/>
      <c r="G1902" s="53"/>
      <c r="H1902" s="53"/>
      <c r="I1902" s="53"/>
      <c r="J1902" s="53"/>
      <c r="K1902" s="53"/>
      <c r="L1902" s="53"/>
      <c r="M1902" s="53"/>
      <c r="N1902" s="53"/>
      <c r="O1902" s="53"/>
      <c r="P1902" s="53"/>
      <c r="Q1902" s="53"/>
      <c r="R1902" s="53"/>
      <c r="S1902" s="53"/>
      <c r="T1902" s="53"/>
      <c r="U1902" s="53"/>
      <c r="V1902" s="53"/>
      <c r="W1902" s="53"/>
      <c r="X1902" s="53"/>
      <c r="Y1902" s="53"/>
      <c r="Z1902" s="53"/>
    </row>
    <row r="1903" spans="1:26" ht="15.75" customHeight="1">
      <c r="A1903" s="103"/>
      <c r="B1903" s="103"/>
      <c r="C1903" s="104" t="e">
        <v>#REF!</v>
      </c>
      <c r="D1903" s="103"/>
      <c r="E1903" s="53"/>
      <c r="F1903" s="53"/>
      <c r="G1903" s="53"/>
      <c r="H1903" s="53"/>
      <c r="I1903" s="53"/>
      <c r="J1903" s="53"/>
      <c r="K1903" s="53"/>
      <c r="L1903" s="53"/>
      <c r="M1903" s="53"/>
      <c r="N1903" s="53"/>
      <c r="O1903" s="53"/>
      <c r="P1903" s="53"/>
      <c r="Q1903" s="53"/>
      <c r="R1903" s="53"/>
      <c r="S1903" s="53"/>
      <c r="T1903" s="53"/>
      <c r="U1903" s="53"/>
      <c r="V1903" s="53"/>
      <c r="W1903" s="53"/>
      <c r="X1903" s="53"/>
      <c r="Y1903" s="53"/>
      <c r="Z1903" s="53"/>
    </row>
    <row r="1904" spans="1:26" ht="15.75" customHeight="1">
      <c r="A1904" s="103"/>
      <c r="B1904" s="103"/>
      <c r="C1904" s="104" t="e">
        <v>#REF!</v>
      </c>
      <c r="D1904" s="103"/>
      <c r="E1904" s="53"/>
      <c r="F1904" s="53"/>
      <c r="G1904" s="53"/>
      <c r="H1904" s="53"/>
      <c r="I1904" s="53"/>
      <c r="J1904" s="53"/>
      <c r="K1904" s="53"/>
      <c r="L1904" s="53"/>
      <c r="M1904" s="53"/>
      <c r="N1904" s="53"/>
      <c r="O1904" s="53"/>
      <c r="P1904" s="53"/>
      <c r="Q1904" s="53"/>
      <c r="R1904" s="53"/>
      <c r="S1904" s="53"/>
      <c r="T1904" s="53"/>
      <c r="U1904" s="53"/>
      <c r="V1904" s="53"/>
      <c r="W1904" s="53"/>
      <c r="X1904" s="53"/>
      <c r="Y1904" s="53"/>
      <c r="Z1904" s="53"/>
    </row>
    <row r="1905" spans="1:26" ht="15.75" customHeight="1">
      <c r="A1905" s="103"/>
      <c r="B1905" s="103"/>
      <c r="C1905" s="104" t="e">
        <v>#REF!</v>
      </c>
      <c r="D1905" s="103"/>
      <c r="E1905" s="53"/>
      <c r="F1905" s="53"/>
      <c r="G1905" s="53"/>
      <c r="H1905" s="53"/>
      <c r="I1905" s="53"/>
      <c r="J1905" s="53"/>
      <c r="K1905" s="53"/>
      <c r="L1905" s="53"/>
      <c r="M1905" s="53"/>
      <c r="N1905" s="53"/>
      <c r="O1905" s="53"/>
      <c r="P1905" s="53"/>
      <c r="Q1905" s="53"/>
      <c r="R1905" s="53"/>
      <c r="S1905" s="53"/>
      <c r="T1905" s="53"/>
      <c r="U1905" s="53"/>
      <c r="V1905" s="53"/>
      <c r="W1905" s="53"/>
      <c r="X1905" s="53"/>
      <c r="Y1905" s="53"/>
      <c r="Z1905" s="53"/>
    </row>
    <row r="1906" spans="1:26" ht="15.75" customHeight="1">
      <c r="A1906" s="103"/>
      <c r="B1906" s="103"/>
      <c r="C1906" s="104" t="e">
        <v>#REF!</v>
      </c>
      <c r="D1906" s="103"/>
      <c r="E1906" s="53"/>
      <c r="F1906" s="53"/>
      <c r="G1906" s="53"/>
      <c r="H1906" s="53"/>
      <c r="I1906" s="53"/>
      <c r="J1906" s="53"/>
      <c r="K1906" s="53"/>
      <c r="L1906" s="53"/>
      <c r="M1906" s="53"/>
      <c r="N1906" s="53"/>
      <c r="O1906" s="53"/>
      <c r="P1906" s="53"/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</row>
    <row r="1907" spans="1:26" ht="15.75" customHeight="1">
      <c r="A1907" s="103"/>
      <c r="B1907" s="103"/>
      <c r="C1907" s="104" t="e">
        <v>#REF!</v>
      </c>
      <c r="D1907" s="103"/>
      <c r="E1907" s="53"/>
      <c r="F1907" s="53"/>
      <c r="G1907" s="53"/>
      <c r="H1907" s="53"/>
      <c r="I1907" s="53"/>
      <c r="J1907" s="53"/>
      <c r="K1907" s="53"/>
      <c r="L1907" s="53"/>
      <c r="M1907" s="53"/>
      <c r="N1907" s="53"/>
      <c r="O1907" s="53"/>
      <c r="P1907" s="53"/>
      <c r="Q1907" s="53"/>
      <c r="R1907" s="53"/>
      <c r="S1907" s="53"/>
      <c r="T1907" s="53"/>
      <c r="U1907" s="53"/>
      <c r="V1907" s="53"/>
      <c r="W1907" s="53"/>
      <c r="X1907" s="53"/>
      <c r="Y1907" s="53"/>
      <c r="Z1907" s="53"/>
    </row>
    <row r="1908" spans="1:26" ht="15.75" customHeight="1">
      <c r="A1908" s="103"/>
      <c r="B1908" s="103"/>
      <c r="C1908" s="104" t="e">
        <v>#REF!</v>
      </c>
      <c r="D1908" s="103"/>
      <c r="E1908" s="53"/>
      <c r="F1908" s="53"/>
      <c r="G1908" s="53"/>
      <c r="H1908" s="53"/>
      <c r="I1908" s="53"/>
      <c r="J1908" s="53"/>
      <c r="K1908" s="53"/>
      <c r="L1908" s="53"/>
      <c r="M1908" s="53"/>
      <c r="N1908" s="53"/>
      <c r="O1908" s="53"/>
      <c r="P1908" s="53"/>
      <c r="Q1908" s="53"/>
      <c r="R1908" s="53"/>
      <c r="S1908" s="53"/>
      <c r="T1908" s="53"/>
      <c r="U1908" s="53"/>
      <c r="V1908" s="53"/>
      <c r="W1908" s="53"/>
      <c r="X1908" s="53"/>
      <c r="Y1908" s="53"/>
      <c r="Z1908" s="53"/>
    </row>
    <row r="1909" spans="1:26" ht="15.75" customHeight="1">
      <c r="A1909" s="103"/>
      <c r="B1909" s="103"/>
      <c r="C1909" s="104" t="e">
        <v>#REF!</v>
      </c>
      <c r="D1909" s="103"/>
      <c r="E1909" s="53"/>
      <c r="F1909" s="53"/>
      <c r="G1909" s="53"/>
      <c r="H1909" s="53"/>
      <c r="I1909" s="53"/>
      <c r="J1909" s="53"/>
      <c r="K1909" s="53"/>
      <c r="L1909" s="53"/>
      <c r="M1909" s="53"/>
      <c r="N1909" s="53"/>
      <c r="O1909" s="53"/>
      <c r="P1909" s="53"/>
      <c r="Q1909" s="53"/>
      <c r="R1909" s="53"/>
      <c r="S1909" s="53"/>
      <c r="T1909" s="53"/>
      <c r="U1909" s="53"/>
      <c r="V1909" s="53"/>
      <c r="W1909" s="53"/>
      <c r="X1909" s="53"/>
      <c r="Y1909" s="53"/>
      <c r="Z1909" s="53"/>
    </row>
    <row r="1910" spans="1:26" ht="15.75" customHeight="1">
      <c r="A1910" s="103"/>
      <c r="B1910" s="103"/>
      <c r="C1910" s="104" t="e">
        <v>#REF!</v>
      </c>
      <c r="D1910" s="103"/>
      <c r="E1910" s="53"/>
      <c r="F1910" s="53"/>
      <c r="G1910" s="53"/>
      <c r="H1910" s="53"/>
      <c r="I1910" s="53"/>
      <c r="J1910" s="53"/>
      <c r="K1910" s="53"/>
      <c r="L1910" s="53"/>
      <c r="M1910" s="53"/>
      <c r="N1910" s="53"/>
      <c r="O1910" s="53"/>
      <c r="P1910" s="53"/>
      <c r="Q1910" s="53"/>
      <c r="R1910" s="53"/>
      <c r="S1910" s="53"/>
      <c r="T1910" s="53"/>
      <c r="U1910" s="53"/>
      <c r="V1910" s="53"/>
      <c r="W1910" s="53"/>
      <c r="X1910" s="53"/>
      <c r="Y1910" s="53"/>
      <c r="Z1910" s="53"/>
    </row>
    <row r="1911" spans="1:26" ht="15.75" customHeight="1">
      <c r="A1911" s="103"/>
      <c r="B1911" s="103"/>
      <c r="C1911" s="104" t="e">
        <v>#REF!</v>
      </c>
      <c r="D1911" s="103"/>
      <c r="E1911" s="53"/>
      <c r="F1911" s="53"/>
      <c r="G1911" s="53"/>
      <c r="H1911" s="53"/>
      <c r="I1911" s="53"/>
      <c r="J1911" s="53"/>
      <c r="K1911" s="53"/>
      <c r="L1911" s="53"/>
      <c r="M1911" s="53"/>
      <c r="N1911" s="53"/>
      <c r="O1911" s="53"/>
      <c r="P1911" s="53"/>
      <c r="Q1911" s="53"/>
      <c r="R1911" s="53"/>
      <c r="S1911" s="53"/>
      <c r="T1911" s="53"/>
      <c r="U1911" s="53"/>
      <c r="V1911" s="53"/>
      <c r="W1911" s="53"/>
      <c r="X1911" s="53"/>
      <c r="Y1911" s="53"/>
      <c r="Z1911" s="53"/>
    </row>
    <row r="1912" spans="1:26" ht="15.75" customHeight="1">
      <c r="A1912" s="103"/>
      <c r="B1912" s="103"/>
      <c r="C1912" s="104" t="e">
        <v>#REF!</v>
      </c>
      <c r="D1912" s="103"/>
      <c r="E1912" s="53"/>
      <c r="F1912" s="53"/>
      <c r="G1912" s="53"/>
      <c r="H1912" s="53"/>
      <c r="I1912" s="53"/>
      <c r="J1912" s="53"/>
      <c r="K1912" s="53"/>
      <c r="L1912" s="53"/>
      <c r="M1912" s="53"/>
      <c r="N1912" s="53"/>
      <c r="O1912" s="53"/>
      <c r="P1912" s="53"/>
      <c r="Q1912" s="53"/>
      <c r="R1912" s="53"/>
      <c r="S1912" s="53"/>
      <c r="T1912" s="53"/>
      <c r="U1912" s="53"/>
      <c r="V1912" s="53"/>
      <c r="W1912" s="53"/>
      <c r="X1912" s="53"/>
      <c r="Y1912" s="53"/>
      <c r="Z1912" s="53"/>
    </row>
    <row r="1913" spans="1:26" ht="15.75" customHeight="1">
      <c r="A1913" s="103"/>
      <c r="B1913" s="103"/>
      <c r="C1913" s="104" t="e">
        <v>#REF!</v>
      </c>
      <c r="D1913" s="103"/>
      <c r="E1913" s="53"/>
      <c r="F1913" s="53"/>
      <c r="G1913" s="53"/>
      <c r="H1913" s="53"/>
      <c r="I1913" s="53"/>
      <c r="J1913" s="53"/>
      <c r="K1913" s="53"/>
      <c r="L1913" s="53"/>
      <c r="M1913" s="53"/>
      <c r="N1913" s="53"/>
      <c r="O1913" s="53"/>
      <c r="P1913" s="53"/>
      <c r="Q1913" s="53"/>
      <c r="R1913" s="53"/>
      <c r="S1913" s="53"/>
      <c r="T1913" s="53"/>
      <c r="U1913" s="53"/>
      <c r="V1913" s="53"/>
      <c r="W1913" s="53"/>
      <c r="X1913" s="53"/>
      <c r="Y1913" s="53"/>
      <c r="Z1913" s="53"/>
    </row>
    <row r="1914" spans="1:26" ht="15.75" customHeight="1">
      <c r="A1914" s="103"/>
      <c r="B1914" s="103"/>
      <c r="C1914" s="104" t="e">
        <v>#REF!</v>
      </c>
      <c r="D1914" s="103"/>
      <c r="E1914" s="53"/>
      <c r="F1914" s="53"/>
      <c r="G1914" s="53"/>
      <c r="H1914" s="53"/>
      <c r="I1914" s="53"/>
      <c r="J1914" s="53"/>
      <c r="K1914" s="53"/>
      <c r="L1914" s="53"/>
      <c r="M1914" s="53"/>
      <c r="N1914" s="53"/>
      <c r="O1914" s="53"/>
      <c r="P1914" s="53"/>
      <c r="Q1914" s="53"/>
      <c r="R1914" s="53"/>
      <c r="S1914" s="53"/>
      <c r="T1914" s="53"/>
      <c r="U1914" s="53"/>
      <c r="V1914" s="53"/>
      <c r="W1914" s="53"/>
      <c r="X1914" s="53"/>
      <c r="Y1914" s="53"/>
      <c r="Z1914" s="53"/>
    </row>
    <row r="1915" spans="1:26" ht="15.75" customHeight="1">
      <c r="A1915" s="103"/>
      <c r="B1915" s="103"/>
      <c r="C1915" s="104" t="e">
        <v>#REF!</v>
      </c>
      <c r="D1915" s="103"/>
      <c r="E1915" s="53"/>
      <c r="F1915" s="53"/>
      <c r="G1915" s="53"/>
      <c r="H1915" s="53"/>
      <c r="I1915" s="53"/>
      <c r="J1915" s="53"/>
      <c r="K1915" s="53"/>
      <c r="L1915" s="53"/>
      <c r="M1915" s="53"/>
      <c r="N1915" s="53"/>
      <c r="O1915" s="53"/>
      <c r="P1915" s="53"/>
      <c r="Q1915" s="53"/>
      <c r="R1915" s="53"/>
      <c r="S1915" s="53"/>
      <c r="T1915" s="53"/>
      <c r="U1915" s="53"/>
      <c r="V1915" s="53"/>
      <c r="W1915" s="53"/>
      <c r="X1915" s="53"/>
      <c r="Y1915" s="53"/>
      <c r="Z1915" s="53"/>
    </row>
    <row r="1916" spans="1:26" ht="15.75" customHeight="1">
      <c r="A1916" s="103"/>
      <c r="B1916" s="103"/>
      <c r="C1916" s="104" t="e">
        <v>#REF!</v>
      </c>
      <c r="D1916" s="103"/>
      <c r="E1916" s="53"/>
      <c r="F1916" s="53"/>
      <c r="G1916" s="53"/>
      <c r="H1916" s="53"/>
      <c r="I1916" s="53"/>
      <c r="J1916" s="53"/>
      <c r="K1916" s="53"/>
      <c r="L1916" s="53"/>
      <c r="M1916" s="53"/>
      <c r="N1916" s="53"/>
      <c r="O1916" s="53"/>
      <c r="P1916" s="53"/>
      <c r="Q1916" s="53"/>
      <c r="R1916" s="53"/>
      <c r="S1916" s="53"/>
      <c r="T1916" s="53"/>
      <c r="U1916" s="53"/>
      <c r="V1916" s="53"/>
      <c r="W1916" s="53"/>
      <c r="X1916" s="53"/>
      <c r="Y1916" s="53"/>
      <c r="Z1916" s="53"/>
    </row>
    <row r="1917" spans="1:26" ht="15.75" customHeight="1">
      <c r="A1917" s="103"/>
      <c r="B1917" s="103"/>
      <c r="C1917" s="104" t="e">
        <v>#REF!</v>
      </c>
      <c r="D1917" s="103"/>
      <c r="E1917" s="53"/>
      <c r="F1917" s="53"/>
      <c r="G1917" s="53"/>
      <c r="H1917" s="53"/>
      <c r="I1917" s="53"/>
      <c r="J1917" s="53"/>
      <c r="K1917" s="53"/>
      <c r="L1917" s="53"/>
      <c r="M1917" s="53"/>
      <c r="N1917" s="53"/>
      <c r="O1917" s="53"/>
      <c r="P1917" s="53"/>
      <c r="Q1917" s="53"/>
      <c r="R1917" s="53"/>
      <c r="S1917" s="53"/>
      <c r="T1917" s="53"/>
      <c r="U1917" s="53"/>
      <c r="V1917" s="53"/>
      <c r="W1917" s="53"/>
      <c r="X1917" s="53"/>
      <c r="Y1917" s="53"/>
      <c r="Z1917" s="53"/>
    </row>
    <row r="1918" spans="1:26" ht="15.75" customHeight="1">
      <c r="A1918" s="103"/>
      <c r="B1918" s="103"/>
      <c r="C1918" s="104" t="e">
        <v>#REF!</v>
      </c>
      <c r="D1918" s="103"/>
      <c r="E1918" s="53"/>
      <c r="F1918" s="53"/>
      <c r="G1918" s="53"/>
      <c r="H1918" s="53"/>
      <c r="I1918" s="53"/>
      <c r="J1918" s="53"/>
      <c r="K1918" s="53"/>
      <c r="L1918" s="53"/>
      <c r="M1918" s="53"/>
      <c r="N1918" s="53"/>
      <c r="O1918" s="53"/>
      <c r="P1918" s="53"/>
      <c r="Q1918" s="53"/>
      <c r="R1918" s="53"/>
      <c r="S1918" s="53"/>
      <c r="T1918" s="53"/>
      <c r="U1918" s="53"/>
      <c r="V1918" s="53"/>
      <c r="W1918" s="53"/>
      <c r="X1918" s="53"/>
      <c r="Y1918" s="53"/>
      <c r="Z1918" s="53"/>
    </row>
    <row r="1919" spans="1:26" ht="15.75" customHeight="1">
      <c r="A1919" s="103"/>
      <c r="B1919" s="103"/>
      <c r="C1919" s="104" t="e">
        <v>#REF!</v>
      </c>
      <c r="D1919" s="103"/>
      <c r="E1919" s="53"/>
      <c r="F1919" s="53"/>
      <c r="G1919" s="53"/>
      <c r="H1919" s="53"/>
      <c r="I1919" s="53"/>
      <c r="J1919" s="53"/>
      <c r="K1919" s="53"/>
      <c r="L1919" s="53"/>
      <c r="M1919" s="53"/>
      <c r="N1919" s="53"/>
      <c r="O1919" s="53"/>
      <c r="P1919" s="53"/>
      <c r="Q1919" s="53"/>
      <c r="R1919" s="53"/>
      <c r="S1919" s="53"/>
      <c r="T1919" s="53"/>
      <c r="U1919" s="53"/>
      <c r="V1919" s="53"/>
      <c r="W1919" s="53"/>
      <c r="X1919" s="53"/>
      <c r="Y1919" s="53"/>
      <c r="Z1919" s="53"/>
    </row>
    <row r="1920" spans="1:26" ht="15.75" customHeight="1">
      <c r="A1920" s="103"/>
      <c r="B1920" s="103"/>
      <c r="C1920" s="104" t="e">
        <v>#REF!</v>
      </c>
      <c r="D1920" s="103"/>
      <c r="E1920" s="53"/>
      <c r="F1920" s="53"/>
      <c r="G1920" s="53"/>
      <c r="H1920" s="53"/>
      <c r="I1920" s="53"/>
      <c r="J1920" s="53"/>
      <c r="K1920" s="53"/>
      <c r="L1920" s="53"/>
      <c r="M1920" s="53"/>
      <c r="N1920" s="53"/>
      <c r="O1920" s="53"/>
      <c r="P1920" s="53"/>
      <c r="Q1920" s="53"/>
      <c r="R1920" s="53"/>
      <c r="S1920" s="53"/>
      <c r="T1920" s="53"/>
      <c r="U1920" s="53"/>
      <c r="V1920" s="53"/>
      <c r="W1920" s="53"/>
      <c r="X1920" s="53"/>
      <c r="Y1920" s="53"/>
      <c r="Z1920" s="53"/>
    </row>
    <row r="1921" spans="1:26" ht="15.75" customHeight="1">
      <c r="A1921" s="103"/>
      <c r="B1921" s="103"/>
      <c r="C1921" s="104" t="e">
        <v>#REF!</v>
      </c>
      <c r="D1921" s="103"/>
      <c r="E1921" s="53"/>
      <c r="F1921" s="53"/>
      <c r="G1921" s="53"/>
      <c r="H1921" s="53"/>
      <c r="I1921" s="53"/>
      <c r="J1921" s="53"/>
      <c r="K1921" s="53"/>
      <c r="L1921" s="53"/>
      <c r="M1921" s="53"/>
      <c r="N1921" s="53"/>
      <c r="O1921" s="53"/>
      <c r="P1921" s="53"/>
      <c r="Q1921" s="53"/>
      <c r="R1921" s="53"/>
      <c r="S1921" s="53"/>
      <c r="T1921" s="53"/>
      <c r="U1921" s="53"/>
      <c r="V1921" s="53"/>
      <c r="W1921" s="53"/>
      <c r="X1921" s="53"/>
      <c r="Y1921" s="53"/>
      <c r="Z1921" s="53"/>
    </row>
    <row r="1922" spans="1:26" ht="15.75" customHeight="1">
      <c r="A1922" s="103"/>
      <c r="B1922" s="103"/>
      <c r="C1922" s="104" t="e">
        <v>#REF!</v>
      </c>
      <c r="D1922" s="103"/>
      <c r="E1922" s="53"/>
      <c r="F1922" s="53"/>
      <c r="G1922" s="53"/>
      <c r="H1922" s="53"/>
      <c r="I1922" s="53"/>
      <c r="J1922" s="53"/>
      <c r="K1922" s="53"/>
      <c r="L1922" s="53"/>
      <c r="M1922" s="53"/>
      <c r="N1922" s="53"/>
      <c r="O1922" s="53"/>
      <c r="P1922" s="53"/>
      <c r="Q1922" s="53"/>
      <c r="R1922" s="53"/>
      <c r="S1922" s="53"/>
      <c r="T1922" s="53"/>
      <c r="U1922" s="53"/>
      <c r="V1922" s="53"/>
      <c r="W1922" s="53"/>
      <c r="X1922" s="53"/>
      <c r="Y1922" s="53"/>
      <c r="Z1922" s="53"/>
    </row>
    <row r="1923" spans="1:26" ht="15.75" customHeight="1">
      <c r="A1923" s="103"/>
      <c r="B1923" s="103"/>
      <c r="C1923" s="104" t="e">
        <v>#REF!</v>
      </c>
      <c r="D1923" s="103"/>
      <c r="E1923" s="53"/>
      <c r="F1923" s="53"/>
      <c r="G1923" s="53"/>
      <c r="H1923" s="53"/>
      <c r="I1923" s="53"/>
      <c r="J1923" s="53"/>
      <c r="K1923" s="53"/>
      <c r="L1923" s="53"/>
      <c r="M1923" s="53"/>
      <c r="N1923" s="53"/>
      <c r="O1923" s="53"/>
      <c r="P1923" s="53"/>
      <c r="Q1923" s="53"/>
      <c r="R1923" s="53"/>
      <c r="S1923" s="53"/>
      <c r="T1923" s="53"/>
      <c r="U1923" s="53"/>
      <c r="V1923" s="53"/>
      <c r="W1923" s="53"/>
      <c r="X1923" s="53"/>
      <c r="Y1923" s="53"/>
      <c r="Z1923" s="53"/>
    </row>
    <row r="1924" spans="1:26" ht="15.75" customHeight="1">
      <c r="A1924" s="103"/>
      <c r="B1924" s="103"/>
      <c r="C1924" s="104" t="e">
        <v>#REF!</v>
      </c>
      <c r="D1924" s="103"/>
      <c r="E1924" s="53"/>
      <c r="F1924" s="53"/>
      <c r="G1924" s="53"/>
      <c r="H1924" s="53"/>
      <c r="I1924" s="53"/>
      <c r="J1924" s="53"/>
      <c r="K1924" s="53"/>
      <c r="L1924" s="53"/>
      <c r="M1924" s="53"/>
      <c r="N1924" s="53"/>
      <c r="O1924" s="53"/>
      <c r="P1924" s="53"/>
      <c r="Q1924" s="53"/>
      <c r="R1924" s="53"/>
      <c r="S1924" s="53"/>
      <c r="T1924" s="53"/>
      <c r="U1924" s="53"/>
      <c r="V1924" s="53"/>
      <c r="W1924" s="53"/>
      <c r="X1924" s="53"/>
      <c r="Y1924" s="53"/>
      <c r="Z1924" s="53"/>
    </row>
    <row r="1925" spans="1:26" ht="15.75" customHeight="1">
      <c r="A1925" s="103"/>
      <c r="B1925" s="103"/>
      <c r="C1925" s="104" t="e">
        <v>#REF!</v>
      </c>
      <c r="D1925" s="103"/>
      <c r="E1925" s="53"/>
      <c r="F1925" s="53"/>
      <c r="G1925" s="53"/>
      <c r="H1925" s="53"/>
      <c r="I1925" s="53"/>
      <c r="J1925" s="53"/>
      <c r="K1925" s="53"/>
      <c r="L1925" s="53"/>
      <c r="M1925" s="53"/>
      <c r="N1925" s="53"/>
      <c r="O1925" s="53"/>
      <c r="P1925" s="53"/>
      <c r="Q1925" s="53"/>
      <c r="R1925" s="53"/>
      <c r="S1925" s="53"/>
      <c r="T1925" s="53"/>
      <c r="U1925" s="53"/>
      <c r="V1925" s="53"/>
      <c r="W1925" s="53"/>
      <c r="X1925" s="53"/>
      <c r="Y1925" s="53"/>
      <c r="Z1925" s="53"/>
    </row>
    <row r="1926" spans="1:26" ht="15.75" customHeight="1">
      <c r="A1926" s="103"/>
      <c r="B1926" s="103"/>
      <c r="C1926" s="104" t="e">
        <v>#REF!</v>
      </c>
      <c r="D1926" s="103"/>
      <c r="E1926" s="53"/>
      <c r="F1926" s="53"/>
      <c r="G1926" s="53"/>
      <c r="H1926" s="53"/>
      <c r="I1926" s="53"/>
      <c r="J1926" s="53"/>
      <c r="K1926" s="53"/>
      <c r="L1926" s="53"/>
      <c r="M1926" s="53"/>
      <c r="N1926" s="53"/>
      <c r="O1926" s="53"/>
      <c r="P1926" s="53"/>
      <c r="Q1926" s="53"/>
      <c r="R1926" s="53"/>
      <c r="S1926" s="53"/>
      <c r="T1926" s="53"/>
      <c r="U1926" s="53"/>
      <c r="V1926" s="53"/>
      <c r="W1926" s="53"/>
      <c r="X1926" s="53"/>
      <c r="Y1926" s="53"/>
      <c r="Z1926" s="53"/>
    </row>
    <row r="1927" spans="1:26" ht="15.75" customHeight="1">
      <c r="A1927" s="103"/>
      <c r="B1927" s="103"/>
      <c r="C1927" s="104" t="e">
        <v>#REF!</v>
      </c>
      <c r="D1927" s="103"/>
      <c r="E1927" s="53"/>
      <c r="F1927" s="53"/>
      <c r="G1927" s="53"/>
      <c r="H1927" s="53"/>
      <c r="I1927" s="53"/>
      <c r="J1927" s="53"/>
      <c r="K1927" s="53"/>
      <c r="L1927" s="53"/>
      <c r="M1927" s="53"/>
      <c r="N1927" s="53"/>
      <c r="O1927" s="53"/>
      <c r="P1927" s="53"/>
      <c r="Q1927" s="53"/>
      <c r="R1927" s="53"/>
      <c r="S1927" s="53"/>
      <c r="T1927" s="53"/>
      <c r="U1927" s="53"/>
      <c r="V1927" s="53"/>
      <c r="W1927" s="53"/>
      <c r="X1927" s="53"/>
      <c r="Y1927" s="53"/>
      <c r="Z1927" s="53"/>
    </row>
    <row r="1928" spans="1:26" ht="15.75" customHeight="1">
      <c r="A1928" s="103"/>
      <c r="B1928" s="103"/>
      <c r="C1928" s="104" t="e">
        <v>#REF!</v>
      </c>
      <c r="D1928" s="103"/>
      <c r="E1928" s="53"/>
      <c r="F1928" s="53"/>
      <c r="G1928" s="53"/>
      <c r="H1928" s="53"/>
      <c r="I1928" s="53"/>
      <c r="J1928" s="53"/>
      <c r="K1928" s="53"/>
      <c r="L1928" s="53"/>
      <c r="M1928" s="53"/>
      <c r="N1928" s="53"/>
      <c r="O1928" s="53"/>
      <c r="P1928" s="53"/>
      <c r="Q1928" s="53"/>
      <c r="R1928" s="53"/>
      <c r="S1928" s="53"/>
      <c r="T1928" s="53"/>
      <c r="U1928" s="53"/>
      <c r="V1928" s="53"/>
      <c r="W1928" s="53"/>
      <c r="X1928" s="53"/>
      <c r="Y1928" s="53"/>
      <c r="Z1928" s="53"/>
    </row>
    <row r="1929" spans="1:26" ht="15.75" customHeight="1">
      <c r="A1929" s="103"/>
      <c r="B1929" s="103"/>
      <c r="C1929" s="104" t="e">
        <v>#REF!</v>
      </c>
      <c r="D1929" s="103"/>
      <c r="E1929" s="53"/>
      <c r="F1929" s="53"/>
      <c r="G1929" s="53"/>
      <c r="H1929" s="53"/>
      <c r="I1929" s="53"/>
      <c r="J1929" s="53"/>
      <c r="K1929" s="53"/>
      <c r="L1929" s="53"/>
      <c r="M1929" s="53"/>
      <c r="N1929" s="53"/>
      <c r="O1929" s="53"/>
      <c r="P1929" s="53"/>
      <c r="Q1929" s="53"/>
      <c r="R1929" s="53"/>
      <c r="S1929" s="53"/>
      <c r="T1929" s="53"/>
      <c r="U1929" s="53"/>
      <c r="V1929" s="53"/>
      <c r="W1929" s="53"/>
      <c r="X1929" s="53"/>
      <c r="Y1929" s="53"/>
      <c r="Z1929" s="53"/>
    </row>
    <row r="1930" spans="1:26" ht="15.75" customHeight="1">
      <c r="A1930" s="103"/>
      <c r="B1930" s="103"/>
      <c r="C1930" s="104" t="e">
        <v>#REF!</v>
      </c>
      <c r="D1930" s="103"/>
      <c r="E1930" s="53"/>
      <c r="F1930" s="53"/>
      <c r="G1930" s="53"/>
      <c r="H1930" s="53"/>
      <c r="I1930" s="53"/>
      <c r="J1930" s="53"/>
      <c r="K1930" s="53"/>
      <c r="L1930" s="53"/>
      <c r="M1930" s="53"/>
      <c r="N1930" s="53"/>
      <c r="O1930" s="53"/>
      <c r="P1930" s="53"/>
      <c r="Q1930" s="53"/>
      <c r="R1930" s="53"/>
      <c r="S1930" s="53"/>
      <c r="T1930" s="53"/>
      <c r="U1930" s="53"/>
      <c r="V1930" s="53"/>
      <c r="W1930" s="53"/>
      <c r="X1930" s="53"/>
      <c r="Y1930" s="53"/>
      <c r="Z1930" s="53"/>
    </row>
    <row r="1931" spans="1:26" ht="15.75" customHeight="1">
      <c r="A1931" s="103"/>
      <c r="B1931" s="103"/>
      <c r="C1931" s="104" t="e">
        <v>#REF!</v>
      </c>
      <c r="D1931" s="103"/>
      <c r="E1931" s="53"/>
      <c r="F1931" s="53"/>
      <c r="G1931" s="53"/>
      <c r="H1931" s="53"/>
      <c r="I1931" s="53"/>
      <c r="J1931" s="53"/>
      <c r="K1931" s="53"/>
      <c r="L1931" s="53"/>
      <c r="M1931" s="53"/>
      <c r="N1931" s="53"/>
      <c r="O1931" s="53"/>
      <c r="P1931" s="53"/>
      <c r="Q1931" s="53"/>
      <c r="R1931" s="53"/>
      <c r="S1931" s="53"/>
      <c r="T1931" s="53"/>
      <c r="U1931" s="53"/>
      <c r="V1931" s="53"/>
      <c r="W1931" s="53"/>
      <c r="X1931" s="53"/>
      <c r="Y1931" s="53"/>
      <c r="Z1931" s="53"/>
    </row>
    <row r="1932" spans="1:26" ht="15.75" customHeight="1">
      <c r="A1932" s="103"/>
      <c r="B1932" s="103"/>
      <c r="C1932" s="104" t="e">
        <v>#REF!</v>
      </c>
      <c r="D1932" s="103"/>
      <c r="E1932" s="53"/>
      <c r="F1932" s="53"/>
      <c r="G1932" s="53"/>
      <c r="H1932" s="53"/>
      <c r="I1932" s="53"/>
      <c r="J1932" s="53"/>
      <c r="K1932" s="53"/>
      <c r="L1932" s="53"/>
      <c r="M1932" s="53"/>
      <c r="N1932" s="53"/>
      <c r="O1932" s="53"/>
      <c r="P1932" s="53"/>
      <c r="Q1932" s="53"/>
      <c r="R1932" s="53"/>
      <c r="S1932" s="53"/>
      <c r="T1932" s="53"/>
      <c r="U1932" s="53"/>
      <c r="V1932" s="53"/>
      <c r="W1932" s="53"/>
      <c r="X1932" s="53"/>
      <c r="Y1932" s="53"/>
      <c r="Z1932" s="53"/>
    </row>
    <row r="1933" spans="1:26" ht="15.75" customHeight="1">
      <c r="A1933" s="103"/>
      <c r="B1933" s="103"/>
      <c r="C1933" s="104" t="e">
        <v>#REF!</v>
      </c>
      <c r="D1933" s="103"/>
      <c r="E1933" s="53"/>
      <c r="F1933" s="53"/>
      <c r="G1933" s="53"/>
      <c r="H1933" s="53"/>
      <c r="I1933" s="53"/>
      <c r="J1933" s="53"/>
      <c r="K1933" s="53"/>
      <c r="L1933" s="53"/>
      <c r="M1933" s="53"/>
      <c r="N1933" s="53"/>
      <c r="O1933" s="53"/>
      <c r="P1933" s="53"/>
      <c r="Q1933" s="53"/>
      <c r="R1933" s="53"/>
      <c r="S1933" s="53"/>
      <c r="T1933" s="53"/>
      <c r="U1933" s="53"/>
      <c r="V1933" s="53"/>
      <c r="W1933" s="53"/>
      <c r="X1933" s="53"/>
      <c r="Y1933" s="53"/>
      <c r="Z1933" s="53"/>
    </row>
    <row r="1934" spans="1:26" ht="15.75" customHeight="1">
      <c r="A1934" s="103"/>
      <c r="B1934" s="103"/>
      <c r="C1934" s="104" t="e">
        <v>#REF!</v>
      </c>
      <c r="D1934" s="103"/>
      <c r="E1934" s="53"/>
      <c r="F1934" s="53"/>
      <c r="G1934" s="53"/>
      <c r="H1934" s="53"/>
      <c r="I1934" s="53"/>
      <c r="J1934" s="53"/>
      <c r="K1934" s="53"/>
      <c r="L1934" s="53"/>
      <c r="M1934" s="53"/>
      <c r="N1934" s="53"/>
      <c r="O1934" s="53"/>
      <c r="P1934" s="53"/>
      <c r="Q1934" s="53"/>
      <c r="R1934" s="53"/>
      <c r="S1934" s="53"/>
      <c r="T1934" s="53"/>
      <c r="U1934" s="53"/>
      <c r="V1934" s="53"/>
      <c r="W1934" s="53"/>
      <c r="X1934" s="53"/>
      <c r="Y1934" s="53"/>
      <c r="Z1934" s="53"/>
    </row>
    <row r="1935" spans="1:26" ht="15.75" customHeight="1">
      <c r="A1935" s="103"/>
      <c r="B1935" s="103"/>
      <c r="C1935" s="104" t="e">
        <v>#REF!</v>
      </c>
      <c r="D1935" s="103"/>
      <c r="E1935" s="53"/>
      <c r="F1935" s="53"/>
      <c r="G1935" s="53"/>
      <c r="H1935" s="53"/>
      <c r="I1935" s="53"/>
      <c r="J1935" s="53"/>
      <c r="K1935" s="53"/>
      <c r="L1935" s="53"/>
      <c r="M1935" s="53"/>
      <c r="N1935" s="53"/>
      <c r="O1935" s="53"/>
      <c r="P1935" s="53"/>
      <c r="Q1935" s="53"/>
      <c r="R1935" s="53"/>
      <c r="S1935" s="53"/>
      <c r="T1935" s="53"/>
      <c r="U1935" s="53"/>
      <c r="V1935" s="53"/>
      <c r="W1935" s="53"/>
      <c r="X1935" s="53"/>
      <c r="Y1935" s="53"/>
      <c r="Z1935" s="53"/>
    </row>
    <row r="1936" spans="1:26" ht="15.75" customHeight="1">
      <c r="A1936" s="103"/>
      <c r="B1936" s="103"/>
      <c r="C1936" s="104" t="e">
        <v>#REF!</v>
      </c>
      <c r="D1936" s="103"/>
      <c r="E1936" s="53"/>
      <c r="F1936" s="53"/>
      <c r="G1936" s="53"/>
      <c r="H1936" s="53"/>
      <c r="I1936" s="53"/>
      <c r="J1936" s="53"/>
      <c r="K1936" s="53"/>
      <c r="L1936" s="53"/>
      <c r="M1936" s="53"/>
      <c r="N1936" s="53"/>
      <c r="O1936" s="53"/>
      <c r="P1936" s="53"/>
      <c r="Q1936" s="53"/>
      <c r="R1936" s="53"/>
      <c r="S1936" s="53"/>
      <c r="T1936" s="53"/>
      <c r="U1936" s="53"/>
      <c r="V1936" s="53"/>
      <c r="W1936" s="53"/>
      <c r="X1936" s="53"/>
      <c r="Y1936" s="53"/>
      <c r="Z1936" s="53"/>
    </row>
    <row r="1937" spans="1:26" ht="15.75" customHeight="1">
      <c r="A1937" s="103"/>
      <c r="B1937" s="103"/>
      <c r="C1937" s="104" t="e">
        <v>#REF!</v>
      </c>
      <c r="D1937" s="103"/>
      <c r="E1937" s="53"/>
      <c r="F1937" s="53"/>
      <c r="G1937" s="53"/>
      <c r="H1937" s="53"/>
      <c r="I1937" s="53"/>
      <c r="J1937" s="53"/>
      <c r="K1937" s="53"/>
      <c r="L1937" s="53"/>
      <c r="M1937" s="53"/>
      <c r="N1937" s="53"/>
      <c r="O1937" s="53"/>
      <c r="P1937" s="53"/>
      <c r="Q1937" s="53"/>
      <c r="R1937" s="53"/>
      <c r="S1937" s="53"/>
      <c r="T1937" s="53"/>
      <c r="U1937" s="53"/>
      <c r="V1937" s="53"/>
      <c r="W1937" s="53"/>
      <c r="X1937" s="53"/>
      <c r="Y1937" s="53"/>
      <c r="Z1937" s="53"/>
    </row>
    <row r="1938" spans="1:26" ht="15.75" customHeight="1">
      <c r="A1938" s="103"/>
      <c r="B1938" s="103"/>
      <c r="C1938" s="104" t="e">
        <v>#REF!</v>
      </c>
      <c r="D1938" s="103"/>
      <c r="E1938" s="53"/>
      <c r="F1938" s="53"/>
      <c r="G1938" s="53"/>
      <c r="H1938" s="53"/>
      <c r="I1938" s="53"/>
      <c r="J1938" s="53"/>
      <c r="K1938" s="53"/>
      <c r="L1938" s="53"/>
      <c r="M1938" s="53"/>
      <c r="N1938" s="53"/>
      <c r="O1938" s="53"/>
      <c r="P1938" s="53"/>
      <c r="Q1938" s="53"/>
      <c r="R1938" s="53"/>
      <c r="S1938" s="53"/>
      <c r="T1938" s="53"/>
      <c r="U1938" s="53"/>
      <c r="V1938" s="53"/>
      <c r="W1938" s="53"/>
      <c r="X1938" s="53"/>
      <c r="Y1938" s="53"/>
      <c r="Z1938" s="53"/>
    </row>
    <row r="1939" spans="1:26" ht="15.75" customHeight="1">
      <c r="A1939" s="103"/>
      <c r="B1939" s="103"/>
      <c r="C1939" s="104" t="e">
        <v>#REF!</v>
      </c>
      <c r="D1939" s="103"/>
      <c r="E1939" s="53"/>
      <c r="F1939" s="53"/>
      <c r="G1939" s="53"/>
      <c r="H1939" s="53"/>
      <c r="I1939" s="53"/>
      <c r="J1939" s="53"/>
      <c r="K1939" s="53"/>
      <c r="L1939" s="53"/>
      <c r="M1939" s="53"/>
      <c r="N1939" s="53"/>
      <c r="O1939" s="53"/>
      <c r="P1939" s="53"/>
      <c r="Q1939" s="53"/>
      <c r="R1939" s="53"/>
      <c r="S1939" s="53"/>
      <c r="T1939" s="53"/>
      <c r="U1939" s="53"/>
      <c r="V1939" s="53"/>
      <c r="W1939" s="53"/>
      <c r="X1939" s="53"/>
      <c r="Y1939" s="53"/>
      <c r="Z1939" s="53"/>
    </row>
    <row r="1940" spans="1:26" ht="15.75" customHeight="1">
      <c r="A1940" s="103"/>
      <c r="B1940" s="103"/>
      <c r="C1940" s="104" t="e">
        <v>#REF!</v>
      </c>
      <c r="D1940" s="103"/>
      <c r="E1940" s="53"/>
      <c r="F1940" s="53"/>
      <c r="G1940" s="53"/>
      <c r="H1940" s="53"/>
      <c r="I1940" s="53"/>
      <c r="J1940" s="53"/>
      <c r="K1940" s="53"/>
      <c r="L1940" s="53"/>
      <c r="M1940" s="53"/>
      <c r="N1940" s="53"/>
      <c r="O1940" s="53"/>
      <c r="P1940" s="53"/>
      <c r="Q1940" s="53"/>
      <c r="R1940" s="53"/>
      <c r="S1940" s="53"/>
      <c r="T1940" s="53"/>
      <c r="U1940" s="53"/>
      <c r="V1940" s="53"/>
      <c r="W1940" s="53"/>
      <c r="X1940" s="53"/>
      <c r="Y1940" s="53"/>
      <c r="Z1940" s="53"/>
    </row>
    <row r="1941" spans="1:26" ht="15.75" customHeight="1">
      <c r="A1941" s="103"/>
      <c r="B1941" s="103"/>
      <c r="C1941" s="104" t="e">
        <v>#REF!</v>
      </c>
      <c r="D1941" s="103"/>
      <c r="E1941" s="53"/>
      <c r="F1941" s="53"/>
      <c r="G1941" s="53"/>
      <c r="H1941" s="53"/>
      <c r="I1941" s="53"/>
      <c r="J1941" s="53"/>
      <c r="K1941" s="53"/>
      <c r="L1941" s="53"/>
      <c r="M1941" s="53"/>
      <c r="N1941" s="53"/>
      <c r="O1941" s="53"/>
      <c r="P1941" s="53"/>
      <c r="Q1941" s="53"/>
      <c r="R1941" s="53"/>
      <c r="S1941" s="53"/>
      <c r="T1941" s="53"/>
      <c r="U1941" s="53"/>
      <c r="V1941" s="53"/>
      <c r="W1941" s="53"/>
      <c r="X1941" s="53"/>
      <c r="Y1941" s="53"/>
      <c r="Z1941" s="53"/>
    </row>
    <row r="1942" spans="1:26" ht="15.75" customHeight="1">
      <c r="A1942" s="103"/>
      <c r="B1942" s="103"/>
      <c r="C1942" s="104" t="e">
        <v>#REF!</v>
      </c>
      <c r="D1942" s="103"/>
      <c r="E1942" s="53"/>
      <c r="F1942" s="53"/>
      <c r="G1942" s="53"/>
      <c r="H1942" s="53"/>
      <c r="I1942" s="53"/>
      <c r="J1942" s="53"/>
      <c r="K1942" s="53"/>
      <c r="L1942" s="53"/>
      <c r="M1942" s="53"/>
      <c r="N1942" s="53"/>
      <c r="O1942" s="53"/>
      <c r="P1942" s="53"/>
      <c r="Q1942" s="53"/>
      <c r="R1942" s="53"/>
      <c r="S1942" s="53"/>
      <c r="T1942" s="53"/>
      <c r="U1942" s="53"/>
      <c r="V1942" s="53"/>
      <c r="W1942" s="53"/>
      <c r="X1942" s="53"/>
      <c r="Y1942" s="53"/>
      <c r="Z1942" s="53"/>
    </row>
    <row r="1943" spans="1:26" ht="15.75" customHeight="1">
      <c r="A1943" s="103"/>
      <c r="B1943" s="103"/>
      <c r="C1943" s="104" t="e">
        <v>#REF!</v>
      </c>
      <c r="D1943" s="103"/>
      <c r="E1943" s="53"/>
      <c r="F1943" s="53"/>
      <c r="G1943" s="53"/>
      <c r="H1943" s="53"/>
      <c r="I1943" s="53"/>
      <c r="J1943" s="53"/>
      <c r="K1943" s="53"/>
      <c r="L1943" s="53"/>
      <c r="M1943" s="53"/>
      <c r="N1943" s="53"/>
      <c r="O1943" s="53"/>
      <c r="P1943" s="53"/>
      <c r="Q1943" s="53"/>
      <c r="R1943" s="53"/>
      <c r="S1943" s="53"/>
      <c r="T1943" s="53"/>
      <c r="U1943" s="53"/>
      <c r="V1943" s="53"/>
      <c r="W1943" s="53"/>
      <c r="X1943" s="53"/>
      <c r="Y1943" s="53"/>
      <c r="Z1943" s="53"/>
    </row>
    <row r="1944" spans="1:26" ht="15.75" customHeight="1">
      <c r="A1944" s="103"/>
      <c r="B1944" s="103"/>
      <c r="C1944" s="104" t="e">
        <v>#REF!</v>
      </c>
      <c r="D1944" s="10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</row>
    <row r="1945" spans="1:26" ht="15.75" customHeight="1">
      <c r="A1945" s="103"/>
      <c r="B1945" s="103"/>
      <c r="C1945" s="104" t="e">
        <v>#REF!</v>
      </c>
      <c r="D1945" s="103"/>
      <c r="E1945" s="53"/>
      <c r="F1945" s="53"/>
      <c r="G1945" s="53"/>
      <c r="H1945" s="53"/>
      <c r="I1945" s="53"/>
      <c r="J1945" s="53"/>
      <c r="K1945" s="53"/>
      <c r="L1945" s="53"/>
      <c r="M1945" s="53"/>
      <c r="N1945" s="53"/>
      <c r="O1945" s="53"/>
      <c r="P1945" s="53"/>
      <c r="Q1945" s="53"/>
      <c r="R1945" s="53"/>
      <c r="S1945" s="53"/>
      <c r="T1945" s="53"/>
      <c r="U1945" s="53"/>
      <c r="V1945" s="53"/>
      <c r="W1945" s="53"/>
      <c r="X1945" s="53"/>
      <c r="Y1945" s="53"/>
      <c r="Z1945" s="53"/>
    </row>
    <row r="1946" spans="1:26" ht="15.75" customHeight="1">
      <c r="A1946" s="103"/>
      <c r="B1946" s="103"/>
      <c r="C1946" s="104" t="e">
        <v>#REF!</v>
      </c>
      <c r="D1946" s="103"/>
      <c r="E1946" s="53"/>
      <c r="F1946" s="53"/>
      <c r="G1946" s="53"/>
      <c r="H1946" s="53"/>
      <c r="I1946" s="53"/>
      <c r="J1946" s="53"/>
      <c r="K1946" s="53"/>
      <c r="L1946" s="53"/>
      <c r="M1946" s="53"/>
      <c r="N1946" s="53"/>
      <c r="O1946" s="53"/>
      <c r="P1946" s="53"/>
      <c r="Q1946" s="53"/>
      <c r="R1946" s="53"/>
      <c r="S1946" s="53"/>
      <c r="T1946" s="53"/>
      <c r="U1946" s="53"/>
      <c r="V1946" s="53"/>
      <c r="W1946" s="53"/>
      <c r="X1946" s="53"/>
      <c r="Y1946" s="53"/>
      <c r="Z1946" s="53"/>
    </row>
    <row r="1947" spans="1:26" ht="15.75" customHeight="1">
      <c r="A1947" s="103"/>
      <c r="B1947" s="103"/>
      <c r="C1947" s="104" t="e">
        <v>#REF!</v>
      </c>
      <c r="D1947" s="103"/>
      <c r="E1947" s="53"/>
      <c r="F1947" s="53"/>
      <c r="G1947" s="53"/>
      <c r="H1947" s="53"/>
      <c r="I1947" s="53"/>
      <c r="J1947" s="53"/>
      <c r="K1947" s="53"/>
      <c r="L1947" s="53"/>
      <c r="M1947" s="53"/>
      <c r="N1947" s="53"/>
      <c r="O1947" s="53"/>
      <c r="P1947" s="53"/>
      <c r="Q1947" s="53"/>
      <c r="R1947" s="53"/>
      <c r="S1947" s="53"/>
      <c r="T1947" s="53"/>
      <c r="U1947" s="53"/>
      <c r="V1947" s="53"/>
      <c r="W1947" s="53"/>
      <c r="X1947" s="53"/>
      <c r="Y1947" s="53"/>
      <c r="Z1947" s="53"/>
    </row>
    <row r="1948" spans="1:26" ht="15.75" customHeight="1">
      <c r="A1948" s="103"/>
      <c r="B1948" s="103"/>
      <c r="C1948" s="104" t="e">
        <v>#REF!</v>
      </c>
      <c r="D1948" s="103"/>
      <c r="E1948" s="53"/>
      <c r="F1948" s="53"/>
      <c r="G1948" s="53"/>
      <c r="H1948" s="53"/>
      <c r="I1948" s="53"/>
      <c r="J1948" s="53"/>
      <c r="K1948" s="53"/>
      <c r="L1948" s="53"/>
      <c r="M1948" s="53"/>
      <c r="N1948" s="53"/>
      <c r="O1948" s="53"/>
      <c r="P1948" s="53"/>
      <c r="Q1948" s="53"/>
      <c r="R1948" s="53"/>
      <c r="S1948" s="53"/>
      <c r="T1948" s="53"/>
      <c r="U1948" s="53"/>
      <c r="V1948" s="53"/>
      <c r="W1948" s="53"/>
      <c r="X1948" s="53"/>
      <c r="Y1948" s="53"/>
      <c r="Z1948" s="53"/>
    </row>
    <row r="1949" spans="1:26" ht="15.75" customHeight="1">
      <c r="A1949" s="103"/>
      <c r="B1949" s="103"/>
      <c r="C1949" s="104" t="e">
        <v>#REF!</v>
      </c>
      <c r="D1949" s="10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53"/>
      <c r="T1949" s="53"/>
      <c r="U1949" s="53"/>
      <c r="V1949" s="53"/>
      <c r="W1949" s="53"/>
      <c r="X1949" s="53"/>
      <c r="Y1949" s="53"/>
      <c r="Z1949" s="53"/>
    </row>
    <row r="1950" spans="1:26" ht="15.75" customHeight="1">
      <c r="A1950" s="103"/>
      <c r="B1950" s="103"/>
      <c r="C1950" s="104" t="e">
        <v>#REF!</v>
      </c>
      <c r="D1950" s="103"/>
      <c r="E1950" s="53"/>
      <c r="F1950" s="53"/>
      <c r="G1950" s="53"/>
      <c r="H1950" s="53"/>
      <c r="I1950" s="53"/>
      <c r="J1950" s="53"/>
      <c r="K1950" s="53"/>
      <c r="L1950" s="53"/>
      <c r="M1950" s="53"/>
      <c r="N1950" s="53"/>
      <c r="O1950" s="53"/>
      <c r="P1950" s="53"/>
      <c r="Q1950" s="53"/>
      <c r="R1950" s="53"/>
      <c r="S1950" s="53"/>
      <c r="T1950" s="53"/>
      <c r="U1950" s="53"/>
      <c r="V1950" s="53"/>
      <c r="W1950" s="53"/>
      <c r="X1950" s="53"/>
      <c r="Y1950" s="53"/>
      <c r="Z1950" s="53"/>
    </row>
    <row r="1951" spans="1:26" ht="15.75" customHeight="1">
      <c r="A1951" s="103"/>
      <c r="B1951" s="103"/>
      <c r="C1951" s="104" t="e">
        <v>#REF!</v>
      </c>
      <c r="D1951" s="103"/>
      <c r="E1951" s="53"/>
      <c r="F1951" s="53"/>
      <c r="G1951" s="53"/>
      <c r="H1951" s="53"/>
      <c r="I1951" s="53"/>
      <c r="J1951" s="53"/>
      <c r="K1951" s="53"/>
      <c r="L1951" s="53"/>
      <c r="M1951" s="53"/>
      <c r="N1951" s="53"/>
      <c r="O1951" s="53"/>
      <c r="P1951" s="53"/>
      <c r="Q1951" s="53"/>
      <c r="R1951" s="53"/>
      <c r="S1951" s="53"/>
      <c r="T1951" s="53"/>
      <c r="U1951" s="53"/>
      <c r="V1951" s="53"/>
      <c r="W1951" s="53"/>
      <c r="X1951" s="53"/>
      <c r="Y1951" s="53"/>
      <c r="Z1951" s="53"/>
    </row>
    <row r="1952" spans="1:26" ht="15.75" customHeight="1">
      <c r="A1952" s="103"/>
      <c r="B1952" s="103"/>
      <c r="C1952" s="104" t="e">
        <v>#REF!</v>
      </c>
      <c r="D1952" s="103"/>
      <c r="E1952" s="53"/>
      <c r="F1952" s="53"/>
      <c r="G1952" s="53"/>
      <c r="H1952" s="53"/>
      <c r="I1952" s="53"/>
      <c r="J1952" s="53"/>
      <c r="K1952" s="53"/>
      <c r="L1952" s="53"/>
      <c r="M1952" s="53"/>
      <c r="N1952" s="53"/>
      <c r="O1952" s="53"/>
      <c r="P1952" s="53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</row>
    <row r="1953" spans="1:26" ht="15.75" customHeight="1">
      <c r="A1953" s="103"/>
      <c r="B1953" s="103"/>
      <c r="C1953" s="104" t="e">
        <v>#REF!</v>
      </c>
      <c r="D1953" s="103"/>
      <c r="E1953" s="53"/>
      <c r="F1953" s="53"/>
      <c r="G1953" s="53"/>
      <c r="H1953" s="53"/>
      <c r="I1953" s="53"/>
      <c r="J1953" s="53"/>
      <c r="K1953" s="53"/>
      <c r="L1953" s="53"/>
      <c r="M1953" s="53"/>
      <c r="N1953" s="53"/>
      <c r="O1953" s="53"/>
      <c r="P1953" s="53"/>
      <c r="Q1953" s="53"/>
      <c r="R1953" s="53"/>
      <c r="S1953" s="53"/>
      <c r="T1953" s="53"/>
      <c r="U1953" s="53"/>
      <c r="V1953" s="53"/>
      <c r="W1953" s="53"/>
      <c r="X1953" s="53"/>
      <c r="Y1953" s="53"/>
      <c r="Z1953" s="53"/>
    </row>
    <row r="1954" spans="1:26" ht="15.75" customHeight="1">
      <c r="A1954" s="103"/>
      <c r="B1954" s="103"/>
      <c r="C1954" s="104" t="e">
        <v>#REF!</v>
      </c>
      <c r="D1954" s="103"/>
      <c r="E1954" s="53"/>
      <c r="F1954" s="53"/>
      <c r="G1954" s="53"/>
      <c r="H1954" s="53"/>
      <c r="I1954" s="53"/>
      <c r="J1954" s="53"/>
      <c r="K1954" s="53"/>
      <c r="L1954" s="53"/>
      <c r="M1954" s="53"/>
      <c r="N1954" s="53"/>
      <c r="O1954" s="53"/>
      <c r="P1954" s="53"/>
      <c r="Q1954" s="53"/>
      <c r="R1954" s="53"/>
      <c r="S1954" s="53"/>
      <c r="T1954" s="53"/>
      <c r="U1954" s="53"/>
      <c r="V1954" s="53"/>
      <c r="W1954" s="53"/>
      <c r="X1954" s="53"/>
      <c r="Y1954" s="53"/>
      <c r="Z1954" s="53"/>
    </row>
    <row r="1955" spans="1:26" ht="15.75" customHeight="1">
      <c r="A1955" s="103"/>
      <c r="B1955" s="103"/>
      <c r="C1955" s="104" t="e">
        <v>#REF!</v>
      </c>
      <c r="D1955" s="103"/>
      <c r="E1955" s="53"/>
      <c r="F1955" s="53"/>
      <c r="G1955" s="53"/>
      <c r="H1955" s="53"/>
      <c r="I1955" s="53"/>
      <c r="J1955" s="53"/>
      <c r="K1955" s="53"/>
      <c r="L1955" s="53"/>
      <c r="M1955" s="53"/>
      <c r="N1955" s="53"/>
      <c r="O1955" s="53"/>
      <c r="P1955" s="53"/>
      <c r="Q1955" s="53"/>
      <c r="R1955" s="53"/>
      <c r="S1955" s="53"/>
      <c r="T1955" s="53"/>
      <c r="U1955" s="53"/>
      <c r="V1955" s="53"/>
      <c r="W1955" s="53"/>
      <c r="X1955" s="53"/>
      <c r="Y1955" s="53"/>
      <c r="Z1955" s="53"/>
    </row>
    <row r="1956" spans="1:26" ht="15.75" customHeight="1">
      <c r="A1956" s="103"/>
      <c r="B1956" s="103"/>
      <c r="C1956" s="104" t="e">
        <v>#REF!</v>
      </c>
      <c r="D1956" s="103"/>
      <c r="E1956" s="53"/>
      <c r="F1956" s="53"/>
      <c r="G1956" s="53"/>
      <c r="H1956" s="53"/>
      <c r="I1956" s="53"/>
      <c r="J1956" s="53"/>
      <c r="K1956" s="53"/>
      <c r="L1956" s="53"/>
      <c r="M1956" s="53"/>
      <c r="N1956" s="53"/>
      <c r="O1956" s="53"/>
      <c r="P1956" s="53"/>
      <c r="Q1956" s="53"/>
      <c r="R1956" s="53"/>
      <c r="S1956" s="53"/>
      <c r="T1956" s="53"/>
      <c r="U1956" s="53"/>
      <c r="V1956" s="53"/>
      <c r="W1956" s="53"/>
      <c r="X1956" s="53"/>
      <c r="Y1956" s="53"/>
      <c r="Z1956" s="53"/>
    </row>
    <row r="1957" spans="1:26" ht="15.75" customHeight="1">
      <c r="A1957" s="103"/>
      <c r="B1957" s="103"/>
      <c r="C1957" s="104" t="e">
        <v>#REF!</v>
      </c>
      <c r="D1957" s="103"/>
      <c r="E1957" s="53"/>
      <c r="F1957" s="53"/>
      <c r="G1957" s="53"/>
      <c r="H1957" s="53"/>
      <c r="I1957" s="53"/>
      <c r="J1957" s="53"/>
      <c r="K1957" s="53"/>
      <c r="L1957" s="53"/>
      <c r="M1957" s="53"/>
      <c r="N1957" s="53"/>
      <c r="O1957" s="53"/>
      <c r="P1957" s="53"/>
      <c r="Q1957" s="53"/>
      <c r="R1957" s="53"/>
      <c r="S1957" s="53"/>
      <c r="T1957" s="53"/>
      <c r="U1957" s="53"/>
      <c r="V1957" s="53"/>
      <c r="W1957" s="53"/>
      <c r="X1957" s="53"/>
      <c r="Y1957" s="53"/>
      <c r="Z1957" s="53"/>
    </row>
    <row r="1958" spans="1:26" ht="15.75" customHeight="1">
      <c r="A1958" s="103"/>
      <c r="B1958" s="103"/>
      <c r="C1958" s="104" t="e">
        <v>#REF!</v>
      </c>
      <c r="D1958" s="103"/>
      <c r="E1958" s="53"/>
      <c r="F1958" s="53"/>
      <c r="G1958" s="53"/>
      <c r="H1958" s="53"/>
      <c r="I1958" s="53"/>
      <c r="J1958" s="53"/>
      <c r="K1958" s="53"/>
      <c r="L1958" s="53"/>
      <c r="M1958" s="53"/>
      <c r="N1958" s="53"/>
      <c r="O1958" s="53"/>
      <c r="P1958" s="53"/>
      <c r="Q1958" s="53"/>
      <c r="R1958" s="53"/>
      <c r="S1958" s="53"/>
      <c r="T1958" s="53"/>
      <c r="U1958" s="53"/>
      <c r="V1958" s="53"/>
      <c r="W1958" s="53"/>
      <c r="X1958" s="53"/>
      <c r="Y1958" s="53"/>
      <c r="Z1958" s="53"/>
    </row>
    <row r="1959" spans="1:26" ht="15.75" customHeight="1">
      <c r="A1959" s="103"/>
      <c r="B1959" s="103"/>
      <c r="C1959" s="104" t="e">
        <v>#REF!</v>
      </c>
      <c r="D1959" s="103"/>
      <c r="E1959" s="53"/>
      <c r="F1959" s="53"/>
      <c r="G1959" s="53"/>
      <c r="H1959" s="53"/>
      <c r="I1959" s="53"/>
      <c r="J1959" s="53"/>
      <c r="K1959" s="53"/>
      <c r="L1959" s="53"/>
      <c r="M1959" s="53"/>
      <c r="N1959" s="53"/>
      <c r="O1959" s="53"/>
      <c r="P1959" s="53"/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</row>
    <row r="1960" spans="1:26" ht="15.75" customHeight="1">
      <c r="A1960" s="103"/>
      <c r="B1960" s="103"/>
      <c r="C1960" s="104" t="e">
        <v>#REF!</v>
      </c>
      <c r="D1960" s="103"/>
      <c r="E1960" s="53"/>
      <c r="F1960" s="53"/>
      <c r="G1960" s="53"/>
      <c r="H1960" s="53"/>
      <c r="I1960" s="53"/>
      <c r="J1960" s="53"/>
      <c r="K1960" s="53"/>
      <c r="L1960" s="53"/>
      <c r="M1960" s="53"/>
      <c r="N1960" s="53"/>
      <c r="O1960" s="53"/>
      <c r="P1960" s="53"/>
      <c r="Q1960" s="53"/>
      <c r="R1960" s="53"/>
      <c r="S1960" s="53"/>
      <c r="T1960" s="53"/>
      <c r="U1960" s="53"/>
      <c r="V1960" s="53"/>
      <c r="W1960" s="53"/>
      <c r="X1960" s="53"/>
      <c r="Y1960" s="53"/>
      <c r="Z1960" s="53"/>
    </row>
    <row r="1961" spans="1:26" ht="15.75" customHeight="1">
      <c r="A1961" s="103"/>
      <c r="B1961" s="103"/>
      <c r="C1961" s="104" t="e">
        <v>#REF!</v>
      </c>
      <c r="D1961" s="103"/>
      <c r="E1961" s="53"/>
      <c r="F1961" s="53"/>
      <c r="G1961" s="53"/>
      <c r="H1961" s="53"/>
      <c r="I1961" s="53"/>
      <c r="J1961" s="53"/>
      <c r="K1961" s="53"/>
      <c r="L1961" s="53"/>
      <c r="M1961" s="53"/>
      <c r="N1961" s="53"/>
      <c r="O1961" s="53"/>
      <c r="P1961" s="53"/>
      <c r="Q1961" s="53"/>
      <c r="R1961" s="53"/>
      <c r="S1961" s="53"/>
      <c r="T1961" s="53"/>
      <c r="U1961" s="53"/>
      <c r="V1961" s="53"/>
      <c r="W1961" s="53"/>
      <c r="X1961" s="53"/>
      <c r="Y1961" s="53"/>
      <c r="Z1961" s="53"/>
    </row>
    <row r="1962" spans="1:26" ht="15.75" customHeight="1">
      <c r="A1962" s="103"/>
      <c r="B1962" s="103"/>
      <c r="C1962" s="104" t="e">
        <v>#REF!</v>
      </c>
      <c r="D1962" s="103"/>
      <c r="E1962" s="53"/>
      <c r="F1962" s="53"/>
      <c r="G1962" s="53"/>
      <c r="H1962" s="53"/>
      <c r="I1962" s="53"/>
      <c r="J1962" s="53"/>
      <c r="K1962" s="53"/>
      <c r="L1962" s="53"/>
      <c r="M1962" s="53"/>
      <c r="N1962" s="53"/>
      <c r="O1962" s="53"/>
      <c r="P1962" s="53"/>
      <c r="Q1962" s="53"/>
      <c r="R1962" s="53"/>
      <c r="S1962" s="53"/>
      <c r="T1962" s="53"/>
      <c r="U1962" s="53"/>
      <c r="V1962" s="53"/>
      <c r="W1962" s="53"/>
      <c r="X1962" s="53"/>
      <c r="Y1962" s="53"/>
      <c r="Z1962" s="53"/>
    </row>
    <row r="1963" spans="1:26" ht="15.75" customHeight="1">
      <c r="A1963" s="103"/>
      <c r="B1963" s="103"/>
      <c r="C1963" s="104" t="e">
        <v>#REF!</v>
      </c>
      <c r="D1963" s="103"/>
      <c r="E1963" s="53"/>
      <c r="F1963" s="53"/>
      <c r="G1963" s="53"/>
      <c r="H1963" s="53"/>
      <c r="I1963" s="53"/>
      <c r="J1963" s="53"/>
      <c r="K1963" s="53"/>
      <c r="L1963" s="53"/>
      <c r="M1963" s="53"/>
      <c r="N1963" s="53"/>
      <c r="O1963" s="53"/>
      <c r="P1963" s="53"/>
      <c r="Q1963" s="53"/>
      <c r="R1963" s="53"/>
      <c r="S1963" s="53"/>
      <c r="T1963" s="53"/>
      <c r="U1963" s="53"/>
      <c r="V1963" s="53"/>
      <c r="W1963" s="53"/>
      <c r="X1963" s="53"/>
      <c r="Y1963" s="53"/>
      <c r="Z1963" s="53"/>
    </row>
    <row r="1964" spans="1:26" ht="15.75" customHeight="1">
      <c r="A1964" s="103"/>
      <c r="B1964" s="103"/>
      <c r="C1964" s="104" t="e">
        <v>#REF!</v>
      </c>
      <c r="D1964" s="103"/>
      <c r="E1964" s="53"/>
      <c r="F1964" s="53"/>
      <c r="G1964" s="53"/>
      <c r="H1964" s="53"/>
      <c r="I1964" s="53"/>
      <c r="J1964" s="53"/>
      <c r="K1964" s="53"/>
      <c r="L1964" s="53"/>
      <c r="M1964" s="53"/>
      <c r="N1964" s="53"/>
      <c r="O1964" s="53"/>
      <c r="P1964" s="53"/>
      <c r="Q1964" s="53"/>
      <c r="R1964" s="53"/>
      <c r="S1964" s="53"/>
      <c r="T1964" s="53"/>
      <c r="U1964" s="53"/>
      <c r="V1964" s="53"/>
      <c r="W1964" s="53"/>
      <c r="X1964" s="53"/>
      <c r="Y1964" s="53"/>
      <c r="Z1964" s="53"/>
    </row>
    <row r="1965" spans="1:26" ht="15.75" customHeight="1">
      <c r="A1965" s="103"/>
      <c r="B1965" s="103"/>
      <c r="C1965" s="104" t="e">
        <v>#REF!</v>
      </c>
      <c r="D1965" s="103"/>
      <c r="E1965" s="53"/>
      <c r="F1965" s="53"/>
      <c r="G1965" s="53"/>
      <c r="H1965" s="53"/>
      <c r="I1965" s="53"/>
      <c r="J1965" s="53"/>
      <c r="K1965" s="53"/>
      <c r="L1965" s="53"/>
      <c r="M1965" s="53"/>
      <c r="N1965" s="53"/>
      <c r="O1965" s="53"/>
      <c r="P1965" s="53"/>
      <c r="Q1965" s="53"/>
      <c r="R1965" s="53"/>
      <c r="S1965" s="53"/>
      <c r="T1965" s="53"/>
      <c r="U1965" s="53"/>
      <c r="V1965" s="53"/>
      <c r="W1965" s="53"/>
      <c r="X1965" s="53"/>
      <c r="Y1965" s="53"/>
      <c r="Z1965" s="53"/>
    </row>
    <row r="1966" spans="1:26" ht="15.75" customHeight="1">
      <c r="A1966" s="103"/>
      <c r="B1966" s="103"/>
      <c r="C1966" s="104" t="e">
        <v>#REF!</v>
      </c>
      <c r="D1966" s="103"/>
      <c r="E1966" s="53"/>
      <c r="F1966" s="53"/>
      <c r="G1966" s="53"/>
      <c r="H1966" s="53"/>
      <c r="I1966" s="53"/>
      <c r="J1966" s="53"/>
      <c r="K1966" s="53"/>
      <c r="L1966" s="53"/>
      <c r="M1966" s="53"/>
      <c r="N1966" s="53"/>
      <c r="O1966" s="53"/>
      <c r="P1966" s="53"/>
      <c r="Q1966" s="53"/>
      <c r="R1966" s="53"/>
      <c r="S1966" s="53"/>
      <c r="T1966" s="53"/>
      <c r="U1966" s="53"/>
      <c r="V1966" s="53"/>
      <c r="W1966" s="53"/>
      <c r="X1966" s="53"/>
      <c r="Y1966" s="53"/>
      <c r="Z1966" s="53"/>
    </row>
    <row r="1967" spans="1:26" ht="15.75" customHeight="1">
      <c r="A1967" s="103"/>
      <c r="B1967" s="103"/>
      <c r="C1967" s="104" t="e">
        <v>#REF!</v>
      </c>
      <c r="D1967" s="103"/>
      <c r="E1967" s="53"/>
      <c r="F1967" s="53"/>
      <c r="G1967" s="53"/>
      <c r="H1967" s="53"/>
      <c r="I1967" s="53"/>
      <c r="J1967" s="53"/>
      <c r="K1967" s="53"/>
      <c r="L1967" s="53"/>
      <c r="M1967" s="53"/>
      <c r="N1967" s="53"/>
      <c r="O1967" s="53"/>
      <c r="P1967" s="53"/>
      <c r="Q1967" s="53"/>
      <c r="R1967" s="53"/>
      <c r="S1967" s="53"/>
      <c r="T1967" s="53"/>
      <c r="U1967" s="53"/>
      <c r="V1967" s="53"/>
      <c r="W1967" s="53"/>
      <c r="X1967" s="53"/>
      <c r="Y1967" s="53"/>
      <c r="Z1967" s="53"/>
    </row>
    <row r="1968" spans="1:26" ht="15.75" customHeight="1">
      <c r="A1968" s="103"/>
      <c r="B1968" s="103"/>
      <c r="C1968" s="104" t="e">
        <v>#REF!</v>
      </c>
      <c r="D1968" s="103"/>
      <c r="E1968" s="53"/>
      <c r="F1968" s="53"/>
      <c r="G1968" s="53"/>
      <c r="H1968" s="53"/>
      <c r="I1968" s="53"/>
      <c r="J1968" s="53"/>
      <c r="K1968" s="53"/>
      <c r="L1968" s="53"/>
      <c r="M1968" s="53"/>
      <c r="N1968" s="53"/>
      <c r="O1968" s="53"/>
      <c r="P1968" s="53"/>
      <c r="Q1968" s="53"/>
      <c r="R1968" s="53"/>
      <c r="S1968" s="53"/>
      <c r="T1968" s="53"/>
      <c r="U1968" s="53"/>
      <c r="V1968" s="53"/>
      <c r="W1968" s="53"/>
      <c r="X1968" s="53"/>
      <c r="Y1968" s="53"/>
      <c r="Z1968" s="53"/>
    </row>
    <row r="1969" spans="1:26" ht="15.75" customHeight="1">
      <c r="A1969" s="103"/>
      <c r="B1969" s="103"/>
      <c r="C1969" s="104" t="e">
        <v>#REF!</v>
      </c>
      <c r="D1969" s="103"/>
      <c r="E1969" s="53"/>
      <c r="F1969" s="53"/>
      <c r="G1969" s="53"/>
      <c r="H1969" s="53"/>
      <c r="I1969" s="53"/>
      <c r="J1969" s="53"/>
      <c r="K1969" s="53"/>
      <c r="L1969" s="53"/>
      <c r="M1969" s="53"/>
      <c r="N1969" s="53"/>
      <c r="O1969" s="53"/>
      <c r="P1969" s="53"/>
      <c r="Q1969" s="53"/>
      <c r="R1969" s="53"/>
      <c r="S1969" s="53"/>
      <c r="T1969" s="53"/>
      <c r="U1969" s="53"/>
      <c r="V1969" s="53"/>
      <c r="W1969" s="53"/>
      <c r="X1969" s="53"/>
      <c r="Y1969" s="53"/>
      <c r="Z1969" s="53"/>
    </row>
    <row r="1970" spans="1:26" ht="15.75" customHeight="1">
      <c r="A1970" s="103"/>
      <c r="B1970" s="103"/>
      <c r="C1970" s="104" t="e">
        <v>#REF!</v>
      </c>
      <c r="D1970" s="103"/>
      <c r="E1970" s="53"/>
      <c r="F1970" s="53"/>
      <c r="G1970" s="53"/>
      <c r="H1970" s="53"/>
      <c r="I1970" s="53"/>
      <c r="J1970" s="53"/>
      <c r="K1970" s="53"/>
      <c r="L1970" s="53"/>
      <c r="M1970" s="53"/>
      <c r="N1970" s="53"/>
      <c r="O1970" s="53"/>
      <c r="P1970" s="53"/>
      <c r="Q1970" s="53"/>
      <c r="R1970" s="53"/>
      <c r="S1970" s="53"/>
      <c r="T1970" s="53"/>
      <c r="U1970" s="53"/>
      <c r="V1970" s="53"/>
      <c r="W1970" s="53"/>
      <c r="X1970" s="53"/>
      <c r="Y1970" s="53"/>
      <c r="Z1970" s="53"/>
    </row>
    <row r="1971" spans="1:26" ht="15.75" customHeight="1">
      <c r="A1971" s="103"/>
      <c r="B1971" s="103"/>
      <c r="C1971" s="104" t="e">
        <v>#REF!</v>
      </c>
      <c r="D1971" s="103"/>
      <c r="E1971" s="53"/>
      <c r="F1971" s="53"/>
      <c r="G1971" s="53"/>
      <c r="H1971" s="53"/>
      <c r="I1971" s="53"/>
      <c r="J1971" s="53"/>
      <c r="K1971" s="53"/>
      <c r="L1971" s="53"/>
      <c r="M1971" s="53"/>
      <c r="N1971" s="53"/>
      <c r="O1971" s="53"/>
      <c r="P1971" s="53"/>
      <c r="Q1971" s="53"/>
      <c r="R1971" s="53"/>
      <c r="S1971" s="53"/>
      <c r="T1971" s="53"/>
      <c r="U1971" s="53"/>
      <c r="V1971" s="53"/>
      <c r="W1971" s="53"/>
      <c r="X1971" s="53"/>
      <c r="Y1971" s="53"/>
      <c r="Z1971" s="53"/>
    </row>
    <row r="1972" spans="1:26" ht="15.75" customHeight="1">
      <c r="A1972" s="103"/>
      <c r="B1972" s="103"/>
      <c r="C1972" s="104" t="e">
        <v>#REF!</v>
      </c>
      <c r="D1972" s="103"/>
      <c r="E1972" s="53"/>
      <c r="F1972" s="53"/>
      <c r="G1972" s="53"/>
      <c r="H1972" s="53"/>
      <c r="I1972" s="53"/>
      <c r="J1972" s="53"/>
      <c r="K1972" s="53"/>
      <c r="L1972" s="53"/>
      <c r="M1972" s="53"/>
      <c r="N1972" s="53"/>
      <c r="O1972" s="53"/>
      <c r="P1972" s="53"/>
      <c r="Q1972" s="53"/>
      <c r="R1972" s="53"/>
      <c r="S1972" s="53"/>
      <c r="T1972" s="53"/>
      <c r="U1972" s="53"/>
      <c r="V1972" s="53"/>
      <c r="W1972" s="53"/>
      <c r="X1972" s="53"/>
      <c r="Y1972" s="53"/>
      <c r="Z1972" s="53"/>
    </row>
    <row r="1973" spans="1:26" ht="15.75" customHeight="1">
      <c r="A1973" s="103"/>
      <c r="B1973" s="103"/>
      <c r="C1973" s="104" t="e">
        <v>#REF!</v>
      </c>
      <c r="D1973" s="103"/>
      <c r="E1973" s="53"/>
      <c r="F1973" s="53"/>
      <c r="G1973" s="53"/>
      <c r="H1973" s="53"/>
      <c r="I1973" s="53"/>
      <c r="J1973" s="53"/>
      <c r="K1973" s="53"/>
      <c r="L1973" s="53"/>
      <c r="M1973" s="53"/>
      <c r="N1973" s="53"/>
      <c r="O1973" s="53"/>
      <c r="P1973" s="53"/>
      <c r="Q1973" s="53"/>
      <c r="R1973" s="53"/>
      <c r="S1973" s="53"/>
      <c r="T1973" s="53"/>
      <c r="U1973" s="53"/>
      <c r="V1973" s="53"/>
      <c r="W1973" s="53"/>
      <c r="X1973" s="53"/>
      <c r="Y1973" s="53"/>
      <c r="Z1973" s="53"/>
    </row>
    <row r="1974" spans="1:26" ht="15.75" customHeight="1">
      <c r="A1974" s="103"/>
      <c r="B1974" s="103"/>
      <c r="C1974" s="104" t="e">
        <v>#REF!</v>
      </c>
      <c r="D1974" s="103"/>
      <c r="E1974" s="53"/>
      <c r="F1974" s="53"/>
      <c r="G1974" s="53"/>
      <c r="H1974" s="53"/>
      <c r="I1974" s="53"/>
      <c r="J1974" s="53"/>
      <c r="K1974" s="53"/>
      <c r="L1974" s="53"/>
      <c r="M1974" s="53"/>
      <c r="N1974" s="53"/>
      <c r="O1974" s="53"/>
      <c r="P1974" s="53"/>
      <c r="Q1974" s="53"/>
      <c r="R1974" s="53"/>
      <c r="S1974" s="53"/>
      <c r="T1974" s="53"/>
      <c r="U1974" s="53"/>
      <c r="V1974" s="53"/>
      <c r="W1974" s="53"/>
      <c r="X1974" s="53"/>
      <c r="Y1974" s="53"/>
      <c r="Z1974" s="53"/>
    </row>
    <row r="1975" spans="1:26" ht="15.75" customHeight="1">
      <c r="A1975" s="103"/>
      <c r="B1975" s="103"/>
      <c r="C1975" s="104" t="e">
        <v>#REF!</v>
      </c>
      <c r="D1975" s="103"/>
      <c r="E1975" s="53"/>
      <c r="F1975" s="53"/>
      <c r="G1975" s="53"/>
      <c r="H1975" s="53"/>
      <c r="I1975" s="53"/>
      <c r="J1975" s="53"/>
      <c r="K1975" s="53"/>
      <c r="L1975" s="53"/>
      <c r="M1975" s="53"/>
      <c r="N1975" s="53"/>
      <c r="O1975" s="53"/>
      <c r="P1975" s="53"/>
      <c r="Q1975" s="53"/>
      <c r="R1975" s="53"/>
      <c r="S1975" s="53"/>
      <c r="T1975" s="53"/>
      <c r="U1975" s="53"/>
      <c r="V1975" s="53"/>
      <c r="W1975" s="53"/>
      <c r="X1975" s="53"/>
      <c r="Y1975" s="53"/>
      <c r="Z1975" s="53"/>
    </row>
    <row r="1976" spans="1:26" ht="15.75" customHeight="1">
      <c r="A1976" s="103"/>
      <c r="B1976" s="103"/>
      <c r="C1976" s="104" t="e">
        <v>#REF!</v>
      </c>
      <c r="D1976" s="103"/>
      <c r="E1976" s="53"/>
      <c r="F1976" s="53"/>
      <c r="G1976" s="53"/>
      <c r="H1976" s="53"/>
      <c r="I1976" s="53"/>
      <c r="J1976" s="53"/>
      <c r="K1976" s="53"/>
      <c r="L1976" s="53"/>
      <c r="M1976" s="53"/>
      <c r="N1976" s="53"/>
      <c r="O1976" s="53"/>
      <c r="P1976" s="53"/>
      <c r="Q1976" s="53"/>
      <c r="R1976" s="53"/>
      <c r="S1976" s="53"/>
      <c r="T1976" s="53"/>
      <c r="U1976" s="53"/>
      <c r="V1976" s="53"/>
      <c r="W1976" s="53"/>
      <c r="X1976" s="53"/>
      <c r="Y1976" s="53"/>
      <c r="Z1976" s="53"/>
    </row>
    <row r="1977" spans="1:26" ht="15.75" customHeight="1">
      <c r="A1977" s="103"/>
      <c r="B1977" s="103"/>
      <c r="C1977" s="104" t="e">
        <v>#REF!</v>
      </c>
      <c r="D1977" s="103"/>
      <c r="E1977" s="53"/>
      <c r="F1977" s="53"/>
      <c r="G1977" s="53"/>
      <c r="H1977" s="53"/>
      <c r="I1977" s="53"/>
      <c r="J1977" s="53"/>
      <c r="K1977" s="53"/>
      <c r="L1977" s="53"/>
      <c r="M1977" s="53"/>
      <c r="N1977" s="53"/>
      <c r="O1977" s="53"/>
      <c r="P1977" s="53"/>
      <c r="Q1977" s="53"/>
      <c r="R1977" s="53"/>
      <c r="S1977" s="53"/>
      <c r="T1977" s="53"/>
      <c r="U1977" s="53"/>
      <c r="V1977" s="53"/>
      <c r="W1977" s="53"/>
      <c r="X1977" s="53"/>
      <c r="Y1977" s="53"/>
      <c r="Z1977" s="53"/>
    </row>
    <row r="1978" spans="1:26" ht="15.75" customHeight="1">
      <c r="A1978" s="103"/>
      <c r="B1978" s="103"/>
      <c r="C1978" s="104" t="e">
        <v>#REF!</v>
      </c>
      <c r="D1978" s="103"/>
      <c r="E1978" s="53"/>
      <c r="F1978" s="53"/>
      <c r="G1978" s="53"/>
      <c r="H1978" s="53"/>
      <c r="I1978" s="53"/>
      <c r="J1978" s="53"/>
      <c r="K1978" s="53"/>
      <c r="L1978" s="53"/>
      <c r="M1978" s="53"/>
      <c r="N1978" s="53"/>
      <c r="O1978" s="53"/>
      <c r="P1978" s="53"/>
      <c r="Q1978" s="53"/>
      <c r="R1978" s="53"/>
      <c r="S1978" s="53"/>
      <c r="T1978" s="53"/>
      <c r="U1978" s="53"/>
      <c r="V1978" s="53"/>
      <c r="W1978" s="53"/>
      <c r="X1978" s="53"/>
      <c r="Y1978" s="53"/>
      <c r="Z1978" s="53"/>
    </row>
    <row r="1979" spans="1:26" ht="15.75" customHeight="1">
      <c r="A1979" s="103"/>
      <c r="B1979" s="103"/>
      <c r="C1979" s="104" t="e">
        <v>#REF!</v>
      </c>
      <c r="D1979" s="103"/>
      <c r="E1979" s="53"/>
      <c r="F1979" s="53"/>
      <c r="G1979" s="53"/>
      <c r="H1979" s="53"/>
      <c r="I1979" s="53"/>
      <c r="J1979" s="53"/>
      <c r="K1979" s="53"/>
      <c r="L1979" s="53"/>
      <c r="M1979" s="53"/>
      <c r="N1979" s="53"/>
      <c r="O1979" s="53"/>
      <c r="P1979" s="53"/>
      <c r="Q1979" s="53"/>
      <c r="R1979" s="53"/>
      <c r="S1979" s="53"/>
      <c r="T1979" s="53"/>
      <c r="U1979" s="53"/>
      <c r="V1979" s="53"/>
      <c r="W1979" s="53"/>
      <c r="X1979" s="53"/>
      <c r="Y1979" s="53"/>
      <c r="Z1979" s="53"/>
    </row>
    <row r="1980" spans="1:26" ht="15.75" customHeight="1">
      <c r="A1980" s="103"/>
      <c r="B1980" s="103"/>
      <c r="C1980" s="104" t="e">
        <v>#REF!</v>
      </c>
      <c r="D1980" s="103"/>
      <c r="E1980" s="53"/>
      <c r="F1980" s="53"/>
      <c r="G1980" s="53"/>
      <c r="H1980" s="53"/>
      <c r="I1980" s="53"/>
      <c r="J1980" s="53"/>
      <c r="K1980" s="53"/>
      <c r="L1980" s="53"/>
      <c r="M1980" s="53"/>
      <c r="N1980" s="53"/>
      <c r="O1980" s="53"/>
      <c r="P1980" s="53"/>
      <c r="Q1980" s="53"/>
      <c r="R1980" s="53"/>
      <c r="S1980" s="53"/>
      <c r="T1980" s="53"/>
      <c r="U1980" s="53"/>
      <c r="V1980" s="53"/>
      <c r="W1980" s="53"/>
      <c r="X1980" s="53"/>
      <c r="Y1980" s="53"/>
      <c r="Z1980" s="53"/>
    </row>
    <row r="1981" spans="1:26" ht="15.75" customHeight="1">
      <c r="A1981" s="103"/>
      <c r="B1981" s="103"/>
      <c r="C1981" s="104" t="e">
        <v>#REF!</v>
      </c>
      <c r="D1981" s="103"/>
      <c r="E1981" s="53"/>
      <c r="F1981" s="53"/>
      <c r="G1981" s="53"/>
      <c r="H1981" s="53"/>
      <c r="I1981" s="53"/>
      <c r="J1981" s="53"/>
      <c r="K1981" s="53"/>
      <c r="L1981" s="53"/>
      <c r="M1981" s="53"/>
      <c r="N1981" s="53"/>
      <c r="O1981" s="53"/>
      <c r="P1981" s="53"/>
      <c r="Q1981" s="53"/>
      <c r="R1981" s="53"/>
      <c r="S1981" s="53"/>
      <c r="T1981" s="53"/>
      <c r="U1981" s="53"/>
      <c r="V1981" s="53"/>
      <c r="W1981" s="53"/>
      <c r="X1981" s="53"/>
      <c r="Y1981" s="53"/>
      <c r="Z1981" s="53"/>
    </row>
    <row r="1982" spans="1:26" ht="15.75" customHeight="1">
      <c r="A1982" s="103"/>
      <c r="B1982" s="103"/>
      <c r="C1982" s="104" t="e">
        <v>#REF!</v>
      </c>
      <c r="D1982" s="103"/>
      <c r="E1982" s="53"/>
      <c r="F1982" s="53"/>
      <c r="G1982" s="53"/>
      <c r="H1982" s="53"/>
      <c r="I1982" s="53"/>
      <c r="J1982" s="53"/>
      <c r="K1982" s="53"/>
      <c r="L1982" s="53"/>
      <c r="M1982" s="53"/>
      <c r="N1982" s="53"/>
      <c r="O1982" s="53"/>
      <c r="P1982" s="53"/>
      <c r="Q1982" s="53"/>
      <c r="R1982" s="53"/>
      <c r="S1982" s="53"/>
      <c r="T1982" s="53"/>
      <c r="U1982" s="53"/>
      <c r="V1982" s="53"/>
      <c r="W1982" s="53"/>
      <c r="X1982" s="53"/>
      <c r="Y1982" s="53"/>
      <c r="Z1982" s="53"/>
    </row>
    <row r="1983" spans="1:26" ht="15.75" customHeight="1">
      <c r="A1983" s="103"/>
      <c r="B1983" s="103"/>
      <c r="C1983" s="104" t="e">
        <v>#REF!</v>
      </c>
      <c r="D1983" s="103"/>
      <c r="E1983" s="53"/>
      <c r="F1983" s="53"/>
      <c r="G1983" s="53"/>
      <c r="H1983" s="53"/>
      <c r="I1983" s="53"/>
      <c r="J1983" s="53"/>
      <c r="K1983" s="53"/>
      <c r="L1983" s="53"/>
      <c r="M1983" s="53"/>
      <c r="N1983" s="53"/>
      <c r="O1983" s="53"/>
      <c r="P1983" s="53"/>
      <c r="Q1983" s="53"/>
      <c r="R1983" s="53"/>
      <c r="S1983" s="53"/>
      <c r="T1983" s="53"/>
      <c r="U1983" s="53"/>
      <c r="V1983" s="53"/>
      <c r="W1983" s="53"/>
      <c r="X1983" s="53"/>
      <c r="Y1983" s="53"/>
      <c r="Z1983" s="53"/>
    </row>
    <row r="1984" spans="1:26" ht="15.75" customHeight="1">
      <c r="A1984" s="103"/>
      <c r="B1984" s="103"/>
      <c r="C1984" s="104" t="e">
        <v>#REF!</v>
      </c>
      <c r="D1984" s="103"/>
      <c r="E1984" s="53"/>
      <c r="F1984" s="53"/>
      <c r="G1984" s="53"/>
      <c r="H1984" s="53"/>
      <c r="I1984" s="53"/>
      <c r="J1984" s="53"/>
      <c r="K1984" s="53"/>
      <c r="L1984" s="53"/>
      <c r="M1984" s="53"/>
      <c r="N1984" s="53"/>
      <c r="O1984" s="53"/>
      <c r="P1984" s="53"/>
      <c r="Q1984" s="53"/>
      <c r="R1984" s="53"/>
      <c r="S1984" s="53"/>
      <c r="T1984" s="53"/>
      <c r="U1984" s="53"/>
      <c r="V1984" s="53"/>
      <c r="W1984" s="53"/>
      <c r="X1984" s="53"/>
      <c r="Y1984" s="53"/>
      <c r="Z1984" s="53"/>
    </row>
    <row r="1985" spans="1:26" ht="15.75" customHeight="1">
      <c r="A1985" s="103"/>
      <c r="B1985" s="103"/>
      <c r="C1985" s="104" t="e">
        <v>#REF!</v>
      </c>
      <c r="D1985" s="103"/>
      <c r="E1985" s="53"/>
      <c r="F1985" s="53"/>
      <c r="G1985" s="53"/>
      <c r="H1985" s="53"/>
      <c r="I1985" s="53"/>
      <c r="J1985" s="53"/>
      <c r="K1985" s="53"/>
      <c r="L1985" s="53"/>
      <c r="M1985" s="53"/>
      <c r="N1985" s="53"/>
      <c r="O1985" s="53"/>
      <c r="P1985" s="53"/>
      <c r="Q1985" s="53"/>
      <c r="R1985" s="53"/>
      <c r="S1985" s="53"/>
      <c r="T1985" s="53"/>
      <c r="U1985" s="53"/>
      <c r="V1985" s="53"/>
      <c r="W1985" s="53"/>
      <c r="X1985" s="53"/>
      <c r="Y1985" s="53"/>
      <c r="Z1985" s="53"/>
    </row>
    <row r="1986" spans="1:26" ht="15.75" customHeight="1">
      <c r="A1986" s="103"/>
      <c r="B1986" s="103"/>
      <c r="C1986" s="104" t="e">
        <v>#REF!</v>
      </c>
      <c r="D1986" s="103"/>
      <c r="E1986" s="53"/>
      <c r="F1986" s="53"/>
      <c r="G1986" s="53"/>
      <c r="H1986" s="53"/>
      <c r="I1986" s="53"/>
      <c r="J1986" s="53"/>
      <c r="K1986" s="53"/>
      <c r="L1986" s="53"/>
      <c r="M1986" s="53"/>
      <c r="N1986" s="53"/>
      <c r="O1986" s="53"/>
      <c r="P1986" s="53"/>
      <c r="Q1986" s="53"/>
      <c r="R1986" s="53"/>
      <c r="S1986" s="53"/>
      <c r="T1986" s="53"/>
      <c r="U1986" s="53"/>
      <c r="V1986" s="53"/>
      <c r="W1986" s="53"/>
      <c r="X1986" s="53"/>
      <c r="Y1986" s="53"/>
      <c r="Z1986" s="53"/>
    </row>
    <row r="1987" spans="1:26" ht="15.75" customHeight="1">
      <c r="A1987" s="103"/>
      <c r="B1987" s="103"/>
      <c r="C1987" s="104" t="e">
        <v>#REF!</v>
      </c>
      <c r="D1987" s="103"/>
      <c r="E1987" s="53"/>
      <c r="F1987" s="53"/>
      <c r="G1987" s="53"/>
      <c r="H1987" s="53"/>
      <c r="I1987" s="53"/>
      <c r="J1987" s="53"/>
      <c r="K1987" s="53"/>
      <c r="L1987" s="53"/>
      <c r="M1987" s="53"/>
      <c r="N1987" s="53"/>
      <c r="O1987" s="53"/>
      <c r="P1987" s="53"/>
      <c r="Q1987" s="53"/>
      <c r="R1987" s="53"/>
      <c r="S1987" s="53"/>
      <c r="T1987" s="53"/>
      <c r="U1987" s="53"/>
      <c r="V1987" s="53"/>
      <c r="W1987" s="53"/>
      <c r="X1987" s="53"/>
      <c r="Y1987" s="53"/>
      <c r="Z1987" s="53"/>
    </row>
    <row r="1988" spans="1:26" ht="15.75" customHeight="1">
      <c r="A1988" s="103"/>
      <c r="B1988" s="103"/>
      <c r="C1988" s="104" t="e">
        <v>#REF!</v>
      </c>
      <c r="D1988" s="103"/>
      <c r="E1988" s="53"/>
      <c r="F1988" s="53"/>
      <c r="G1988" s="53"/>
      <c r="H1988" s="53"/>
      <c r="I1988" s="53"/>
      <c r="J1988" s="53"/>
      <c r="K1988" s="53"/>
      <c r="L1988" s="53"/>
      <c r="M1988" s="53"/>
      <c r="N1988" s="53"/>
      <c r="O1988" s="53"/>
      <c r="P1988" s="53"/>
      <c r="Q1988" s="53"/>
      <c r="R1988" s="53"/>
      <c r="S1988" s="53"/>
      <c r="T1988" s="53"/>
      <c r="U1988" s="53"/>
      <c r="V1988" s="53"/>
      <c r="W1988" s="53"/>
      <c r="X1988" s="53"/>
      <c r="Y1988" s="53"/>
      <c r="Z1988" s="53"/>
    </row>
    <row r="1989" spans="1:26" ht="15.75" customHeight="1">
      <c r="A1989" s="103"/>
      <c r="B1989" s="103"/>
      <c r="C1989" s="104" t="e">
        <v>#REF!</v>
      </c>
      <c r="D1989" s="103"/>
      <c r="E1989" s="53"/>
      <c r="F1989" s="53"/>
      <c r="G1989" s="53"/>
      <c r="H1989" s="53"/>
      <c r="I1989" s="53"/>
      <c r="J1989" s="53"/>
      <c r="K1989" s="53"/>
      <c r="L1989" s="53"/>
      <c r="M1989" s="53"/>
      <c r="N1989" s="53"/>
      <c r="O1989" s="53"/>
      <c r="P1989" s="53"/>
      <c r="Q1989" s="53"/>
      <c r="R1989" s="53"/>
      <c r="S1989" s="53"/>
      <c r="T1989" s="53"/>
      <c r="U1989" s="53"/>
      <c r="V1989" s="53"/>
      <c r="W1989" s="53"/>
      <c r="X1989" s="53"/>
      <c r="Y1989" s="53"/>
      <c r="Z1989" s="53"/>
    </row>
    <row r="1990" spans="1:26" ht="15.75" customHeight="1">
      <c r="A1990" s="103"/>
      <c r="B1990" s="103"/>
      <c r="C1990" s="104" t="e">
        <v>#REF!</v>
      </c>
      <c r="D1990" s="103"/>
      <c r="E1990" s="53"/>
      <c r="F1990" s="53"/>
      <c r="G1990" s="53"/>
      <c r="H1990" s="53"/>
      <c r="I1990" s="53"/>
      <c r="J1990" s="53"/>
      <c r="K1990" s="53"/>
      <c r="L1990" s="53"/>
      <c r="M1990" s="53"/>
      <c r="N1990" s="53"/>
      <c r="O1990" s="53"/>
      <c r="P1990" s="53"/>
      <c r="Q1990" s="53"/>
      <c r="R1990" s="53"/>
      <c r="S1990" s="53"/>
      <c r="T1990" s="53"/>
      <c r="U1990" s="53"/>
      <c r="V1990" s="53"/>
      <c r="W1990" s="53"/>
      <c r="X1990" s="53"/>
      <c r="Y1990" s="53"/>
      <c r="Z1990" s="53"/>
    </row>
    <row r="1991" spans="1:26" ht="15.75" customHeight="1">
      <c r="A1991" s="103"/>
      <c r="B1991" s="103"/>
      <c r="C1991" s="104" t="e">
        <v>#REF!</v>
      </c>
      <c r="D1991" s="103"/>
      <c r="E1991" s="53"/>
      <c r="F1991" s="53"/>
      <c r="G1991" s="53"/>
      <c r="H1991" s="53"/>
      <c r="I1991" s="53"/>
      <c r="J1991" s="53"/>
      <c r="K1991" s="53"/>
      <c r="L1991" s="53"/>
      <c r="M1991" s="53"/>
      <c r="N1991" s="53"/>
      <c r="O1991" s="53"/>
      <c r="P1991" s="53"/>
      <c r="Q1991" s="53"/>
      <c r="R1991" s="53"/>
      <c r="S1991" s="53"/>
      <c r="T1991" s="53"/>
      <c r="U1991" s="53"/>
      <c r="V1991" s="53"/>
      <c r="W1991" s="53"/>
      <c r="X1991" s="53"/>
      <c r="Y1991" s="53"/>
      <c r="Z1991" s="53"/>
    </row>
    <row r="1992" spans="1:26" ht="15.75" customHeight="1">
      <c r="A1992" s="103"/>
      <c r="B1992" s="103"/>
      <c r="C1992" s="104" t="e">
        <v>#REF!</v>
      </c>
      <c r="D1992" s="103"/>
      <c r="E1992" s="53"/>
      <c r="F1992" s="53"/>
      <c r="G1992" s="53"/>
      <c r="H1992" s="53"/>
      <c r="I1992" s="53"/>
      <c r="J1992" s="53"/>
      <c r="K1992" s="53"/>
      <c r="L1992" s="53"/>
      <c r="M1992" s="53"/>
      <c r="N1992" s="53"/>
      <c r="O1992" s="53"/>
      <c r="P1992" s="53"/>
      <c r="Q1992" s="53"/>
      <c r="R1992" s="53"/>
      <c r="S1992" s="53"/>
      <c r="T1992" s="53"/>
      <c r="U1992" s="53"/>
      <c r="V1992" s="53"/>
      <c r="W1992" s="53"/>
      <c r="X1992" s="53"/>
      <c r="Y1992" s="53"/>
      <c r="Z1992" s="53"/>
    </row>
    <row r="1993" spans="1:26" ht="15.75" customHeight="1">
      <c r="A1993" s="103"/>
      <c r="B1993" s="103"/>
      <c r="C1993" s="104" t="e">
        <v>#REF!</v>
      </c>
      <c r="D1993" s="103"/>
      <c r="E1993" s="53"/>
      <c r="F1993" s="53"/>
      <c r="G1993" s="53"/>
      <c r="H1993" s="53"/>
      <c r="I1993" s="53"/>
      <c r="J1993" s="53"/>
      <c r="K1993" s="53"/>
      <c r="L1993" s="53"/>
      <c r="M1993" s="53"/>
      <c r="N1993" s="53"/>
      <c r="O1993" s="53"/>
      <c r="P1993" s="53"/>
      <c r="Q1993" s="53"/>
      <c r="R1993" s="53"/>
      <c r="S1993" s="53"/>
      <c r="T1993" s="53"/>
      <c r="U1993" s="53"/>
      <c r="V1993" s="53"/>
      <c r="W1993" s="53"/>
      <c r="X1993" s="53"/>
      <c r="Y1993" s="53"/>
      <c r="Z1993" s="53"/>
    </row>
    <row r="1994" spans="1:26" ht="15.75" customHeight="1">
      <c r="A1994" s="103"/>
      <c r="B1994" s="103"/>
      <c r="C1994" s="104" t="e">
        <v>#REF!</v>
      </c>
      <c r="D1994" s="103"/>
      <c r="E1994" s="53"/>
      <c r="F1994" s="53"/>
      <c r="G1994" s="53"/>
      <c r="H1994" s="53"/>
      <c r="I1994" s="53"/>
      <c r="J1994" s="53"/>
      <c r="K1994" s="53"/>
      <c r="L1994" s="53"/>
      <c r="M1994" s="53"/>
      <c r="N1994" s="53"/>
      <c r="O1994" s="53"/>
      <c r="P1994" s="53"/>
      <c r="Q1994" s="53"/>
      <c r="R1994" s="53"/>
      <c r="S1994" s="53"/>
      <c r="T1994" s="53"/>
      <c r="U1994" s="53"/>
      <c r="V1994" s="53"/>
      <c r="W1994" s="53"/>
      <c r="X1994" s="53"/>
      <c r="Y1994" s="53"/>
      <c r="Z1994" s="53"/>
    </row>
    <row r="1995" spans="1:26" ht="15.75" customHeight="1">
      <c r="A1995" s="103"/>
      <c r="B1995" s="103"/>
      <c r="C1995" s="104" t="e">
        <v>#REF!</v>
      </c>
      <c r="D1995" s="103"/>
      <c r="E1995" s="53"/>
      <c r="F1995" s="53"/>
      <c r="G1995" s="53"/>
      <c r="H1995" s="53"/>
      <c r="I1995" s="53"/>
      <c r="J1995" s="53"/>
      <c r="K1995" s="53"/>
      <c r="L1995" s="53"/>
      <c r="M1995" s="53"/>
      <c r="N1995" s="53"/>
      <c r="O1995" s="53"/>
      <c r="P1995" s="53"/>
      <c r="Q1995" s="53"/>
      <c r="R1995" s="53"/>
      <c r="S1995" s="53"/>
      <c r="T1995" s="53"/>
      <c r="U1995" s="53"/>
      <c r="V1995" s="53"/>
      <c r="W1995" s="53"/>
      <c r="X1995" s="53"/>
      <c r="Y1995" s="53"/>
      <c r="Z1995" s="53"/>
    </row>
    <row r="1996" spans="1:26" ht="15.75" customHeight="1">
      <c r="A1996" s="103"/>
      <c r="B1996" s="103"/>
      <c r="C1996" s="104" t="e">
        <v>#REF!</v>
      </c>
      <c r="D1996" s="103"/>
      <c r="E1996" s="53"/>
      <c r="F1996" s="53"/>
      <c r="G1996" s="53"/>
      <c r="H1996" s="53"/>
      <c r="I1996" s="53"/>
      <c r="J1996" s="53"/>
      <c r="K1996" s="53"/>
      <c r="L1996" s="53"/>
      <c r="M1996" s="53"/>
      <c r="N1996" s="53"/>
      <c r="O1996" s="53"/>
      <c r="P1996" s="53"/>
      <c r="Q1996" s="53"/>
      <c r="R1996" s="53"/>
      <c r="S1996" s="53"/>
      <c r="T1996" s="53"/>
      <c r="U1996" s="53"/>
      <c r="V1996" s="53"/>
      <c r="W1996" s="53"/>
      <c r="X1996" s="53"/>
      <c r="Y1996" s="53"/>
      <c r="Z1996" s="53"/>
    </row>
    <row r="1997" spans="1:26" ht="15.75" customHeight="1">
      <c r="A1997" s="103"/>
      <c r="B1997" s="103"/>
      <c r="C1997" s="104" t="e">
        <v>#REF!</v>
      </c>
      <c r="D1997" s="10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</row>
    <row r="1998" spans="1:26" ht="15.75" customHeight="1">
      <c r="A1998" s="103"/>
      <c r="B1998" s="103"/>
      <c r="C1998" s="104" t="e">
        <v>#REF!</v>
      </c>
      <c r="D1998" s="103"/>
      <c r="E1998" s="53"/>
      <c r="F1998" s="53"/>
      <c r="G1998" s="53"/>
      <c r="H1998" s="53"/>
      <c r="I1998" s="53"/>
      <c r="J1998" s="53"/>
      <c r="K1998" s="53"/>
      <c r="L1998" s="53"/>
      <c r="M1998" s="53"/>
      <c r="N1998" s="53"/>
      <c r="O1998" s="53"/>
      <c r="P1998" s="53"/>
      <c r="Q1998" s="53"/>
      <c r="R1998" s="53"/>
      <c r="S1998" s="53"/>
      <c r="T1998" s="53"/>
      <c r="U1998" s="53"/>
      <c r="V1998" s="53"/>
      <c r="W1998" s="53"/>
      <c r="X1998" s="53"/>
      <c r="Y1998" s="53"/>
      <c r="Z1998" s="53"/>
    </row>
    <row r="1999" spans="1:26" ht="15.75" customHeight="1">
      <c r="A1999" s="103"/>
      <c r="B1999" s="103"/>
      <c r="C1999" s="104" t="e">
        <v>#REF!</v>
      </c>
      <c r="D1999" s="103"/>
      <c r="E1999" s="53"/>
      <c r="F1999" s="53"/>
      <c r="G1999" s="53"/>
      <c r="H1999" s="53"/>
      <c r="I1999" s="53"/>
      <c r="J1999" s="53"/>
      <c r="K1999" s="53"/>
      <c r="L1999" s="53"/>
      <c r="M1999" s="53"/>
      <c r="N1999" s="53"/>
      <c r="O1999" s="53"/>
      <c r="P1999" s="53"/>
      <c r="Q1999" s="53"/>
      <c r="R1999" s="53"/>
      <c r="S1999" s="53"/>
      <c r="T1999" s="53"/>
      <c r="U1999" s="53"/>
      <c r="V1999" s="53"/>
      <c r="W1999" s="53"/>
      <c r="X1999" s="53"/>
      <c r="Y1999" s="53"/>
      <c r="Z1999" s="53"/>
    </row>
    <row r="2000" spans="1:26" ht="15.75" customHeight="1">
      <c r="A2000" s="103"/>
      <c r="B2000" s="103"/>
      <c r="C2000" s="104" t="e">
        <v>#REF!</v>
      </c>
      <c r="D2000" s="103"/>
      <c r="E2000" s="53"/>
      <c r="F2000" s="53"/>
      <c r="G2000" s="53"/>
      <c r="H2000" s="53"/>
      <c r="I2000" s="53"/>
      <c r="J2000" s="53"/>
      <c r="K2000" s="53"/>
      <c r="L2000" s="53"/>
      <c r="M2000" s="53"/>
      <c r="N2000" s="53"/>
      <c r="O2000" s="53"/>
      <c r="P2000" s="53"/>
      <c r="Q2000" s="53"/>
      <c r="R2000" s="53"/>
      <c r="S2000" s="53"/>
      <c r="T2000" s="53"/>
      <c r="U2000" s="53"/>
      <c r="V2000" s="53"/>
      <c r="W2000" s="53"/>
      <c r="X2000" s="53"/>
      <c r="Y2000" s="53"/>
      <c r="Z2000" s="53"/>
    </row>
    <row r="2001" spans="1:26" ht="15.75" customHeight="1">
      <c r="A2001" s="103"/>
      <c r="B2001" s="103"/>
      <c r="C2001" s="104" t="e">
        <v>#REF!</v>
      </c>
      <c r="D2001" s="103"/>
      <c r="E2001" s="53"/>
      <c r="F2001" s="53"/>
      <c r="G2001" s="53"/>
      <c r="H2001" s="53"/>
      <c r="I2001" s="53"/>
      <c r="J2001" s="53"/>
      <c r="K2001" s="53"/>
      <c r="L2001" s="53"/>
      <c r="M2001" s="53"/>
      <c r="N2001" s="53"/>
      <c r="O2001" s="53"/>
      <c r="P2001" s="53"/>
      <c r="Q2001" s="53"/>
      <c r="R2001" s="53"/>
      <c r="S2001" s="53"/>
      <c r="T2001" s="53"/>
      <c r="U2001" s="53"/>
      <c r="V2001" s="53"/>
      <c r="W2001" s="53"/>
      <c r="X2001" s="53"/>
      <c r="Y2001" s="53"/>
      <c r="Z2001" s="53"/>
    </row>
    <row r="2002" spans="1:26" ht="15.75" customHeight="1">
      <c r="A2002" s="103"/>
      <c r="B2002" s="103"/>
      <c r="C2002" s="104" t="e">
        <v>#REF!</v>
      </c>
      <c r="D2002" s="10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53"/>
      <c r="T2002" s="53"/>
      <c r="U2002" s="53"/>
      <c r="V2002" s="53"/>
      <c r="W2002" s="53"/>
      <c r="X2002" s="53"/>
      <c r="Y2002" s="53"/>
      <c r="Z2002" s="53"/>
    </row>
    <row r="2003" spans="1:26" ht="15.75" customHeight="1">
      <c r="A2003" s="103"/>
      <c r="B2003" s="103"/>
      <c r="C2003" s="104" t="e">
        <v>#REF!</v>
      </c>
      <c r="D2003" s="103"/>
      <c r="E2003" s="53"/>
      <c r="F2003" s="53"/>
      <c r="G2003" s="53"/>
      <c r="H2003" s="53"/>
      <c r="I2003" s="53"/>
      <c r="J2003" s="53"/>
      <c r="K2003" s="53"/>
      <c r="L2003" s="53"/>
      <c r="M2003" s="53"/>
      <c r="N2003" s="53"/>
      <c r="O2003" s="53"/>
      <c r="P2003" s="53"/>
      <c r="Q2003" s="53"/>
      <c r="R2003" s="53"/>
      <c r="S2003" s="53"/>
      <c r="T2003" s="53"/>
      <c r="U2003" s="53"/>
      <c r="V2003" s="53"/>
      <c r="W2003" s="53"/>
      <c r="X2003" s="53"/>
      <c r="Y2003" s="53"/>
      <c r="Z2003" s="53"/>
    </row>
    <row r="2004" spans="1:26" ht="15.75" customHeight="1">
      <c r="A2004" s="103"/>
      <c r="B2004" s="103"/>
      <c r="C2004" s="104" t="e">
        <v>#REF!</v>
      </c>
      <c r="D2004" s="103"/>
      <c r="E2004" s="53"/>
      <c r="F2004" s="53"/>
      <c r="G2004" s="53"/>
      <c r="H2004" s="53"/>
      <c r="I2004" s="53"/>
      <c r="J2004" s="53"/>
      <c r="K2004" s="53"/>
      <c r="L2004" s="53"/>
      <c r="M2004" s="53"/>
      <c r="N2004" s="53"/>
      <c r="O2004" s="53"/>
      <c r="P2004" s="53"/>
      <c r="Q2004" s="53"/>
      <c r="R2004" s="53"/>
      <c r="S2004" s="53"/>
      <c r="T2004" s="53"/>
      <c r="U2004" s="53"/>
      <c r="V2004" s="53"/>
      <c r="W2004" s="53"/>
      <c r="X2004" s="53"/>
      <c r="Y2004" s="53"/>
      <c r="Z2004" s="53"/>
    </row>
    <row r="2005" spans="1:26" ht="15.75" customHeight="1">
      <c r="A2005" s="103"/>
      <c r="B2005" s="103"/>
      <c r="C2005" s="104" t="e">
        <v>#REF!</v>
      </c>
      <c r="D2005" s="103"/>
      <c r="E2005" s="53"/>
      <c r="F2005" s="53"/>
      <c r="G2005" s="53"/>
      <c r="H2005" s="53"/>
      <c r="I2005" s="53"/>
      <c r="J2005" s="53"/>
      <c r="K2005" s="53"/>
      <c r="L2005" s="53"/>
      <c r="M2005" s="53"/>
      <c r="N2005" s="53"/>
      <c r="O2005" s="53"/>
      <c r="P2005" s="53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</row>
    <row r="2006" spans="1:26" ht="15.75" customHeight="1">
      <c r="A2006" s="103"/>
      <c r="B2006" s="103"/>
      <c r="C2006" s="104" t="e">
        <v>#REF!</v>
      </c>
      <c r="D2006" s="103"/>
      <c r="E2006" s="53"/>
      <c r="F2006" s="53"/>
      <c r="G2006" s="53"/>
      <c r="H2006" s="53"/>
      <c r="I2006" s="53"/>
      <c r="J2006" s="53"/>
      <c r="K2006" s="53"/>
      <c r="L2006" s="53"/>
      <c r="M2006" s="53"/>
      <c r="N2006" s="53"/>
      <c r="O2006" s="53"/>
      <c r="P2006" s="53"/>
      <c r="Q2006" s="53"/>
      <c r="R2006" s="53"/>
      <c r="S2006" s="53"/>
      <c r="T2006" s="53"/>
      <c r="U2006" s="53"/>
      <c r="V2006" s="53"/>
      <c r="W2006" s="53"/>
      <c r="X2006" s="53"/>
      <c r="Y2006" s="53"/>
      <c r="Z2006" s="53"/>
    </row>
    <row r="2007" spans="1:26" ht="15.75" customHeight="1">
      <c r="A2007" s="103"/>
      <c r="B2007" s="103"/>
      <c r="C2007" s="104" t="e">
        <v>#REF!</v>
      </c>
      <c r="D2007" s="103"/>
      <c r="E2007" s="53"/>
      <c r="F2007" s="53"/>
      <c r="G2007" s="53"/>
      <c r="H2007" s="53"/>
      <c r="I2007" s="53"/>
      <c r="J2007" s="53"/>
      <c r="K2007" s="53"/>
      <c r="L2007" s="53"/>
      <c r="M2007" s="53"/>
      <c r="N2007" s="53"/>
      <c r="O2007" s="53"/>
      <c r="P2007" s="53"/>
      <c r="Q2007" s="53"/>
      <c r="R2007" s="53"/>
      <c r="S2007" s="53"/>
      <c r="T2007" s="53"/>
      <c r="U2007" s="53"/>
      <c r="V2007" s="53"/>
      <c r="W2007" s="53"/>
      <c r="X2007" s="53"/>
      <c r="Y2007" s="53"/>
      <c r="Z2007" s="53"/>
    </row>
    <row r="2008" spans="1:26" ht="15.75" customHeight="1">
      <c r="A2008" s="103"/>
      <c r="B2008" s="103"/>
      <c r="C2008" s="104" t="e">
        <v>#REF!</v>
      </c>
      <c r="D2008" s="103"/>
      <c r="E2008" s="53"/>
      <c r="F2008" s="53"/>
      <c r="G2008" s="53"/>
      <c r="H2008" s="53"/>
      <c r="I2008" s="53"/>
      <c r="J2008" s="53"/>
      <c r="K2008" s="53"/>
      <c r="L2008" s="53"/>
      <c r="M2008" s="53"/>
      <c r="N2008" s="53"/>
      <c r="O2008" s="53"/>
      <c r="P2008" s="53"/>
      <c r="Q2008" s="53"/>
      <c r="R2008" s="53"/>
      <c r="S2008" s="53"/>
      <c r="T2008" s="53"/>
      <c r="U2008" s="53"/>
      <c r="V2008" s="53"/>
      <c r="W2008" s="53"/>
      <c r="X2008" s="53"/>
      <c r="Y2008" s="53"/>
      <c r="Z2008" s="53"/>
    </row>
    <row r="2009" spans="1:26" ht="15.75" customHeight="1">
      <c r="A2009" s="103"/>
      <c r="B2009" s="103"/>
      <c r="C2009" s="104" t="e">
        <v>#REF!</v>
      </c>
      <c r="D2009" s="103"/>
      <c r="E2009" s="53"/>
      <c r="F2009" s="53"/>
      <c r="G2009" s="53"/>
      <c r="H2009" s="53"/>
      <c r="I2009" s="53"/>
      <c r="J2009" s="53"/>
      <c r="K2009" s="53"/>
      <c r="L2009" s="53"/>
      <c r="M2009" s="53"/>
      <c r="N2009" s="53"/>
      <c r="O2009" s="53"/>
      <c r="P2009" s="53"/>
      <c r="Q2009" s="53"/>
      <c r="R2009" s="53"/>
      <c r="S2009" s="53"/>
      <c r="T2009" s="53"/>
      <c r="U2009" s="53"/>
      <c r="V2009" s="53"/>
      <c r="W2009" s="53"/>
      <c r="X2009" s="53"/>
      <c r="Y2009" s="53"/>
      <c r="Z2009" s="53"/>
    </row>
    <row r="2010" spans="1:26" ht="15.75" customHeight="1">
      <c r="A2010" s="103"/>
      <c r="B2010" s="103"/>
      <c r="C2010" s="104" t="e">
        <v>#REF!</v>
      </c>
      <c r="D2010" s="103"/>
      <c r="E2010" s="53"/>
      <c r="F2010" s="53"/>
      <c r="G2010" s="53"/>
      <c r="H2010" s="53"/>
      <c r="I2010" s="53"/>
      <c r="J2010" s="53"/>
      <c r="K2010" s="53"/>
      <c r="L2010" s="53"/>
      <c r="M2010" s="53"/>
      <c r="N2010" s="53"/>
      <c r="O2010" s="53"/>
      <c r="P2010" s="53"/>
      <c r="Q2010" s="53"/>
      <c r="R2010" s="53"/>
      <c r="S2010" s="53"/>
      <c r="T2010" s="53"/>
      <c r="U2010" s="53"/>
      <c r="V2010" s="53"/>
      <c r="W2010" s="53"/>
      <c r="X2010" s="53"/>
      <c r="Y2010" s="53"/>
      <c r="Z2010" s="53"/>
    </row>
    <row r="2011" spans="1:26" ht="15.75" customHeight="1">
      <c r="A2011" s="103"/>
      <c r="B2011" s="103"/>
      <c r="C2011" s="104" t="e">
        <v>#REF!</v>
      </c>
      <c r="D2011" s="103"/>
      <c r="E2011" s="53"/>
      <c r="F2011" s="53"/>
      <c r="G2011" s="53"/>
      <c r="H2011" s="53"/>
      <c r="I2011" s="53"/>
      <c r="J2011" s="53"/>
      <c r="K2011" s="53"/>
      <c r="L2011" s="53"/>
      <c r="M2011" s="53"/>
      <c r="N2011" s="53"/>
      <c r="O2011" s="53"/>
      <c r="P2011" s="53"/>
      <c r="Q2011" s="53"/>
      <c r="R2011" s="53"/>
      <c r="S2011" s="53"/>
      <c r="T2011" s="53"/>
      <c r="U2011" s="53"/>
      <c r="V2011" s="53"/>
      <c r="W2011" s="53"/>
      <c r="X2011" s="53"/>
      <c r="Y2011" s="53"/>
      <c r="Z2011" s="53"/>
    </row>
    <row r="2012" spans="1:26" ht="15.75" customHeight="1">
      <c r="A2012" s="103"/>
      <c r="B2012" s="103"/>
      <c r="C2012" s="104" t="e">
        <v>#REF!</v>
      </c>
      <c r="D2012" s="103"/>
      <c r="E2012" s="53"/>
      <c r="F2012" s="53"/>
      <c r="G2012" s="53"/>
      <c r="H2012" s="53"/>
      <c r="I2012" s="53"/>
      <c r="J2012" s="53"/>
      <c r="K2012" s="53"/>
      <c r="L2012" s="53"/>
      <c r="M2012" s="53"/>
      <c r="N2012" s="53"/>
      <c r="O2012" s="53"/>
      <c r="P2012" s="53"/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</row>
    <row r="2013" spans="1:26" ht="15.75" customHeight="1">
      <c r="A2013" s="103"/>
      <c r="B2013" s="103"/>
      <c r="C2013" s="104" t="e">
        <v>#REF!</v>
      </c>
      <c r="D2013" s="103"/>
      <c r="E2013" s="53"/>
      <c r="F2013" s="53"/>
      <c r="G2013" s="53"/>
      <c r="H2013" s="53"/>
      <c r="I2013" s="53"/>
      <c r="J2013" s="53"/>
      <c r="K2013" s="53"/>
      <c r="L2013" s="53"/>
      <c r="M2013" s="53"/>
      <c r="N2013" s="53"/>
      <c r="O2013" s="53"/>
      <c r="P2013" s="53"/>
      <c r="Q2013" s="53"/>
      <c r="R2013" s="53"/>
      <c r="S2013" s="53"/>
      <c r="T2013" s="53"/>
      <c r="U2013" s="53"/>
      <c r="V2013" s="53"/>
      <c r="W2013" s="53"/>
      <c r="X2013" s="53"/>
      <c r="Y2013" s="53"/>
      <c r="Z2013" s="53"/>
    </row>
    <row r="2014" spans="1:26" ht="15.75" customHeight="1">
      <c r="A2014" s="103"/>
      <c r="B2014" s="103"/>
      <c r="C2014" s="104" t="e">
        <v>#REF!</v>
      </c>
      <c r="D2014" s="103"/>
      <c r="E2014" s="53"/>
      <c r="F2014" s="53"/>
      <c r="G2014" s="53"/>
      <c r="H2014" s="53"/>
      <c r="I2014" s="53"/>
      <c r="J2014" s="53"/>
      <c r="K2014" s="53"/>
      <c r="L2014" s="53"/>
      <c r="M2014" s="53"/>
      <c r="N2014" s="53"/>
      <c r="O2014" s="53"/>
      <c r="P2014" s="53"/>
      <c r="Q2014" s="53"/>
      <c r="R2014" s="53"/>
      <c r="S2014" s="53"/>
      <c r="T2014" s="53"/>
      <c r="U2014" s="53"/>
      <c r="V2014" s="53"/>
      <c r="W2014" s="53"/>
      <c r="X2014" s="53"/>
      <c r="Y2014" s="53"/>
      <c r="Z2014" s="53"/>
    </row>
    <row r="2015" spans="1:26" ht="15.75" customHeight="1">
      <c r="A2015" s="103"/>
      <c r="B2015" s="103"/>
      <c r="C2015" s="104" t="e">
        <v>#REF!</v>
      </c>
      <c r="D2015" s="103"/>
      <c r="E2015" s="53"/>
      <c r="F2015" s="53"/>
      <c r="G2015" s="53"/>
      <c r="H2015" s="53"/>
      <c r="I2015" s="53"/>
      <c r="J2015" s="53"/>
      <c r="K2015" s="53"/>
      <c r="L2015" s="53"/>
      <c r="M2015" s="53"/>
      <c r="N2015" s="53"/>
      <c r="O2015" s="53"/>
      <c r="P2015" s="53"/>
      <c r="Q2015" s="53"/>
      <c r="R2015" s="53"/>
      <c r="S2015" s="53"/>
      <c r="T2015" s="53"/>
      <c r="U2015" s="53"/>
      <c r="V2015" s="53"/>
      <c r="W2015" s="53"/>
      <c r="X2015" s="53"/>
      <c r="Y2015" s="53"/>
      <c r="Z2015" s="53"/>
    </row>
    <row r="2016" spans="1:26" ht="15.75" customHeight="1">
      <c r="A2016" s="103"/>
      <c r="B2016" s="103"/>
      <c r="C2016" s="104" t="e">
        <v>#REF!</v>
      </c>
      <c r="D2016" s="103"/>
      <c r="E2016" s="53"/>
      <c r="F2016" s="53"/>
      <c r="G2016" s="53"/>
      <c r="H2016" s="53"/>
      <c r="I2016" s="53"/>
      <c r="J2016" s="53"/>
      <c r="K2016" s="53"/>
      <c r="L2016" s="53"/>
      <c r="M2016" s="53"/>
      <c r="N2016" s="53"/>
      <c r="O2016" s="53"/>
      <c r="P2016" s="53"/>
      <c r="Q2016" s="53"/>
      <c r="R2016" s="53"/>
      <c r="S2016" s="53"/>
      <c r="T2016" s="53"/>
      <c r="U2016" s="53"/>
      <c r="V2016" s="53"/>
      <c r="W2016" s="53"/>
      <c r="X2016" s="53"/>
      <c r="Y2016" s="53"/>
      <c r="Z2016" s="53"/>
    </row>
    <row r="2017" spans="1:26" ht="15.75" customHeight="1">
      <c r="A2017" s="103"/>
      <c r="B2017" s="103"/>
      <c r="C2017" s="104" t="e">
        <v>#REF!</v>
      </c>
      <c r="D2017" s="103"/>
      <c r="E2017" s="53"/>
      <c r="F2017" s="53"/>
      <c r="G2017" s="53"/>
      <c r="H2017" s="53"/>
      <c r="I2017" s="53"/>
      <c r="J2017" s="53"/>
      <c r="K2017" s="53"/>
      <c r="L2017" s="53"/>
      <c r="M2017" s="53"/>
      <c r="N2017" s="53"/>
      <c r="O2017" s="53"/>
      <c r="P2017" s="53"/>
      <c r="Q2017" s="53"/>
      <c r="R2017" s="53"/>
      <c r="S2017" s="53"/>
      <c r="T2017" s="53"/>
      <c r="U2017" s="53"/>
      <c r="V2017" s="53"/>
      <c r="W2017" s="53"/>
      <c r="X2017" s="53"/>
      <c r="Y2017" s="53"/>
      <c r="Z2017" s="53"/>
    </row>
    <row r="2018" spans="1:26" ht="15.75" customHeight="1">
      <c r="A2018" s="103"/>
      <c r="B2018" s="103"/>
      <c r="C2018" s="104" t="e">
        <v>#REF!</v>
      </c>
      <c r="D2018" s="103"/>
      <c r="E2018" s="53"/>
      <c r="F2018" s="53"/>
      <c r="G2018" s="53"/>
      <c r="H2018" s="53"/>
      <c r="I2018" s="53"/>
      <c r="J2018" s="53"/>
      <c r="K2018" s="53"/>
      <c r="L2018" s="53"/>
      <c r="M2018" s="53"/>
      <c r="N2018" s="53"/>
      <c r="O2018" s="53"/>
      <c r="P2018" s="53"/>
      <c r="Q2018" s="53"/>
      <c r="R2018" s="53"/>
      <c r="S2018" s="53"/>
      <c r="T2018" s="53"/>
      <c r="U2018" s="53"/>
      <c r="V2018" s="53"/>
      <c r="W2018" s="53"/>
      <c r="X2018" s="53"/>
      <c r="Y2018" s="53"/>
      <c r="Z2018" s="53"/>
    </row>
    <row r="2019" spans="1:26" ht="15.75" customHeight="1">
      <c r="A2019" s="103"/>
      <c r="B2019" s="103"/>
      <c r="C2019" s="104" t="e">
        <v>#REF!</v>
      </c>
      <c r="D2019" s="103"/>
      <c r="E2019" s="53"/>
      <c r="F2019" s="53"/>
      <c r="G2019" s="53"/>
      <c r="H2019" s="53"/>
      <c r="I2019" s="53"/>
      <c r="J2019" s="53"/>
      <c r="K2019" s="53"/>
      <c r="L2019" s="53"/>
      <c r="M2019" s="53"/>
      <c r="N2019" s="53"/>
      <c r="O2019" s="53"/>
      <c r="P2019" s="53"/>
      <c r="Q2019" s="53"/>
      <c r="R2019" s="53"/>
      <c r="S2019" s="53"/>
      <c r="T2019" s="53"/>
      <c r="U2019" s="53"/>
      <c r="V2019" s="53"/>
      <c r="W2019" s="53"/>
      <c r="X2019" s="53"/>
      <c r="Y2019" s="53"/>
      <c r="Z2019" s="53"/>
    </row>
    <row r="2020" spans="1:26" ht="15.75" customHeight="1">
      <c r="A2020" s="103"/>
      <c r="B2020" s="103"/>
      <c r="C2020" s="104" t="e">
        <v>#REF!</v>
      </c>
      <c r="D2020" s="103"/>
      <c r="E2020" s="53"/>
      <c r="F2020" s="53"/>
      <c r="G2020" s="53"/>
      <c r="H2020" s="53"/>
      <c r="I2020" s="53"/>
      <c r="J2020" s="53"/>
      <c r="K2020" s="53"/>
      <c r="L2020" s="53"/>
      <c r="M2020" s="53"/>
      <c r="N2020" s="53"/>
      <c r="O2020" s="53"/>
      <c r="P2020" s="53"/>
      <c r="Q2020" s="53"/>
      <c r="R2020" s="53"/>
      <c r="S2020" s="53"/>
      <c r="T2020" s="53"/>
      <c r="U2020" s="53"/>
      <c r="V2020" s="53"/>
      <c r="W2020" s="53"/>
      <c r="X2020" s="53"/>
      <c r="Y2020" s="53"/>
      <c r="Z2020" s="53"/>
    </row>
    <row r="2021" spans="1:26" ht="15.75" customHeight="1">
      <c r="A2021" s="103"/>
      <c r="B2021" s="103"/>
      <c r="C2021" s="104" t="e">
        <v>#REF!</v>
      </c>
      <c r="D2021" s="103"/>
      <c r="E2021" s="53"/>
      <c r="F2021" s="53"/>
      <c r="G2021" s="53"/>
      <c r="H2021" s="53"/>
      <c r="I2021" s="53"/>
      <c r="J2021" s="53"/>
      <c r="K2021" s="53"/>
      <c r="L2021" s="53"/>
      <c r="M2021" s="53"/>
      <c r="N2021" s="53"/>
      <c r="O2021" s="53"/>
      <c r="P2021" s="53"/>
      <c r="Q2021" s="53"/>
      <c r="R2021" s="53"/>
      <c r="S2021" s="53"/>
      <c r="T2021" s="53"/>
      <c r="U2021" s="53"/>
      <c r="V2021" s="53"/>
      <c r="W2021" s="53"/>
      <c r="X2021" s="53"/>
      <c r="Y2021" s="53"/>
      <c r="Z2021" s="53"/>
    </row>
    <row r="2022" spans="1:26" ht="15.75" customHeight="1">
      <c r="A2022" s="103"/>
      <c r="B2022" s="103"/>
      <c r="C2022" s="104" t="e">
        <v>#REF!</v>
      </c>
      <c r="D2022" s="103"/>
      <c r="E2022" s="53"/>
      <c r="F2022" s="53"/>
      <c r="G2022" s="53"/>
      <c r="H2022" s="53"/>
      <c r="I2022" s="53"/>
      <c r="J2022" s="53"/>
      <c r="K2022" s="53"/>
      <c r="L2022" s="53"/>
      <c r="M2022" s="53"/>
      <c r="N2022" s="53"/>
      <c r="O2022" s="53"/>
      <c r="P2022" s="53"/>
      <c r="Q2022" s="53"/>
      <c r="R2022" s="53"/>
      <c r="S2022" s="53"/>
      <c r="T2022" s="53"/>
      <c r="U2022" s="53"/>
      <c r="V2022" s="53"/>
      <c r="W2022" s="53"/>
      <c r="X2022" s="53"/>
      <c r="Y2022" s="53"/>
      <c r="Z2022" s="53"/>
    </row>
    <row r="2023" spans="1:26" ht="15.75" customHeight="1">
      <c r="A2023" s="103"/>
      <c r="B2023" s="103"/>
      <c r="C2023" s="104" t="e">
        <v>#REF!</v>
      </c>
      <c r="D2023" s="103"/>
      <c r="E2023" s="53"/>
      <c r="F2023" s="53"/>
      <c r="G2023" s="53"/>
      <c r="H2023" s="53"/>
      <c r="I2023" s="53"/>
      <c r="J2023" s="53"/>
      <c r="K2023" s="53"/>
      <c r="L2023" s="53"/>
      <c r="M2023" s="53"/>
      <c r="N2023" s="53"/>
      <c r="O2023" s="53"/>
      <c r="P2023" s="53"/>
      <c r="Q2023" s="53"/>
      <c r="R2023" s="53"/>
      <c r="S2023" s="53"/>
      <c r="T2023" s="53"/>
      <c r="U2023" s="53"/>
      <c r="V2023" s="53"/>
      <c r="W2023" s="53"/>
      <c r="X2023" s="53"/>
      <c r="Y2023" s="53"/>
      <c r="Z2023" s="53"/>
    </row>
    <row r="2024" spans="1:26" ht="15.75" customHeight="1">
      <c r="A2024" s="103"/>
      <c r="B2024" s="103"/>
      <c r="C2024" s="104" t="e">
        <v>#REF!</v>
      </c>
      <c r="D2024" s="103"/>
      <c r="E2024" s="53"/>
      <c r="F2024" s="53"/>
      <c r="G2024" s="53"/>
      <c r="H2024" s="53"/>
      <c r="I2024" s="53"/>
      <c r="J2024" s="53"/>
      <c r="K2024" s="53"/>
      <c r="L2024" s="53"/>
      <c r="M2024" s="53"/>
      <c r="N2024" s="53"/>
      <c r="O2024" s="53"/>
      <c r="P2024" s="53"/>
      <c r="Q2024" s="53"/>
      <c r="R2024" s="53"/>
      <c r="S2024" s="53"/>
      <c r="T2024" s="53"/>
      <c r="U2024" s="53"/>
      <c r="V2024" s="53"/>
      <c r="W2024" s="53"/>
      <c r="X2024" s="53"/>
      <c r="Y2024" s="53"/>
      <c r="Z2024" s="53"/>
    </row>
    <row r="2025" spans="1:26" ht="15.75" customHeight="1">
      <c r="A2025" s="103"/>
      <c r="B2025" s="103"/>
      <c r="C2025" s="104" t="e">
        <v>#REF!</v>
      </c>
      <c r="D2025" s="103"/>
      <c r="E2025" s="53"/>
      <c r="F2025" s="53"/>
      <c r="G2025" s="53"/>
      <c r="H2025" s="53"/>
      <c r="I2025" s="53"/>
      <c r="J2025" s="53"/>
      <c r="K2025" s="53"/>
      <c r="L2025" s="53"/>
      <c r="M2025" s="53"/>
      <c r="N2025" s="53"/>
      <c r="O2025" s="53"/>
      <c r="P2025" s="53"/>
      <c r="Q2025" s="53"/>
      <c r="R2025" s="53"/>
      <c r="S2025" s="53"/>
      <c r="T2025" s="53"/>
      <c r="U2025" s="53"/>
      <c r="V2025" s="53"/>
      <c r="W2025" s="53"/>
      <c r="X2025" s="53"/>
      <c r="Y2025" s="53"/>
      <c r="Z2025" s="53"/>
    </row>
    <row r="2026" spans="1:26" ht="15.75" customHeight="1">
      <c r="A2026" s="103"/>
      <c r="B2026" s="103"/>
      <c r="C2026" s="104" t="e">
        <v>#REF!</v>
      </c>
      <c r="D2026" s="103"/>
      <c r="E2026" s="53"/>
      <c r="F2026" s="53"/>
      <c r="G2026" s="53"/>
      <c r="H2026" s="53"/>
      <c r="I2026" s="53"/>
      <c r="J2026" s="53"/>
      <c r="K2026" s="53"/>
      <c r="L2026" s="53"/>
      <c r="M2026" s="53"/>
      <c r="N2026" s="53"/>
      <c r="O2026" s="53"/>
      <c r="P2026" s="53"/>
      <c r="Q2026" s="53"/>
      <c r="R2026" s="53"/>
      <c r="S2026" s="53"/>
      <c r="T2026" s="53"/>
      <c r="U2026" s="53"/>
      <c r="V2026" s="53"/>
      <c r="W2026" s="53"/>
      <c r="X2026" s="53"/>
      <c r="Y2026" s="53"/>
      <c r="Z2026" s="53"/>
    </row>
    <row r="2027" spans="1:26" ht="15.75" customHeight="1">
      <c r="A2027" s="103"/>
      <c r="B2027" s="103"/>
      <c r="C2027" s="104" t="e">
        <v>#REF!</v>
      </c>
      <c r="D2027" s="103"/>
      <c r="E2027" s="53"/>
      <c r="F2027" s="53"/>
      <c r="G2027" s="53"/>
      <c r="H2027" s="53"/>
      <c r="I2027" s="53"/>
      <c r="J2027" s="53"/>
      <c r="K2027" s="53"/>
      <c r="L2027" s="53"/>
      <c r="M2027" s="53"/>
      <c r="N2027" s="53"/>
      <c r="O2027" s="53"/>
      <c r="P2027" s="53"/>
      <c r="Q2027" s="53"/>
      <c r="R2027" s="53"/>
      <c r="S2027" s="53"/>
      <c r="T2027" s="53"/>
      <c r="U2027" s="53"/>
      <c r="V2027" s="53"/>
      <c r="W2027" s="53"/>
      <c r="X2027" s="53"/>
      <c r="Y2027" s="53"/>
      <c r="Z2027" s="53"/>
    </row>
    <row r="2028" spans="1:26" ht="15.75" customHeight="1">
      <c r="A2028" s="103"/>
      <c r="B2028" s="103"/>
      <c r="C2028" s="104" t="e">
        <v>#REF!</v>
      </c>
      <c r="D2028" s="103"/>
      <c r="E2028" s="53"/>
      <c r="F2028" s="53"/>
      <c r="G2028" s="53"/>
      <c r="H2028" s="53"/>
      <c r="I2028" s="53"/>
      <c r="J2028" s="53"/>
      <c r="K2028" s="53"/>
      <c r="L2028" s="53"/>
      <c r="M2028" s="53"/>
      <c r="N2028" s="53"/>
      <c r="O2028" s="53"/>
      <c r="P2028" s="53"/>
      <c r="Q2028" s="53"/>
      <c r="R2028" s="53"/>
      <c r="S2028" s="53"/>
      <c r="T2028" s="53"/>
      <c r="U2028" s="53"/>
      <c r="V2028" s="53"/>
      <c r="W2028" s="53"/>
      <c r="X2028" s="53"/>
      <c r="Y2028" s="53"/>
      <c r="Z2028" s="53"/>
    </row>
    <row r="2029" spans="1:26" ht="15.75" customHeight="1">
      <c r="A2029" s="103"/>
      <c r="B2029" s="103"/>
      <c r="C2029" s="104" t="e">
        <v>#REF!</v>
      </c>
      <c r="D2029" s="103"/>
      <c r="E2029" s="53"/>
      <c r="F2029" s="53"/>
      <c r="G2029" s="53"/>
      <c r="H2029" s="53"/>
      <c r="I2029" s="53"/>
      <c r="J2029" s="53"/>
      <c r="K2029" s="53"/>
      <c r="L2029" s="53"/>
      <c r="M2029" s="53"/>
      <c r="N2029" s="53"/>
      <c r="O2029" s="53"/>
      <c r="P2029" s="53"/>
      <c r="Q2029" s="53"/>
      <c r="R2029" s="53"/>
      <c r="S2029" s="53"/>
      <c r="T2029" s="53"/>
      <c r="U2029" s="53"/>
      <c r="V2029" s="53"/>
      <c r="W2029" s="53"/>
      <c r="X2029" s="53"/>
      <c r="Y2029" s="53"/>
      <c r="Z2029" s="53"/>
    </row>
    <row r="2030" spans="1:26" ht="15.75" customHeight="1">
      <c r="A2030" s="103"/>
      <c r="B2030" s="103"/>
      <c r="C2030" s="104" t="e">
        <v>#REF!</v>
      </c>
      <c r="D2030" s="103"/>
      <c r="E2030" s="53"/>
      <c r="F2030" s="53"/>
      <c r="G2030" s="53"/>
      <c r="H2030" s="53"/>
      <c r="I2030" s="53"/>
      <c r="J2030" s="53"/>
      <c r="K2030" s="53"/>
      <c r="L2030" s="53"/>
      <c r="M2030" s="53"/>
      <c r="N2030" s="53"/>
      <c r="O2030" s="53"/>
      <c r="P2030" s="53"/>
      <c r="Q2030" s="53"/>
      <c r="R2030" s="53"/>
      <c r="S2030" s="53"/>
      <c r="T2030" s="53"/>
      <c r="U2030" s="53"/>
      <c r="V2030" s="53"/>
      <c r="W2030" s="53"/>
      <c r="X2030" s="53"/>
      <c r="Y2030" s="53"/>
      <c r="Z2030" s="53"/>
    </row>
    <row r="2031" spans="1:26" ht="15.75" customHeight="1">
      <c r="A2031" s="103"/>
      <c r="B2031" s="103"/>
      <c r="C2031" s="104" t="e">
        <v>#REF!</v>
      </c>
      <c r="D2031" s="103"/>
      <c r="E2031" s="53"/>
      <c r="F2031" s="53"/>
      <c r="G2031" s="53"/>
      <c r="H2031" s="53"/>
      <c r="I2031" s="53"/>
      <c r="J2031" s="53"/>
      <c r="K2031" s="53"/>
      <c r="L2031" s="53"/>
      <c r="M2031" s="53"/>
      <c r="N2031" s="53"/>
      <c r="O2031" s="53"/>
      <c r="P2031" s="53"/>
      <c r="Q2031" s="53"/>
      <c r="R2031" s="53"/>
      <c r="S2031" s="53"/>
      <c r="T2031" s="53"/>
      <c r="U2031" s="53"/>
      <c r="V2031" s="53"/>
      <c r="W2031" s="53"/>
      <c r="X2031" s="53"/>
      <c r="Y2031" s="53"/>
      <c r="Z2031" s="53"/>
    </row>
    <row r="2032" spans="1:26" ht="15.75" customHeight="1">
      <c r="A2032" s="103"/>
      <c r="B2032" s="103"/>
      <c r="C2032" s="104" t="e">
        <v>#REF!</v>
      </c>
      <c r="D2032" s="103"/>
      <c r="E2032" s="53"/>
      <c r="F2032" s="53"/>
      <c r="G2032" s="53"/>
      <c r="H2032" s="53"/>
      <c r="I2032" s="53"/>
      <c r="J2032" s="53"/>
      <c r="K2032" s="53"/>
      <c r="L2032" s="53"/>
      <c r="M2032" s="53"/>
      <c r="N2032" s="53"/>
      <c r="O2032" s="53"/>
      <c r="P2032" s="53"/>
      <c r="Q2032" s="53"/>
      <c r="R2032" s="53"/>
      <c r="S2032" s="53"/>
      <c r="T2032" s="53"/>
      <c r="U2032" s="53"/>
      <c r="V2032" s="53"/>
      <c r="W2032" s="53"/>
      <c r="X2032" s="53"/>
      <c r="Y2032" s="53"/>
      <c r="Z2032" s="53"/>
    </row>
    <row r="2033" spans="1:26" ht="15.75" customHeight="1">
      <c r="A2033" s="103"/>
      <c r="B2033" s="103"/>
      <c r="C2033" s="104" t="e">
        <v>#REF!</v>
      </c>
      <c r="D2033" s="103"/>
      <c r="E2033" s="53"/>
      <c r="F2033" s="53"/>
      <c r="G2033" s="53"/>
      <c r="H2033" s="53"/>
      <c r="I2033" s="53"/>
      <c r="J2033" s="53"/>
      <c r="K2033" s="53"/>
      <c r="L2033" s="53"/>
      <c r="M2033" s="53"/>
      <c r="N2033" s="53"/>
      <c r="O2033" s="53"/>
      <c r="P2033" s="53"/>
      <c r="Q2033" s="53"/>
      <c r="R2033" s="53"/>
      <c r="S2033" s="53"/>
      <c r="T2033" s="53"/>
      <c r="U2033" s="53"/>
      <c r="V2033" s="53"/>
      <c r="W2033" s="53"/>
      <c r="X2033" s="53"/>
      <c r="Y2033" s="53"/>
      <c r="Z2033" s="53"/>
    </row>
    <row r="2034" spans="1:26" ht="15.75" customHeight="1">
      <c r="A2034" s="103"/>
      <c r="B2034" s="103"/>
      <c r="C2034" s="104" t="e">
        <v>#REF!</v>
      </c>
      <c r="D2034" s="103"/>
      <c r="E2034" s="53"/>
      <c r="F2034" s="53"/>
      <c r="G2034" s="53"/>
      <c r="H2034" s="53"/>
      <c r="I2034" s="53"/>
      <c r="J2034" s="53"/>
      <c r="K2034" s="53"/>
      <c r="L2034" s="53"/>
      <c r="M2034" s="53"/>
      <c r="N2034" s="53"/>
      <c r="O2034" s="53"/>
      <c r="P2034" s="53"/>
      <c r="Q2034" s="53"/>
      <c r="R2034" s="53"/>
      <c r="S2034" s="53"/>
      <c r="T2034" s="53"/>
      <c r="U2034" s="53"/>
      <c r="V2034" s="53"/>
      <c r="W2034" s="53"/>
      <c r="X2034" s="53"/>
      <c r="Y2034" s="53"/>
      <c r="Z2034" s="53"/>
    </row>
    <row r="2035" spans="1:26" ht="15.75" customHeight="1">
      <c r="A2035" s="103"/>
      <c r="B2035" s="103"/>
      <c r="C2035" s="104" t="e">
        <v>#REF!</v>
      </c>
      <c r="D2035" s="103"/>
      <c r="E2035" s="53"/>
      <c r="F2035" s="53"/>
      <c r="G2035" s="53"/>
      <c r="H2035" s="53"/>
      <c r="I2035" s="53"/>
      <c r="J2035" s="53"/>
      <c r="K2035" s="53"/>
      <c r="L2035" s="53"/>
      <c r="M2035" s="53"/>
      <c r="N2035" s="53"/>
      <c r="O2035" s="53"/>
      <c r="P2035" s="53"/>
      <c r="Q2035" s="53"/>
      <c r="R2035" s="53"/>
      <c r="S2035" s="53"/>
      <c r="T2035" s="53"/>
      <c r="U2035" s="53"/>
      <c r="V2035" s="53"/>
      <c r="W2035" s="53"/>
      <c r="X2035" s="53"/>
      <c r="Y2035" s="53"/>
      <c r="Z2035" s="53"/>
    </row>
    <row r="2036" spans="1:26" ht="15.75" customHeight="1">
      <c r="A2036" s="103"/>
      <c r="B2036" s="103"/>
      <c r="C2036" s="104" t="e">
        <v>#REF!</v>
      </c>
      <c r="D2036" s="103"/>
      <c r="E2036" s="53"/>
      <c r="F2036" s="53"/>
      <c r="G2036" s="53"/>
      <c r="H2036" s="53"/>
      <c r="I2036" s="53"/>
      <c r="J2036" s="53"/>
      <c r="K2036" s="53"/>
      <c r="L2036" s="53"/>
      <c r="M2036" s="53"/>
      <c r="N2036" s="53"/>
      <c r="O2036" s="53"/>
      <c r="P2036" s="53"/>
      <c r="Q2036" s="53"/>
      <c r="R2036" s="53"/>
      <c r="S2036" s="53"/>
      <c r="T2036" s="53"/>
      <c r="U2036" s="53"/>
      <c r="V2036" s="53"/>
      <c r="W2036" s="53"/>
      <c r="X2036" s="53"/>
      <c r="Y2036" s="53"/>
      <c r="Z2036" s="53"/>
    </row>
    <row r="2037" spans="1:26" ht="15.75" customHeight="1">
      <c r="A2037" s="103"/>
      <c r="B2037" s="103"/>
      <c r="C2037" s="104" t="e">
        <v>#REF!</v>
      </c>
      <c r="D2037" s="103"/>
      <c r="E2037" s="53"/>
      <c r="F2037" s="53"/>
      <c r="G2037" s="53"/>
      <c r="H2037" s="53"/>
      <c r="I2037" s="53"/>
      <c r="J2037" s="53"/>
      <c r="K2037" s="53"/>
      <c r="L2037" s="53"/>
      <c r="M2037" s="53"/>
      <c r="N2037" s="53"/>
      <c r="O2037" s="53"/>
      <c r="P2037" s="53"/>
      <c r="Q2037" s="53"/>
      <c r="R2037" s="53"/>
      <c r="S2037" s="53"/>
      <c r="T2037" s="53"/>
      <c r="U2037" s="53"/>
      <c r="V2037" s="53"/>
      <c r="W2037" s="53"/>
      <c r="X2037" s="53"/>
      <c r="Y2037" s="53"/>
      <c r="Z2037" s="53"/>
    </row>
    <row r="2038" spans="1:26" ht="15.75" customHeight="1">
      <c r="A2038" s="103"/>
      <c r="B2038" s="103"/>
      <c r="C2038" s="104" t="e">
        <v>#REF!</v>
      </c>
      <c r="D2038" s="103"/>
      <c r="E2038" s="53"/>
      <c r="F2038" s="53"/>
      <c r="G2038" s="53"/>
      <c r="H2038" s="53"/>
      <c r="I2038" s="53"/>
      <c r="J2038" s="53"/>
      <c r="K2038" s="53"/>
      <c r="L2038" s="53"/>
      <c r="M2038" s="53"/>
      <c r="N2038" s="53"/>
      <c r="O2038" s="53"/>
      <c r="P2038" s="53"/>
      <c r="Q2038" s="53"/>
      <c r="R2038" s="53"/>
      <c r="S2038" s="53"/>
      <c r="T2038" s="53"/>
      <c r="U2038" s="53"/>
      <c r="V2038" s="53"/>
      <c r="W2038" s="53"/>
      <c r="X2038" s="53"/>
      <c r="Y2038" s="53"/>
      <c r="Z2038" s="53"/>
    </row>
    <row r="2039" spans="1:26" ht="15.75" customHeight="1">
      <c r="A2039" s="103"/>
      <c r="B2039" s="103"/>
      <c r="C2039" s="104" t="e">
        <v>#REF!</v>
      </c>
      <c r="D2039" s="103"/>
      <c r="E2039" s="53"/>
      <c r="F2039" s="53"/>
      <c r="G2039" s="53"/>
      <c r="H2039" s="53"/>
      <c r="I2039" s="53"/>
      <c r="J2039" s="53"/>
      <c r="K2039" s="53"/>
      <c r="L2039" s="53"/>
      <c r="M2039" s="53"/>
      <c r="N2039" s="53"/>
      <c r="O2039" s="53"/>
      <c r="P2039" s="53"/>
      <c r="Q2039" s="53"/>
      <c r="R2039" s="53"/>
      <c r="S2039" s="53"/>
      <c r="T2039" s="53"/>
      <c r="U2039" s="53"/>
      <c r="V2039" s="53"/>
      <c r="W2039" s="53"/>
      <c r="X2039" s="53"/>
      <c r="Y2039" s="53"/>
      <c r="Z2039" s="53"/>
    </row>
    <row r="2040" spans="1:26" ht="15.75" customHeight="1">
      <c r="A2040" s="103"/>
      <c r="B2040" s="103"/>
      <c r="C2040" s="104" t="e">
        <v>#REF!</v>
      </c>
      <c r="D2040" s="103"/>
      <c r="E2040" s="53"/>
      <c r="F2040" s="53"/>
      <c r="G2040" s="53"/>
      <c r="H2040" s="53"/>
      <c r="I2040" s="53"/>
      <c r="J2040" s="53"/>
      <c r="K2040" s="53"/>
      <c r="L2040" s="53"/>
      <c r="M2040" s="53"/>
      <c r="N2040" s="53"/>
      <c r="O2040" s="53"/>
      <c r="P2040" s="53"/>
      <c r="Q2040" s="53"/>
      <c r="R2040" s="53"/>
      <c r="S2040" s="53"/>
      <c r="T2040" s="53"/>
      <c r="U2040" s="53"/>
      <c r="V2040" s="53"/>
      <c r="W2040" s="53"/>
      <c r="X2040" s="53"/>
      <c r="Y2040" s="53"/>
      <c r="Z2040" s="53"/>
    </row>
    <row r="2041" spans="1:26" ht="15.75" customHeight="1">
      <c r="A2041" s="103"/>
      <c r="B2041" s="103"/>
      <c r="C2041" s="104" t="e">
        <v>#REF!</v>
      </c>
      <c r="D2041" s="103"/>
      <c r="E2041" s="53"/>
      <c r="F2041" s="53"/>
      <c r="G2041" s="53"/>
      <c r="H2041" s="53"/>
      <c r="I2041" s="53"/>
      <c r="J2041" s="53"/>
      <c r="K2041" s="53"/>
      <c r="L2041" s="53"/>
      <c r="M2041" s="53"/>
      <c r="N2041" s="53"/>
      <c r="O2041" s="53"/>
      <c r="P2041" s="53"/>
      <c r="Q2041" s="53"/>
      <c r="R2041" s="53"/>
      <c r="S2041" s="53"/>
      <c r="T2041" s="53"/>
      <c r="U2041" s="53"/>
      <c r="V2041" s="53"/>
      <c r="W2041" s="53"/>
      <c r="X2041" s="53"/>
      <c r="Y2041" s="53"/>
      <c r="Z2041" s="53"/>
    </row>
    <row r="2042" spans="1:26" ht="15.75" customHeight="1">
      <c r="A2042" s="103"/>
      <c r="B2042" s="103"/>
      <c r="C2042" s="104" t="e">
        <v>#REF!</v>
      </c>
      <c r="D2042" s="103"/>
      <c r="E2042" s="53"/>
      <c r="F2042" s="53"/>
      <c r="G2042" s="53"/>
      <c r="H2042" s="53"/>
      <c r="I2042" s="53"/>
      <c r="J2042" s="53"/>
      <c r="K2042" s="53"/>
      <c r="L2042" s="53"/>
      <c r="M2042" s="53"/>
      <c r="N2042" s="53"/>
      <c r="O2042" s="53"/>
      <c r="P2042" s="53"/>
      <c r="Q2042" s="53"/>
      <c r="R2042" s="53"/>
      <c r="S2042" s="53"/>
      <c r="T2042" s="53"/>
      <c r="U2042" s="53"/>
      <c r="V2042" s="53"/>
      <c r="W2042" s="53"/>
      <c r="X2042" s="53"/>
      <c r="Y2042" s="53"/>
      <c r="Z2042" s="53"/>
    </row>
    <row r="2043" spans="1:26" ht="15.75" customHeight="1">
      <c r="A2043" s="103"/>
      <c r="B2043" s="103"/>
      <c r="C2043" s="104" t="e">
        <v>#REF!</v>
      </c>
      <c r="D2043" s="103"/>
      <c r="E2043" s="53"/>
      <c r="F2043" s="53"/>
      <c r="G2043" s="53"/>
      <c r="H2043" s="53"/>
      <c r="I2043" s="53"/>
      <c r="J2043" s="53"/>
      <c r="K2043" s="53"/>
      <c r="L2043" s="53"/>
      <c r="M2043" s="53"/>
      <c r="N2043" s="53"/>
      <c r="O2043" s="53"/>
      <c r="P2043" s="53"/>
      <c r="Q2043" s="53"/>
      <c r="R2043" s="53"/>
      <c r="S2043" s="53"/>
      <c r="T2043" s="53"/>
      <c r="U2043" s="53"/>
      <c r="V2043" s="53"/>
      <c r="W2043" s="53"/>
      <c r="X2043" s="53"/>
      <c r="Y2043" s="53"/>
      <c r="Z2043" s="53"/>
    </row>
    <row r="2044" spans="1:26" ht="15.75" customHeight="1">
      <c r="A2044" s="103"/>
      <c r="B2044" s="103"/>
      <c r="C2044" s="104" t="e">
        <v>#REF!</v>
      </c>
      <c r="D2044" s="103"/>
      <c r="E2044" s="53"/>
      <c r="F2044" s="53"/>
      <c r="G2044" s="53"/>
      <c r="H2044" s="53"/>
      <c r="I2044" s="53"/>
      <c r="J2044" s="53"/>
      <c r="K2044" s="53"/>
      <c r="L2044" s="53"/>
      <c r="M2044" s="53"/>
      <c r="N2044" s="53"/>
      <c r="O2044" s="53"/>
      <c r="P2044" s="53"/>
      <c r="Q2044" s="53"/>
      <c r="R2044" s="53"/>
      <c r="S2044" s="53"/>
      <c r="T2044" s="53"/>
      <c r="U2044" s="53"/>
      <c r="V2044" s="53"/>
      <c r="W2044" s="53"/>
      <c r="X2044" s="53"/>
      <c r="Y2044" s="53"/>
      <c r="Z2044" s="53"/>
    </row>
    <row r="2045" spans="1:26" ht="15.75" customHeight="1">
      <c r="A2045" s="103"/>
      <c r="B2045" s="103"/>
      <c r="C2045" s="104" t="e">
        <v>#REF!</v>
      </c>
      <c r="D2045" s="103"/>
      <c r="E2045" s="53"/>
      <c r="F2045" s="53"/>
      <c r="G2045" s="53"/>
      <c r="H2045" s="53"/>
      <c r="I2045" s="53"/>
      <c r="J2045" s="53"/>
      <c r="K2045" s="53"/>
      <c r="L2045" s="53"/>
      <c r="M2045" s="53"/>
      <c r="N2045" s="53"/>
      <c r="O2045" s="53"/>
      <c r="P2045" s="53"/>
      <c r="Q2045" s="53"/>
      <c r="R2045" s="53"/>
      <c r="S2045" s="53"/>
      <c r="T2045" s="53"/>
      <c r="U2045" s="53"/>
      <c r="V2045" s="53"/>
      <c r="W2045" s="53"/>
      <c r="X2045" s="53"/>
      <c r="Y2045" s="53"/>
      <c r="Z2045" s="53"/>
    </row>
    <row r="2046" spans="1:26" ht="15.75" customHeight="1">
      <c r="A2046" s="103"/>
      <c r="B2046" s="103"/>
      <c r="C2046" s="104" t="e">
        <v>#REF!</v>
      </c>
      <c r="D2046" s="103"/>
      <c r="E2046" s="53"/>
      <c r="F2046" s="53"/>
      <c r="G2046" s="53"/>
      <c r="H2046" s="53"/>
      <c r="I2046" s="53"/>
      <c r="J2046" s="53"/>
      <c r="K2046" s="53"/>
      <c r="L2046" s="53"/>
      <c r="M2046" s="53"/>
      <c r="N2046" s="53"/>
      <c r="O2046" s="53"/>
      <c r="P2046" s="53"/>
      <c r="Q2046" s="53"/>
      <c r="R2046" s="53"/>
      <c r="S2046" s="53"/>
      <c r="T2046" s="53"/>
      <c r="U2046" s="53"/>
      <c r="V2046" s="53"/>
      <c r="W2046" s="53"/>
      <c r="X2046" s="53"/>
      <c r="Y2046" s="53"/>
      <c r="Z2046" s="53"/>
    </row>
    <row r="2047" spans="1:26" ht="15.75" customHeight="1">
      <c r="A2047" s="103"/>
      <c r="B2047" s="103"/>
      <c r="C2047" s="104" t="e">
        <v>#REF!</v>
      </c>
      <c r="D2047" s="103"/>
      <c r="E2047" s="53"/>
      <c r="F2047" s="53"/>
      <c r="G2047" s="53"/>
      <c r="H2047" s="53"/>
      <c r="I2047" s="53"/>
      <c r="J2047" s="53"/>
      <c r="K2047" s="53"/>
      <c r="L2047" s="53"/>
      <c r="M2047" s="53"/>
      <c r="N2047" s="53"/>
      <c r="O2047" s="53"/>
      <c r="P2047" s="53"/>
      <c r="Q2047" s="53"/>
      <c r="R2047" s="53"/>
      <c r="S2047" s="53"/>
      <c r="T2047" s="53"/>
      <c r="U2047" s="53"/>
      <c r="V2047" s="53"/>
      <c r="W2047" s="53"/>
      <c r="X2047" s="53"/>
      <c r="Y2047" s="53"/>
      <c r="Z2047" s="53"/>
    </row>
    <row r="2048" spans="1:26" ht="15.75" customHeight="1">
      <c r="A2048" s="103"/>
      <c r="B2048" s="103"/>
      <c r="C2048" s="104" t="e">
        <v>#REF!</v>
      </c>
      <c r="D2048" s="103"/>
      <c r="E2048" s="53"/>
      <c r="F2048" s="53"/>
      <c r="G2048" s="53"/>
      <c r="H2048" s="53"/>
      <c r="I2048" s="53"/>
      <c r="J2048" s="53"/>
      <c r="K2048" s="53"/>
      <c r="L2048" s="53"/>
      <c r="M2048" s="53"/>
      <c r="N2048" s="53"/>
      <c r="O2048" s="53"/>
      <c r="P2048" s="53"/>
      <c r="Q2048" s="53"/>
      <c r="R2048" s="53"/>
      <c r="S2048" s="53"/>
      <c r="T2048" s="53"/>
      <c r="U2048" s="53"/>
      <c r="V2048" s="53"/>
      <c r="W2048" s="53"/>
      <c r="X2048" s="53"/>
      <c r="Y2048" s="53"/>
      <c r="Z2048" s="53"/>
    </row>
    <row r="2049" spans="1:26" ht="15.75" customHeight="1">
      <c r="A2049" s="103"/>
      <c r="B2049" s="103"/>
      <c r="C2049" s="104" t="e">
        <v>#REF!</v>
      </c>
      <c r="D2049" s="103"/>
      <c r="E2049" s="53"/>
      <c r="F2049" s="53"/>
      <c r="G2049" s="53"/>
      <c r="H2049" s="53"/>
      <c r="I2049" s="53"/>
      <c r="J2049" s="53"/>
      <c r="K2049" s="53"/>
      <c r="L2049" s="53"/>
      <c r="M2049" s="53"/>
      <c r="N2049" s="53"/>
      <c r="O2049" s="53"/>
      <c r="P2049" s="53"/>
      <c r="Q2049" s="53"/>
      <c r="R2049" s="53"/>
      <c r="S2049" s="53"/>
      <c r="T2049" s="53"/>
      <c r="U2049" s="53"/>
      <c r="V2049" s="53"/>
      <c r="W2049" s="53"/>
      <c r="X2049" s="53"/>
      <c r="Y2049" s="53"/>
      <c r="Z2049" s="53"/>
    </row>
    <row r="2050" spans="1:26" ht="15.75" customHeight="1">
      <c r="A2050" s="103"/>
      <c r="B2050" s="103"/>
      <c r="C2050" s="104" t="e">
        <v>#REF!</v>
      </c>
      <c r="D2050" s="10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</row>
    <row r="2051" spans="1:26" ht="15.75" customHeight="1">
      <c r="A2051" s="103"/>
      <c r="B2051" s="103"/>
      <c r="C2051" s="104" t="e">
        <v>#REF!</v>
      </c>
      <c r="D2051" s="103"/>
      <c r="E2051" s="53"/>
      <c r="F2051" s="53"/>
      <c r="G2051" s="53"/>
      <c r="H2051" s="53"/>
      <c r="I2051" s="53"/>
      <c r="J2051" s="53"/>
      <c r="K2051" s="53"/>
      <c r="L2051" s="53"/>
      <c r="M2051" s="53"/>
      <c r="N2051" s="53"/>
      <c r="O2051" s="53"/>
      <c r="P2051" s="53"/>
      <c r="Q2051" s="53"/>
      <c r="R2051" s="53"/>
      <c r="S2051" s="53"/>
      <c r="T2051" s="53"/>
      <c r="U2051" s="53"/>
      <c r="V2051" s="53"/>
      <c r="W2051" s="53"/>
      <c r="X2051" s="53"/>
      <c r="Y2051" s="53"/>
      <c r="Z2051" s="53"/>
    </row>
    <row r="2052" spans="1:26" ht="15.75" customHeight="1">
      <c r="A2052" s="103"/>
      <c r="B2052" s="103"/>
      <c r="C2052" s="104" t="e">
        <v>#REF!</v>
      </c>
      <c r="D2052" s="103"/>
      <c r="E2052" s="53"/>
      <c r="F2052" s="53"/>
      <c r="G2052" s="53"/>
      <c r="H2052" s="53"/>
      <c r="I2052" s="53"/>
      <c r="J2052" s="53"/>
      <c r="K2052" s="53"/>
      <c r="L2052" s="53"/>
      <c r="M2052" s="53"/>
      <c r="N2052" s="53"/>
      <c r="O2052" s="53"/>
      <c r="P2052" s="53"/>
      <c r="Q2052" s="53"/>
      <c r="R2052" s="53"/>
      <c r="S2052" s="53"/>
      <c r="T2052" s="53"/>
      <c r="U2052" s="53"/>
      <c r="V2052" s="53"/>
      <c r="W2052" s="53"/>
      <c r="X2052" s="53"/>
      <c r="Y2052" s="53"/>
      <c r="Z2052" s="53"/>
    </row>
    <row r="2053" spans="1:26" ht="15.75" customHeight="1">
      <c r="A2053" s="103"/>
      <c r="B2053" s="103"/>
      <c r="C2053" s="104" t="e">
        <v>#REF!</v>
      </c>
      <c r="D2053" s="103"/>
      <c r="E2053" s="53"/>
      <c r="F2053" s="53"/>
      <c r="G2053" s="53"/>
      <c r="H2053" s="53"/>
      <c r="I2053" s="53"/>
      <c r="J2053" s="53"/>
      <c r="K2053" s="53"/>
      <c r="L2053" s="53"/>
      <c r="M2053" s="53"/>
      <c r="N2053" s="53"/>
      <c r="O2053" s="53"/>
      <c r="P2053" s="53"/>
      <c r="Q2053" s="53"/>
      <c r="R2053" s="53"/>
      <c r="S2053" s="53"/>
      <c r="T2053" s="53"/>
      <c r="U2053" s="53"/>
      <c r="V2053" s="53"/>
      <c r="W2053" s="53"/>
      <c r="X2053" s="53"/>
      <c r="Y2053" s="53"/>
      <c r="Z2053" s="53"/>
    </row>
    <row r="2054" spans="1:26" ht="15.75" customHeight="1">
      <c r="A2054" s="103"/>
      <c r="B2054" s="103"/>
      <c r="C2054" s="104" t="e">
        <v>#REF!</v>
      </c>
      <c r="D2054" s="103"/>
      <c r="E2054" s="53"/>
      <c r="F2054" s="53"/>
      <c r="G2054" s="53"/>
      <c r="H2054" s="53"/>
      <c r="I2054" s="53"/>
      <c r="J2054" s="53"/>
      <c r="K2054" s="53"/>
      <c r="L2054" s="53"/>
      <c r="M2054" s="53"/>
      <c r="N2054" s="53"/>
      <c r="O2054" s="53"/>
      <c r="P2054" s="53"/>
      <c r="Q2054" s="53"/>
      <c r="R2054" s="53"/>
      <c r="S2054" s="53"/>
      <c r="T2054" s="53"/>
      <c r="U2054" s="53"/>
      <c r="V2054" s="53"/>
      <c r="W2054" s="53"/>
      <c r="X2054" s="53"/>
      <c r="Y2054" s="53"/>
      <c r="Z2054" s="53"/>
    </row>
    <row r="2055" spans="1:26" ht="15.75" customHeight="1">
      <c r="A2055" s="103"/>
      <c r="B2055" s="103"/>
      <c r="C2055" s="104" t="e">
        <v>#REF!</v>
      </c>
      <c r="D2055" s="10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53"/>
      <c r="T2055" s="53"/>
      <c r="U2055" s="53"/>
      <c r="V2055" s="53"/>
      <c r="W2055" s="53"/>
      <c r="X2055" s="53"/>
      <c r="Y2055" s="53"/>
      <c r="Z2055" s="53"/>
    </row>
    <row r="2056" spans="1:26" ht="15.75" customHeight="1">
      <c r="A2056" s="103"/>
      <c r="B2056" s="103"/>
      <c r="C2056" s="104" t="e">
        <v>#REF!</v>
      </c>
      <c r="D2056" s="103"/>
      <c r="E2056" s="53"/>
      <c r="F2056" s="53"/>
      <c r="G2056" s="53"/>
      <c r="H2056" s="53"/>
      <c r="I2056" s="53"/>
      <c r="J2056" s="53"/>
      <c r="K2056" s="53"/>
      <c r="L2056" s="53"/>
      <c r="M2056" s="53"/>
      <c r="N2056" s="53"/>
      <c r="O2056" s="53"/>
      <c r="P2056" s="53"/>
      <c r="Q2056" s="53"/>
      <c r="R2056" s="53"/>
      <c r="S2056" s="53"/>
      <c r="T2056" s="53"/>
      <c r="U2056" s="53"/>
      <c r="V2056" s="53"/>
      <c r="W2056" s="53"/>
      <c r="X2056" s="53"/>
      <c r="Y2056" s="53"/>
      <c r="Z2056" s="53"/>
    </row>
    <row r="2057" spans="1:26" ht="15.75" customHeight="1">
      <c r="A2057" s="103"/>
      <c r="B2057" s="103"/>
      <c r="C2057" s="104" t="e">
        <v>#REF!</v>
      </c>
      <c r="D2057" s="103"/>
      <c r="E2057" s="53"/>
      <c r="F2057" s="53"/>
      <c r="G2057" s="53"/>
      <c r="H2057" s="53"/>
      <c r="I2057" s="53"/>
      <c r="J2057" s="53"/>
      <c r="K2057" s="53"/>
      <c r="L2057" s="53"/>
      <c r="M2057" s="53"/>
      <c r="N2057" s="53"/>
      <c r="O2057" s="53"/>
      <c r="P2057" s="53"/>
      <c r="Q2057" s="53"/>
      <c r="R2057" s="53"/>
      <c r="S2057" s="53"/>
      <c r="T2057" s="53"/>
      <c r="U2057" s="53"/>
      <c r="V2057" s="53"/>
      <c r="W2057" s="53"/>
      <c r="X2057" s="53"/>
      <c r="Y2057" s="53"/>
      <c r="Z2057" s="53"/>
    </row>
    <row r="2058" spans="1:26" ht="15.75" customHeight="1">
      <c r="A2058" s="103"/>
      <c r="B2058" s="103"/>
      <c r="C2058" s="104" t="e">
        <v>#REF!</v>
      </c>
      <c r="D2058" s="103"/>
      <c r="E2058" s="53"/>
      <c r="F2058" s="53"/>
      <c r="G2058" s="53"/>
      <c r="H2058" s="53"/>
      <c r="I2058" s="53"/>
      <c r="J2058" s="53"/>
      <c r="K2058" s="53"/>
      <c r="L2058" s="53"/>
      <c r="M2058" s="53"/>
      <c r="N2058" s="53"/>
      <c r="O2058" s="53"/>
      <c r="P2058" s="53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</row>
    <row r="2059" spans="1:26" ht="15.75" customHeight="1">
      <c r="A2059" s="103"/>
      <c r="B2059" s="103"/>
      <c r="C2059" s="104" t="e">
        <v>#REF!</v>
      </c>
      <c r="D2059" s="103"/>
      <c r="E2059" s="53"/>
      <c r="F2059" s="53"/>
      <c r="G2059" s="53"/>
      <c r="H2059" s="53"/>
      <c r="I2059" s="53"/>
      <c r="J2059" s="53"/>
      <c r="K2059" s="53"/>
      <c r="L2059" s="53"/>
      <c r="M2059" s="53"/>
      <c r="N2059" s="53"/>
      <c r="O2059" s="53"/>
      <c r="P2059" s="53"/>
      <c r="Q2059" s="53"/>
      <c r="R2059" s="53"/>
      <c r="S2059" s="53"/>
      <c r="T2059" s="53"/>
      <c r="U2059" s="53"/>
      <c r="V2059" s="53"/>
      <c r="W2059" s="53"/>
      <c r="X2059" s="53"/>
      <c r="Y2059" s="53"/>
      <c r="Z2059" s="53"/>
    </row>
    <row r="2060" spans="1:26" ht="15.75" customHeight="1">
      <c r="A2060" s="103"/>
      <c r="B2060" s="103"/>
      <c r="C2060" s="104" t="e">
        <v>#REF!</v>
      </c>
      <c r="D2060" s="103"/>
      <c r="E2060" s="53"/>
      <c r="F2060" s="53"/>
      <c r="G2060" s="53"/>
      <c r="H2060" s="53"/>
      <c r="I2060" s="53"/>
      <c r="J2060" s="53"/>
      <c r="K2060" s="53"/>
      <c r="L2060" s="53"/>
      <c r="M2060" s="53"/>
      <c r="N2060" s="53"/>
      <c r="O2060" s="53"/>
      <c r="P2060" s="53"/>
      <c r="Q2060" s="53"/>
      <c r="R2060" s="53"/>
      <c r="S2060" s="53"/>
      <c r="T2060" s="53"/>
      <c r="U2060" s="53"/>
      <c r="V2060" s="53"/>
      <c r="W2060" s="53"/>
      <c r="X2060" s="53"/>
      <c r="Y2060" s="53"/>
      <c r="Z2060" s="53"/>
    </row>
    <row r="2061" spans="1:26" ht="15.75" customHeight="1">
      <c r="A2061" s="103"/>
      <c r="B2061" s="103"/>
      <c r="C2061" s="104" t="e">
        <v>#REF!</v>
      </c>
      <c r="D2061" s="103"/>
      <c r="E2061" s="53"/>
      <c r="F2061" s="53"/>
      <c r="G2061" s="53"/>
      <c r="H2061" s="53"/>
      <c r="I2061" s="53"/>
      <c r="J2061" s="53"/>
      <c r="K2061" s="53"/>
      <c r="L2061" s="53"/>
      <c r="M2061" s="53"/>
      <c r="N2061" s="53"/>
      <c r="O2061" s="53"/>
      <c r="P2061" s="53"/>
      <c r="Q2061" s="53"/>
      <c r="R2061" s="53"/>
      <c r="S2061" s="53"/>
      <c r="T2061" s="53"/>
      <c r="U2061" s="53"/>
      <c r="V2061" s="53"/>
      <c r="W2061" s="53"/>
      <c r="X2061" s="53"/>
      <c r="Y2061" s="53"/>
      <c r="Z2061" s="53"/>
    </row>
    <row r="2062" spans="1:26" ht="15.75" customHeight="1">
      <c r="A2062" s="103"/>
      <c r="B2062" s="103"/>
      <c r="C2062" s="104" t="e">
        <v>#REF!</v>
      </c>
      <c r="D2062" s="103"/>
      <c r="E2062" s="53"/>
      <c r="F2062" s="53"/>
      <c r="G2062" s="53"/>
      <c r="H2062" s="53"/>
      <c r="I2062" s="53"/>
      <c r="J2062" s="53"/>
      <c r="K2062" s="53"/>
      <c r="L2062" s="53"/>
      <c r="M2062" s="53"/>
      <c r="N2062" s="53"/>
      <c r="O2062" s="53"/>
      <c r="P2062" s="53"/>
      <c r="Q2062" s="53"/>
      <c r="R2062" s="53"/>
      <c r="S2062" s="53"/>
      <c r="T2062" s="53"/>
      <c r="U2062" s="53"/>
      <c r="V2062" s="53"/>
      <c r="W2062" s="53"/>
      <c r="X2062" s="53"/>
      <c r="Y2062" s="53"/>
      <c r="Z2062" s="53"/>
    </row>
    <row r="2063" spans="1:26" ht="15.75" customHeight="1">
      <c r="A2063" s="103"/>
      <c r="B2063" s="103"/>
      <c r="C2063" s="104" t="e">
        <v>#REF!</v>
      </c>
      <c r="D2063" s="103"/>
      <c r="E2063" s="53"/>
      <c r="F2063" s="53"/>
      <c r="G2063" s="53"/>
      <c r="H2063" s="53"/>
      <c r="I2063" s="53"/>
      <c r="J2063" s="53"/>
      <c r="K2063" s="53"/>
      <c r="L2063" s="53"/>
      <c r="M2063" s="53"/>
      <c r="N2063" s="53"/>
      <c r="O2063" s="53"/>
      <c r="P2063" s="53"/>
      <c r="Q2063" s="53"/>
      <c r="R2063" s="53"/>
      <c r="S2063" s="53"/>
      <c r="T2063" s="53"/>
      <c r="U2063" s="53"/>
      <c r="V2063" s="53"/>
      <c r="W2063" s="53"/>
      <c r="X2063" s="53"/>
      <c r="Y2063" s="53"/>
      <c r="Z2063" s="53"/>
    </row>
    <row r="2064" spans="1:26" ht="15.75" customHeight="1">
      <c r="A2064" s="103"/>
      <c r="B2064" s="103"/>
      <c r="C2064" s="104" t="e">
        <v>#REF!</v>
      </c>
      <c r="D2064" s="103"/>
      <c r="E2064" s="53"/>
      <c r="F2064" s="53"/>
      <c r="G2064" s="53"/>
      <c r="H2064" s="53"/>
      <c r="I2064" s="53"/>
      <c r="J2064" s="53"/>
      <c r="K2064" s="53"/>
      <c r="L2064" s="53"/>
      <c r="M2064" s="53"/>
      <c r="N2064" s="53"/>
      <c r="O2064" s="53"/>
      <c r="P2064" s="53"/>
      <c r="Q2064" s="53"/>
      <c r="R2064" s="53"/>
      <c r="S2064" s="53"/>
      <c r="T2064" s="53"/>
      <c r="U2064" s="53"/>
      <c r="V2064" s="53"/>
      <c r="W2064" s="53"/>
      <c r="X2064" s="53"/>
      <c r="Y2064" s="53"/>
      <c r="Z2064" s="53"/>
    </row>
    <row r="2065" spans="1:26" ht="15.75" customHeight="1">
      <c r="A2065" s="103"/>
      <c r="B2065" s="103"/>
      <c r="C2065" s="104" t="e">
        <v>#REF!</v>
      </c>
      <c r="D2065" s="103"/>
      <c r="E2065" s="53"/>
      <c r="F2065" s="53"/>
      <c r="G2065" s="53"/>
      <c r="H2065" s="53"/>
      <c r="I2065" s="53"/>
      <c r="J2065" s="53"/>
      <c r="K2065" s="53"/>
      <c r="L2065" s="53"/>
      <c r="M2065" s="53"/>
      <c r="N2065" s="53"/>
      <c r="O2065" s="53"/>
      <c r="P2065" s="53"/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</row>
    <row r="2066" spans="1:26" ht="15.75" customHeight="1">
      <c r="A2066" s="103"/>
      <c r="B2066" s="103"/>
      <c r="C2066" s="104" t="e">
        <v>#REF!</v>
      </c>
      <c r="D2066" s="103"/>
      <c r="E2066" s="53"/>
      <c r="F2066" s="53"/>
      <c r="G2066" s="53"/>
      <c r="H2066" s="53"/>
      <c r="I2066" s="53"/>
      <c r="J2066" s="53"/>
      <c r="K2066" s="53"/>
      <c r="L2066" s="53"/>
      <c r="M2066" s="53"/>
      <c r="N2066" s="53"/>
      <c r="O2066" s="53"/>
      <c r="P2066" s="53"/>
      <c r="Q2066" s="53"/>
      <c r="R2066" s="53"/>
      <c r="S2066" s="53"/>
      <c r="T2066" s="53"/>
      <c r="U2066" s="53"/>
      <c r="V2066" s="53"/>
      <c r="W2066" s="53"/>
      <c r="X2066" s="53"/>
      <c r="Y2066" s="53"/>
      <c r="Z2066" s="53"/>
    </row>
    <row r="2067" spans="1:26" ht="15.75" customHeight="1">
      <c r="A2067" s="103"/>
      <c r="B2067" s="103"/>
      <c r="C2067" s="104" t="e">
        <v>#REF!</v>
      </c>
      <c r="D2067" s="103"/>
      <c r="E2067" s="53"/>
      <c r="F2067" s="53"/>
      <c r="G2067" s="53"/>
      <c r="H2067" s="53"/>
      <c r="I2067" s="53"/>
      <c r="J2067" s="53"/>
      <c r="K2067" s="53"/>
      <c r="L2067" s="53"/>
      <c r="M2067" s="53"/>
      <c r="N2067" s="53"/>
      <c r="O2067" s="53"/>
      <c r="P2067" s="53"/>
      <c r="Q2067" s="53"/>
      <c r="R2067" s="53"/>
      <c r="S2067" s="53"/>
      <c r="T2067" s="53"/>
      <c r="U2067" s="53"/>
      <c r="V2067" s="53"/>
      <c r="W2067" s="53"/>
      <c r="X2067" s="53"/>
      <c r="Y2067" s="53"/>
      <c r="Z2067" s="53"/>
    </row>
    <row r="2068" spans="1:26" ht="15.75" customHeight="1">
      <c r="A2068" s="103"/>
      <c r="B2068" s="103"/>
      <c r="C2068" s="104" t="e">
        <v>#REF!</v>
      </c>
      <c r="D2068" s="103"/>
      <c r="E2068" s="53"/>
      <c r="F2068" s="53"/>
      <c r="G2068" s="53"/>
      <c r="H2068" s="53"/>
      <c r="I2068" s="53"/>
      <c r="J2068" s="53"/>
      <c r="K2068" s="53"/>
      <c r="L2068" s="53"/>
      <c r="M2068" s="53"/>
      <c r="N2068" s="53"/>
      <c r="O2068" s="53"/>
      <c r="P2068" s="53"/>
      <c r="Q2068" s="53"/>
      <c r="R2068" s="53"/>
      <c r="S2068" s="53"/>
      <c r="T2068" s="53"/>
      <c r="U2068" s="53"/>
      <c r="V2068" s="53"/>
      <c r="W2068" s="53"/>
      <c r="X2068" s="53"/>
      <c r="Y2068" s="53"/>
      <c r="Z2068" s="53"/>
    </row>
    <row r="2069" spans="1:26" ht="15.75" customHeight="1">
      <c r="A2069" s="103"/>
      <c r="B2069" s="103"/>
      <c r="C2069" s="104" t="e">
        <v>#REF!</v>
      </c>
      <c r="D2069" s="103"/>
      <c r="E2069" s="53"/>
      <c r="F2069" s="53"/>
      <c r="G2069" s="53"/>
      <c r="H2069" s="53"/>
      <c r="I2069" s="53"/>
      <c r="J2069" s="53"/>
      <c r="K2069" s="53"/>
      <c r="L2069" s="53"/>
      <c r="M2069" s="53"/>
      <c r="N2069" s="53"/>
      <c r="O2069" s="53"/>
      <c r="P2069" s="53"/>
      <c r="Q2069" s="53"/>
      <c r="R2069" s="53"/>
      <c r="S2069" s="53"/>
      <c r="T2069" s="53"/>
      <c r="U2069" s="53"/>
      <c r="V2069" s="53"/>
      <c r="W2069" s="53"/>
      <c r="X2069" s="53"/>
      <c r="Y2069" s="53"/>
      <c r="Z2069" s="53"/>
    </row>
    <row r="2070" spans="1:26" ht="15.75" customHeight="1">
      <c r="A2070" s="103"/>
      <c r="B2070" s="103"/>
      <c r="C2070" s="104" t="e">
        <v>#REF!</v>
      </c>
      <c r="D2070" s="103"/>
      <c r="E2070" s="53"/>
      <c r="F2070" s="53"/>
      <c r="G2070" s="53"/>
      <c r="H2070" s="53"/>
      <c r="I2070" s="53"/>
      <c r="J2070" s="53"/>
      <c r="K2070" s="53"/>
      <c r="L2070" s="53"/>
      <c r="M2070" s="53"/>
      <c r="N2070" s="53"/>
      <c r="O2070" s="53"/>
      <c r="P2070" s="53"/>
      <c r="Q2070" s="53"/>
      <c r="R2070" s="53"/>
      <c r="S2070" s="53"/>
      <c r="T2070" s="53"/>
      <c r="U2070" s="53"/>
      <c r="V2070" s="53"/>
      <c r="W2070" s="53"/>
      <c r="X2070" s="53"/>
      <c r="Y2070" s="53"/>
      <c r="Z2070" s="53"/>
    </row>
    <row r="2071" spans="1:26" ht="15.75" customHeight="1">
      <c r="A2071" s="103"/>
      <c r="B2071" s="103"/>
      <c r="C2071" s="104" t="e">
        <v>#REF!</v>
      </c>
      <c r="D2071" s="103"/>
      <c r="E2071" s="53"/>
      <c r="F2071" s="53"/>
      <c r="G2071" s="53"/>
      <c r="H2071" s="53"/>
      <c r="I2071" s="53"/>
      <c r="J2071" s="53"/>
      <c r="K2071" s="53"/>
      <c r="L2071" s="53"/>
      <c r="M2071" s="53"/>
      <c r="N2071" s="53"/>
      <c r="O2071" s="53"/>
      <c r="P2071" s="53"/>
      <c r="Q2071" s="53"/>
      <c r="R2071" s="53"/>
      <c r="S2071" s="53"/>
      <c r="T2071" s="53"/>
      <c r="U2071" s="53"/>
      <c r="V2071" s="53"/>
      <c r="W2071" s="53"/>
      <c r="X2071" s="53"/>
      <c r="Y2071" s="53"/>
      <c r="Z2071" s="53"/>
    </row>
    <row r="2072" spans="1:26" ht="15.75" customHeight="1">
      <c r="A2072" s="103"/>
      <c r="B2072" s="103"/>
      <c r="C2072" s="104" t="e">
        <v>#REF!</v>
      </c>
      <c r="D2072" s="103"/>
      <c r="E2072" s="53"/>
      <c r="F2072" s="53"/>
      <c r="G2072" s="53"/>
      <c r="H2072" s="53"/>
      <c r="I2072" s="53"/>
      <c r="J2072" s="53"/>
      <c r="K2072" s="53"/>
      <c r="L2072" s="53"/>
      <c r="M2072" s="53"/>
      <c r="N2072" s="53"/>
      <c r="O2072" s="53"/>
      <c r="P2072" s="53"/>
      <c r="Q2072" s="53"/>
      <c r="R2072" s="53"/>
      <c r="S2072" s="53"/>
      <c r="T2072" s="53"/>
      <c r="U2072" s="53"/>
      <c r="V2072" s="53"/>
      <c r="W2072" s="53"/>
      <c r="X2072" s="53"/>
      <c r="Y2072" s="53"/>
      <c r="Z2072" s="53"/>
    </row>
    <row r="2073" spans="1:26" ht="15.75" customHeight="1">
      <c r="A2073" s="103"/>
      <c r="B2073" s="103"/>
      <c r="C2073" s="104" t="e">
        <v>#REF!</v>
      </c>
      <c r="D2073" s="103"/>
      <c r="E2073" s="53"/>
      <c r="F2073" s="53"/>
      <c r="G2073" s="53"/>
      <c r="H2073" s="53"/>
      <c r="I2073" s="53"/>
      <c r="J2073" s="53"/>
      <c r="K2073" s="53"/>
      <c r="L2073" s="53"/>
      <c r="M2073" s="53"/>
      <c r="N2073" s="53"/>
      <c r="O2073" s="53"/>
      <c r="P2073" s="53"/>
      <c r="Q2073" s="53"/>
      <c r="R2073" s="53"/>
      <c r="S2073" s="53"/>
      <c r="T2073" s="53"/>
      <c r="U2073" s="53"/>
      <c r="V2073" s="53"/>
      <c r="W2073" s="53"/>
      <c r="X2073" s="53"/>
      <c r="Y2073" s="53"/>
      <c r="Z2073" s="53"/>
    </row>
    <row r="2074" spans="1:26" ht="15.75" customHeight="1">
      <c r="A2074" s="103"/>
      <c r="B2074" s="103"/>
      <c r="C2074" s="104" t="e">
        <v>#REF!</v>
      </c>
      <c r="D2074" s="103"/>
      <c r="E2074" s="53"/>
      <c r="F2074" s="53"/>
      <c r="G2074" s="53"/>
      <c r="H2074" s="53"/>
      <c r="I2074" s="53"/>
      <c r="J2074" s="53"/>
      <c r="K2074" s="53"/>
      <c r="L2074" s="53"/>
      <c r="M2074" s="53"/>
      <c r="N2074" s="53"/>
      <c r="O2074" s="53"/>
      <c r="P2074" s="53"/>
      <c r="Q2074" s="53"/>
      <c r="R2074" s="53"/>
      <c r="S2074" s="53"/>
      <c r="T2074" s="53"/>
      <c r="U2074" s="53"/>
      <c r="V2074" s="53"/>
      <c r="W2074" s="53"/>
      <c r="X2074" s="53"/>
      <c r="Y2074" s="53"/>
      <c r="Z2074" s="53"/>
    </row>
    <row r="2075" spans="1:26" ht="15.75" customHeight="1">
      <c r="A2075" s="103"/>
      <c r="B2075" s="103"/>
      <c r="C2075" s="104" t="e">
        <v>#REF!</v>
      </c>
      <c r="D2075" s="103"/>
      <c r="E2075" s="53"/>
      <c r="F2075" s="53"/>
      <c r="G2075" s="53"/>
      <c r="H2075" s="53"/>
      <c r="I2075" s="53"/>
      <c r="J2075" s="53"/>
      <c r="K2075" s="53"/>
      <c r="L2075" s="53"/>
      <c r="M2075" s="53"/>
      <c r="N2075" s="53"/>
      <c r="O2075" s="53"/>
      <c r="P2075" s="53"/>
      <c r="Q2075" s="53"/>
      <c r="R2075" s="53"/>
      <c r="S2075" s="53"/>
      <c r="T2075" s="53"/>
      <c r="U2075" s="53"/>
      <c r="V2075" s="53"/>
      <c r="W2075" s="53"/>
      <c r="X2075" s="53"/>
      <c r="Y2075" s="53"/>
      <c r="Z2075" s="53"/>
    </row>
    <row r="2076" spans="1:26" ht="15.75" customHeight="1">
      <c r="A2076" s="103"/>
      <c r="B2076" s="103"/>
      <c r="C2076" s="104" t="e">
        <v>#REF!</v>
      </c>
      <c r="D2076" s="103"/>
      <c r="E2076" s="53"/>
      <c r="F2076" s="53"/>
      <c r="G2076" s="53"/>
      <c r="H2076" s="53"/>
      <c r="I2076" s="53"/>
      <c r="J2076" s="53"/>
      <c r="K2076" s="53"/>
      <c r="L2076" s="53"/>
      <c r="M2076" s="53"/>
      <c r="N2076" s="53"/>
      <c r="O2076" s="53"/>
      <c r="P2076" s="53"/>
      <c r="Q2076" s="53"/>
      <c r="R2076" s="53"/>
      <c r="S2076" s="53"/>
      <c r="T2076" s="53"/>
      <c r="U2076" s="53"/>
      <c r="V2076" s="53"/>
      <c r="W2076" s="53"/>
      <c r="X2076" s="53"/>
      <c r="Y2076" s="53"/>
      <c r="Z2076" s="53"/>
    </row>
    <row r="2077" spans="1:26" ht="15.75" customHeight="1">
      <c r="A2077" s="103"/>
      <c r="B2077" s="103"/>
      <c r="C2077" s="104" t="e">
        <v>#REF!</v>
      </c>
      <c r="D2077" s="103"/>
      <c r="E2077" s="53"/>
      <c r="F2077" s="53"/>
      <c r="G2077" s="53"/>
      <c r="H2077" s="53"/>
      <c r="I2077" s="53"/>
      <c r="J2077" s="53"/>
      <c r="K2077" s="53"/>
      <c r="L2077" s="53"/>
      <c r="M2077" s="53"/>
      <c r="N2077" s="53"/>
      <c r="O2077" s="53"/>
      <c r="P2077" s="53"/>
      <c r="Q2077" s="53"/>
      <c r="R2077" s="53"/>
      <c r="S2077" s="53"/>
      <c r="T2077" s="53"/>
      <c r="U2077" s="53"/>
      <c r="V2077" s="53"/>
      <c r="W2077" s="53"/>
      <c r="X2077" s="53"/>
      <c r="Y2077" s="53"/>
      <c r="Z2077" s="53"/>
    </row>
    <row r="2078" spans="1:26" ht="15.75" customHeight="1">
      <c r="A2078" s="103"/>
      <c r="B2078" s="103"/>
      <c r="C2078" s="104" t="e">
        <v>#REF!</v>
      </c>
      <c r="D2078" s="103"/>
      <c r="E2078" s="53"/>
      <c r="F2078" s="53"/>
      <c r="G2078" s="53"/>
      <c r="H2078" s="53"/>
      <c r="I2078" s="53"/>
      <c r="J2078" s="53"/>
      <c r="K2078" s="53"/>
      <c r="L2078" s="53"/>
      <c r="M2078" s="53"/>
      <c r="N2078" s="53"/>
      <c r="O2078" s="53"/>
      <c r="P2078" s="53"/>
      <c r="Q2078" s="53"/>
      <c r="R2078" s="53"/>
      <c r="S2078" s="53"/>
      <c r="T2078" s="53"/>
      <c r="U2078" s="53"/>
      <c r="V2078" s="53"/>
      <c r="W2078" s="53"/>
      <c r="X2078" s="53"/>
      <c r="Y2078" s="53"/>
      <c r="Z2078" s="53"/>
    </row>
    <row r="2079" spans="1:26" ht="15.75" customHeight="1">
      <c r="A2079" s="103"/>
      <c r="B2079" s="103"/>
      <c r="C2079" s="104" t="e">
        <v>#REF!</v>
      </c>
      <c r="D2079" s="103"/>
      <c r="E2079" s="53"/>
      <c r="F2079" s="53"/>
      <c r="G2079" s="53"/>
      <c r="H2079" s="53"/>
      <c r="I2079" s="53"/>
      <c r="J2079" s="53"/>
      <c r="K2079" s="53"/>
      <c r="L2079" s="53"/>
      <c r="M2079" s="53"/>
      <c r="N2079" s="53"/>
      <c r="O2079" s="53"/>
      <c r="P2079" s="53"/>
      <c r="Q2079" s="53"/>
      <c r="R2079" s="53"/>
      <c r="S2079" s="53"/>
      <c r="T2079" s="53"/>
      <c r="U2079" s="53"/>
      <c r="V2079" s="53"/>
      <c r="W2079" s="53"/>
      <c r="X2079" s="53"/>
      <c r="Y2079" s="53"/>
      <c r="Z2079" s="53"/>
    </row>
    <row r="2080" spans="1:26" ht="15.75" customHeight="1">
      <c r="A2080" s="103"/>
      <c r="B2080" s="103"/>
      <c r="C2080" s="104" t="e">
        <v>#REF!</v>
      </c>
      <c r="D2080" s="103"/>
      <c r="E2080" s="53"/>
      <c r="F2080" s="53"/>
      <c r="G2080" s="53"/>
      <c r="H2080" s="53"/>
      <c r="I2080" s="53"/>
      <c r="J2080" s="53"/>
      <c r="K2080" s="53"/>
      <c r="L2080" s="53"/>
      <c r="M2080" s="53"/>
      <c r="N2080" s="53"/>
      <c r="O2080" s="53"/>
      <c r="P2080" s="53"/>
      <c r="Q2080" s="53"/>
      <c r="R2080" s="53"/>
      <c r="S2080" s="53"/>
      <c r="T2080" s="53"/>
      <c r="U2080" s="53"/>
      <c r="V2080" s="53"/>
      <c r="W2080" s="53"/>
      <c r="X2080" s="53"/>
      <c r="Y2080" s="53"/>
      <c r="Z2080" s="53"/>
    </row>
    <row r="2081" spans="1:26" ht="15.75" customHeight="1">
      <c r="A2081" s="103"/>
      <c r="B2081" s="103"/>
      <c r="C2081" s="104" t="e">
        <v>#REF!</v>
      </c>
      <c r="D2081" s="103"/>
      <c r="E2081" s="53"/>
      <c r="F2081" s="53"/>
      <c r="G2081" s="53"/>
      <c r="H2081" s="53"/>
      <c r="I2081" s="53"/>
      <c r="J2081" s="53"/>
      <c r="K2081" s="53"/>
      <c r="L2081" s="53"/>
      <c r="M2081" s="53"/>
      <c r="N2081" s="53"/>
      <c r="O2081" s="53"/>
      <c r="P2081" s="53"/>
      <c r="Q2081" s="53"/>
      <c r="R2081" s="53"/>
      <c r="S2081" s="53"/>
      <c r="T2081" s="53"/>
      <c r="U2081" s="53"/>
      <c r="V2081" s="53"/>
      <c r="W2081" s="53"/>
      <c r="X2081" s="53"/>
      <c r="Y2081" s="53"/>
      <c r="Z2081" s="53"/>
    </row>
    <row r="2082" spans="1:26" ht="15.75" customHeight="1">
      <c r="A2082" s="103"/>
      <c r="B2082" s="103"/>
      <c r="C2082" s="104" t="e">
        <v>#REF!</v>
      </c>
      <c r="D2082" s="103"/>
      <c r="E2082" s="53"/>
      <c r="F2082" s="53"/>
      <c r="G2082" s="53"/>
      <c r="H2082" s="53"/>
      <c r="I2082" s="53"/>
      <c r="J2082" s="53"/>
      <c r="K2082" s="53"/>
      <c r="L2082" s="53"/>
      <c r="M2082" s="53"/>
      <c r="N2082" s="53"/>
      <c r="O2082" s="53"/>
      <c r="P2082" s="53"/>
      <c r="Q2082" s="53"/>
      <c r="R2082" s="53"/>
      <c r="S2082" s="53"/>
      <c r="T2082" s="53"/>
      <c r="U2082" s="53"/>
      <c r="V2082" s="53"/>
      <c r="W2082" s="53"/>
      <c r="X2082" s="53"/>
      <c r="Y2082" s="53"/>
      <c r="Z2082" s="53"/>
    </row>
    <row r="2083" spans="1:26" ht="15.75" customHeight="1">
      <c r="A2083" s="103"/>
      <c r="B2083" s="103"/>
      <c r="C2083" s="104" t="e">
        <v>#REF!</v>
      </c>
      <c r="D2083" s="103"/>
      <c r="E2083" s="53"/>
      <c r="F2083" s="53"/>
      <c r="G2083" s="53"/>
      <c r="H2083" s="53"/>
      <c r="I2083" s="53"/>
      <c r="J2083" s="53"/>
      <c r="K2083" s="53"/>
      <c r="L2083" s="53"/>
      <c r="M2083" s="53"/>
      <c r="N2083" s="53"/>
      <c r="O2083" s="53"/>
      <c r="P2083" s="53"/>
      <c r="Q2083" s="53"/>
      <c r="R2083" s="53"/>
      <c r="S2083" s="53"/>
      <c r="T2083" s="53"/>
      <c r="U2083" s="53"/>
      <c r="V2083" s="53"/>
      <c r="W2083" s="53"/>
      <c r="X2083" s="53"/>
      <c r="Y2083" s="53"/>
      <c r="Z2083" s="53"/>
    </row>
    <row r="2084" spans="1:26" ht="15.75" customHeight="1">
      <c r="A2084" s="103"/>
      <c r="B2084" s="103"/>
      <c r="C2084" s="104" t="e">
        <v>#REF!</v>
      </c>
      <c r="D2084" s="103"/>
      <c r="E2084" s="53"/>
      <c r="F2084" s="53"/>
      <c r="G2084" s="53"/>
      <c r="H2084" s="53"/>
      <c r="I2084" s="53"/>
      <c r="J2084" s="53"/>
      <c r="K2084" s="53"/>
      <c r="L2084" s="53"/>
      <c r="M2084" s="53"/>
      <c r="N2084" s="53"/>
      <c r="O2084" s="53"/>
      <c r="P2084" s="53"/>
      <c r="Q2084" s="53"/>
      <c r="R2084" s="53"/>
      <c r="S2084" s="53"/>
      <c r="T2084" s="53"/>
      <c r="U2084" s="53"/>
      <c r="V2084" s="53"/>
      <c r="W2084" s="53"/>
      <c r="X2084" s="53"/>
      <c r="Y2084" s="53"/>
      <c r="Z2084" s="53"/>
    </row>
    <row r="2085" spans="1:26" ht="15.75" customHeight="1">
      <c r="A2085" s="103"/>
      <c r="B2085" s="103"/>
      <c r="C2085" s="104" t="e">
        <v>#REF!</v>
      </c>
      <c r="D2085" s="103"/>
      <c r="E2085" s="53"/>
      <c r="F2085" s="53"/>
      <c r="G2085" s="53"/>
      <c r="H2085" s="53"/>
      <c r="I2085" s="53"/>
      <c r="J2085" s="53"/>
      <c r="K2085" s="53"/>
      <c r="L2085" s="53"/>
      <c r="M2085" s="53"/>
      <c r="N2085" s="53"/>
      <c r="O2085" s="53"/>
      <c r="P2085" s="53"/>
      <c r="Q2085" s="53"/>
      <c r="R2085" s="53"/>
      <c r="S2085" s="53"/>
      <c r="T2085" s="53"/>
      <c r="U2085" s="53"/>
      <c r="V2085" s="53"/>
      <c r="W2085" s="53"/>
      <c r="X2085" s="53"/>
      <c r="Y2085" s="53"/>
      <c r="Z2085" s="53"/>
    </row>
    <row r="2086" spans="1:26" ht="15.75" customHeight="1">
      <c r="A2086" s="103"/>
      <c r="B2086" s="103"/>
      <c r="C2086" s="104" t="e">
        <v>#REF!</v>
      </c>
      <c r="D2086" s="103"/>
      <c r="E2086" s="53"/>
      <c r="F2086" s="53"/>
      <c r="G2086" s="53"/>
      <c r="H2086" s="53"/>
      <c r="I2086" s="53"/>
      <c r="J2086" s="53"/>
      <c r="K2086" s="53"/>
      <c r="L2086" s="53"/>
      <c r="M2086" s="53"/>
      <c r="N2086" s="53"/>
      <c r="O2086" s="53"/>
      <c r="P2086" s="53"/>
      <c r="Q2086" s="53"/>
      <c r="R2086" s="53"/>
      <c r="S2086" s="53"/>
      <c r="T2086" s="53"/>
      <c r="U2086" s="53"/>
      <c r="V2086" s="53"/>
      <c r="W2086" s="53"/>
      <c r="X2086" s="53"/>
      <c r="Y2086" s="53"/>
      <c r="Z2086" s="53"/>
    </row>
    <row r="2087" spans="1:26" ht="15.75" customHeight="1">
      <c r="A2087" s="103"/>
      <c r="B2087" s="103"/>
      <c r="C2087" s="104" t="e">
        <v>#REF!</v>
      </c>
      <c r="D2087" s="103"/>
      <c r="E2087" s="53"/>
      <c r="F2087" s="53"/>
      <c r="G2087" s="53"/>
      <c r="H2087" s="53"/>
      <c r="I2087" s="53"/>
      <c r="J2087" s="53"/>
      <c r="K2087" s="53"/>
      <c r="L2087" s="53"/>
      <c r="M2087" s="53"/>
      <c r="N2087" s="53"/>
      <c r="O2087" s="53"/>
      <c r="P2087" s="53"/>
      <c r="Q2087" s="53"/>
      <c r="R2087" s="53"/>
      <c r="S2087" s="53"/>
      <c r="T2087" s="53"/>
      <c r="U2087" s="53"/>
      <c r="V2087" s="53"/>
      <c r="W2087" s="53"/>
      <c r="X2087" s="53"/>
      <c r="Y2087" s="53"/>
      <c r="Z2087" s="53"/>
    </row>
    <row r="2088" spans="1:26" ht="15.75" customHeight="1">
      <c r="A2088" s="103"/>
      <c r="B2088" s="103"/>
      <c r="C2088" s="104" t="e">
        <v>#REF!</v>
      </c>
      <c r="D2088" s="103"/>
      <c r="E2088" s="53"/>
      <c r="F2088" s="53"/>
      <c r="G2088" s="53"/>
      <c r="H2088" s="53"/>
      <c r="I2088" s="53"/>
      <c r="J2088" s="53"/>
      <c r="K2088" s="53"/>
      <c r="L2088" s="53"/>
      <c r="M2088" s="53"/>
      <c r="N2088" s="53"/>
      <c r="O2088" s="53"/>
      <c r="P2088" s="53"/>
      <c r="Q2088" s="53"/>
      <c r="R2088" s="53"/>
      <c r="S2088" s="53"/>
      <c r="T2088" s="53"/>
      <c r="U2088" s="53"/>
      <c r="V2088" s="53"/>
      <c r="W2088" s="53"/>
      <c r="X2088" s="53"/>
      <c r="Y2088" s="53"/>
      <c r="Z2088" s="53"/>
    </row>
    <row r="2089" spans="1:26" ht="15.75" customHeight="1">
      <c r="A2089" s="103"/>
      <c r="B2089" s="103"/>
      <c r="C2089" s="104" t="e">
        <v>#REF!</v>
      </c>
      <c r="D2089" s="103"/>
      <c r="E2089" s="53"/>
      <c r="F2089" s="53"/>
      <c r="G2089" s="53"/>
      <c r="H2089" s="53"/>
      <c r="I2089" s="53"/>
      <c r="J2089" s="53"/>
      <c r="K2089" s="53"/>
      <c r="L2089" s="53"/>
      <c r="M2089" s="53"/>
      <c r="N2089" s="53"/>
      <c r="O2089" s="53"/>
      <c r="P2089" s="53"/>
      <c r="Q2089" s="53"/>
      <c r="R2089" s="53"/>
      <c r="S2089" s="53"/>
      <c r="T2089" s="53"/>
      <c r="U2089" s="53"/>
      <c r="V2089" s="53"/>
      <c r="W2089" s="53"/>
      <c r="X2089" s="53"/>
      <c r="Y2089" s="53"/>
      <c r="Z2089" s="53"/>
    </row>
    <row r="2090" spans="1:26" ht="15.75" customHeight="1">
      <c r="A2090" s="103"/>
      <c r="B2090" s="103"/>
      <c r="C2090" s="104" t="e">
        <v>#REF!</v>
      </c>
      <c r="D2090" s="103"/>
      <c r="E2090" s="53"/>
      <c r="F2090" s="53"/>
      <c r="G2090" s="53"/>
      <c r="H2090" s="53"/>
      <c r="I2090" s="53"/>
      <c r="J2090" s="53"/>
      <c r="K2090" s="53"/>
      <c r="L2090" s="53"/>
      <c r="M2090" s="53"/>
      <c r="N2090" s="53"/>
      <c r="O2090" s="53"/>
      <c r="P2090" s="53"/>
      <c r="Q2090" s="53"/>
      <c r="R2090" s="53"/>
      <c r="S2090" s="53"/>
      <c r="T2090" s="53"/>
      <c r="U2090" s="53"/>
      <c r="V2090" s="53"/>
      <c r="W2090" s="53"/>
      <c r="X2090" s="53"/>
      <c r="Y2090" s="53"/>
      <c r="Z2090" s="53"/>
    </row>
    <row r="2091" spans="1:26" ht="15.75" customHeight="1">
      <c r="A2091" s="103"/>
      <c r="B2091" s="103"/>
      <c r="C2091" s="104" t="e">
        <v>#REF!</v>
      </c>
      <c r="D2091" s="103"/>
      <c r="E2091" s="53"/>
      <c r="F2091" s="53"/>
      <c r="G2091" s="53"/>
      <c r="H2091" s="53"/>
      <c r="I2091" s="53"/>
      <c r="J2091" s="53"/>
      <c r="K2091" s="53"/>
      <c r="L2091" s="53"/>
      <c r="M2091" s="53"/>
      <c r="N2091" s="53"/>
      <c r="O2091" s="53"/>
      <c r="P2091" s="53"/>
      <c r="Q2091" s="53"/>
      <c r="R2091" s="53"/>
      <c r="S2091" s="53"/>
      <c r="T2091" s="53"/>
      <c r="U2091" s="53"/>
      <c r="V2091" s="53"/>
      <c r="W2091" s="53"/>
      <c r="X2091" s="53"/>
      <c r="Y2091" s="53"/>
      <c r="Z2091" s="53"/>
    </row>
    <row r="2092" spans="1:26" ht="15.75" customHeight="1">
      <c r="A2092" s="103"/>
      <c r="B2092" s="103"/>
      <c r="C2092" s="104" t="e">
        <v>#REF!</v>
      </c>
      <c r="D2092" s="103"/>
      <c r="E2092" s="53"/>
      <c r="F2092" s="53"/>
      <c r="G2092" s="53"/>
      <c r="H2092" s="53"/>
      <c r="I2092" s="53"/>
      <c r="J2092" s="53"/>
      <c r="K2092" s="53"/>
      <c r="L2092" s="53"/>
      <c r="M2092" s="53"/>
      <c r="N2092" s="53"/>
      <c r="O2092" s="53"/>
      <c r="P2092" s="53"/>
      <c r="Q2092" s="53"/>
      <c r="R2092" s="53"/>
      <c r="S2092" s="53"/>
      <c r="T2092" s="53"/>
      <c r="U2092" s="53"/>
      <c r="V2092" s="53"/>
      <c r="W2092" s="53"/>
      <c r="X2092" s="53"/>
      <c r="Y2092" s="53"/>
      <c r="Z2092" s="53"/>
    </row>
    <row r="2093" spans="1:26" ht="15.75" customHeight="1">
      <c r="A2093" s="103"/>
      <c r="B2093" s="103"/>
      <c r="C2093" s="104" t="e">
        <v>#REF!</v>
      </c>
      <c r="D2093" s="103"/>
      <c r="E2093" s="53"/>
      <c r="F2093" s="53"/>
      <c r="G2093" s="53"/>
      <c r="H2093" s="53"/>
      <c r="I2093" s="53"/>
      <c r="J2093" s="53"/>
      <c r="K2093" s="53"/>
      <c r="L2093" s="53"/>
      <c r="M2093" s="53"/>
      <c r="N2093" s="53"/>
      <c r="O2093" s="53"/>
      <c r="P2093" s="53"/>
      <c r="Q2093" s="53"/>
      <c r="R2093" s="53"/>
      <c r="S2093" s="53"/>
      <c r="T2093" s="53"/>
      <c r="U2093" s="53"/>
      <c r="V2093" s="53"/>
      <c r="W2093" s="53"/>
      <c r="X2093" s="53"/>
      <c r="Y2093" s="53"/>
      <c r="Z2093" s="53"/>
    </row>
    <row r="2094" spans="1:26" ht="15.75" customHeight="1">
      <c r="A2094" s="103"/>
      <c r="B2094" s="103"/>
      <c r="C2094" s="104" t="e">
        <v>#REF!</v>
      </c>
      <c r="D2094" s="103"/>
      <c r="E2094" s="53"/>
      <c r="F2094" s="53"/>
      <c r="G2094" s="53"/>
      <c r="H2094" s="53"/>
      <c r="I2094" s="53"/>
      <c r="J2094" s="53"/>
      <c r="K2094" s="53"/>
      <c r="L2094" s="53"/>
      <c r="M2094" s="53"/>
      <c r="N2094" s="53"/>
      <c r="O2094" s="53"/>
      <c r="P2094" s="53"/>
      <c r="Q2094" s="53"/>
      <c r="R2094" s="53"/>
      <c r="S2094" s="53"/>
      <c r="T2094" s="53"/>
      <c r="U2094" s="53"/>
      <c r="V2094" s="53"/>
      <c r="W2094" s="53"/>
      <c r="X2094" s="53"/>
      <c r="Y2094" s="53"/>
      <c r="Z2094" s="53"/>
    </row>
    <row r="2095" spans="1:26" ht="15.75" customHeight="1">
      <c r="A2095" s="103"/>
      <c r="B2095" s="103"/>
      <c r="C2095" s="104" t="e">
        <v>#REF!</v>
      </c>
      <c r="D2095" s="103"/>
      <c r="E2095" s="53"/>
      <c r="F2095" s="53"/>
      <c r="G2095" s="53"/>
      <c r="H2095" s="53"/>
      <c r="I2095" s="53"/>
      <c r="J2095" s="53"/>
      <c r="K2095" s="53"/>
      <c r="L2095" s="53"/>
      <c r="M2095" s="53"/>
      <c r="N2095" s="53"/>
      <c r="O2095" s="53"/>
      <c r="P2095" s="53"/>
      <c r="Q2095" s="53"/>
      <c r="R2095" s="53"/>
      <c r="S2095" s="53"/>
      <c r="T2095" s="53"/>
      <c r="U2095" s="53"/>
      <c r="V2095" s="53"/>
      <c r="W2095" s="53"/>
      <c r="X2095" s="53"/>
      <c r="Y2095" s="53"/>
      <c r="Z2095" s="53"/>
    </row>
    <row r="2096" spans="1:26" ht="15.75" customHeight="1">
      <c r="A2096" s="103"/>
      <c r="B2096" s="103"/>
      <c r="C2096" s="104" t="e">
        <v>#REF!</v>
      </c>
      <c r="D2096" s="103"/>
      <c r="E2096" s="53"/>
      <c r="F2096" s="53"/>
      <c r="G2096" s="53"/>
      <c r="H2096" s="53"/>
      <c r="I2096" s="53"/>
      <c r="J2096" s="53"/>
      <c r="K2096" s="53"/>
      <c r="L2096" s="53"/>
      <c r="M2096" s="53"/>
      <c r="N2096" s="53"/>
      <c r="O2096" s="53"/>
      <c r="P2096" s="53"/>
      <c r="Q2096" s="53"/>
      <c r="R2096" s="53"/>
      <c r="S2096" s="53"/>
      <c r="T2096" s="53"/>
      <c r="U2096" s="53"/>
      <c r="V2096" s="53"/>
      <c r="W2096" s="53"/>
      <c r="X2096" s="53"/>
      <c r="Y2096" s="53"/>
      <c r="Z2096" s="53"/>
    </row>
    <row r="2097" spans="1:26" ht="15.75" customHeight="1">
      <c r="A2097" s="103"/>
      <c r="B2097" s="103"/>
      <c r="C2097" s="104" t="e">
        <v>#REF!</v>
      </c>
      <c r="D2097" s="103"/>
      <c r="E2097" s="53"/>
      <c r="F2097" s="53"/>
      <c r="G2097" s="53"/>
      <c r="H2097" s="53"/>
      <c r="I2097" s="53"/>
      <c r="J2097" s="53"/>
      <c r="K2097" s="53"/>
      <c r="L2097" s="53"/>
      <c r="M2097" s="53"/>
      <c r="N2097" s="53"/>
      <c r="O2097" s="53"/>
      <c r="P2097" s="53"/>
      <c r="Q2097" s="53"/>
      <c r="R2097" s="53"/>
      <c r="S2097" s="53"/>
      <c r="T2097" s="53"/>
      <c r="U2097" s="53"/>
      <c r="V2097" s="53"/>
      <c r="W2097" s="53"/>
      <c r="X2097" s="53"/>
      <c r="Y2097" s="53"/>
      <c r="Z2097" s="53"/>
    </row>
    <row r="2098" spans="1:26" ht="15.75" customHeight="1">
      <c r="A2098" s="103"/>
      <c r="B2098" s="103"/>
      <c r="C2098" s="104" t="e">
        <v>#REF!</v>
      </c>
      <c r="D2098" s="103"/>
      <c r="E2098" s="53"/>
      <c r="F2098" s="53"/>
      <c r="G2098" s="53"/>
      <c r="H2098" s="53"/>
      <c r="I2098" s="53"/>
      <c r="J2098" s="53"/>
      <c r="K2098" s="53"/>
      <c r="L2098" s="53"/>
      <c r="M2098" s="53"/>
      <c r="N2098" s="53"/>
      <c r="O2098" s="53"/>
      <c r="P2098" s="53"/>
      <c r="Q2098" s="53"/>
      <c r="R2098" s="53"/>
      <c r="S2098" s="53"/>
      <c r="T2098" s="53"/>
      <c r="U2098" s="53"/>
      <c r="V2098" s="53"/>
      <c r="W2098" s="53"/>
      <c r="X2098" s="53"/>
      <c r="Y2098" s="53"/>
      <c r="Z2098" s="53"/>
    </row>
    <row r="2099" spans="1:26" ht="15.75" customHeight="1">
      <c r="A2099" s="103"/>
      <c r="B2099" s="103"/>
      <c r="C2099" s="104" t="e">
        <v>#REF!</v>
      </c>
      <c r="D2099" s="103"/>
      <c r="E2099" s="53"/>
      <c r="F2099" s="53"/>
      <c r="G2099" s="53"/>
      <c r="H2099" s="53"/>
      <c r="I2099" s="53"/>
      <c r="J2099" s="53"/>
      <c r="K2099" s="53"/>
      <c r="L2099" s="53"/>
      <c r="M2099" s="53"/>
      <c r="N2099" s="53"/>
      <c r="O2099" s="53"/>
      <c r="P2099" s="53"/>
      <c r="Q2099" s="53"/>
      <c r="R2099" s="53"/>
      <c r="S2099" s="53"/>
      <c r="T2099" s="53"/>
      <c r="U2099" s="53"/>
      <c r="V2099" s="53"/>
      <c r="W2099" s="53"/>
      <c r="X2099" s="53"/>
      <c r="Y2099" s="53"/>
      <c r="Z2099" s="53"/>
    </row>
    <row r="2100" spans="1:26" ht="15.75" customHeight="1">
      <c r="A2100" s="103"/>
      <c r="B2100" s="103"/>
      <c r="C2100" s="104" t="e">
        <v>#REF!</v>
      </c>
      <c r="D2100" s="103"/>
      <c r="E2100" s="53"/>
      <c r="F2100" s="53"/>
      <c r="G2100" s="53"/>
      <c r="H2100" s="53"/>
      <c r="I2100" s="53"/>
      <c r="J2100" s="53"/>
      <c r="K2100" s="53"/>
      <c r="L2100" s="53"/>
      <c r="M2100" s="53"/>
      <c r="N2100" s="53"/>
      <c r="O2100" s="53"/>
      <c r="P2100" s="53"/>
      <c r="Q2100" s="53"/>
      <c r="R2100" s="53"/>
      <c r="S2100" s="53"/>
      <c r="T2100" s="53"/>
      <c r="U2100" s="53"/>
      <c r="V2100" s="53"/>
      <c r="W2100" s="53"/>
      <c r="X2100" s="53"/>
      <c r="Y2100" s="53"/>
      <c r="Z2100" s="53"/>
    </row>
    <row r="2101" spans="1:26" ht="15.75" customHeight="1">
      <c r="A2101" s="103"/>
      <c r="B2101" s="103"/>
      <c r="C2101" s="104" t="e">
        <v>#REF!</v>
      </c>
      <c r="D2101" s="103"/>
      <c r="E2101" s="53"/>
      <c r="F2101" s="53"/>
      <c r="G2101" s="53"/>
      <c r="H2101" s="53"/>
      <c r="I2101" s="53"/>
      <c r="J2101" s="53"/>
      <c r="K2101" s="53"/>
      <c r="L2101" s="53"/>
      <c r="M2101" s="53"/>
      <c r="N2101" s="53"/>
      <c r="O2101" s="53"/>
      <c r="P2101" s="53"/>
      <c r="Q2101" s="53"/>
      <c r="R2101" s="53"/>
      <c r="S2101" s="53"/>
      <c r="T2101" s="53"/>
      <c r="U2101" s="53"/>
      <c r="V2101" s="53"/>
      <c r="W2101" s="53"/>
      <c r="X2101" s="53"/>
      <c r="Y2101" s="53"/>
      <c r="Z2101" s="53"/>
    </row>
    <row r="2102" spans="1:26" ht="15.75" customHeight="1">
      <c r="A2102" s="103"/>
      <c r="B2102" s="103"/>
      <c r="C2102" s="104" t="e">
        <v>#REF!</v>
      </c>
      <c r="D2102" s="103"/>
      <c r="E2102" s="53"/>
      <c r="F2102" s="53"/>
      <c r="G2102" s="53"/>
      <c r="H2102" s="53"/>
      <c r="I2102" s="53"/>
      <c r="J2102" s="53"/>
      <c r="K2102" s="53"/>
      <c r="L2102" s="53"/>
      <c r="M2102" s="53"/>
      <c r="N2102" s="53"/>
      <c r="O2102" s="53"/>
      <c r="P2102" s="53"/>
      <c r="Q2102" s="53"/>
      <c r="R2102" s="53"/>
      <c r="S2102" s="53"/>
      <c r="T2102" s="53"/>
      <c r="U2102" s="53"/>
      <c r="V2102" s="53"/>
      <c r="W2102" s="53"/>
      <c r="X2102" s="53"/>
      <c r="Y2102" s="53"/>
      <c r="Z2102" s="53"/>
    </row>
    <row r="2103" spans="1:26" ht="15.75" customHeight="1">
      <c r="A2103" s="103"/>
      <c r="B2103" s="103"/>
      <c r="C2103" s="104" t="e">
        <v>#REF!</v>
      </c>
      <c r="D2103" s="10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</row>
    <row r="2104" spans="1:26" ht="15.75" customHeight="1">
      <c r="A2104" s="103"/>
      <c r="B2104" s="103"/>
      <c r="C2104" s="104" t="e">
        <v>#REF!</v>
      </c>
      <c r="D2104" s="103"/>
      <c r="E2104" s="53"/>
      <c r="F2104" s="53"/>
      <c r="G2104" s="53"/>
      <c r="H2104" s="53"/>
      <c r="I2104" s="53"/>
      <c r="J2104" s="53"/>
      <c r="K2104" s="53"/>
      <c r="L2104" s="53"/>
      <c r="M2104" s="53"/>
      <c r="N2104" s="53"/>
      <c r="O2104" s="53"/>
      <c r="P2104" s="53"/>
      <c r="Q2104" s="53"/>
      <c r="R2104" s="53"/>
      <c r="S2104" s="53"/>
      <c r="T2104" s="53"/>
      <c r="U2104" s="53"/>
      <c r="V2104" s="53"/>
      <c r="W2104" s="53"/>
      <c r="X2104" s="53"/>
      <c r="Y2104" s="53"/>
      <c r="Z2104" s="53"/>
    </row>
    <row r="2105" spans="1:26" ht="15.75" customHeight="1">
      <c r="A2105" s="103"/>
      <c r="B2105" s="103"/>
      <c r="C2105" s="104" t="e">
        <v>#REF!</v>
      </c>
      <c r="D2105" s="103"/>
      <c r="E2105" s="53"/>
      <c r="F2105" s="53"/>
      <c r="G2105" s="53"/>
      <c r="H2105" s="53"/>
      <c r="I2105" s="53"/>
      <c r="J2105" s="53"/>
      <c r="K2105" s="53"/>
      <c r="L2105" s="53"/>
      <c r="M2105" s="53"/>
      <c r="N2105" s="53"/>
      <c r="O2105" s="53"/>
      <c r="P2105" s="53"/>
      <c r="Q2105" s="53"/>
      <c r="R2105" s="53"/>
      <c r="S2105" s="53"/>
      <c r="T2105" s="53"/>
      <c r="U2105" s="53"/>
      <c r="V2105" s="53"/>
      <c r="W2105" s="53"/>
      <c r="X2105" s="53"/>
      <c r="Y2105" s="53"/>
      <c r="Z2105" s="53"/>
    </row>
    <row r="2106" spans="1:26" ht="15.75" customHeight="1">
      <c r="A2106" s="103"/>
      <c r="B2106" s="103"/>
      <c r="C2106" s="104" t="e">
        <v>#REF!</v>
      </c>
      <c r="D2106" s="103"/>
      <c r="E2106" s="53"/>
      <c r="F2106" s="53"/>
      <c r="G2106" s="53"/>
      <c r="H2106" s="53"/>
      <c r="I2106" s="53"/>
      <c r="J2106" s="53"/>
      <c r="K2106" s="53"/>
      <c r="L2106" s="53"/>
      <c r="M2106" s="53"/>
      <c r="N2106" s="53"/>
      <c r="O2106" s="53"/>
      <c r="P2106" s="53"/>
      <c r="Q2106" s="53"/>
      <c r="R2106" s="53"/>
      <c r="S2106" s="53"/>
      <c r="T2106" s="53"/>
      <c r="U2106" s="53"/>
      <c r="V2106" s="53"/>
      <c r="W2106" s="53"/>
      <c r="X2106" s="53"/>
      <c r="Y2106" s="53"/>
      <c r="Z2106" s="53"/>
    </row>
    <row r="2107" spans="1:26" ht="15.75" customHeight="1">
      <c r="A2107" s="103"/>
      <c r="B2107" s="103"/>
      <c r="C2107" s="104" t="e">
        <v>#REF!</v>
      </c>
      <c r="D2107" s="103"/>
      <c r="E2107" s="53"/>
      <c r="F2107" s="53"/>
      <c r="G2107" s="53"/>
      <c r="H2107" s="53"/>
      <c r="I2107" s="53"/>
      <c r="J2107" s="53"/>
      <c r="K2107" s="53"/>
      <c r="L2107" s="53"/>
      <c r="M2107" s="53"/>
      <c r="N2107" s="53"/>
      <c r="O2107" s="53"/>
      <c r="P2107" s="53"/>
      <c r="Q2107" s="53"/>
      <c r="R2107" s="53"/>
      <c r="S2107" s="53"/>
      <c r="T2107" s="53"/>
      <c r="U2107" s="53"/>
      <c r="V2107" s="53"/>
      <c r="W2107" s="53"/>
      <c r="X2107" s="53"/>
      <c r="Y2107" s="53"/>
      <c r="Z2107" s="53"/>
    </row>
    <row r="2108" spans="1:26" ht="15.75" customHeight="1">
      <c r="A2108" s="103"/>
      <c r="B2108" s="103"/>
      <c r="C2108" s="104" t="e">
        <v>#REF!</v>
      </c>
      <c r="D2108" s="10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53"/>
      <c r="T2108" s="53"/>
      <c r="U2108" s="53"/>
      <c r="V2108" s="53"/>
      <c r="W2108" s="53"/>
      <c r="X2108" s="53"/>
      <c r="Y2108" s="53"/>
      <c r="Z2108" s="53"/>
    </row>
    <row r="2109" spans="1:26" ht="15.75" customHeight="1">
      <c r="A2109" s="103"/>
      <c r="B2109" s="103"/>
      <c r="C2109" s="104" t="e">
        <v>#REF!</v>
      </c>
      <c r="D2109" s="103"/>
      <c r="E2109" s="53"/>
      <c r="F2109" s="53"/>
      <c r="G2109" s="53"/>
      <c r="H2109" s="53"/>
      <c r="I2109" s="53"/>
      <c r="J2109" s="53"/>
      <c r="K2109" s="53"/>
      <c r="L2109" s="53"/>
      <c r="M2109" s="53"/>
      <c r="N2109" s="53"/>
      <c r="O2109" s="53"/>
      <c r="P2109" s="53"/>
      <c r="Q2109" s="53"/>
      <c r="R2109" s="53"/>
      <c r="S2109" s="53"/>
      <c r="T2109" s="53"/>
      <c r="U2109" s="53"/>
      <c r="V2109" s="53"/>
      <c r="W2109" s="53"/>
      <c r="X2109" s="53"/>
      <c r="Y2109" s="53"/>
      <c r="Z2109" s="53"/>
    </row>
    <row r="2110" spans="1:26" ht="15.75" customHeight="1">
      <c r="A2110" s="103"/>
      <c r="B2110" s="103"/>
      <c r="C2110" s="104" t="e">
        <v>#REF!</v>
      </c>
      <c r="D2110" s="103"/>
      <c r="E2110" s="53"/>
      <c r="F2110" s="53"/>
      <c r="G2110" s="53"/>
      <c r="H2110" s="53"/>
      <c r="I2110" s="53"/>
      <c r="J2110" s="53"/>
      <c r="K2110" s="53"/>
      <c r="L2110" s="53"/>
      <c r="M2110" s="53"/>
      <c r="N2110" s="53"/>
      <c r="O2110" s="53"/>
      <c r="P2110" s="53"/>
      <c r="Q2110" s="53"/>
      <c r="R2110" s="53"/>
      <c r="S2110" s="53"/>
      <c r="T2110" s="53"/>
      <c r="U2110" s="53"/>
      <c r="V2110" s="53"/>
      <c r="W2110" s="53"/>
      <c r="X2110" s="53"/>
      <c r="Y2110" s="53"/>
      <c r="Z2110" s="53"/>
    </row>
    <row r="2111" spans="1:26" ht="15.75" customHeight="1">
      <c r="A2111" s="103"/>
      <c r="B2111" s="103"/>
      <c r="C2111" s="104" t="e">
        <v>#REF!</v>
      </c>
      <c r="D2111" s="103"/>
      <c r="E2111" s="53"/>
      <c r="F2111" s="53"/>
      <c r="G2111" s="53"/>
      <c r="H2111" s="53"/>
      <c r="I2111" s="53"/>
      <c r="J2111" s="53"/>
      <c r="K2111" s="53"/>
      <c r="L2111" s="53"/>
      <c r="M2111" s="53"/>
      <c r="N2111" s="53"/>
      <c r="O2111" s="53"/>
      <c r="P2111" s="53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</row>
    <row r="2112" spans="1:26" ht="15.75" customHeight="1">
      <c r="A2112" s="103"/>
      <c r="B2112" s="103"/>
      <c r="C2112" s="104" t="e">
        <v>#REF!</v>
      </c>
      <c r="D2112" s="103"/>
      <c r="E2112" s="53"/>
      <c r="F2112" s="53"/>
      <c r="G2112" s="53"/>
      <c r="H2112" s="53"/>
      <c r="I2112" s="53"/>
      <c r="J2112" s="53"/>
      <c r="K2112" s="53"/>
      <c r="L2112" s="53"/>
      <c r="M2112" s="53"/>
      <c r="N2112" s="53"/>
      <c r="O2112" s="53"/>
      <c r="P2112" s="53"/>
      <c r="Q2112" s="53"/>
      <c r="R2112" s="53"/>
      <c r="S2112" s="53"/>
      <c r="T2112" s="53"/>
      <c r="U2112" s="53"/>
      <c r="V2112" s="53"/>
      <c r="W2112" s="53"/>
      <c r="X2112" s="53"/>
      <c r="Y2112" s="53"/>
      <c r="Z2112" s="53"/>
    </row>
    <row r="2113" spans="1:26" ht="15.75" customHeight="1">
      <c r="A2113" s="103"/>
      <c r="B2113" s="103"/>
      <c r="C2113" s="104" t="e">
        <v>#REF!</v>
      </c>
      <c r="D2113" s="103"/>
      <c r="E2113" s="53"/>
      <c r="F2113" s="53"/>
      <c r="G2113" s="53"/>
      <c r="H2113" s="53"/>
      <c r="I2113" s="53"/>
      <c r="J2113" s="53"/>
      <c r="K2113" s="53"/>
      <c r="L2113" s="53"/>
      <c r="M2113" s="53"/>
      <c r="N2113" s="53"/>
      <c r="O2113" s="53"/>
      <c r="P2113" s="53"/>
      <c r="Q2113" s="53"/>
      <c r="R2113" s="53"/>
      <c r="S2113" s="53"/>
      <c r="T2113" s="53"/>
      <c r="U2113" s="53"/>
      <c r="V2113" s="53"/>
      <c r="W2113" s="53"/>
      <c r="X2113" s="53"/>
      <c r="Y2113" s="53"/>
      <c r="Z2113" s="53"/>
    </row>
    <row r="2114" spans="1:26" ht="15.75" customHeight="1">
      <c r="A2114" s="103"/>
      <c r="B2114" s="103"/>
      <c r="C2114" s="104" t="e">
        <v>#REF!</v>
      </c>
      <c r="D2114" s="103"/>
      <c r="E2114" s="53"/>
      <c r="F2114" s="53"/>
      <c r="G2114" s="53"/>
      <c r="H2114" s="53"/>
      <c r="I2114" s="53"/>
      <c r="J2114" s="53"/>
      <c r="K2114" s="53"/>
      <c r="L2114" s="53"/>
      <c r="M2114" s="53"/>
      <c r="N2114" s="53"/>
      <c r="O2114" s="53"/>
      <c r="P2114" s="53"/>
      <c r="Q2114" s="53"/>
      <c r="R2114" s="53"/>
      <c r="S2114" s="53"/>
      <c r="T2114" s="53"/>
      <c r="U2114" s="53"/>
      <c r="V2114" s="53"/>
      <c r="W2114" s="53"/>
      <c r="X2114" s="53"/>
      <c r="Y2114" s="53"/>
      <c r="Z2114" s="53"/>
    </row>
    <row r="2115" spans="1:26" ht="15.75" customHeight="1">
      <c r="A2115" s="103"/>
      <c r="B2115" s="103"/>
      <c r="C2115" s="104" t="e">
        <v>#REF!</v>
      </c>
      <c r="D2115" s="103"/>
      <c r="E2115" s="53"/>
      <c r="F2115" s="53"/>
      <c r="G2115" s="53"/>
      <c r="H2115" s="53"/>
      <c r="I2115" s="53"/>
      <c r="J2115" s="53"/>
      <c r="K2115" s="53"/>
      <c r="L2115" s="53"/>
      <c r="M2115" s="53"/>
      <c r="N2115" s="53"/>
      <c r="O2115" s="53"/>
      <c r="P2115" s="53"/>
      <c r="Q2115" s="53"/>
      <c r="R2115" s="53"/>
      <c r="S2115" s="53"/>
      <c r="T2115" s="53"/>
      <c r="U2115" s="53"/>
      <c r="V2115" s="53"/>
      <c r="W2115" s="53"/>
      <c r="X2115" s="53"/>
      <c r="Y2115" s="53"/>
      <c r="Z2115" s="53"/>
    </row>
    <row r="2116" spans="1:26" ht="15.75" customHeight="1">
      <c r="A2116" s="103"/>
      <c r="B2116" s="103"/>
      <c r="C2116" s="104" t="e">
        <v>#REF!</v>
      </c>
      <c r="D2116" s="103"/>
      <c r="E2116" s="53"/>
      <c r="F2116" s="53"/>
      <c r="G2116" s="53"/>
      <c r="H2116" s="53"/>
      <c r="I2116" s="53"/>
      <c r="J2116" s="53"/>
      <c r="K2116" s="53"/>
      <c r="L2116" s="53"/>
      <c r="M2116" s="53"/>
      <c r="N2116" s="53"/>
      <c r="O2116" s="53"/>
      <c r="P2116" s="53"/>
      <c r="Q2116" s="53"/>
      <c r="R2116" s="53"/>
      <c r="S2116" s="53"/>
      <c r="T2116" s="53"/>
      <c r="U2116" s="53"/>
      <c r="V2116" s="53"/>
      <c r="W2116" s="53"/>
      <c r="X2116" s="53"/>
      <c r="Y2116" s="53"/>
      <c r="Z2116" s="53"/>
    </row>
    <row r="2117" spans="1:26" ht="15.75" customHeight="1">
      <c r="A2117" s="103"/>
      <c r="B2117" s="103"/>
      <c r="C2117" s="104" t="e">
        <v>#REF!</v>
      </c>
      <c r="D2117" s="103"/>
      <c r="E2117" s="53"/>
      <c r="F2117" s="53"/>
      <c r="G2117" s="53"/>
      <c r="H2117" s="53"/>
      <c r="I2117" s="53"/>
      <c r="J2117" s="53"/>
      <c r="K2117" s="53"/>
      <c r="L2117" s="53"/>
      <c r="M2117" s="53"/>
      <c r="N2117" s="53"/>
      <c r="O2117" s="53"/>
      <c r="P2117" s="53"/>
      <c r="Q2117" s="53"/>
      <c r="R2117" s="53"/>
      <c r="S2117" s="53"/>
      <c r="T2117" s="53"/>
      <c r="U2117" s="53"/>
      <c r="V2117" s="53"/>
      <c r="W2117" s="53"/>
      <c r="X2117" s="53"/>
      <c r="Y2117" s="53"/>
      <c r="Z2117" s="53"/>
    </row>
    <row r="2118" spans="1:26" ht="15.75" customHeight="1">
      <c r="A2118" s="103"/>
      <c r="B2118" s="103"/>
      <c r="C2118" s="104" t="e">
        <v>#REF!</v>
      </c>
      <c r="D2118" s="103"/>
      <c r="E2118" s="53"/>
      <c r="F2118" s="53"/>
      <c r="G2118" s="53"/>
      <c r="H2118" s="53"/>
      <c r="I2118" s="53"/>
      <c r="J2118" s="53"/>
      <c r="K2118" s="53"/>
      <c r="L2118" s="53"/>
      <c r="M2118" s="53"/>
      <c r="N2118" s="53"/>
      <c r="O2118" s="53"/>
      <c r="P2118" s="53"/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</row>
    <row r="2119" spans="1:26" ht="15.75" customHeight="1">
      <c r="A2119" s="103"/>
      <c r="B2119" s="103"/>
      <c r="C2119" s="104" t="e">
        <v>#REF!</v>
      </c>
      <c r="D2119" s="103"/>
      <c r="E2119" s="53"/>
      <c r="F2119" s="53"/>
      <c r="G2119" s="53"/>
      <c r="H2119" s="53"/>
      <c r="I2119" s="53"/>
      <c r="J2119" s="53"/>
      <c r="K2119" s="53"/>
      <c r="L2119" s="53"/>
      <c r="M2119" s="53"/>
      <c r="N2119" s="53"/>
      <c r="O2119" s="53"/>
      <c r="P2119" s="53"/>
      <c r="Q2119" s="53"/>
      <c r="R2119" s="53"/>
      <c r="S2119" s="53"/>
      <c r="T2119" s="53"/>
      <c r="U2119" s="53"/>
      <c r="V2119" s="53"/>
      <c r="W2119" s="53"/>
      <c r="X2119" s="53"/>
      <c r="Y2119" s="53"/>
      <c r="Z2119" s="53"/>
    </row>
    <row r="2120" spans="1:26" ht="15.75" customHeight="1">
      <c r="A2120" s="103"/>
      <c r="B2120" s="103"/>
      <c r="C2120" s="104" t="e">
        <v>#REF!</v>
      </c>
      <c r="D2120" s="103"/>
      <c r="E2120" s="53"/>
      <c r="F2120" s="53"/>
      <c r="G2120" s="53"/>
      <c r="H2120" s="53"/>
      <c r="I2120" s="53"/>
      <c r="J2120" s="53"/>
      <c r="K2120" s="53"/>
      <c r="L2120" s="53"/>
      <c r="M2120" s="53"/>
      <c r="N2120" s="53"/>
      <c r="O2120" s="53"/>
      <c r="P2120" s="53"/>
      <c r="Q2120" s="53"/>
      <c r="R2120" s="53"/>
      <c r="S2120" s="53"/>
      <c r="T2120" s="53"/>
      <c r="U2120" s="53"/>
      <c r="V2120" s="53"/>
      <c r="W2120" s="53"/>
      <c r="X2120" s="53"/>
      <c r="Y2120" s="53"/>
      <c r="Z2120" s="53"/>
    </row>
    <row r="2121" spans="1:26" ht="15.75" customHeight="1">
      <c r="A2121" s="103"/>
      <c r="B2121" s="103"/>
      <c r="C2121" s="104" t="e">
        <v>#REF!</v>
      </c>
      <c r="D2121" s="103"/>
      <c r="E2121" s="53"/>
      <c r="F2121" s="53"/>
      <c r="G2121" s="53"/>
      <c r="H2121" s="53"/>
      <c r="I2121" s="53"/>
      <c r="J2121" s="53"/>
      <c r="K2121" s="53"/>
      <c r="L2121" s="53"/>
      <c r="M2121" s="53"/>
      <c r="N2121" s="53"/>
      <c r="O2121" s="53"/>
      <c r="P2121" s="53"/>
      <c r="Q2121" s="53"/>
      <c r="R2121" s="53"/>
      <c r="S2121" s="53"/>
      <c r="T2121" s="53"/>
      <c r="U2121" s="53"/>
      <c r="V2121" s="53"/>
      <c r="W2121" s="53"/>
      <c r="X2121" s="53"/>
      <c r="Y2121" s="53"/>
      <c r="Z2121" s="53"/>
    </row>
    <row r="2122" spans="1:26" ht="15.75" customHeight="1">
      <c r="A2122" s="103"/>
      <c r="B2122" s="103"/>
      <c r="C2122" s="104" t="e">
        <v>#REF!</v>
      </c>
      <c r="D2122" s="103"/>
      <c r="E2122" s="53"/>
      <c r="F2122" s="53"/>
      <c r="G2122" s="53"/>
      <c r="H2122" s="53"/>
      <c r="I2122" s="53"/>
      <c r="J2122" s="53"/>
      <c r="K2122" s="53"/>
      <c r="L2122" s="53"/>
      <c r="M2122" s="53"/>
      <c r="N2122" s="53"/>
      <c r="O2122" s="53"/>
      <c r="P2122" s="53"/>
      <c r="Q2122" s="53"/>
      <c r="R2122" s="53"/>
      <c r="S2122" s="53"/>
      <c r="T2122" s="53"/>
      <c r="U2122" s="53"/>
      <c r="V2122" s="53"/>
      <c r="W2122" s="53"/>
      <c r="X2122" s="53"/>
      <c r="Y2122" s="53"/>
      <c r="Z2122" s="53"/>
    </row>
    <row r="2123" spans="1:26" ht="15.75" customHeight="1">
      <c r="A2123" s="103"/>
      <c r="B2123" s="103"/>
      <c r="C2123" s="104" t="e">
        <v>#REF!</v>
      </c>
      <c r="D2123" s="103"/>
      <c r="E2123" s="53"/>
      <c r="F2123" s="53"/>
      <c r="G2123" s="53"/>
      <c r="H2123" s="53"/>
      <c r="I2123" s="53"/>
      <c r="J2123" s="53"/>
      <c r="K2123" s="53"/>
      <c r="L2123" s="53"/>
      <c r="M2123" s="53"/>
      <c r="N2123" s="53"/>
      <c r="O2123" s="53"/>
      <c r="P2123" s="53"/>
      <c r="Q2123" s="53"/>
      <c r="R2123" s="53"/>
      <c r="S2123" s="53"/>
      <c r="T2123" s="53"/>
      <c r="U2123" s="53"/>
      <c r="V2123" s="53"/>
      <c r="W2123" s="53"/>
      <c r="X2123" s="53"/>
      <c r="Y2123" s="53"/>
      <c r="Z2123" s="53"/>
    </row>
    <row r="2124" spans="1:26" ht="15.75" customHeight="1">
      <c r="A2124" s="103"/>
      <c r="B2124" s="103"/>
      <c r="C2124" s="104" t="e">
        <v>#REF!</v>
      </c>
      <c r="D2124" s="103"/>
      <c r="E2124" s="53"/>
      <c r="F2124" s="53"/>
      <c r="G2124" s="53"/>
      <c r="H2124" s="53"/>
      <c r="I2124" s="53"/>
      <c r="J2124" s="53"/>
      <c r="K2124" s="53"/>
      <c r="L2124" s="53"/>
      <c r="M2124" s="53"/>
      <c r="N2124" s="53"/>
      <c r="O2124" s="53"/>
      <c r="P2124" s="53"/>
      <c r="Q2124" s="53"/>
      <c r="R2124" s="53"/>
      <c r="S2124" s="53"/>
      <c r="T2124" s="53"/>
      <c r="U2124" s="53"/>
      <c r="V2124" s="53"/>
      <c r="W2124" s="53"/>
      <c r="X2124" s="53"/>
      <c r="Y2124" s="53"/>
      <c r="Z2124" s="53"/>
    </row>
    <row r="2125" spans="1:26" ht="15.75" customHeight="1">
      <c r="A2125" s="103"/>
      <c r="B2125" s="103"/>
      <c r="C2125" s="104" t="e">
        <v>#REF!</v>
      </c>
      <c r="D2125" s="103"/>
      <c r="E2125" s="53"/>
      <c r="F2125" s="53"/>
      <c r="G2125" s="53"/>
      <c r="H2125" s="53"/>
      <c r="I2125" s="53"/>
      <c r="J2125" s="53"/>
      <c r="K2125" s="53"/>
      <c r="L2125" s="53"/>
      <c r="M2125" s="53"/>
      <c r="N2125" s="53"/>
      <c r="O2125" s="53"/>
      <c r="P2125" s="53"/>
      <c r="Q2125" s="53"/>
      <c r="R2125" s="53"/>
      <c r="S2125" s="53"/>
      <c r="T2125" s="53"/>
      <c r="U2125" s="53"/>
      <c r="V2125" s="53"/>
      <c r="W2125" s="53"/>
      <c r="X2125" s="53"/>
      <c r="Y2125" s="53"/>
      <c r="Z2125" s="53"/>
    </row>
    <row r="2126" spans="1:26" ht="15.75" customHeight="1">
      <c r="A2126" s="103"/>
      <c r="B2126" s="103"/>
      <c r="C2126" s="104" t="e">
        <v>#REF!</v>
      </c>
      <c r="D2126" s="103"/>
      <c r="E2126" s="53"/>
      <c r="F2126" s="53"/>
      <c r="G2126" s="53"/>
      <c r="H2126" s="53"/>
      <c r="I2126" s="53"/>
      <c r="J2126" s="53"/>
      <c r="K2126" s="53"/>
      <c r="L2126" s="53"/>
      <c r="M2126" s="53"/>
      <c r="N2126" s="53"/>
      <c r="O2126" s="53"/>
      <c r="P2126" s="53"/>
      <c r="Q2126" s="53"/>
      <c r="R2126" s="53"/>
      <c r="S2126" s="53"/>
      <c r="T2126" s="53"/>
      <c r="U2126" s="53"/>
      <c r="V2126" s="53"/>
      <c r="W2126" s="53"/>
      <c r="X2126" s="53"/>
      <c r="Y2126" s="53"/>
      <c r="Z2126" s="53"/>
    </row>
    <row r="2127" spans="1:26" ht="15.75" customHeight="1">
      <c r="A2127" s="103"/>
      <c r="B2127" s="103"/>
      <c r="C2127" s="104" t="e">
        <v>#REF!</v>
      </c>
      <c r="D2127" s="103"/>
      <c r="E2127" s="53"/>
      <c r="F2127" s="53"/>
      <c r="G2127" s="53"/>
      <c r="H2127" s="53"/>
      <c r="I2127" s="53"/>
      <c r="J2127" s="53"/>
      <c r="K2127" s="53"/>
      <c r="L2127" s="53"/>
      <c r="M2127" s="53"/>
      <c r="N2127" s="53"/>
      <c r="O2127" s="53"/>
      <c r="P2127" s="53"/>
      <c r="Q2127" s="53"/>
      <c r="R2127" s="53"/>
      <c r="S2127" s="53"/>
      <c r="T2127" s="53"/>
      <c r="U2127" s="53"/>
      <c r="V2127" s="53"/>
      <c r="W2127" s="53"/>
      <c r="X2127" s="53"/>
      <c r="Y2127" s="53"/>
      <c r="Z2127" s="53"/>
    </row>
    <row r="2128" spans="1:26" ht="15.75" customHeight="1">
      <c r="A2128" s="103"/>
      <c r="B2128" s="103"/>
      <c r="C2128" s="104" t="e">
        <v>#REF!</v>
      </c>
      <c r="D2128" s="103"/>
      <c r="E2128" s="53"/>
      <c r="F2128" s="53"/>
      <c r="G2128" s="53"/>
      <c r="H2128" s="53"/>
      <c r="I2128" s="53"/>
      <c r="J2128" s="53"/>
      <c r="K2128" s="53"/>
      <c r="L2128" s="53"/>
      <c r="M2128" s="53"/>
      <c r="N2128" s="53"/>
      <c r="O2128" s="53"/>
      <c r="P2128" s="53"/>
      <c r="Q2128" s="53"/>
      <c r="R2128" s="53"/>
      <c r="S2128" s="53"/>
      <c r="T2128" s="53"/>
      <c r="U2128" s="53"/>
      <c r="V2128" s="53"/>
      <c r="W2128" s="53"/>
      <c r="X2128" s="53"/>
      <c r="Y2128" s="53"/>
      <c r="Z2128" s="53"/>
    </row>
    <row r="2129" spans="1:26" ht="15.75" customHeight="1">
      <c r="A2129" s="103"/>
      <c r="B2129" s="103"/>
      <c r="C2129" s="104" t="e">
        <v>#REF!</v>
      </c>
      <c r="D2129" s="103"/>
      <c r="E2129" s="53"/>
      <c r="F2129" s="53"/>
      <c r="G2129" s="53"/>
      <c r="H2129" s="53"/>
      <c r="I2129" s="53"/>
      <c r="J2129" s="53"/>
      <c r="K2129" s="53"/>
      <c r="L2129" s="53"/>
      <c r="M2129" s="53"/>
      <c r="N2129" s="53"/>
      <c r="O2129" s="53"/>
      <c r="P2129" s="53"/>
      <c r="Q2129" s="53"/>
      <c r="R2129" s="53"/>
      <c r="S2129" s="53"/>
      <c r="T2129" s="53"/>
      <c r="U2129" s="53"/>
      <c r="V2129" s="53"/>
      <c r="W2129" s="53"/>
      <c r="X2129" s="53"/>
      <c r="Y2129" s="53"/>
      <c r="Z2129" s="53"/>
    </row>
    <row r="2130" spans="1:26" ht="15.75" customHeight="1">
      <c r="A2130" s="103"/>
      <c r="B2130" s="103"/>
      <c r="C2130" s="104" t="e">
        <v>#REF!</v>
      </c>
      <c r="D2130" s="103"/>
      <c r="E2130" s="53"/>
      <c r="F2130" s="53"/>
      <c r="G2130" s="53"/>
      <c r="H2130" s="53"/>
      <c r="I2130" s="53"/>
      <c r="J2130" s="53"/>
      <c r="K2130" s="53"/>
      <c r="L2130" s="53"/>
      <c r="M2130" s="53"/>
      <c r="N2130" s="53"/>
      <c r="O2130" s="53"/>
      <c r="P2130" s="53"/>
      <c r="Q2130" s="53"/>
      <c r="R2130" s="53"/>
      <c r="S2130" s="53"/>
      <c r="T2130" s="53"/>
      <c r="U2130" s="53"/>
      <c r="V2130" s="53"/>
      <c r="W2130" s="53"/>
      <c r="X2130" s="53"/>
      <c r="Y2130" s="53"/>
      <c r="Z2130" s="53"/>
    </row>
    <row r="2131" spans="1:26" ht="15.75" customHeight="1">
      <c r="A2131" s="103"/>
      <c r="B2131" s="103"/>
      <c r="C2131" s="104" t="e">
        <v>#REF!</v>
      </c>
      <c r="D2131" s="103"/>
      <c r="E2131" s="53"/>
      <c r="F2131" s="53"/>
      <c r="G2131" s="53"/>
      <c r="H2131" s="53"/>
      <c r="I2131" s="53"/>
      <c r="J2131" s="53"/>
      <c r="K2131" s="53"/>
      <c r="L2131" s="53"/>
      <c r="M2131" s="53"/>
      <c r="N2131" s="53"/>
      <c r="O2131" s="53"/>
      <c r="P2131" s="53"/>
      <c r="Q2131" s="53"/>
      <c r="R2131" s="53"/>
      <c r="S2131" s="53"/>
      <c r="T2131" s="53"/>
      <c r="U2131" s="53"/>
      <c r="V2131" s="53"/>
      <c r="W2131" s="53"/>
      <c r="X2131" s="53"/>
      <c r="Y2131" s="53"/>
      <c r="Z2131" s="53"/>
    </row>
    <row r="2132" spans="1:26" ht="15.75" customHeight="1">
      <c r="A2132" s="103"/>
      <c r="B2132" s="103"/>
      <c r="C2132" s="104" t="e">
        <v>#REF!</v>
      </c>
      <c r="D2132" s="103"/>
      <c r="E2132" s="53"/>
      <c r="F2132" s="53"/>
      <c r="G2132" s="53"/>
      <c r="H2132" s="53"/>
      <c r="I2132" s="53"/>
      <c r="J2132" s="53"/>
      <c r="K2132" s="53"/>
      <c r="L2132" s="53"/>
      <c r="M2132" s="53"/>
      <c r="N2132" s="53"/>
      <c r="O2132" s="53"/>
      <c r="P2132" s="53"/>
      <c r="Q2132" s="53"/>
      <c r="R2132" s="53"/>
      <c r="S2132" s="53"/>
      <c r="T2132" s="53"/>
      <c r="U2132" s="53"/>
      <c r="V2132" s="53"/>
      <c r="W2132" s="53"/>
      <c r="X2132" s="53"/>
      <c r="Y2132" s="53"/>
      <c r="Z2132" s="53"/>
    </row>
    <row r="2133" spans="1:26" ht="15.75" customHeight="1">
      <c r="A2133" s="103"/>
      <c r="B2133" s="103"/>
      <c r="C2133" s="104" t="e">
        <v>#REF!</v>
      </c>
      <c r="D2133" s="103"/>
      <c r="E2133" s="53"/>
      <c r="F2133" s="53"/>
      <c r="G2133" s="53"/>
      <c r="H2133" s="53"/>
      <c r="I2133" s="53"/>
      <c r="J2133" s="53"/>
      <c r="K2133" s="53"/>
      <c r="L2133" s="53"/>
      <c r="M2133" s="53"/>
      <c r="N2133" s="53"/>
      <c r="O2133" s="53"/>
      <c r="P2133" s="53"/>
      <c r="Q2133" s="53"/>
      <c r="R2133" s="53"/>
      <c r="S2133" s="53"/>
      <c r="T2133" s="53"/>
      <c r="U2133" s="53"/>
      <c r="V2133" s="53"/>
      <c r="W2133" s="53"/>
      <c r="X2133" s="53"/>
      <c r="Y2133" s="53"/>
      <c r="Z2133" s="53"/>
    </row>
    <row r="2134" spans="1:26" ht="15.75" customHeight="1">
      <c r="A2134" s="103"/>
      <c r="B2134" s="103"/>
      <c r="C2134" s="104" t="e">
        <v>#REF!</v>
      </c>
      <c r="D2134" s="103"/>
      <c r="E2134" s="53"/>
      <c r="F2134" s="53"/>
      <c r="G2134" s="53"/>
      <c r="H2134" s="53"/>
      <c r="I2134" s="53"/>
      <c r="J2134" s="53"/>
      <c r="K2134" s="53"/>
      <c r="L2134" s="53"/>
      <c r="M2134" s="53"/>
      <c r="N2134" s="53"/>
      <c r="O2134" s="53"/>
      <c r="P2134" s="53"/>
      <c r="Q2134" s="53"/>
      <c r="R2134" s="53"/>
      <c r="S2134" s="53"/>
      <c r="T2134" s="53"/>
      <c r="U2134" s="53"/>
      <c r="V2134" s="53"/>
      <c r="W2134" s="53"/>
      <c r="X2134" s="53"/>
      <c r="Y2134" s="53"/>
      <c r="Z2134" s="53"/>
    </row>
    <row r="2135" spans="1:26" ht="15.75" customHeight="1">
      <c r="A2135" s="103"/>
      <c r="B2135" s="103"/>
      <c r="C2135" s="104" t="e">
        <v>#REF!</v>
      </c>
      <c r="D2135" s="103"/>
      <c r="E2135" s="53"/>
      <c r="F2135" s="53"/>
      <c r="G2135" s="53"/>
      <c r="H2135" s="53"/>
      <c r="I2135" s="53"/>
      <c r="J2135" s="53"/>
      <c r="K2135" s="53"/>
      <c r="L2135" s="53"/>
      <c r="M2135" s="53"/>
      <c r="N2135" s="53"/>
      <c r="O2135" s="53"/>
      <c r="P2135" s="53"/>
      <c r="Q2135" s="53"/>
      <c r="R2135" s="53"/>
      <c r="S2135" s="53"/>
      <c r="T2135" s="53"/>
      <c r="U2135" s="53"/>
      <c r="V2135" s="53"/>
      <c r="W2135" s="53"/>
      <c r="X2135" s="53"/>
      <c r="Y2135" s="53"/>
      <c r="Z2135" s="53"/>
    </row>
    <row r="2136" spans="1:26" ht="15.75" customHeight="1">
      <c r="A2136" s="103"/>
      <c r="B2136" s="103"/>
      <c r="C2136" s="104" t="e">
        <v>#REF!</v>
      </c>
      <c r="D2136" s="103"/>
      <c r="E2136" s="53"/>
      <c r="F2136" s="53"/>
      <c r="G2136" s="53"/>
      <c r="H2136" s="53"/>
      <c r="I2136" s="53"/>
      <c r="J2136" s="53"/>
      <c r="K2136" s="53"/>
      <c r="L2136" s="53"/>
      <c r="M2136" s="53"/>
      <c r="N2136" s="53"/>
      <c r="O2136" s="53"/>
      <c r="P2136" s="53"/>
      <c r="Q2136" s="53"/>
      <c r="R2136" s="53"/>
      <c r="S2136" s="53"/>
      <c r="T2136" s="53"/>
      <c r="U2136" s="53"/>
      <c r="V2136" s="53"/>
      <c r="W2136" s="53"/>
      <c r="X2136" s="53"/>
      <c r="Y2136" s="53"/>
      <c r="Z2136" s="53"/>
    </row>
    <row r="2137" spans="1:26" ht="15.75" customHeight="1">
      <c r="A2137" s="103"/>
      <c r="B2137" s="103"/>
      <c r="C2137" s="104" t="e">
        <v>#REF!</v>
      </c>
      <c r="D2137" s="103"/>
      <c r="E2137" s="53"/>
      <c r="F2137" s="53"/>
      <c r="G2137" s="53"/>
      <c r="H2137" s="53"/>
      <c r="I2137" s="53"/>
      <c r="J2137" s="53"/>
      <c r="K2137" s="53"/>
      <c r="L2137" s="53"/>
      <c r="M2137" s="53"/>
      <c r="N2137" s="53"/>
      <c r="O2137" s="53"/>
      <c r="P2137" s="53"/>
      <c r="Q2137" s="53"/>
      <c r="R2137" s="53"/>
      <c r="S2137" s="53"/>
      <c r="T2137" s="53"/>
      <c r="U2137" s="53"/>
      <c r="V2137" s="53"/>
      <c r="W2137" s="53"/>
      <c r="X2137" s="53"/>
      <c r="Y2137" s="53"/>
      <c r="Z2137" s="53"/>
    </row>
    <row r="2138" spans="1:26" ht="15.75" customHeight="1">
      <c r="A2138" s="103"/>
      <c r="B2138" s="103"/>
      <c r="C2138" s="104" t="e">
        <v>#REF!</v>
      </c>
      <c r="D2138" s="103"/>
      <c r="E2138" s="53"/>
      <c r="F2138" s="53"/>
      <c r="G2138" s="53"/>
      <c r="H2138" s="53"/>
      <c r="I2138" s="53"/>
      <c r="J2138" s="53"/>
      <c r="K2138" s="53"/>
      <c r="L2138" s="53"/>
      <c r="M2138" s="53"/>
      <c r="N2138" s="53"/>
      <c r="O2138" s="53"/>
      <c r="P2138" s="53"/>
      <c r="Q2138" s="53"/>
      <c r="R2138" s="53"/>
      <c r="S2138" s="53"/>
      <c r="T2138" s="53"/>
      <c r="U2138" s="53"/>
      <c r="V2138" s="53"/>
      <c r="W2138" s="53"/>
      <c r="X2138" s="53"/>
      <c r="Y2138" s="53"/>
      <c r="Z2138" s="53"/>
    </row>
    <row r="2139" spans="1:26" ht="15.75" customHeight="1">
      <c r="A2139" s="103"/>
      <c r="B2139" s="103"/>
      <c r="C2139" s="104" t="e">
        <v>#REF!</v>
      </c>
      <c r="D2139" s="103"/>
      <c r="E2139" s="53"/>
      <c r="F2139" s="53"/>
      <c r="G2139" s="53"/>
      <c r="H2139" s="53"/>
      <c r="I2139" s="53"/>
      <c r="J2139" s="53"/>
      <c r="K2139" s="53"/>
      <c r="L2139" s="53"/>
      <c r="M2139" s="53"/>
      <c r="N2139" s="53"/>
      <c r="O2139" s="53"/>
      <c r="P2139" s="53"/>
      <c r="Q2139" s="53"/>
      <c r="R2139" s="53"/>
      <c r="S2139" s="53"/>
      <c r="T2139" s="53"/>
      <c r="U2139" s="53"/>
      <c r="V2139" s="53"/>
      <c r="W2139" s="53"/>
      <c r="X2139" s="53"/>
      <c r="Y2139" s="53"/>
      <c r="Z2139" s="53"/>
    </row>
    <row r="2140" spans="1:26" ht="15.75" customHeight="1">
      <c r="A2140" s="103"/>
      <c r="B2140" s="103"/>
      <c r="C2140" s="104" t="e">
        <v>#REF!</v>
      </c>
      <c r="D2140" s="103"/>
      <c r="E2140" s="53"/>
      <c r="F2140" s="53"/>
      <c r="G2140" s="53"/>
      <c r="H2140" s="53"/>
      <c r="I2140" s="53"/>
      <c r="J2140" s="53"/>
      <c r="K2140" s="53"/>
      <c r="L2140" s="53"/>
      <c r="M2140" s="53"/>
      <c r="N2140" s="53"/>
      <c r="O2140" s="53"/>
      <c r="P2140" s="53"/>
      <c r="Q2140" s="53"/>
      <c r="R2140" s="53"/>
      <c r="S2140" s="53"/>
      <c r="T2140" s="53"/>
      <c r="U2140" s="53"/>
      <c r="V2140" s="53"/>
      <c r="W2140" s="53"/>
      <c r="X2140" s="53"/>
      <c r="Y2140" s="53"/>
      <c r="Z2140" s="53"/>
    </row>
    <row r="2141" spans="1:26" ht="15.75" customHeight="1">
      <c r="A2141" s="103"/>
      <c r="B2141" s="103"/>
      <c r="C2141" s="104" t="e">
        <v>#REF!</v>
      </c>
      <c r="D2141" s="103"/>
      <c r="E2141" s="53"/>
      <c r="F2141" s="53"/>
      <c r="G2141" s="53"/>
      <c r="H2141" s="53"/>
      <c r="I2141" s="53"/>
      <c r="J2141" s="53"/>
      <c r="K2141" s="53"/>
      <c r="L2141" s="53"/>
      <c r="M2141" s="53"/>
      <c r="N2141" s="53"/>
      <c r="O2141" s="53"/>
      <c r="P2141" s="53"/>
      <c r="Q2141" s="53"/>
      <c r="R2141" s="53"/>
      <c r="S2141" s="53"/>
      <c r="T2141" s="53"/>
      <c r="U2141" s="53"/>
      <c r="V2141" s="53"/>
      <c r="W2141" s="53"/>
      <c r="X2141" s="53"/>
      <c r="Y2141" s="53"/>
      <c r="Z2141" s="53"/>
    </row>
    <row r="2142" spans="1:26" ht="15.75" customHeight="1">
      <c r="A2142" s="103"/>
      <c r="B2142" s="103"/>
      <c r="C2142" s="104" t="e">
        <v>#REF!</v>
      </c>
      <c r="D2142" s="103"/>
      <c r="E2142" s="53"/>
      <c r="F2142" s="53"/>
      <c r="G2142" s="53"/>
      <c r="H2142" s="53"/>
      <c r="I2142" s="53"/>
      <c r="J2142" s="53"/>
      <c r="K2142" s="53"/>
      <c r="L2142" s="53"/>
      <c r="M2142" s="53"/>
      <c r="N2142" s="53"/>
      <c r="O2142" s="53"/>
      <c r="P2142" s="53"/>
      <c r="Q2142" s="53"/>
      <c r="R2142" s="53"/>
      <c r="S2142" s="53"/>
      <c r="T2142" s="53"/>
      <c r="U2142" s="53"/>
      <c r="V2142" s="53"/>
      <c r="W2142" s="53"/>
      <c r="X2142" s="53"/>
      <c r="Y2142" s="53"/>
      <c r="Z2142" s="53"/>
    </row>
    <row r="2143" spans="1:26" ht="15.75" customHeight="1">
      <c r="A2143" s="103"/>
      <c r="B2143" s="103"/>
      <c r="C2143" s="104" t="e">
        <v>#REF!</v>
      </c>
      <c r="D2143" s="103"/>
      <c r="E2143" s="53"/>
      <c r="F2143" s="53"/>
      <c r="G2143" s="53"/>
      <c r="H2143" s="53"/>
      <c r="I2143" s="53"/>
      <c r="J2143" s="53"/>
      <c r="K2143" s="53"/>
      <c r="L2143" s="53"/>
      <c r="M2143" s="53"/>
      <c r="N2143" s="53"/>
      <c r="O2143" s="53"/>
      <c r="P2143" s="53"/>
      <c r="Q2143" s="53"/>
      <c r="R2143" s="53"/>
      <c r="S2143" s="53"/>
      <c r="T2143" s="53"/>
      <c r="U2143" s="53"/>
      <c r="V2143" s="53"/>
      <c r="W2143" s="53"/>
      <c r="X2143" s="53"/>
      <c r="Y2143" s="53"/>
      <c r="Z2143" s="53"/>
    </row>
    <row r="2144" spans="1:26" ht="15.75" customHeight="1">
      <c r="A2144" s="103"/>
      <c r="B2144" s="103"/>
      <c r="C2144" s="104" t="e">
        <v>#REF!</v>
      </c>
      <c r="D2144" s="103"/>
      <c r="E2144" s="53"/>
      <c r="F2144" s="53"/>
      <c r="G2144" s="53"/>
      <c r="H2144" s="53"/>
      <c r="I2144" s="53"/>
      <c r="J2144" s="53"/>
      <c r="K2144" s="53"/>
      <c r="L2144" s="53"/>
      <c r="M2144" s="53"/>
      <c r="N2144" s="53"/>
      <c r="O2144" s="53"/>
      <c r="P2144" s="53"/>
      <c r="Q2144" s="53"/>
      <c r="R2144" s="53"/>
      <c r="S2144" s="53"/>
      <c r="T2144" s="53"/>
      <c r="U2144" s="53"/>
      <c r="V2144" s="53"/>
      <c r="W2144" s="53"/>
      <c r="X2144" s="53"/>
      <c r="Y2144" s="53"/>
      <c r="Z2144" s="53"/>
    </row>
    <row r="2145" spans="1:26" ht="15.75" customHeight="1">
      <c r="A2145" s="103"/>
      <c r="B2145" s="103"/>
      <c r="C2145" s="104" t="e">
        <v>#REF!</v>
      </c>
      <c r="D2145" s="103"/>
      <c r="E2145" s="53"/>
      <c r="F2145" s="53"/>
      <c r="G2145" s="53"/>
      <c r="H2145" s="53"/>
      <c r="I2145" s="53"/>
      <c r="J2145" s="53"/>
      <c r="K2145" s="53"/>
      <c r="L2145" s="53"/>
      <c r="M2145" s="53"/>
      <c r="N2145" s="53"/>
      <c r="O2145" s="53"/>
      <c r="P2145" s="53"/>
      <c r="Q2145" s="53"/>
      <c r="R2145" s="53"/>
      <c r="S2145" s="53"/>
      <c r="T2145" s="53"/>
      <c r="U2145" s="53"/>
      <c r="V2145" s="53"/>
      <c r="W2145" s="53"/>
      <c r="X2145" s="53"/>
      <c r="Y2145" s="53"/>
      <c r="Z2145" s="53"/>
    </row>
    <row r="2146" spans="1:26" ht="15.75" customHeight="1">
      <c r="A2146" s="103"/>
      <c r="B2146" s="103"/>
      <c r="C2146" s="104" t="e">
        <v>#REF!</v>
      </c>
      <c r="D2146" s="103"/>
      <c r="E2146" s="53"/>
      <c r="F2146" s="53"/>
      <c r="G2146" s="53"/>
      <c r="H2146" s="53"/>
      <c r="I2146" s="53"/>
      <c r="J2146" s="53"/>
      <c r="K2146" s="53"/>
      <c r="L2146" s="53"/>
      <c r="M2146" s="53"/>
      <c r="N2146" s="53"/>
      <c r="O2146" s="53"/>
      <c r="P2146" s="53"/>
      <c r="Q2146" s="53"/>
      <c r="R2146" s="53"/>
      <c r="S2146" s="53"/>
      <c r="T2146" s="53"/>
      <c r="U2146" s="53"/>
      <c r="V2146" s="53"/>
      <c r="W2146" s="53"/>
      <c r="X2146" s="53"/>
      <c r="Y2146" s="53"/>
      <c r="Z2146" s="53"/>
    </row>
    <row r="2147" spans="1:26" ht="15.75" customHeight="1">
      <c r="A2147" s="103"/>
      <c r="B2147" s="103"/>
      <c r="C2147" s="104" t="e">
        <v>#REF!</v>
      </c>
      <c r="D2147" s="103"/>
      <c r="E2147" s="53"/>
      <c r="F2147" s="53"/>
      <c r="G2147" s="53"/>
      <c r="H2147" s="53"/>
      <c r="I2147" s="53"/>
      <c r="J2147" s="53"/>
      <c r="K2147" s="53"/>
      <c r="L2147" s="53"/>
      <c r="M2147" s="53"/>
      <c r="N2147" s="53"/>
      <c r="O2147" s="53"/>
      <c r="P2147" s="53"/>
      <c r="Q2147" s="53"/>
      <c r="R2147" s="53"/>
      <c r="S2147" s="53"/>
      <c r="T2147" s="53"/>
      <c r="U2147" s="53"/>
      <c r="V2147" s="53"/>
      <c r="W2147" s="53"/>
      <c r="X2147" s="53"/>
      <c r="Y2147" s="53"/>
      <c r="Z2147" s="53"/>
    </row>
    <row r="2148" spans="1:26" ht="15.75" customHeight="1">
      <c r="A2148" s="103"/>
      <c r="B2148" s="103"/>
      <c r="C2148" s="104" t="e">
        <v>#REF!</v>
      </c>
      <c r="D2148" s="103"/>
      <c r="E2148" s="53"/>
      <c r="F2148" s="53"/>
      <c r="G2148" s="53"/>
      <c r="H2148" s="53"/>
      <c r="I2148" s="53"/>
      <c r="J2148" s="53"/>
      <c r="K2148" s="53"/>
      <c r="L2148" s="53"/>
      <c r="M2148" s="53"/>
      <c r="N2148" s="53"/>
      <c r="O2148" s="53"/>
      <c r="P2148" s="53"/>
      <c r="Q2148" s="53"/>
      <c r="R2148" s="53"/>
      <c r="S2148" s="53"/>
      <c r="T2148" s="53"/>
      <c r="U2148" s="53"/>
      <c r="V2148" s="53"/>
      <c r="W2148" s="53"/>
      <c r="X2148" s="53"/>
      <c r="Y2148" s="53"/>
      <c r="Z2148" s="53"/>
    </row>
    <row r="2149" spans="1:26" ht="15.75" customHeight="1">
      <c r="A2149" s="103"/>
      <c r="B2149" s="103"/>
      <c r="C2149" s="104" t="e">
        <v>#REF!</v>
      </c>
      <c r="D2149" s="103"/>
      <c r="E2149" s="53"/>
      <c r="F2149" s="53"/>
      <c r="G2149" s="53"/>
      <c r="H2149" s="53"/>
      <c r="I2149" s="53"/>
      <c r="J2149" s="53"/>
      <c r="K2149" s="53"/>
      <c r="L2149" s="53"/>
      <c r="M2149" s="53"/>
      <c r="N2149" s="53"/>
      <c r="O2149" s="53"/>
      <c r="P2149" s="53"/>
      <c r="Q2149" s="53"/>
      <c r="R2149" s="53"/>
      <c r="S2149" s="53"/>
      <c r="T2149" s="53"/>
      <c r="U2149" s="53"/>
      <c r="V2149" s="53"/>
      <c r="W2149" s="53"/>
      <c r="X2149" s="53"/>
      <c r="Y2149" s="53"/>
      <c r="Z2149" s="53"/>
    </row>
    <row r="2150" spans="1:26" ht="15.75" customHeight="1">
      <c r="A2150" s="103"/>
      <c r="B2150" s="103"/>
      <c r="C2150" s="104" t="e">
        <v>#REF!</v>
      </c>
      <c r="D2150" s="103"/>
      <c r="E2150" s="53"/>
      <c r="F2150" s="53"/>
      <c r="G2150" s="53"/>
      <c r="H2150" s="53"/>
      <c r="I2150" s="53"/>
      <c r="J2150" s="53"/>
      <c r="K2150" s="53"/>
      <c r="L2150" s="53"/>
      <c r="M2150" s="53"/>
      <c r="N2150" s="53"/>
      <c r="O2150" s="53"/>
      <c r="P2150" s="53"/>
      <c r="Q2150" s="53"/>
      <c r="R2150" s="53"/>
      <c r="S2150" s="53"/>
      <c r="T2150" s="53"/>
      <c r="U2150" s="53"/>
      <c r="V2150" s="53"/>
      <c r="W2150" s="53"/>
      <c r="X2150" s="53"/>
      <c r="Y2150" s="53"/>
      <c r="Z2150" s="53"/>
    </row>
    <row r="2151" spans="1:26" ht="15.75" customHeight="1">
      <c r="A2151" s="103"/>
      <c r="B2151" s="103"/>
      <c r="C2151" s="104" t="e">
        <v>#REF!</v>
      </c>
      <c r="D2151" s="103"/>
      <c r="E2151" s="53"/>
      <c r="F2151" s="53"/>
      <c r="G2151" s="53"/>
      <c r="H2151" s="53"/>
      <c r="I2151" s="53"/>
      <c r="J2151" s="53"/>
      <c r="K2151" s="53"/>
      <c r="L2151" s="53"/>
      <c r="M2151" s="53"/>
      <c r="N2151" s="53"/>
      <c r="O2151" s="53"/>
      <c r="P2151" s="53"/>
      <c r="Q2151" s="53"/>
      <c r="R2151" s="53"/>
      <c r="S2151" s="53"/>
      <c r="T2151" s="53"/>
      <c r="U2151" s="53"/>
      <c r="V2151" s="53"/>
      <c r="W2151" s="53"/>
      <c r="X2151" s="53"/>
      <c r="Y2151" s="53"/>
      <c r="Z2151" s="53"/>
    </row>
    <row r="2152" spans="1:26" ht="15.75" customHeight="1">
      <c r="A2152" s="103"/>
      <c r="B2152" s="103"/>
      <c r="C2152" s="104" t="e">
        <v>#REF!</v>
      </c>
      <c r="D2152" s="103"/>
      <c r="E2152" s="53"/>
      <c r="F2152" s="53"/>
      <c r="G2152" s="53"/>
      <c r="H2152" s="53"/>
      <c r="I2152" s="53"/>
      <c r="J2152" s="53"/>
      <c r="K2152" s="53"/>
      <c r="L2152" s="53"/>
      <c r="M2152" s="53"/>
      <c r="N2152" s="53"/>
      <c r="O2152" s="53"/>
      <c r="P2152" s="53"/>
      <c r="Q2152" s="53"/>
      <c r="R2152" s="53"/>
      <c r="S2152" s="53"/>
      <c r="T2152" s="53"/>
      <c r="U2152" s="53"/>
      <c r="V2152" s="53"/>
      <c r="W2152" s="53"/>
      <c r="X2152" s="53"/>
      <c r="Y2152" s="53"/>
      <c r="Z2152" s="53"/>
    </row>
    <row r="2153" spans="1:26" ht="15.75" customHeight="1">
      <c r="A2153" s="103"/>
      <c r="B2153" s="103"/>
      <c r="C2153" s="104" t="e">
        <v>#REF!</v>
      </c>
      <c r="D2153" s="103"/>
      <c r="E2153" s="53"/>
      <c r="F2153" s="53"/>
      <c r="G2153" s="53"/>
      <c r="H2153" s="53"/>
      <c r="I2153" s="53"/>
      <c r="J2153" s="53"/>
      <c r="K2153" s="53"/>
      <c r="L2153" s="53"/>
      <c r="M2153" s="53"/>
      <c r="N2153" s="53"/>
      <c r="O2153" s="53"/>
      <c r="P2153" s="53"/>
      <c r="Q2153" s="53"/>
      <c r="R2153" s="53"/>
      <c r="S2153" s="53"/>
      <c r="T2153" s="53"/>
      <c r="U2153" s="53"/>
      <c r="V2153" s="53"/>
      <c r="W2153" s="53"/>
      <c r="X2153" s="53"/>
      <c r="Y2153" s="53"/>
      <c r="Z2153" s="53"/>
    </row>
    <row r="2154" spans="1:26" ht="15.75" customHeight="1">
      <c r="A2154" s="103"/>
      <c r="B2154" s="103"/>
      <c r="C2154" s="104" t="e">
        <v>#REF!</v>
      </c>
      <c r="D2154" s="103"/>
      <c r="E2154" s="53"/>
      <c r="F2154" s="53"/>
      <c r="G2154" s="53"/>
      <c r="H2154" s="53"/>
      <c r="I2154" s="53"/>
      <c r="J2154" s="53"/>
      <c r="K2154" s="53"/>
      <c r="L2154" s="53"/>
      <c r="M2154" s="53"/>
      <c r="N2154" s="53"/>
      <c r="O2154" s="53"/>
      <c r="P2154" s="53"/>
      <c r="Q2154" s="53"/>
      <c r="R2154" s="53"/>
      <c r="S2154" s="53"/>
      <c r="T2154" s="53"/>
      <c r="U2154" s="53"/>
      <c r="V2154" s="53"/>
      <c r="W2154" s="53"/>
      <c r="X2154" s="53"/>
      <c r="Y2154" s="53"/>
      <c r="Z2154" s="53"/>
    </row>
    <row r="2155" spans="1:26" ht="15.75" customHeight="1">
      <c r="A2155" s="103"/>
      <c r="B2155" s="103"/>
      <c r="C2155" s="104" t="e">
        <v>#REF!</v>
      </c>
      <c r="D2155" s="103"/>
      <c r="E2155" s="53"/>
      <c r="F2155" s="53"/>
      <c r="G2155" s="53"/>
      <c r="H2155" s="53"/>
      <c r="I2155" s="53"/>
      <c r="J2155" s="53"/>
      <c r="K2155" s="53"/>
      <c r="L2155" s="53"/>
      <c r="M2155" s="53"/>
      <c r="N2155" s="53"/>
      <c r="O2155" s="53"/>
      <c r="P2155" s="53"/>
      <c r="Q2155" s="53"/>
      <c r="R2155" s="53"/>
      <c r="S2155" s="53"/>
      <c r="T2155" s="53"/>
      <c r="U2155" s="53"/>
      <c r="V2155" s="53"/>
      <c r="W2155" s="53"/>
      <c r="X2155" s="53"/>
      <c r="Y2155" s="53"/>
      <c r="Z2155" s="53"/>
    </row>
    <row r="2156" spans="1:26" ht="15.75" customHeight="1">
      <c r="A2156" s="103"/>
      <c r="B2156" s="103"/>
      <c r="C2156" s="104" t="e">
        <v>#REF!</v>
      </c>
      <c r="D2156" s="10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</row>
    <row r="2157" spans="1:26" ht="15.75" customHeight="1">
      <c r="A2157" s="103"/>
      <c r="B2157" s="103"/>
      <c r="C2157" s="104" t="e">
        <v>#REF!</v>
      </c>
      <c r="D2157" s="103"/>
      <c r="E2157" s="53"/>
      <c r="F2157" s="53"/>
      <c r="G2157" s="53"/>
      <c r="H2157" s="53"/>
      <c r="I2157" s="53"/>
      <c r="J2157" s="53"/>
      <c r="K2157" s="53"/>
      <c r="L2157" s="53"/>
      <c r="M2157" s="53"/>
      <c r="N2157" s="53"/>
      <c r="O2157" s="53"/>
      <c r="P2157" s="53"/>
      <c r="Q2157" s="53"/>
      <c r="R2157" s="53"/>
      <c r="S2157" s="53"/>
      <c r="T2157" s="53"/>
      <c r="U2157" s="53"/>
      <c r="V2157" s="53"/>
      <c r="W2157" s="53"/>
      <c r="X2157" s="53"/>
      <c r="Y2157" s="53"/>
      <c r="Z2157" s="53"/>
    </row>
    <row r="2158" spans="1:26" ht="15.75" customHeight="1">
      <c r="A2158" s="103"/>
      <c r="B2158" s="103"/>
      <c r="C2158" s="104" t="e">
        <v>#REF!</v>
      </c>
      <c r="D2158" s="103"/>
      <c r="E2158" s="53"/>
      <c r="F2158" s="53"/>
      <c r="G2158" s="53"/>
      <c r="H2158" s="53"/>
      <c r="I2158" s="53"/>
      <c r="J2158" s="53"/>
      <c r="K2158" s="53"/>
      <c r="L2158" s="53"/>
      <c r="M2158" s="53"/>
      <c r="N2158" s="53"/>
      <c r="O2158" s="53"/>
      <c r="P2158" s="53"/>
      <c r="Q2158" s="53"/>
      <c r="R2158" s="53"/>
      <c r="S2158" s="53"/>
      <c r="T2158" s="53"/>
      <c r="U2158" s="53"/>
      <c r="V2158" s="53"/>
      <c r="W2158" s="53"/>
      <c r="X2158" s="53"/>
      <c r="Y2158" s="53"/>
      <c r="Z2158" s="53"/>
    </row>
    <row r="2159" spans="1:26" ht="15.75" customHeight="1">
      <c r="A2159" s="103"/>
      <c r="B2159" s="103"/>
      <c r="C2159" s="104" t="e">
        <v>#REF!</v>
      </c>
      <c r="D2159" s="103"/>
      <c r="E2159" s="53"/>
      <c r="F2159" s="53"/>
      <c r="G2159" s="53"/>
      <c r="H2159" s="53"/>
      <c r="I2159" s="53"/>
      <c r="J2159" s="53"/>
      <c r="K2159" s="53"/>
      <c r="L2159" s="53"/>
      <c r="M2159" s="53"/>
      <c r="N2159" s="53"/>
      <c r="O2159" s="53"/>
      <c r="P2159" s="53"/>
      <c r="Q2159" s="53"/>
      <c r="R2159" s="53"/>
      <c r="S2159" s="53"/>
      <c r="T2159" s="53"/>
      <c r="U2159" s="53"/>
      <c r="V2159" s="53"/>
      <c r="W2159" s="53"/>
      <c r="X2159" s="53"/>
      <c r="Y2159" s="53"/>
      <c r="Z2159" s="53"/>
    </row>
    <row r="2160" spans="1:26" ht="15.75" customHeight="1">
      <c r="A2160" s="103"/>
      <c r="B2160" s="103"/>
      <c r="C2160" s="104" t="e">
        <v>#REF!</v>
      </c>
      <c r="D2160" s="103"/>
      <c r="E2160" s="53"/>
      <c r="F2160" s="53"/>
      <c r="G2160" s="53"/>
      <c r="H2160" s="53"/>
      <c r="I2160" s="53"/>
      <c r="J2160" s="53"/>
      <c r="K2160" s="53"/>
      <c r="L2160" s="53"/>
      <c r="M2160" s="53"/>
      <c r="N2160" s="53"/>
      <c r="O2160" s="53"/>
      <c r="P2160" s="53"/>
      <c r="Q2160" s="53"/>
      <c r="R2160" s="53"/>
      <c r="S2160" s="53"/>
      <c r="T2160" s="53"/>
      <c r="U2160" s="53"/>
      <c r="V2160" s="53"/>
      <c r="W2160" s="53"/>
      <c r="X2160" s="53"/>
      <c r="Y2160" s="53"/>
      <c r="Z2160" s="53"/>
    </row>
    <row r="2161" spans="1:26" ht="15.75" customHeight="1">
      <c r="A2161" s="103"/>
      <c r="B2161" s="103"/>
      <c r="C2161" s="104" t="e">
        <v>#REF!</v>
      </c>
      <c r="D2161" s="10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53"/>
      <c r="T2161" s="53"/>
      <c r="U2161" s="53"/>
      <c r="V2161" s="53"/>
      <c r="W2161" s="53"/>
      <c r="X2161" s="53"/>
      <c r="Y2161" s="53"/>
      <c r="Z2161" s="53"/>
    </row>
    <row r="2162" spans="1:26" ht="15.75" customHeight="1">
      <c r="A2162" s="103"/>
      <c r="B2162" s="103"/>
      <c r="C2162" s="104" t="e">
        <v>#REF!</v>
      </c>
      <c r="D2162" s="103"/>
      <c r="E2162" s="53"/>
      <c r="F2162" s="53"/>
      <c r="G2162" s="53"/>
      <c r="H2162" s="53"/>
      <c r="I2162" s="53"/>
      <c r="J2162" s="53"/>
      <c r="K2162" s="53"/>
      <c r="L2162" s="53"/>
      <c r="M2162" s="53"/>
      <c r="N2162" s="53"/>
      <c r="O2162" s="53"/>
      <c r="P2162" s="53"/>
      <c r="Q2162" s="53"/>
      <c r="R2162" s="53"/>
      <c r="S2162" s="53"/>
      <c r="T2162" s="53"/>
      <c r="U2162" s="53"/>
      <c r="V2162" s="53"/>
      <c r="W2162" s="53"/>
      <c r="X2162" s="53"/>
      <c r="Y2162" s="53"/>
      <c r="Z2162" s="53"/>
    </row>
    <row r="2163" spans="1:26" ht="15.75" customHeight="1">
      <c r="A2163" s="103"/>
      <c r="B2163" s="103"/>
      <c r="C2163" s="104" t="e">
        <v>#REF!</v>
      </c>
      <c r="D2163" s="103"/>
      <c r="E2163" s="53"/>
      <c r="F2163" s="53"/>
      <c r="G2163" s="53"/>
      <c r="H2163" s="53"/>
      <c r="I2163" s="53"/>
      <c r="J2163" s="53"/>
      <c r="K2163" s="53"/>
      <c r="L2163" s="53"/>
      <c r="M2163" s="53"/>
      <c r="N2163" s="53"/>
      <c r="O2163" s="53"/>
      <c r="P2163" s="53"/>
      <c r="Q2163" s="53"/>
      <c r="R2163" s="53"/>
      <c r="S2163" s="53"/>
      <c r="T2163" s="53"/>
      <c r="U2163" s="53"/>
      <c r="V2163" s="53"/>
      <c r="W2163" s="53"/>
      <c r="X2163" s="53"/>
      <c r="Y2163" s="53"/>
      <c r="Z2163" s="53"/>
    </row>
    <row r="2164" spans="1:26" ht="15.75" customHeight="1">
      <c r="A2164" s="103"/>
      <c r="B2164" s="103"/>
      <c r="C2164" s="104" t="e">
        <v>#REF!</v>
      </c>
      <c r="D2164" s="103"/>
      <c r="E2164" s="53"/>
      <c r="F2164" s="53"/>
      <c r="G2164" s="53"/>
      <c r="H2164" s="53"/>
      <c r="I2164" s="53"/>
      <c r="J2164" s="53"/>
      <c r="K2164" s="53"/>
      <c r="L2164" s="53"/>
      <c r="M2164" s="53"/>
      <c r="N2164" s="53"/>
      <c r="O2164" s="53"/>
      <c r="P2164" s="53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</row>
    <row r="2165" spans="1:26" ht="15.75" customHeight="1">
      <c r="A2165" s="103"/>
      <c r="B2165" s="103"/>
      <c r="C2165" s="104" t="e">
        <v>#REF!</v>
      </c>
      <c r="D2165" s="103"/>
      <c r="E2165" s="53"/>
      <c r="F2165" s="53"/>
      <c r="G2165" s="53"/>
      <c r="H2165" s="53"/>
      <c r="I2165" s="53"/>
      <c r="J2165" s="53"/>
      <c r="K2165" s="53"/>
      <c r="L2165" s="53"/>
      <c r="M2165" s="53"/>
      <c r="N2165" s="53"/>
      <c r="O2165" s="53"/>
      <c r="P2165" s="53"/>
      <c r="Q2165" s="53"/>
      <c r="R2165" s="53"/>
      <c r="S2165" s="53"/>
      <c r="T2165" s="53"/>
      <c r="U2165" s="53"/>
      <c r="V2165" s="53"/>
      <c r="W2165" s="53"/>
      <c r="X2165" s="53"/>
      <c r="Y2165" s="53"/>
      <c r="Z2165" s="53"/>
    </row>
    <row r="2166" spans="1:26" ht="15.75" customHeight="1">
      <c r="A2166" s="103"/>
      <c r="B2166" s="103"/>
      <c r="C2166" s="104" t="e">
        <v>#REF!</v>
      </c>
      <c r="D2166" s="103"/>
      <c r="E2166" s="53"/>
      <c r="F2166" s="53"/>
      <c r="G2166" s="53"/>
      <c r="H2166" s="53"/>
      <c r="I2166" s="53"/>
      <c r="J2166" s="53"/>
      <c r="K2166" s="53"/>
      <c r="L2166" s="53"/>
      <c r="M2166" s="53"/>
      <c r="N2166" s="53"/>
      <c r="O2166" s="53"/>
      <c r="P2166" s="53"/>
      <c r="Q2166" s="53"/>
      <c r="R2166" s="53"/>
      <c r="S2166" s="53"/>
      <c r="T2166" s="53"/>
      <c r="U2166" s="53"/>
      <c r="V2166" s="53"/>
      <c r="W2166" s="53"/>
      <c r="X2166" s="53"/>
      <c r="Y2166" s="53"/>
      <c r="Z2166" s="53"/>
    </row>
    <row r="2167" spans="1:26" ht="15.75" customHeight="1">
      <c r="A2167" s="103"/>
      <c r="B2167" s="103"/>
      <c r="C2167" s="104" t="e">
        <v>#REF!</v>
      </c>
      <c r="D2167" s="103"/>
      <c r="E2167" s="53"/>
      <c r="F2167" s="53"/>
      <c r="G2167" s="53"/>
      <c r="H2167" s="53"/>
      <c r="I2167" s="53"/>
      <c r="J2167" s="53"/>
      <c r="K2167" s="53"/>
      <c r="L2167" s="53"/>
      <c r="M2167" s="53"/>
      <c r="N2167" s="53"/>
      <c r="O2167" s="53"/>
      <c r="P2167" s="53"/>
      <c r="Q2167" s="53"/>
      <c r="R2167" s="53"/>
      <c r="S2167" s="53"/>
      <c r="T2167" s="53"/>
      <c r="U2167" s="53"/>
      <c r="V2167" s="53"/>
      <c r="W2167" s="53"/>
      <c r="X2167" s="53"/>
      <c r="Y2167" s="53"/>
      <c r="Z2167" s="53"/>
    </row>
    <row r="2168" spans="1:26" ht="15.75" customHeight="1">
      <c r="A2168" s="103"/>
      <c r="B2168" s="103"/>
      <c r="C2168" s="104" t="e">
        <v>#REF!</v>
      </c>
      <c r="D2168" s="103"/>
      <c r="E2168" s="53"/>
      <c r="F2168" s="53"/>
      <c r="G2168" s="53"/>
      <c r="H2168" s="53"/>
      <c r="I2168" s="53"/>
      <c r="J2168" s="53"/>
      <c r="K2168" s="53"/>
      <c r="L2168" s="53"/>
      <c r="M2168" s="53"/>
      <c r="N2168" s="53"/>
      <c r="O2168" s="53"/>
      <c r="P2168" s="53"/>
      <c r="Q2168" s="53"/>
      <c r="R2168" s="53"/>
      <c r="S2168" s="53"/>
      <c r="T2168" s="53"/>
      <c r="U2168" s="53"/>
      <c r="V2168" s="53"/>
      <c r="W2168" s="53"/>
      <c r="X2168" s="53"/>
      <c r="Y2168" s="53"/>
      <c r="Z2168" s="53"/>
    </row>
    <row r="2169" spans="1:26" ht="15.75" customHeight="1">
      <c r="A2169" s="103"/>
      <c r="B2169" s="103"/>
      <c r="C2169" s="104" t="e">
        <v>#REF!</v>
      </c>
      <c r="D2169" s="103"/>
      <c r="E2169" s="53"/>
      <c r="F2169" s="53"/>
      <c r="G2169" s="53"/>
      <c r="H2169" s="53"/>
      <c r="I2169" s="53"/>
      <c r="J2169" s="53"/>
      <c r="K2169" s="53"/>
      <c r="L2169" s="53"/>
      <c r="M2169" s="53"/>
      <c r="N2169" s="53"/>
      <c r="O2169" s="53"/>
      <c r="P2169" s="53"/>
      <c r="Q2169" s="53"/>
      <c r="R2169" s="53"/>
      <c r="S2169" s="53"/>
      <c r="T2169" s="53"/>
      <c r="U2169" s="53"/>
      <c r="V2169" s="53"/>
      <c r="W2169" s="53"/>
      <c r="X2169" s="53"/>
      <c r="Y2169" s="53"/>
      <c r="Z2169" s="53"/>
    </row>
    <row r="2170" spans="1:26" ht="15.75" customHeight="1">
      <c r="A2170" s="103"/>
      <c r="B2170" s="103"/>
      <c r="C2170" s="104" t="e">
        <v>#REF!</v>
      </c>
      <c r="D2170" s="103"/>
      <c r="E2170" s="53"/>
      <c r="F2170" s="53"/>
      <c r="G2170" s="53"/>
      <c r="H2170" s="53"/>
      <c r="I2170" s="53"/>
      <c r="J2170" s="53"/>
      <c r="K2170" s="53"/>
      <c r="L2170" s="53"/>
      <c r="M2170" s="53"/>
      <c r="N2170" s="53"/>
      <c r="O2170" s="53"/>
      <c r="P2170" s="53"/>
      <c r="Q2170" s="53"/>
      <c r="R2170" s="53"/>
      <c r="S2170" s="53"/>
      <c r="T2170" s="53"/>
      <c r="U2170" s="53"/>
      <c r="V2170" s="53"/>
      <c r="W2170" s="53"/>
      <c r="X2170" s="53"/>
      <c r="Y2170" s="53"/>
      <c r="Z2170" s="53"/>
    </row>
    <row r="2171" spans="1:26" ht="15.75" customHeight="1">
      <c r="A2171" s="103"/>
      <c r="B2171" s="103"/>
      <c r="C2171" s="104" t="e">
        <v>#REF!</v>
      </c>
      <c r="D2171" s="103"/>
      <c r="E2171" s="53"/>
      <c r="F2171" s="53"/>
      <c r="G2171" s="53"/>
      <c r="H2171" s="53"/>
      <c r="I2171" s="53"/>
      <c r="J2171" s="53"/>
      <c r="K2171" s="53"/>
      <c r="L2171" s="53"/>
      <c r="M2171" s="53"/>
      <c r="N2171" s="53"/>
      <c r="O2171" s="53"/>
      <c r="P2171" s="53"/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</row>
    <row r="2172" spans="1:26" ht="15.75" customHeight="1">
      <c r="A2172" s="103"/>
      <c r="B2172" s="103"/>
      <c r="C2172" s="104" t="e">
        <v>#REF!</v>
      </c>
      <c r="D2172" s="103"/>
      <c r="E2172" s="53"/>
      <c r="F2172" s="53"/>
      <c r="G2172" s="53"/>
      <c r="H2172" s="53"/>
      <c r="I2172" s="53"/>
      <c r="J2172" s="53"/>
      <c r="K2172" s="53"/>
      <c r="L2172" s="53"/>
      <c r="M2172" s="53"/>
      <c r="N2172" s="53"/>
      <c r="O2172" s="53"/>
      <c r="P2172" s="53"/>
      <c r="Q2172" s="53"/>
      <c r="R2172" s="53"/>
      <c r="S2172" s="53"/>
      <c r="T2172" s="53"/>
      <c r="U2172" s="53"/>
      <c r="V2172" s="53"/>
      <c r="W2172" s="53"/>
      <c r="X2172" s="53"/>
      <c r="Y2172" s="53"/>
      <c r="Z2172" s="53"/>
    </row>
    <row r="2173" spans="1:26" ht="15.75" customHeight="1">
      <c r="A2173" s="103"/>
      <c r="B2173" s="103"/>
      <c r="C2173" s="104" t="e">
        <v>#REF!</v>
      </c>
      <c r="D2173" s="103"/>
      <c r="E2173" s="53"/>
      <c r="F2173" s="53"/>
      <c r="G2173" s="53"/>
      <c r="H2173" s="53"/>
      <c r="I2173" s="53"/>
      <c r="J2173" s="53"/>
      <c r="K2173" s="53"/>
      <c r="L2173" s="53"/>
      <c r="M2173" s="53"/>
      <c r="N2173" s="53"/>
      <c r="O2173" s="53"/>
      <c r="P2173" s="53"/>
      <c r="Q2173" s="53"/>
      <c r="R2173" s="53"/>
      <c r="S2173" s="53"/>
      <c r="T2173" s="53"/>
      <c r="U2173" s="53"/>
      <c r="V2173" s="53"/>
      <c r="W2173" s="53"/>
      <c r="X2173" s="53"/>
      <c r="Y2173" s="53"/>
      <c r="Z2173" s="53"/>
    </row>
    <row r="2174" spans="1:26" ht="15.75" customHeight="1">
      <c r="A2174" s="103"/>
      <c r="B2174" s="103"/>
      <c r="C2174" s="104" t="e">
        <v>#REF!</v>
      </c>
      <c r="D2174" s="103"/>
      <c r="E2174" s="53"/>
      <c r="F2174" s="53"/>
      <c r="G2174" s="53"/>
      <c r="H2174" s="53"/>
      <c r="I2174" s="53"/>
      <c r="J2174" s="53"/>
      <c r="K2174" s="53"/>
      <c r="L2174" s="53"/>
      <c r="M2174" s="53"/>
      <c r="N2174" s="53"/>
      <c r="O2174" s="53"/>
      <c r="P2174" s="53"/>
      <c r="Q2174" s="53"/>
      <c r="R2174" s="53"/>
      <c r="S2174" s="53"/>
      <c r="T2174" s="53"/>
      <c r="U2174" s="53"/>
      <c r="V2174" s="53"/>
      <c r="W2174" s="53"/>
      <c r="X2174" s="53"/>
      <c r="Y2174" s="53"/>
      <c r="Z2174" s="53"/>
    </row>
    <row r="2175" spans="1:26" ht="15.75" customHeight="1">
      <c r="A2175" s="103"/>
      <c r="B2175" s="103"/>
      <c r="C2175" s="104" t="e">
        <v>#REF!</v>
      </c>
      <c r="D2175" s="103"/>
      <c r="E2175" s="53"/>
      <c r="F2175" s="53"/>
      <c r="G2175" s="53"/>
      <c r="H2175" s="53"/>
      <c r="I2175" s="53"/>
      <c r="J2175" s="53"/>
      <c r="K2175" s="53"/>
      <c r="L2175" s="53"/>
      <c r="M2175" s="53"/>
      <c r="N2175" s="53"/>
      <c r="O2175" s="53"/>
      <c r="P2175" s="53"/>
      <c r="Q2175" s="53"/>
      <c r="R2175" s="53"/>
      <c r="S2175" s="53"/>
      <c r="T2175" s="53"/>
      <c r="U2175" s="53"/>
      <c r="V2175" s="53"/>
      <c r="W2175" s="53"/>
      <c r="X2175" s="53"/>
      <c r="Y2175" s="53"/>
      <c r="Z2175" s="53"/>
    </row>
    <row r="2176" spans="1:26" ht="15.75" customHeight="1">
      <c r="A2176" s="103"/>
      <c r="B2176" s="103"/>
      <c r="C2176" s="104" t="e">
        <v>#REF!</v>
      </c>
      <c r="D2176" s="103"/>
      <c r="E2176" s="53"/>
      <c r="F2176" s="53"/>
      <c r="G2176" s="53"/>
      <c r="H2176" s="53"/>
      <c r="I2176" s="53"/>
      <c r="J2176" s="53"/>
      <c r="K2176" s="53"/>
      <c r="L2176" s="53"/>
      <c r="M2176" s="53"/>
      <c r="N2176" s="53"/>
      <c r="O2176" s="53"/>
      <c r="P2176" s="53"/>
      <c r="Q2176" s="53"/>
      <c r="R2176" s="53"/>
      <c r="S2176" s="53"/>
      <c r="T2176" s="53"/>
      <c r="U2176" s="53"/>
      <c r="V2176" s="53"/>
      <c r="W2176" s="53"/>
      <c r="X2176" s="53"/>
      <c r="Y2176" s="53"/>
      <c r="Z2176" s="53"/>
    </row>
    <row r="2177" spans="1:26" ht="15.75" customHeight="1">
      <c r="A2177" s="103"/>
      <c r="B2177" s="103"/>
      <c r="C2177" s="104" t="e">
        <v>#REF!</v>
      </c>
      <c r="D2177" s="103"/>
      <c r="E2177" s="53"/>
      <c r="F2177" s="53"/>
      <c r="G2177" s="53"/>
      <c r="H2177" s="53"/>
      <c r="I2177" s="53"/>
      <c r="J2177" s="53"/>
      <c r="K2177" s="53"/>
      <c r="L2177" s="53"/>
      <c r="M2177" s="53"/>
      <c r="N2177" s="53"/>
      <c r="O2177" s="53"/>
      <c r="P2177" s="53"/>
      <c r="Q2177" s="53"/>
      <c r="R2177" s="53"/>
      <c r="S2177" s="53"/>
      <c r="T2177" s="53"/>
      <c r="U2177" s="53"/>
      <c r="V2177" s="53"/>
      <c r="W2177" s="53"/>
      <c r="X2177" s="53"/>
      <c r="Y2177" s="53"/>
      <c r="Z2177" s="53"/>
    </row>
    <row r="2178" spans="1:26" ht="15.75" customHeight="1">
      <c r="A2178" s="103"/>
      <c r="B2178" s="103"/>
      <c r="C2178" s="104" t="e">
        <v>#REF!</v>
      </c>
      <c r="D2178" s="103"/>
      <c r="E2178" s="53"/>
      <c r="F2178" s="53"/>
      <c r="G2178" s="53"/>
      <c r="H2178" s="53"/>
      <c r="I2178" s="53"/>
      <c r="J2178" s="53"/>
      <c r="K2178" s="53"/>
      <c r="L2178" s="53"/>
      <c r="M2178" s="53"/>
      <c r="N2178" s="53"/>
      <c r="O2178" s="53"/>
      <c r="P2178" s="53"/>
      <c r="Q2178" s="53"/>
      <c r="R2178" s="53"/>
      <c r="S2178" s="53"/>
      <c r="T2178" s="53"/>
      <c r="U2178" s="53"/>
      <c r="V2178" s="53"/>
      <c r="W2178" s="53"/>
      <c r="X2178" s="53"/>
      <c r="Y2178" s="53"/>
      <c r="Z2178" s="53"/>
    </row>
    <row r="2179" spans="1:26" ht="15.75" customHeight="1">
      <c r="A2179" s="103"/>
      <c r="B2179" s="103"/>
      <c r="C2179" s="104" t="e">
        <v>#REF!</v>
      </c>
      <c r="D2179" s="103"/>
      <c r="E2179" s="53"/>
      <c r="F2179" s="53"/>
      <c r="G2179" s="53"/>
      <c r="H2179" s="53"/>
      <c r="I2179" s="53"/>
      <c r="J2179" s="53"/>
      <c r="K2179" s="53"/>
      <c r="L2179" s="53"/>
      <c r="M2179" s="53"/>
      <c r="N2179" s="53"/>
      <c r="O2179" s="53"/>
      <c r="P2179" s="53"/>
      <c r="Q2179" s="53"/>
      <c r="R2179" s="53"/>
      <c r="S2179" s="53"/>
      <c r="T2179" s="53"/>
      <c r="U2179" s="53"/>
      <c r="V2179" s="53"/>
      <c r="W2179" s="53"/>
      <c r="X2179" s="53"/>
      <c r="Y2179" s="53"/>
      <c r="Z2179" s="53"/>
    </row>
    <row r="2180" spans="1:26" ht="15.75" customHeight="1">
      <c r="A2180" s="103"/>
      <c r="B2180" s="103"/>
      <c r="C2180" s="104" t="e">
        <v>#REF!</v>
      </c>
      <c r="D2180" s="103"/>
      <c r="E2180" s="53"/>
      <c r="F2180" s="53"/>
      <c r="G2180" s="53"/>
      <c r="H2180" s="53"/>
      <c r="I2180" s="53"/>
      <c r="J2180" s="53"/>
      <c r="K2180" s="53"/>
      <c r="L2180" s="53"/>
      <c r="M2180" s="53"/>
      <c r="N2180" s="53"/>
      <c r="O2180" s="53"/>
      <c r="P2180" s="53"/>
      <c r="Q2180" s="53"/>
      <c r="R2180" s="53"/>
      <c r="S2180" s="53"/>
      <c r="T2180" s="53"/>
      <c r="U2180" s="53"/>
      <c r="V2180" s="53"/>
      <c r="W2180" s="53"/>
      <c r="X2180" s="53"/>
      <c r="Y2180" s="53"/>
      <c r="Z2180" s="53"/>
    </row>
    <row r="2181" spans="1:26" ht="15.75" customHeight="1">
      <c r="A2181" s="103"/>
      <c r="B2181" s="103"/>
      <c r="C2181" s="104" t="e">
        <v>#REF!</v>
      </c>
      <c r="D2181" s="103"/>
      <c r="E2181" s="53"/>
      <c r="F2181" s="53"/>
      <c r="G2181" s="53"/>
      <c r="H2181" s="53"/>
      <c r="I2181" s="53"/>
      <c r="J2181" s="53"/>
      <c r="K2181" s="53"/>
      <c r="L2181" s="53"/>
      <c r="M2181" s="53"/>
      <c r="N2181" s="53"/>
      <c r="O2181" s="53"/>
      <c r="P2181" s="53"/>
      <c r="Q2181" s="53"/>
      <c r="R2181" s="53"/>
      <c r="S2181" s="53"/>
      <c r="T2181" s="53"/>
      <c r="U2181" s="53"/>
      <c r="V2181" s="53"/>
      <c r="W2181" s="53"/>
      <c r="X2181" s="53"/>
      <c r="Y2181" s="53"/>
      <c r="Z2181" s="53"/>
    </row>
    <row r="2182" spans="1:26" ht="15.75" customHeight="1">
      <c r="A2182" s="103"/>
      <c r="B2182" s="103"/>
      <c r="C2182" s="104" t="e">
        <v>#REF!</v>
      </c>
      <c r="D2182" s="103"/>
      <c r="E2182" s="53"/>
      <c r="F2182" s="53"/>
      <c r="G2182" s="53"/>
      <c r="H2182" s="53"/>
      <c r="I2182" s="53"/>
      <c r="J2182" s="53"/>
      <c r="K2182" s="53"/>
      <c r="L2182" s="53"/>
      <c r="M2182" s="53"/>
      <c r="N2182" s="53"/>
      <c r="O2182" s="53"/>
      <c r="P2182" s="53"/>
      <c r="Q2182" s="53"/>
      <c r="R2182" s="53"/>
      <c r="S2182" s="53"/>
      <c r="T2182" s="53"/>
      <c r="U2182" s="53"/>
      <c r="V2182" s="53"/>
      <c r="W2182" s="53"/>
      <c r="X2182" s="53"/>
      <c r="Y2182" s="53"/>
      <c r="Z2182" s="53"/>
    </row>
    <row r="2183" spans="1:26" ht="15.75" customHeight="1">
      <c r="A2183" s="103"/>
      <c r="B2183" s="103"/>
      <c r="C2183" s="104" t="e">
        <v>#REF!</v>
      </c>
      <c r="D2183" s="103"/>
      <c r="E2183" s="53"/>
      <c r="F2183" s="53"/>
      <c r="G2183" s="53"/>
      <c r="H2183" s="53"/>
      <c r="I2183" s="53"/>
      <c r="J2183" s="53"/>
      <c r="K2183" s="53"/>
      <c r="L2183" s="53"/>
      <c r="M2183" s="53"/>
      <c r="N2183" s="53"/>
      <c r="O2183" s="53"/>
      <c r="P2183" s="53"/>
      <c r="Q2183" s="53"/>
      <c r="R2183" s="53"/>
      <c r="S2183" s="53"/>
      <c r="T2183" s="53"/>
      <c r="U2183" s="53"/>
      <c r="V2183" s="53"/>
      <c r="W2183" s="53"/>
      <c r="X2183" s="53"/>
      <c r="Y2183" s="53"/>
      <c r="Z2183" s="53"/>
    </row>
    <row r="2184" spans="1:26" ht="15.75" customHeight="1">
      <c r="A2184" s="103"/>
      <c r="B2184" s="103"/>
      <c r="C2184" s="104" t="e">
        <v>#REF!</v>
      </c>
      <c r="D2184" s="103"/>
      <c r="E2184" s="53"/>
      <c r="F2184" s="53"/>
      <c r="G2184" s="53"/>
      <c r="H2184" s="53"/>
      <c r="I2184" s="53"/>
      <c r="J2184" s="53"/>
      <c r="K2184" s="53"/>
      <c r="L2184" s="53"/>
      <c r="M2184" s="53"/>
      <c r="N2184" s="53"/>
      <c r="O2184" s="53"/>
      <c r="P2184" s="53"/>
      <c r="Q2184" s="53"/>
      <c r="R2184" s="53"/>
      <c r="S2184" s="53"/>
      <c r="T2184" s="53"/>
      <c r="U2184" s="53"/>
      <c r="V2184" s="53"/>
      <c r="W2184" s="53"/>
      <c r="X2184" s="53"/>
      <c r="Y2184" s="53"/>
      <c r="Z2184" s="53"/>
    </row>
    <row r="2185" spans="1:26" ht="15.75" customHeight="1">
      <c r="A2185" s="103"/>
      <c r="B2185" s="103"/>
      <c r="C2185" s="104" t="e">
        <v>#REF!</v>
      </c>
      <c r="D2185" s="103"/>
      <c r="E2185" s="53"/>
      <c r="F2185" s="53"/>
      <c r="G2185" s="53"/>
      <c r="H2185" s="53"/>
      <c r="I2185" s="53"/>
      <c r="J2185" s="53"/>
      <c r="K2185" s="53"/>
      <c r="L2185" s="53"/>
      <c r="M2185" s="53"/>
      <c r="N2185" s="53"/>
      <c r="O2185" s="53"/>
      <c r="P2185" s="53"/>
      <c r="Q2185" s="53"/>
      <c r="R2185" s="53"/>
      <c r="S2185" s="53"/>
      <c r="T2185" s="53"/>
      <c r="U2185" s="53"/>
      <c r="V2185" s="53"/>
      <c r="W2185" s="53"/>
      <c r="X2185" s="53"/>
      <c r="Y2185" s="53"/>
      <c r="Z2185" s="53"/>
    </row>
    <row r="2186" spans="1:26" ht="15.75" customHeight="1">
      <c r="A2186" s="103"/>
      <c r="B2186" s="103"/>
      <c r="C2186" s="104" t="e">
        <v>#REF!</v>
      </c>
      <c r="D2186" s="103"/>
      <c r="E2186" s="53"/>
      <c r="F2186" s="53"/>
      <c r="G2186" s="53"/>
      <c r="H2186" s="53"/>
      <c r="I2186" s="53"/>
      <c r="J2186" s="53"/>
      <c r="K2186" s="53"/>
      <c r="L2186" s="53"/>
      <c r="M2186" s="53"/>
      <c r="N2186" s="53"/>
      <c r="O2186" s="53"/>
      <c r="P2186" s="53"/>
      <c r="Q2186" s="53"/>
      <c r="R2186" s="53"/>
      <c r="S2186" s="53"/>
      <c r="T2186" s="53"/>
      <c r="U2186" s="53"/>
      <c r="V2186" s="53"/>
      <c r="W2186" s="53"/>
      <c r="X2186" s="53"/>
      <c r="Y2186" s="53"/>
      <c r="Z2186" s="53"/>
    </row>
    <row r="2187" spans="1:26" ht="15.75" customHeight="1">
      <c r="A2187" s="103"/>
      <c r="B2187" s="103"/>
      <c r="C2187" s="104" t="e">
        <v>#REF!</v>
      </c>
      <c r="D2187" s="103"/>
      <c r="E2187" s="53"/>
      <c r="F2187" s="53"/>
      <c r="G2187" s="53"/>
      <c r="H2187" s="53"/>
      <c r="I2187" s="53"/>
      <c r="J2187" s="53"/>
      <c r="K2187" s="53"/>
      <c r="L2187" s="53"/>
      <c r="M2187" s="53"/>
      <c r="N2187" s="53"/>
      <c r="O2187" s="53"/>
      <c r="P2187" s="53"/>
      <c r="Q2187" s="53"/>
      <c r="R2187" s="53"/>
      <c r="S2187" s="53"/>
      <c r="T2187" s="53"/>
      <c r="U2187" s="53"/>
      <c r="V2187" s="53"/>
      <c r="W2187" s="53"/>
      <c r="X2187" s="53"/>
      <c r="Y2187" s="53"/>
      <c r="Z2187" s="53"/>
    </row>
    <row r="2188" spans="1:26" ht="15.75" customHeight="1">
      <c r="A2188" s="103"/>
      <c r="B2188" s="103"/>
      <c r="C2188" s="104" t="e">
        <v>#REF!</v>
      </c>
      <c r="D2188" s="103"/>
      <c r="E2188" s="53"/>
      <c r="F2188" s="53"/>
      <c r="G2188" s="53"/>
      <c r="H2188" s="53"/>
      <c r="I2188" s="53"/>
      <c r="J2188" s="53"/>
      <c r="K2188" s="53"/>
      <c r="L2188" s="53"/>
      <c r="M2188" s="53"/>
      <c r="N2188" s="53"/>
      <c r="O2188" s="53"/>
      <c r="P2188" s="53"/>
      <c r="Q2188" s="53"/>
      <c r="R2188" s="53"/>
      <c r="S2188" s="53"/>
      <c r="T2188" s="53"/>
      <c r="U2188" s="53"/>
      <c r="V2188" s="53"/>
      <c r="W2188" s="53"/>
      <c r="X2188" s="53"/>
      <c r="Y2188" s="53"/>
      <c r="Z2188" s="53"/>
    </row>
    <row r="2189" spans="1:26" ht="15.75" customHeight="1">
      <c r="A2189" s="103"/>
      <c r="B2189" s="103"/>
      <c r="C2189" s="104" t="e">
        <v>#REF!</v>
      </c>
      <c r="D2189" s="103"/>
      <c r="E2189" s="53"/>
      <c r="F2189" s="53"/>
      <c r="G2189" s="53"/>
      <c r="H2189" s="53"/>
      <c r="I2189" s="53"/>
      <c r="J2189" s="53"/>
      <c r="K2189" s="53"/>
      <c r="L2189" s="53"/>
      <c r="M2189" s="53"/>
      <c r="N2189" s="53"/>
      <c r="O2189" s="53"/>
      <c r="P2189" s="53"/>
      <c r="Q2189" s="53"/>
      <c r="R2189" s="53"/>
      <c r="S2189" s="53"/>
      <c r="T2189" s="53"/>
      <c r="U2189" s="53"/>
      <c r="V2189" s="53"/>
      <c r="W2189" s="53"/>
      <c r="X2189" s="53"/>
      <c r="Y2189" s="53"/>
      <c r="Z2189" s="53"/>
    </row>
    <row r="2190" spans="1:26" ht="15.75" customHeight="1">
      <c r="A2190" s="103"/>
      <c r="B2190" s="103"/>
      <c r="C2190" s="104" t="e">
        <v>#REF!</v>
      </c>
      <c r="D2190" s="103"/>
      <c r="E2190" s="53"/>
      <c r="F2190" s="53"/>
      <c r="G2190" s="53"/>
      <c r="H2190" s="53"/>
      <c r="I2190" s="53"/>
      <c r="J2190" s="53"/>
      <c r="K2190" s="53"/>
      <c r="L2190" s="53"/>
      <c r="M2190" s="53"/>
      <c r="N2190" s="53"/>
      <c r="O2190" s="53"/>
      <c r="P2190" s="53"/>
      <c r="Q2190" s="53"/>
      <c r="R2190" s="53"/>
      <c r="S2190" s="53"/>
      <c r="T2190" s="53"/>
      <c r="U2190" s="53"/>
      <c r="V2190" s="53"/>
      <c r="W2190" s="53"/>
      <c r="X2190" s="53"/>
      <c r="Y2190" s="53"/>
      <c r="Z2190" s="53"/>
    </row>
    <row r="2191" spans="1:26" ht="15.75" customHeight="1">
      <c r="A2191" s="103"/>
      <c r="B2191" s="103"/>
      <c r="C2191" s="104" t="e">
        <v>#REF!</v>
      </c>
      <c r="D2191" s="103"/>
      <c r="E2191" s="53"/>
      <c r="F2191" s="53"/>
      <c r="G2191" s="53"/>
      <c r="H2191" s="53"/>
      <c r="I2191" s="53"/>
      <c r="J2191" s="53"/>
      <c r="K2191" s="53"/>
      <c r="L2191" s="53"/>
      <c r="M2191" s="53"/>
      <c r="N2191" s="53"/>
      <c r="O2191" s="53"/>
      <c r="P2191" s="53"/>
      <c r="Q2191" s="53"/>
      <c r="R2191" s="53"/>
      <c r="S2191" s="53"/>
      <c r="T2191" s="53"/>
      <c r="U2191" s="53"/>
      <c r="V2191" s="53"/>
      <c r="W2191" s="53"/>
      <c r="X2191" s="53"/>
      <c r="Y2191" s="53"/>
      <c r="Z2191" s="53"/>
    </row>
    <row r="2192" spans="1:26" ht="15.75" customHeight="1">
      <c r="A2192" s="103"/>
      <c r="B2192" s="103"/>
      <c r="C2192" s="104" t="e">
        <v>#REF!</v>
      </c>
      <c r="D2192" s="103"/>
      <c r="E2192" s="53"/>
      <c r="F2192" s="53"/>
      <c r="G2192" s="53"/>
      <c r="H2192" s="53"/>
      <c r="I2192" s="53"/>
      <c r="J2192" s="53"/>
      <c r="K2192" s="53"/>
      <c r="L2192" s="53"/>
      <c r="M2192" s="53"/>
      <c r="N2192" s="53"/>
      <c r="O2192" s="53"/>
      <c r="P2192" s="53"/>
      <c r="Q2192" s="53"/>
      <c r="R2192" s="53"/>
      <c r="S2192" s="53"/>
      <c r="T2192" s="53"/>
      <c r="U2192" s="53"/>
      <c r="V2192" s="53"/>
      <c r="W2192" s="53"/>
      <c r="X2192" s="53"/>
      <c r="Y2192" s="53"/>
      <c r="Z2192" s="53"/>
    </row>
    <row r="2193" spans="1:26" ht="15.75" customHeight="1">
      <c r="A2193" s="103"/>
      <c r="B2193" s="103"/>
      <c r="C2193" s="104" t="e">
        <v>#REF!</v>
      </c>
      <c r="D2193" s="103"/>
      <c r="E2193" s="53"/>
      <c r="F2193" s="53"/>
      <c r="G2193" s="53"/>
      <c r="H2193" s="53"/>
      <c r="I2193" s="53"/>
      <c r="J2193" s="53"/>
      <c r="K2193" s="53"/>
      <c r="L2193" s="53"/>
      <c r="M2193" s="53"/>
      <c r="N2193" s="53"/>
      <c r="O2193" s="53"/>
      <c r="P2193" s="53"/>
      <c r="Q2193" s="53"/>
      <c r="R2193" s="53"/>
      <c r="S2193" s="53"/>
      <c r="T2193" s="53"/>
      <c r="U2193" s="53"/>
      <c r="V2193" s="53"/>
      <c r="W2193" s="53"/>
      <c r="X2193" s="53"/>
      <c r="Y2193" s="53"/>
      <c r="Z2193" s="53"/>
    </row>
    <row r="2194" spans="1:26" ht="15.75" customHeight="1">
      <c r="A2194" s="103"/>
      <c r="B2194" s="103"/>
      <c r="C2194" s="104" t="e">
        <v>#REF!</v>
      </c>
      <c r="D2194" s="103"/>
      <c r="E2194" s="53"/>
      <c r="F2194" s="53"/>
      <c r="G2194" s="53"/>
      <c r="H2194" s="53"/>
      <c r="I2194" s="53"/>
      <c r="J2194" s="53"/>
      <c r="K2194" s="53"/>
      <c r="L2194" s="53"/>
      <c r="M2194" s="53"/>
      <c r="N2194" s="53"/>
      <c r="O2194" s="53"/>
      <c r="P2194" s="53"/>
      <c r="Q2194" s="53"/>
      <c r="R2194" s="53"/>
      <c r="S2194" s="53"/>
      <c r="T2194" s="53"/>
      <c r="U2194" s="53"/>
      <c r="V2194" s="53"/>
      <c r="W2194" s="53"/>
      <c r="X2194" s="53"/>
      <c r="Y2194" s="53"/>
      <c r="Z2194" s="53"/>
    </row>
    <row r="2195" spans="1:26" ht="15.75" customHeight="1">
      <c r="A2195" s="103"/>
      <c r="B2195" s="103"/>
      <c r="C2195" s="104" t="e">
        <v>#REF!</v>
      </c>
      <c r="D2195" s="103"/>
      <c r="E2195" s="53"/>
      <c r="F2195" s="53"/>
      <c r="G2195" s="53"/>
      <c r="H2195" s="53"/>
      <c r="I2195" s="53"/>
      <c r="J2195" s="53"/>
      <c r="K2195" s="53"/>
      <c r="L2195" s="53"/>
      <c r="M2195" s="53"/>
      <c r="N2195" s="53"/>
      <c r="O2195" s="53"/>
      <c r="P2195" s="53"/>
      <c r="Q2195" s="53"/>
      <c r="R2195" s="53"/>
      <c r="S2195" s="53"/>
      <c r="T2195" s="53"/>
      <c r="U2195" s="53"/>
      <c r="V2195" s="53"/>
      <c r="W2195" s="53"/>
      <c r="X2195" s="53"/>
      <c r="Y2195" s="53"/>
      <c r="Z2195" s="53"/>
    </row>
    <row r="2196" spans="1:26" ht="15.75" customHeight="1">
      <c r="A2196" s="103"/>
      <c r="B2196" s="103"/>
      <c r="C2196" s="104" t="e">
        <v>#REF!</v>
      </c>
      <c r="D2196" s="103"/>
      <c r="E2196" s="53"/>
      <c r="F2196" s="53"/>
      <c r="G2196" s="53"/>
      <c r="H2196" s="53"/>
      <c r="I2196" s="53"/>
      <c r="J2196" s="53"/>
      <c r="K2196" s="53"/>
      <c r="L2196" s="53"/>
      <c r="M2196" s="53"/>
      <c r="N2196" s="53"/>
      <c r="O2196" s="53"/>
      <c r="P2196" s="53"/>
      <c r="Q2196" s="53"/>
      <c r="R2196" s="53"/>
      <c r="S2196" s="53"/>
      <c r="T2196" s="53"/>
      <c r="U2196" s="53"/>
      <c r="V2196" s="53"/>
      <c r="W2196" s="53"/>
      <c r="X2196" s="53"/>
      <c r="Y2196" s="53"/>
      <c r="Z2196" s="53"/>
    </row>
    <row r="2197" spans="1:26" ht="15.75" customHeight="1">
      <c r="A2197" s="103"/>
      <c r="B2197" s="103"/>
      <c r="C2197" s="104" t="e">
        <v>#REF!</v>
      </c>
      <c r="D2197" s="103"/>
      <c r="E2197" s="53"/>
      <c r="F2197" s="53"/>
      <c r="G2197" s="53"/>
      <c r="H2197" s="53"/>
      <c r="I2197" s="53"/>
      <c r="J2197" s="53"/>
      <c r="K2197" s="53"/>
      <c r="L2197" s="53"/>
      <c r="M2197" s="53"/>
      <c r="N2197" s="53"/>
      <c r="O2197" s="53"/>
      <c r="P2197" s="53"/>
      <c r="Q2197" s="53"/>
      <c r="R2197" s="53"/>
      <c r="S2197" s="53"/>
      <c r="T2197" s="53"/>
      <c r="U2197" s="53"/>
      <c r="V2197" s="53"/>
      <c r="W2197" s="53"/>
      <c r="X2197" s="53"/>
      <c r="Y2197" s="53"/>
      <c r="Z2197" s="53"/>
    </row>
    <row r="2198" spans="1:26" ht="15.75" customHeight="1">
      <c r="A2198" s="103"/>
      <c r="B2198" s="103"/>
      <c r="C2198" s="104" t="e">
        <v>#REF!</v>
      </c>
      <c r="D2198" s="103"/>
      <c r="E2198" s="53"/>
      <c r="F2198" s="53"/>
      <c r="G2198" s="53"/>
      <c r="H2198" s="53"/>
      <c r="I2198" s="53"/>
      <c r="J2198" s="53"/>
      <c r="K2198" s="53"/>
      <c r="L2198" s="53"/>
      <c r="M2198" s="53"/>
      <c r="N2198" s="53"/>
      <c r="O2198" s="53"/>
      <c r="P2198" s="53"/>
      <c r="Q2198" s="53"/>
      <c r="R2198" s="53"/>
      <c r="S2198" s="53"/>
      <c r="T2198" s="53"/>
      <c r="U2198" s="53"/>
      <c r="V2198" s="53"/>
      <c r="W2198" s="53"/>
      <c r="X2198" s="53"/>
      <c r="Y2198" s="53"/>
      <c r="Z2198" s="53"/>
    </row>
    <row r="2199" spans="1:26" ht="15.75" customHeight="1">
      <c r="A2199" s="103"/>
      <c r="B2199" s="103"/>
      <c r="C2199" s="104" t="e">
        <v>#REF!</v>
      </c>
      <c r="D2199" s="103"/>
      <c r="E2199" s="53"/>
      <c r="F2199" s="53"/>
      <c r="G2199" s="53"/>
      <c r="H2199" s="53"/>
      <c r="I2199" s="53"/>
      <c r="J2199" s="53"/>
      <c r="K2199" s="53"/>
      <c r="L2199" s="53"/>
      <c r="M2199" s="53"/>
      <c r="N2199" s="53"/>
      <c r="O2199" s="53"/>
      <c r="P2199" s="53"/>
      <c r="Q2199" s="53"/>
      <c r="R2199" s="53"/>
      <c r="S2199" s="53"/>
      <c r="T2199" s="53"/>
      <c r="U2199" s="53"/>
      <c r="V2199" s="53"/>
      <c r="W2199" s="53"/>
      <c r="X2199" s="53"/>
      <c r="Y2199" s="53"/>
      <c r="Z2199" s="53"/>
    </row>
    <row r="2200" spans="1:26" ht="15.75" customHeight="1">
      <c r="A2200" s="103"/>
      <c r="B2200" s="103"/>
      <c r="C2200" s="104" t="e">
        <v>#REF!</v>
      </c>
      <c r="D2200" s="103"/>
      <c r="E2200" s="53"/>
      <c r="F2200" s="53"/>
      <c r="G2200" s="53"/>
      <c r="H2200" s="53"/>
      <c r="I2200" s="53"/>
      <c r="J2200" s="53"/>
      <c r="K2200" s="53"/>
      <c r="L2200" s="53"/>
      <c r="M2200" s="53"/>
      <c r="N2200" s="53"/>
      <c r="O2200" s="53"/>
      <c r="P2200" s="53"/>
      <c r="Q2200" s="53"/>
      <c r="R2200" s="53"/>
      <c r="S2200" s="53"/>
      <c r="T2200" s="53"/>
      <c r="U2200" s="53"/>
      <c r="V2200" s="53"/>
      <c r="W2200" s="53"/>
      <c r="X2200" s="53"/>
      <c r="Y2200" s="53"/>
      <c r="Z2200" s="53"/>
    </row>
    <row r="2201" spans="1:26" ht="15.75" customHeight="1">
      <c r="A2201" s="103"/>
      <c r="B2201" s="103"/>
      <c r="C2201" s="104" t="e">
        <v>#REF!</v>
      </c>
      <c r="D2201" s="103"/>
      <c r="E2201" s="53"/>
      <c r="F2201" s="53"/>
      <c r="G2201" s="53"/>
      <c r="H2201" s="53"/>
      <c r="I2201" s="53"/>
      <c r="J2201" s="53"/>
      <c r="K2201" s="53"/>
      <c r="L2201" s="53"/>
      <c r="M2201" s="53"/>
      <c r="N2201" s="53"/>
      <c r="O2201" s="53"/>
      <c r="P2201" s="53"/>
      <c r="Q2201" s="53"/>
      <c r="R2201" s="53"/>
      <c r="S2201" s="53"/>
      <c r="T2201" s="53"/>
      <c r="U2201" s="53"/>
      <c r="V2201" s="53"/>
      <c r="W2201" s="53"/>
      <c r="X2201" s="53"/>
      <c r="Y2201" s="53"/>
      <c r="Z2201" s="53"/>
    </row>
    <row r="2202" spans="1:26" ht="15.75" customHeight="1">
      <c r="A2202" s="105"/>
      <c r="B2202" s="105"/>
      <c r="C2202" s="105"/>
      <c r="D2202" s="105"/>
      <c r="E2202" s="105"/>
      <c r="F2202" s="105"/>
      <c r="G2202" s="105"/>
      <c r="H2202" s="105"/>
      <c r="I2202" s="105"/>
      <c r="J2202" s="105"/>
      <c r="K2202" s="105"/>
      <c r="L2202" s="105"/>
      <c r="M2202" s="105"/>
      <c r="N2202" s="105"/>
      <c r="O2202" s="105"/>
      <c r="P2202" s="105"/>
      <c r="Q2202" s="105"/>
      <c r="R2202" s="105"/>
      <c r="S2202" s="105"/>
      <c r="T2202" s="105"/>
      <c r="U2202" s="105"/>
      <c r="V2202" s="105"/>
      <c r="W2202" s="105"/>
      <c r="X2202" s="105"/>
      <c r="Y2202" s="105"/>
      <c r="Z2202" s="105"/>
    </row>
    <row r="2203" spans="1:26" ht="15.75" customHeight="1">
      <c r="A2203" s="105"/>
      <c r="B2203" s="105"/>
      <c r="C2203" s="105"/>
      <c r="D2203" s="105"/>
      <c r="E2203" s="105"/>
      <c r="F2203" s="105"/>
      <c r="G2203" s="105"/>
      <c r="H2203" s="105"/>
      <c r="I2203" s="105"/>
      <c r="J2203" s="105"/>
      <c r="K2203" s="105"/>
      <c r="L2203" s="105"/>
      <c r="M2203" s="105"/>
      <c r="N2203" s="105"/>
      <c r="O2203" s="105"/>
      <c r="P2203" s="105"/>
      <c r="Q2203" s="105"/>
      <c r="R2203" s="105"/>
      <c r="S2203" s="105"/>
      <c r="T2203" s="105"/>
      <c r="U2203" s="105"/>
      <c r="V2203" s="105"/>
      <c r="W2203" s="105"/>
      <c r="X2203" s="105"/>
      <c r="Y2203" s="105"/>
      <c r="Z2203" s="105"/>
    </row>
    <row r="2204" spans="1:26" ht="15.75" customHeight="1">
      <c r="A2204" s="105"/>
      <c r="B2204" s="105"/>
      <c r="C2204" s="105"/>
      <c r="D2204" s="105"/>
      <c r="E2204" s="105"/>
      <c r="F2204" s="105"/>
      <c r="G2204" s="105"/>
      <c r="H2204" s="105"/>
      <c r="I2204" s="105"/>
      <c r="J2204" s="105"/>
      <c r="K2204" s="105"/>
      <c r="L2204" s="105"/>
      <c r="M2204" s="105"/>
      <c r="N2204" s="105"/>
      <c r="O2204" s="105"/>
      <c r="P2204" s="105"/>
      <c r="Q2204" s="105"/>
      <c r="R2204" s="105"/>
      <c r="S2204" s="105"/>
      <c r="T2204" s="105"/>
      <c r="U2204" s="105"/>
      <c r="V2204" s="105"/>
      <c r="W2204" s="105"/>
      <c r="X2204" s="105"/>
      <c r="Y2204" s="105"/>
      <c r="Z2204" s="105"/>
    </row>
    <row r="2205" spans="1:26" ht="15.75" customHeight="1">
      <c r="A2205" s="105"/>
      <c r="B2205" s="105"/>
      <c r="C2205" s="105"/>
      <c r="D2205" s="105"/>
      <c r="E2205" s="105"/>
      <c r="F2205" s="105"/>
      <c r="G2205" s="105"/>
      <c r="H2205" s="105"/>
      <c r="I2205" s="105"/>
      <c r="J2205" s="105"/>
      <c r="K2205" s="105"/>
      <c r="L2205" s="105"/>
      <c r="M2205" s="105"/>
      <c r="N2205" s="105"/>
      <c r="O2205" s="105"/>
      <c r="P2205" s="105"/>
      <c r="Q2205" s="105"/>
      <c r="R2205" s="105"/>
      <c r="S2205" s="105"/>
      <c r="T2205" s="105"/>
      <c r="U2205" s="105"/>
      <c r="V2205" s="105"/>
      <c r="W2205" s="105"/>
      <c r="X2205" s="105"/>
      <c r="Y2205" s="105"/>
      <c r="Z2205" s="105"/>
    </row>
    <row r="2206" spans="1:26" ht="15.75" customHeight="1">
      <c r="A2206" s="105"/>
      <c r="B2206" s="105"/>
      <c r="C2206" s="105"/>
      <c r="D2206" s="105"/>
      <c r="E2206" s="105"/>
      <c r="F2206" s="105"/>
      <c r="G2206" s="105"/>
      <c r="H2206" s="105"/>
      <c r="I2206" s="105"/>
      <c r="J2206" s="105"/>
      <c r="K2206" s="105"/>
      <c r="L2206" s="105"/>
      <c r="M2206" s="105"/>
      <c r="N2206" s="105"/>
      <c r="O2206" s="105"/>
      <c r="P2206" s="105"/>
      <c r="Q2206" s="105"/>
      <c r="R2206" s="105"/>
      <c r="S2206" s="105"/>
      <c r="T2206" s="105"/>
      <c r="U2206" s="105"/>
      <c r="V2206" s="105"/>
      <c r="W2206" s="105"/>
      <c r="X2206" s="105"/>
      <c r="Y2206" s="105"/>
      <c r="Z2206" s="105"/>
    </row>
    <row r="2207" spans="1:26" ht="15.75" customHeight="1">
      <c r="A2207" s="105"/>
      <c r="B2207" s="105"/>
      <c r="C2207" s="105"/>
      <c r="D2207" s="105"/>
      <c r="E2207" s="105"/>
      <c r="F2207" s="105"/>
      <c r="G2207" s="105"/>
      <c r="H2207" s="105"/>
      <c r="I2207" s="105"/>
      <c r="J2207" s="105"/>
      <c r="K2207" s="105"/>
      <c r="L2207" s="105"/>
      <c r="M2207" s="105"/>
      <c r="N2207" s="105"/>
      <c r="O2207" s="105"/>
      <c r="P2207" s="105"/>
      <c r="Q2207" s="105"/>
      <c r="R2207" s="105"/>
      <c r="S2207" s="105"/>
      <c r="T2207" s="105"/>
      <c r="U2207" s="105"/>
      <c r="V2207" s="105"/>
      <c r="W2207" s="105"/>
      <c r="X2207" s="105"/>
      <c r="Y2207" s="105"/>
      <c r="Z2207" s="105"/>
    </row>
    <row r="2208" spans="1:26" ht="15.75" customHeight="1">
      <c r="A2208" s="105"/>
      <c r="B2208" s="105"/>
      <c r="C2208" s="105"/>
      <c r="D2208" s="105"/>
      <c r="E2208" s="105"/>
      <c r="F2208" s="105"/>
      <c r="G2208" s="105"/>
      <c r="H2208" s="105"/>
      <c r="I2208" s="105"/>
      <c r="J2208" s="105"/>
      <c r="K2208" s="105"/>
      <c r="L2208" s="105"/>
      <c r="M2208" s="105"/>
      <c r="N2208" s="105"/>
      <c r="O2208" s="105"/>
      <c r="P2208" s="105"/>
      <c r="Q2208" s="105"/>
      <c r="R2208" s="105"/>
      <c r="S2208" s="105"/>
      <c r="T2208" s="105"/>
      <c r="U2208" s="105"/>
      <c r="V2208" s="105"/>
      <c r="W2208" s="105"/>
      <c r="X2208" s="105"/>
      <c r="Y2208" s="105"/>
      <c r="Z2208" s="105"/>
    </row>
    <row r="2209" spans="1:26" ht="15.75" customHeight="1">
      <c r="A2209" s="105"/>
      <c r="B2209" s="105"/>
      <c r="C2209" s="105"/>
      <c r="D2209" s="105"/>
      <c r="E2209" s="105"/>
      <c r="F2209" s="105"/>
      <c r="G2209" s="105"/>
      <c r="H2209" s="105"/>
      <c r="I2209" s="105"/>
      <c r="J2209" s="105"/>
      <c r="K2209" s="105"/>
      <c r="L2209" s="105"/>
      <c r="M2209" s="105"/>
      <c r="N2209" s="105"/>
      <c r="O2209" s="105"/>
      <c r="P2209" s="105"/>
      <c r="Q2209" s="105"/>
      <c r="R2209" s="105"/>
      <c r="S2209" s="105"/>
      <c r="T2209" s="105"/>
      <c r="U2209" s="105"/>
      <c r="V2209" s="105"/>
      <c r="W2209" s="105"/>
      <c r="X2209" s="105"/>
      <c r="Y2209" s="105"/>
      <c r="Z2209" s="105"/>
    </row>
    <row r="2210" spans="1:26" ht="15.75" customHeight="1">
      <c r="A2210" s="105"/>
      <c r="B2210" s="105"/>
      <c r="C2210" s="105"/>
      <c r="D2210" s="105"/>
      <c r="E2210" s="105"/>
      <c r="F2210" s="105"/>
      <c r="G2210" s="105"/>
      <c r="H2210" s="105"/>
      <c r="I2210" s="105"/>
      <c r="J2210" s="105"/>
      <c r="K2210" s="105"/>
      <c r="L2210" s="105"/>
      <c r="M2210" s="105"/>
      <c r="N2210" s="105"/>
      <c r="O2210" s="105"/>
      <c r="P2210" s="105"/>
      <c r="Q2210" s="105"/>
      <c r="R2210" s="105"/>
      <c r="S2210" s="105"/>
      <c r="T2210" s="105"/>
      <c r="U2210" s="105"/>
      <c r="V2210" s="105"/>
      <c r="W2210" s="105"/>
      <c r="X2210" s="105"/>
      <c r="Y2210" s="105"/>
      <c r="Z2210" s="105"/>
    </row>
    <row r="2211" spans="1:26" ht="15.75" customHeight="1">
      <c r="A2211" s="105"/>
      <c r="B2211" s="105"/>
      <c r="C2211" s="105"/>
      <c r="D2211" s="105"/>
      <c r="E2211" s="105"/>
      <c r="F2211" s="105"/>
      <c r="G2211" s="105"/>
      <c r="H2211" s="105"/>
      <c r="I2211" s="105"/>
      <c r="J2211" s="105"/>
      <c r="K2211" s="105"/>
      <c r="L2211" s="105"/>
      <c r="M2211" s="105"/>
      <c r="N2211" s="105"/>
      <c r="O2211" s="105"/>
      <c r="P2211" s="105"/>
      <c r="Q2211" s="105"/>
      <c r="R2211" s="105"/>
      <c r="S2211" s="105"/>
      <c r="T2211" s="105"/>
      <c r="U2211" s="105"/>
      <c r="V2211" s="105"/>
      <c r="W2211" s="105"/>
      <c r="X2211" s="105"/>
      <c r="Y2211" s="105"/>
      <c r="Z2211" s="105"/>
    </row>
    <row r="2212" spans="1:26" ht="15.75" customHeight="1">
      <c r="A2212" s="105"/>
      <c r="B2212" s="105"/>
      <c r="C2212" s="105"/>
      <c r="D2212" s="105"/>
      <c r="E2212" s="105"/>
      <c r="F2212" s="105"/>
      <c r="G2212" s="105"/>
      <c r="H2212" s="105"/>
      <c r="I2212" s="105"/>
      <c r="J2212" s="105"/>
      <c r="K2212" s="105"/>
      <c r="L2212" s="105"/>
      <c r="M2212" s="105"/>
      <c r="N2212" s="105"/>
      <c r="O2212" s="105"/>
      <c r="P2212" s="105"/>
      <c r="Q2212" s="105"/>
      <c r="R2212" s="105"/>
      <c r="S2212" s="105"/>
      <c r="T2212" s="105"/>
      <c r="U2212" s="105"/>
      <c r="V2212" s="105"/>
      <c r="W2212" s="105"/>
      <c r="X2212" s="105"/>
      <c r="Y2212" s="105"/>
      <c r="Z2212" s="105"/>
    </row>
    <row r="2213" spans="1:26" ht="15.75" customHeight="1">
      <c r="A2213" s="105"/>
      <c r="B2213" s="105"/>
      <c r="C2213" s="105"/>
      <c r="D2213" s="105"/>
      <c r="E2213" s="105"/>
      <c r="F2213" s="105"/>
      <c r="G2213" s="105"/>
      <c r="H2213" s="105"/>
      <c r="I2213" s="105"/>
      <c r="J2213" s="105"/>
      <c r="K2213" s="105"/>
      <c r="L2213" s="105"/>
      <c r="M2213" s="105"/>
      <c r="N2213" s="105"/>
      <c r="O2213" s="105"/>
      <c r="P2213" s="105"/>
      <c r="Q2213" s="105"/>
      <c r="R2213" s="105"/>
      <c r="S2213" s="105"/>
      <c r="T2213" s="105"/>
      <c r="U2213" s="105"/>
      <c r="V2213" s="105"/>
      <c r="W2213" s="105"/>
      <c r="X2213" s="105"/>
      <c r="Y2213" s="105"/>
      <c r="Z2213" s="105"/>
    </row>
    <row r="2214" spans="1:26" ht="15.75" customHeight="1">
      <c r="A2214" s="105"/>
      <c r="B2214" s="105"/>
      <c r="C2214" s="105"/>
      <c r="D2214" s="105"/>
      <c r="E2214" s="105"/>
      <c r="F2214" s="105"/>
      <c r="G2214" s="105"/>
      <c r="H2214" s="105"/>
      <c r="I2214" s="105"/>
      <c r="J2214" s="105"/>
      <c r="K2214" s="105"/>
      <c r="L2214" s="105"/>
      <c r="M2214" s="105"/>
      <c r="N2214" s="105"/>
      <c r="O2214" s="105"/>
      <c r="P2214" s="105"/>
      <c r="Q2214" s="105"/>
      <c r="R2214" s="105"/>
      <c r="S2214" s="105"/>
      <c r="T2214" s="105"/>
      <c r="U2214" s="105"/>
      <c r="V2214" s="105"/>
      <c r="W2214" s="105"/>
      <c r="X2214" s="105"/>
      <c r="Y2214" s="105"/>
      <c r="Z2214" s="105"/>
    </row>
    <row r="2215" spans="1:26" ht="15.75" customHeight="1">
      <c r="A2215" s="105"/>
      <c r="B2215" s="105"/>
      <c r="C2215" s="105"/>
      <c r="D2215" s="105"/>
      <c r="E2215" s="105"/>
      <c r="F2215" s="105"/>
      <c r="G2215" s="105"/>
      <c r="H2215" s="105"/>
      <c r="I2215" s="105"/>
      <c r="J2215" s="105"/>
      <c r="K2215" s="105"/>
      <c r="L2215" s="105"/>
      <c r="M2215" s="105"/>
      <c r="N2215" s="105"/>
      <c r="O2215" s="105"/>
      <c r="P2215" s="105"/>
      <c r="Q2215" s="105"/>
      <c r="R2215" s="105"/>
      <c r="S2215" s="105"/>
      <c r="T2215" s="105"/>
      <c r="U2215" s="105"/>
      <c r="V2215" s="105"/>
      <c r="W2215" s="105"/>
      <c r="X2215" s="105"/>
      <c r="Y2215" s="105"/>
      <c r="Z2215" s="105"/>
    </row>
    <row r="2216" spans="1:26" ht="15.75" customHeight="1">
      <c r="A2216" s="105"/>
      <c r="B2216" s="105"/>
      <c r="C2216" s="105"/>
      <c r="D2216" s="105"/>
      <c r="E2216" s="105"/>
      <c r="F2216" s="105"/>
      <c r="G2216" s="105"/>
      <c r="H2216" s="105"/>
      <c r="I2216" s="105"/>
      <c r="J2216" s="105"/>
      <c r="K2216" s="105"/>
      <c r="L2216" s="105"/>
      <c r="M2216" s="105"/>
      <c r="N2216" s="105"/>
      <c r="O2216" s="105"/>
      <c r="P2216" s="105"/>
      <c r="Q2216" s="105"/>
      <c r="R2216" s="105"/>
      <c r="S2216" s="105"/>
      <c r="T2216" s="105"/>
      <c r="U2216" s="105"/>
      <c r="V2216" s="105"/>
      <c r="W2216" s="105"/>
      <c r="X2216" s="105"/>
      <c r="Y2216" s="105"/>
      <c r="Z2216" s="105"/>
    </row>
    <row r="2217" spans="1:26" ht="15.75" customHeight="1">
      <c r="A2217" s="105"/>
      <c r="B2217" s="105"/>
      <c r="C2217" s="105"/>
      <c r="D2217" s="105"/>
      <c r="E2217" s="105"/>
      <c r="F2217" s="105"/>
      <c r="G2217" s="105"/>
      <c r="H2217" s="105"/>
      <c r="I2217" s="105"/>
      <c r="J2217" s="105"/>
      <c r="K2217" s="105"/>
      <c r="L2217" s="105"/>
      <c r="M2217" s="105"/>
      <c r="N2217" s="105"/>
      <c r="O2217" s="105"/>
      <c r="P2217" s="105"/>
      <c r="Q2217" s="105"/>
      <c r="R2217" s="105"/>
      <c r="S2217" s="105"/>
      <c r="T2217" s="105"/>
      <c r="U2217" s="105"/>
      <c r="V2217" s="105"/>
      <c r="W2217" s="105"/>
      <c r="X2217" s="105"/>
      <c r="Y2217" s="105"/>
      <c r="Z2217" s="105"/>
    </row>
    <row r="2218" spans="1:26" ht="15.75" customHeight="1">
      <c r="A2218" s="105"/>
      <c r="B2218" s="105"/>
      <c r="C2218" s="105"/>
      <c r="D2218" s="105"/>
      <c r="E2218" s="105"/>
      <c r="F2218" s="105"/>
      <c r="G2218" s="105"/>
      <c r="H2218" s="105"/>
      <c r="I2218" s="105"/>
      <c r="J2218" s="105"/>
      <c r="K2218" s="105"/>
      <c r="L2218" s="105"/>
      <c r="M2218" s="105"/>
      <c r="N2218" s="105"/>
      <c r="O2218" s="105"/>
      <c r="P2218" s="105"/>
      <c r="Q2218" s="105"/>
      <c r="R2218" s="105"/>
      <c r="S2218" s="105"/>
      <c r="T2218" s="105"/>
      <c r="U2218" s="105"/>
      <c r="V2218" s="105"/>
      <c r="W2218" s="105"/>
      <c r="X2218" s="105"/>
      <c r="Y2218" s="105"/>
      <c r="Z2218" s="105"/>
    </row>
    <row r="2219" spans="1:26" ht="15.75" customHeight="1">
      <c r="A2219" s="105"/>
      <c r="B2219" s="105"/>
      <c r="C2219" s="105"/>
      <c r="D2219" s="105"/>
      <c r="E2219" s="105"/>
      <c r="F2219" s="105"/>
      <c r="G2219" s="105"/>
      <c r="H2219" s="105"/>
      <c r="I2219" s="105"/>
      <c r="J2219" s="105"/>
      <c r="K2219" s="105"/>
      <c r="L2219" s="105"/>
      <c r="M2219" s="105"/>
      <c r="N2219" s="105"/>
      <c r="O2219" s="105"/>
      <c r="P2219" s="105"/>
      <c r="Q2219" s="105"/>
      <c r="R2219" s="105"/>
      <c r="S2219" s="105"/>
      <c r="T2219" s="105"/>
      <c r="U2219" s="105"/>
      <c r="V2219" s="105"/>
      <c r="W2219" s="105"/>
      <c r="X2219" s="105"/>
      <c r="Y2219" s="105"/>
      <c r="Z2219" s="105"/>
    </row>
    <row r="2220" spans="1:26" ht="15.75" customHeight="1">
      <c r="A2220" s="105"/>
      <c r="B2220" s="105"/>
      <c r="C2220" s="105"/>
      <c r="D2220" s="105"/>
      <c r="E2220" s="105"/>
      <c r="F2220" s="105"/>
      <c r="G2220" s="105"/>
      <c r="H2220" s="105"/>
      <c r="I2220" s="105"/>
      <c r="J2220" s="105"/>
      <c r="K2220" s="105"/>
      <c r="L2220" s="105"/>
      <c r="M2220" s="105"/>
      <c r="N2220" s="105"/>
      <c r="O2220" s="105"/>
      <c r="P2220" s="105"/>
      <c r="Q2220" s="105"/>
      <c r="R2220" s="105"/>
      <c r="S2220" s="105"/>
      <c r="T2220" s="105"/>
      <c r="U2220" s="105"/>
      <c r="V2220" s="105"/>
      <c r="W2220" s="105"/>
      <c r="X2220" s="105"/>
      <c r="Y2220" s="105"/>
      <c r="Z2220" s="105"/>
    </row>
    <row r="2221" spans="1:26" ht="15.75" customHeight="1">
      <c r="A2221" s="105"/>
      <c r="B2221" s="105"/>
      <c r="C2221" s="105"/>
      <c r="D2221" s="105"/>
      <c r="E2221" s="105"/>
      <c r="F2221" s="105"/>
      <c r="G2221" s="105"/>
      <c r="H2221" s="105"/>
      <c r="I2221" s="105"/>
      <c r="J2221" s="105"/>
      <c r="K2221" s="105"/>
      <c r="L2221" s="105"/>
      <c r="M2221" s="105"/>
      <c r="N2221" s="105"/>
      <c r="O2221" s="105"/>
      <c r="P2221" s="105"/>
      <c r="Q2221" s="105"/>
      <c r="R2221" s="105"/>
      <c r="S2221" s="105"/>
      <c r="T2221" s="105"/>
      <c r="U2221" s="105"/>
      <c r="V2221" s="105"/>
      <c r="W2221" s="105"/>
      <c r="X2221" s="105"/>
      <c r="Y2221" s="105"/>
      <c r="Z2221" s="105"/>
    </row>
    <row r="2222" spans="1:26" ht="15.75" customHeight="1">
      <c r="A2222" s="105"/>
      <c r="B2222" s="105"/>
      <c r="C2222" s="105"/>
      <c r="D2222" s="105"/>
      <c r="E2222" s="105"/>
      <c r="F2222" s="105"/>
      <c r="G2222" s="105"/>
      <c r="H2222" s="105"/>
      <c r="I2222" s="105"/>
      <c r="J2222" s="105"/>
      <c r="K2222" s="105"/>
      <c r="L2222" s="105"/>
      <c r="M2222" s="105"/>
      <c r="N2222" s="105"/>
      <c r="O2222" s="105"/>
      <c r="P2222" s="105"/>
      <c r="Q2222" s="105"/>
      <c r="R2222" s="105"/>
      <c r="S2222" s="105"/>
      <c r="T2222" s="105"/>
      <c r="U2222" s="105"/>
      <c r="V2222" s="105"/>
      <c r="W2222" s="105"/>
      <c r="X2222" s="105"/>
      <c r="Y2222" s="105"/>
      <c r="Z2222" s="105"/>
    </row>
    <row r="2223" spans="1:26" ht="15.75" customHeight="1">
      <c r="A2223" s="105"/>
      <c r="B2223" s="105"/>
      <c r="C2223" s="105"/>
      <c r="D2223" s="105"/>
      <c r="E2223" s="105"/>
      <c r="F2223" s="105"/>
      <c r="G2223" s="105"/>
      <c r="H2223" s="105"/>
      <c r="I2223" s="105"/>
      <c r="J2223" s="105"/>
      <c r="K2223" s="105"/>
      <c r="L2223" s="105"/>
      <c r="M2223" s="105"/>
      <c r="N2223" s="105"/>
      <c r="O2223" s="105"/>
      <c r="P2223" s="105"/>
      <c r="Q2223" s="105"/>
      <c r="R2223" s="105"/>
      <c r="S2223" s="105"/>
      <c r="T2223" s="105"/>
      <c r="U2223" s="105"/>
      <c r="V2223" s="105"/>
      <c r="W2223" s="105"/>
      <c r="X2223" s="105"/>
      <c r="Y2223" s="105"/>
      <c r="Z2223" s="105"/>
    </row>
    <row r="2224" spans="1:26" ht="15.75" customHeight="1">
      <c r="A2224" s="105"/>
      <c r="B2224" s="105"/>
      <c r="C2224" s="105"/>
      <c r="D2224" s="105"/>
      <c r="E2224" s="105"/>
      <c r="F2224" s="105"/>
      <c r="G2224" s="105"/>
      <c r="H2224" s="105"/>
      <c r="I2224" s="105"/>
      <c r="J2224" s="105"/>
      <c r="K2224" s="105"/>
      <c r="L2224" s="105"/>
      <c r="M2224" s="105"/>
      <c r="N2224" s="105"/>
      <c r="O2224" s="105"/>
      <c r="P2224" s="105"/>
      <c r="Q2224" s="105"/>
      <c r="R2224" s="105"/>
      <c r="S2224" s="105"/>
      <c r="T2224" s="105"/>
      <c r="U2224" s="105"/>
      <c r="V2224" s="105"/>
      <c r="W2224" s="105"/>
      <c r="X2224" s="105"/>
      <c r="Y2224" s="105"/>
      <c r="Z2224" s="105"/>
    </row>
    <row r="2225" spans="1:26" ht="15.75" customHeight="1">
      <c r="A2225" s="105"/>
      <c r="B2225" s="105"/>
      <c r="C2225" s="105"/>
      <c r="D2225" s="105"/>
      <c r="E2225" s="105"/>
      <c r="F2225" s="105"/>
      <c r="G2225" s="105"/>
      <c r="H2225" s="105"/>
      <c r="I2225" s="105"/>
      <c r="J2225" s="105"/>
      <c r="K2225" s="105"/>
      <c r="L2225" s="105"/>
      <c r="M2225" s="105"/>
      <c r="N2225" s="105"/>
      <c r="O2225" s="105"/>
      <c r="P2225" s="105"/>
      <c r="Q2225" s="105"/>
      <c r="R2225" s="105"/>
      <c r="S2225" s="105"/>
      <c r="T2225" s="105"/>
      <c r="U2225" s="105"/>
      <c r="V2225" s="105"/>
      <c r="W2225" s="105"/>
      <c r="X2225" s="105"/>
      <c r="Y2225" s="105"/>
      <c r="Z2225" s="105"/>
    </row>
    <row r="2226" spans="1:26" ht="15.75" customHeight="1">
      <c r="A2226" s="105"/>
      <c r="B2226" s="105"/>
      <c r="C2226" s="105"/>
      <c r="D2226" s="105"/>
      <c r="E2226" s="105"/>
      <c r="F2226" s="105"/>
      <c r="G2226" s="105"/>
      <c r="H2226" s="105"/>
      <c r="I2226" s="105"/>
      <c r="J2226" s="105"/>
      <c r="K2226" s="105"/>
      <c r="L2226" s="105"/>
      <c r="M2226" s="105"/>
      <c r="N2226" s="105"/>
      <c r="O2226" s="105"/>
      <c r="P2226" s="105"/>
      <c r="Q2226" s="105"/>
      <c r="R2226" s="105"/>
      <c r="S2226" s="105"/>
      <c r="T2226" s="105"/>
      <c r="U2226" s="105"/>
      <c r="V2226" s="105"/>
      <c r="W2226" s="105"/>
      <c r="X2226" s="105"/>
      <c r="Y2226" s="105"/>
      <c r="Z2226" s="105"/>
    </row>
    <row r="2227" spans="1:26" ht="15.75" customHeight="1">
      <c r="A2227" s="105"/>
      <c r="B2227" s="105"/>
      <c r="C2227" s="105"/>
      <c r="D2227" s="105"/>
      <c r="E2227" s="105"/>
      <c r="F2227" s="105"/>
      <c r="G2227" s="105"/>
      <c r="H2227" s="105"/>
      <c r="I2227" s="105"/>
      <c r="J2227" s="105"/>
      <c r="K2227" s="105"/>
      <c r="L2227" s="105"/>
      <c r="M2227" s="105"/>
      <c r="N2227" s="105"/>
      <c r="O2227" s="105"/>
      <c r="P2227" s="105"/>
      <c r="Q2227" s="105"/>
      <c r="R2227" s="105"/>
      <c r="S2227" s="105"/>
      <c r="T2227" s="105"/>
      <c r="U2227" s="105"/>
      <c r="V2227" s="105"/>
      <c r="W2227" s="105"/>
      <c r="X2227" s="105"/>
      <c r="Y2227" s="105"/>
      <c r="Z2227" s="105"/>
    </row>
    <row r="2228" spans="1:26" ht="15.75" customHeight="1">
      <c r="A2228" s="105"/>
      <c r="B2228" s="105"/>
      <c r="C2228" s="105"/>
      <c r="D2228" s="105"/>
      <c r="E2228" s="105"/>
      <c r="F2228" s="105"/>
      <c r="G2228" s="105"/>
      <c r="H2228" s="105"/>
      <c r="I2228" s="105"/>
      <c r="J2228" s="105"/>
      <c r="K2228" s="105"/>
      <c r="L2228" s="105"/>
      <c r="M2228" s="105"/>
      <c r="N2228" s="105"/>
      <c r="O2228" s="105"/>
      <c r="P2228" s="105"/>
      <c r="Q2228" s="105"/>
      <c r="R2228" s="105"/>
      <c r="S2228" s="105"/>
      <c r="T2228" s="105"/>
      <c r="U2228" s="105"/>
      <c r="V2228" s="105"/>
      <c r="W2228" s="105"/>
      <c r="X2228" s="105"/>
      <c r="Y2228" s="105"/>
      <c r="Z2228" s="105"/>
    </row>
    <row r="2229" spans="1:26" ht="15.75" customHeight="1">
      <c r="A2229" s="105"/>
      <c r="B2229" s="105"/>
      <c r="C2229" s="105"/>
      <c r="D2229" s="105"/>
      <c r="E2229" s="105"/>
      <c r="F2229" s="105"/>
      <c r="G2229" s="105"/>
      <c r="H2229" s="105"/>
      <c r="I2229" s="105"/>
      <c r="J2229" s="105"/>
      <c r="K2229" s="105"/>
      <c r="L2229" s="105"/>
      <c r="M2229" s="105"/>
      <c r="N2229" s="105"/>
      <c r="O2229" s="105"/>
      <c r="P2229" s="105"/>
      <c r="Q2229" s="105"/>
      <c r="R2229" s="105"/>
      <c r="S2229" s="105"/>
      <c r="T2229" s="105"/>
      <c r="U2229" s="105"/>
      <c r="V2229" s="105"/>
      <c r="W2229" s="105"/>
      <c r="X2229" s="105"/>
      <c r="Y2229" s="105"/>
      <c r="Z2229" s="105"/>
    </row>
    <row r="2230" spans="1:26" ht="15.75" customHeight="1">
      <c r="A2230" s="105"/>
      <c r="B2230" s="105"/>
      <c r="C2230" s="105"/>
      <c r="D2230" s="105"/>
      <c r="E2230" s="105"/>
      <c r="F2230" s="105"/>
      <c r="G2230" s="105"/>
      <c r="H2230" s="105"/>
      <c r="I2230" s="105"/>
      <c r="J2230" s="105"/>
      <c r="K2230" s="105"/>
      <c r="L2230" s="105"/>
      <c r="M2230" s="105"/>
      <c r="N2230" s="105"/>
      <c r="O2230" s="105"/>
      <c r="P2230" s="105"/>
      <c r="Q2230" s="105"/>
      <c r="R2230" s="105"/>
      <c r="S2230" s="105"/>
      <c r="T2230" s="105"/>
      <c r="U2230" s="105"/>
      <c r="V2230" s="105"/>
      <c r="W2230" s="105"/>
      <c r="X2230" s="105"/>
      <c r="Y2230" s="105"/>
      <c r="Z2230" s="105"/>
    </row>
    <row r="2231" spans="1:26" ht="15.75" customHeight="1">
      <c r="A2231" s="105"/>
      <c r="B2231" s="105"/>
      <c r="C2231" s="105"/>
      <c r="D2231" s="105"/>
      <c r="E2231" s="105"/>
      <c r="F2231" s="105"/>
      <c r="G2231" s="105"/>
      <c r="H2231" s="105"/>
      <c r="I2231" s="105"/>
      <c r="J2231" s="105"/>
      <c r="K2231" s="105"/>
      <c r="L2231" s="105"/>
      <c r="M2231" s="105"/>
      <c r="N2231" s="105"/>
      <c r="O2231" s="105"/>
      <c r="P2231" s="105"/>
      <c r="Q2231" s="105"/>
      <c r="R2231" s="105"/>
      <c r="S2231" s="105"/>
      <c r="T2231" s="105"/>
      <c r="U2231" s="105"/>
      <c r="V2231" s="105"/>
      <c r="W2231" s="105"/>
      <c r="X2231" s="105"/>
      <c r="Y2231" s="105"/>
      <c r="Z2231" s="105"/>
    </row>
    <row r="2232" spans="1:26" ht="15.75" customHeight="1">
      <c r="A2232" s="105"/>
      <c r="B2232" s="105"/>
      <c r="C2232" s="105"/>
      <c r="D2232" s="105"/>
      <c r="E2232" s="105"/>
      <c r="F2232" s="105"/>
      <c r="G2232" s="105"/>
      <c r="H2232" s="105"/>
      <c r="I2232" s="105"/>
      <c r="J2232" s="105"/>
      <c r="K2232" s="105"/>
      <c r="L2232" s="105"/>
      <c r="M2232" s="105"/>
      <c r="N2232" s="105"/>
      <c r="O2232" s="105"/>
      <c r="P2232" s="105"/>
      <c r="Q2232" s="105"/>
      <c r="R2232" s="105"/>
      <c r="S2232" s="105"/>
      <c r="T2232" s="105"/>
      <c r="U2232" s="105"/>
      <c r="V2232" s="105"/>
      <c r="W2232" s="105"/>
      <c r="X2232" s="105"/>
      <c r="Y2232" s="105"/>
      <c r="Z2232" s="105"/>
    </row>
    <row r="2233" spans="1:26" ht="15.75" customHeight="1">
      <c r="A2233" s="105"/>
      <c r="B2233" s="105"/>
      <c r="C2233" s="105"/>
      <c r="D2233" s="105"/>
      <c r="E2233" s="105"/>
      <c r="F2233" s="105"/>
      <c r="G2233" s="105"/>
      <c r="H2233" s="105"/>
      <c r="I2233" s="105"/>
      <c r="J2233" s="105"/>
      <c r="K2233" s="105"/>
      <c r="L2233" s="105"/>
      <c r="M2233" s="105"/>
      <c r="N2233" s="105"/>
      <c r="O2233" s="105"/>
      <c r="P2233" s="105"/>
      <c r="Q2233" s="105"/>
      <c r="R2233" s="105"/>
      <c r="S2233" s="105"/>
      <c r="T2233" s="105"/>
      <c r="U2233" s="105"/>
      <c r="V2233" s="105"/>
      <c r="W2233" s="105"/>
      <c r="X2233" s="105"/>
      <c r="Y2233" s="105"/>
      <c r="Z2233" s="105"/>
    </row>
    <row r="2234" spans="1:26" ht="15.75" customHeight="1">
      <c r="A2234" s="105"/>
      <c r="B2234" s="105"/>
      <c r="C2234" s="105"/>
      <c r="D2234" s="105"/>
      <c r="E2234" s="105"/>
      <c r="F2234" s="105"/>
      <c r="G2234" s="105"/>
      <c r="H2234" s="105"/>
      <c r="I2234" s="105"/>
      <c r="J2234" s="105"/>
      <c r="K2234" s="105"/>
      <c r="L2234" s="105"/>
      <c r="M2234" s="105"/>
      <c r="N2234" s="105"/>
      <c r="O2234" s="105"/>
      <c r="P2234" s="105"/>
      <c r="Q2234" s="105"/>
      <c r="R2234" s="105"/>
      <c r="S2234" s="105"/>
      <c r="T2234" s="105"/>
      <c r="U2234" s="105"/>
      <c r="V2234" s="105"/>
      <c r="W2234" s="105"/>
      <c r="X2234" s="105"/>
      <c r="Y2234" s="105"/>
      <c r="Z2234" s="105"/>
    </row>
    <row r="2235" spans="1:26" ht="15.75" customHeight="1">
      <c r="A2235" s="105"/>
      <c r="B2235" s="105"/>
      <c r="C2235" s="105"/>
      <c r="D2235" s="105"/>
      <c r="E2235" s="105"/>
      <c r="F2235" s="105"/>
      <c r="G2235" s="105"/>
      <c r="H2235" s="105"/>
      <c r="I2235" s="105"/>
      <c r="J2235" s="105"/>
      <c r="K2235" s="105"/>
      <c r="L2235" s="105"/>
      <c r="M2235" s="105"/>
      <c r="N2235" s="105"/>
      <c r="O2235" s="105"/>
      <c r="P2235" s="105"/>
      <c r="Q2235" s="105"/>
      <c r="R2235" s="105"/>
      <c r="S2235" s="105"/>
      <c r="T2235" s="105"/>
      <c r="U2235" s="105"/>
      <c r="V2235" s="105"/>
      <c r="W2235" s="105"/>
      <c r="X2235" s="105"/>
      <c r="Y2235" s="105"/>
      <c r="Z2235" s="105"/>
    </row>
    <row r="2236" spans="1:26" ht="15.75" customHeight="1">
      <c r="A2236" s="105"/>
      <c r="B2236" s="105"/>
      <c r="C2236" s="105"/>
      <c r="D2236" s="105"/>
      <c r="E2236" s="105"/>
      <c r="F2236" s="105"/>
      <c r="G2236" s="105"/>
      <c r="H2236" s="105"/>
      <c r="I2236" s="105"/>
      <c r="J2236" s="105"/>
      <c r="K2236" s="105"/>
      <c r="L2236" s="105"/>
      <c r="M2236" s="105"/>
      <c r="N2236" s="105"/>
      <c r="O2236" s="105"/>
      <c r="P2236" s="105"/>
      <c r="Q2236" s="105"/>
      <c r="R2236" s="105"/>
      <c r="S2236" s="105"/>
      <c r="T2236" s="105"/>
      <c r="U2236" s="105"/>
      <c r="V2236" s="105"/>
      <c r="W2236" s="105"/>
      <c r="X2236" s="105"/>
      <c r="Y2236" s="105"/>
      <c r="Z2236" s="105"/>
    </row>
    <row r="2237" spans="1:26" ht="15.75" customHeight="1">
      <c r="A2237" s="105"/>
      <c r="B2237" s="105"/>
      <c r="C2237" s="105"/>
      <c r="D2237" s="105"/>
      <c r="E2237" s="105"/>
      <c r="F2237" s="105"/>
      <c r="G2237" s="105"/>
      <c r="H2237" s="105"/>
      <c r="I2237" s="105"/>
      <c r="J2237" s="105"/>
      <c r="K2237" s="105"/>
      <c r="L2237" s="105"/>
      <c r="M2237" s="105"/>
      <c r="N2237" s="105"/>
      <c r="O2237" s="105"/>
      <c r="P2237" s="105"/>
      <c r="Q2237" s="105"/>
      <c r="R2237" s="105"/>
      <c r="S2237" s="105"/>
      <c r="T2237" s="105"/>
      <c r="U2237" s="105"/>
      <c r="V2237" s="105"/>
      <c r="W2237" s="105"/>
      <c r="X2237" s="105"/>
      <c r="Y2237" s="105"/>
      <c r="Z2237" s="105"/>
    </row>
    <row r="2238" spans="1:26" ht="15.75" customHeight="1">
      <c r="A2238" s="105"/>
      <c r="B2238" s="105"/>
      <c r="C2238" s="105"/>
      <c r="D2238" s="105"/>
      <c r="E2238" s="105"/>
      <c r="F2238" s="105"/>
      <c r="G2238" s="105"/>
      <c r="H2238" s="105"/>
      <c r="I2238" s="105"/>
      <c r="J2238" s="105"/>
      <c r="K2238" s="105"/>
      <c r="L2238" s="105"/>
      <c r="M2238" s="105"/>
      <c r="N2238" s="105"/>
      <c r="O2238" s="105"/>
      <c r="P2238" s="105"/>
      <c r="Q2238" s="105"/>
      <c r="R2238" s="105"/>
      <c r="S2238" s="105"/>
      <c r="T2238" s="105"/>
      <c r="U2238" s="105"/>
      <c r="V2238" s="105"/>
      <c r="W2238" s="105"/>
      <c r="X2238" s="105"/>
      <c r="Y2238" s="105"/>
      <c r="Z2238" s="105"/>
    </row>
    <row r="2239" spans="1:26" ht="15.75" customHeight="1">
      <c r="A2239" s="105"/>
      <c r="B2239" s="105"/>
      <c r="C2239" s="105"/>
      <c r="D2239" s="105"/>
      <c r="E2239" s="105"/>
      <c r="F2239" s="105"/>
      <c r="G2239" s="105"/>
      <c r="H2239" s="105"/>
      <c r="I2239" s="105"/>
      <c r="J2239" s="105"/>
      <c r="K2239" s="105"/>
      <c r="L2239" s="105"/>
      <c r="M2239" s="105"/>
      <c r="N2239" s="105"/>
      <c r="O2239" s="105"/>
      <c r="P2239" s="105"/>
      <c r="Q2239" s="105"/>
      <c r="R2239" s="105"/>
      <c r="S2239" s="105"/>
      <c r="T2239" s="105"/>
      <c r="U2239" s="105"/>
      <c r="V2239" s="105"/>
      <c r="W2239" s="105"/>
      <c r="X2239" s="105"/>
      <c r="Y2239" s="105"/>
      <c r="Z2239" s="105"/>
    </row>
    <row r="2240" spans="1:26" ht="15.75" customHeight="1">
      <c r="A2240" s="105"/>
      <c r="B2240" s="105"/>
      <c r="C2240" s="105"/>
      <c r="D2240" s="105"/>
      <c r="E2240" s="105"/>
      <c r="F2240" s="105"/>
      <c r="G2240" s="105"/>
      <c r="H2240" s="105"/>
      <c r="I2240" s="105"/>
      <c r="J2240" s="105"/>
      <c r="K2240" s="105"/>
      <c r="L2240" s="105"/>
      <c r="M2240" s="105"/>
      <c r="N2240" s="105"/>
      <c r="O2240" s="105"/>
      <c r="P2240" s="105"/>
      <c r="Q2240" s="105"/>
      <c r="R2240" s="105"/>
      <c r="S2240" s="105"/>
      <c r="T2240" s="105"/>
      <c r="U2240" s="105"/>
      <c r="V2240" s="105"/>
      <c r="W2240" s="105"/>
      <c r="X2240" s="105"/>
      <c r="Y2240" s="105"/>
      <c r="Z2240" s="105"/>
    </row>
    <row r="2241" spans="1:26" ht="15.75" customHeight="1">
      <c r="A2241" s="105"/>
      <c r="B2241" s="105"/>
      <c r="C2241" s="105"/>
      <c r="D2241" s="105"/>
      <c r="E2241" s="105"/>
      <c r="F2241" s="105"/>
      <c r="G2241" s="105"/>
      <c r="H2241" s="105"/>
      <c r="I2241" s="105"/>
      <c r="J2241" s="105"/>
      <c r="K2241" s="105"/>
      <c r="L2241" s="105"/>
      <c r="M2241" s="105"/>
      <c r="N2241" s="105"/>
      <c r="O2241" s="105"/>
      <c r="P2241" s="105"/>
      <c r="Q2241" s="105"/>
      <c r="R2241" s="105"/>
      <c r="S2241" s="105"/>
      <c r="T2241" s="105"/>
      <c r="U2241" s="105"/>
      <c r="V2241" s="105"/>
      <c r="W2241" s="105"/>
      <c r="X2241" s="105"/>
      <c r="Y2241" s="105"/>
      <c r="Z2241" s="105"/>
    </row>
    <row r="2242" spans="1:26" ht="15.75" customHeight="1">
      <c r="A2242" s="105"/>
      <c r="B2242" s="105"/>
      <c r="C2242" s="105"/>
      <c r="D2242" s="105"/>
      <c r="E2242" s="105"/>
      <c r="F2242" s="105"/>
      <c r="G2242" s="105"/>
      <c r="H2242" s="105"/>
      <c r="I2242" s="105"/>
      <c r="J2242" s="105"/>
      <c r="K2242" s="105"/>
      <c r="L2242" s="105"/>
      <c r="M2242" s="105"/>
      <c r="N2242" s="105"/>
      <c r="O2242" s="105"/>
      <c r="P2242" s="105"/>
      <c r="Q2242" s="105"/>
      <c r="R2242" s="105"/>
      <c r="S2242" s="105"/>
      <c r="T2242" s="105"/>
      <c r="U2242" s="105"/>
      <c r="V2242" s="105"/>
      <c r="W2242" s="105"/>
      <c r="X2242" s="105"/>
      <c r="Y2242" s="105"/>
      <c r="Z2242" s="105"/>
    </row>
    <row r="2243" spans="1:26" ht="15.75" customHeight="1">
      <c r="A2243" s="105"/>
      <c r="B2243" s="105"/>
      <c r="C2243" s="105"/>
      <c r="D2243" s="105"/>
      <c r="E2243" s="105"/>
      <c r="F2243" s="105"/>
      <c r="G2243" s="105"/>
      <c r="H2243" s="105"/>
      <c r="I2243" s="105"/>
      <c r="J2243" s="105"/>
      <c r="K2243" s="105"/>
      <c r="L2243" s="105"/>
      <c r="M2243" s="105"/>
      <c r="N2243" s="105"/>
      <c r="O2243" s="105"/>
      <c r="P2243" s="105"/>
      <c r="Q2243" s="105"/>
      <c r="R2243" s="105"/>
      <c r="S2243" s="105"/>
      <c r="T2243" s="105"/>
      <c r="U2243" s="105"/>
      <c r="V2243" s="105"/>
      <c r="W2243" s="105"/>
      <c r="X2243" s="105"/>
      <c r="Y2243" s="105"/>
      <c r="Z2243" s="105"/>
    </row>
    <row r="2244" spans="1:26" ht="15.75" customHeight="1">
      <c r="A2244" s="105"/>
      <c r="B2244" s="105"/>
      <c r="C2244" s="105"/>
      <c r="D2244" s="105"/>
      <c r="E2244" s="105"/>
      <c r="F2244" s="105"/>
      <c r="G2244" s="105"/>
      <c r="H2244" s="105"/>
      <c r="I2244" s="105"/>
      <c r="J2244" s="105"/>
      <c r="K2244" s="105"/>
      <c r="L2244" s="105"/>
      <c r="M2244" s="105"/>
      <c r="N2244" s="105"/>
      <c r="O2244" s="105"/>
      <c r="P2244" s="105"/>
      <c r="Q2244" s="105"/>
      <c r="R2244" s="105"/>
      <c r="S2244" s="105"/>
      <c r="T2244" s="105"/>
      <c r="U2244" s="105"/>
      <c r="V2244" s="105"/>
      <c r="W2244" s="105"/>
      <c r="X2244" s="105"/>
      <c r="Y2244" s="105"/>
      <c r="Z2244" s="105"/>
    </row>
    <row r="2245" spans="1:26" ht="15.75" customHeight="1">
      <c r="A2245" s="105"/>
      <c r="B2245" s="105"/>
      <c r="C2245" s="105"/>
      <c r="D2245" s="105"/>
      <c r="E2245" s="105"/>
      <c r="F2245" s="105"/>
      <c r="G2245" s="105"/>
      <c r="H2245" s="105"/>
      <c r="I2245" s="105"/>
      <c r="J2245" s="105"/>
      <c r="K2245" s="105"/>
      <c r="L2245" s="105"/>
      <c r="M2245" s="105"/>
      <c r="N2245" s="105"/>
      <c r="O2245" s="105"/>
      <c r="P2245" s="105"/>
      <c r="Q2245" s="105"/>
      <c r="R2245" s="105"/>
      <c r="S2245" s="105"/>
      <c r="T2245" s="105"/>
      <c r="U2245" s="105"/>
      <c r="V2245" s="105"/>
      <c r="W2245" s="105"/>
      <c r="X2245" s="105"/>
      <c r="Y2245" s="105"/>
      <c r="Z2245" s="105"/>
    </row>
    <row r="2246" spans="1:26" ht="15.75" customHeight="1">
      <c r="A2246" s="105"/>
      <c r="B2246" s="105"/>
      <c r="C2246" s="105"/>
      <c r="D2246" s="105"/>
      <c r="E2246" s="105"/>
      <c r="F2246" s="105"/>
      <c r="G2246" s="105"/>
      <c r="H2246" s="105"/>
      <c r="I2246" s="105"/>
      <c r="J2246" s="105"/>
      <c r="K2246" s="105"/>
      <c r="L2246" s="105"/>
      <c r="M2246" s="105"/>
      <c r="N2246" s="105"/>
      <c r="O2246" s="105"/>
      <c r="P2246" s="105"/>
      <c r="Q2246" s="105"/>
      <c r="R2246" s="105"/>
      <c r="S2246" s="105"/>
      <c r="T2246" s="105"/>
      <c r="U2246" s="105"/>
      <c r="V2246" s="105"/>
      <c r="W2246" s="105"/>
      <c r="X2246" s="105"/>
      <c r="Y2246" s="105"/>
      <c r="Z2246" s="105"/>
    </row>
    <row r="2247" spans="1:26" ht="15.75" customHeight="1">
      <c r="A2247" s="105"/>
      <c r="B2247" s="105"/>
      <c r="C2247" s="105"/>
      <c r="D2247" s="105"/>
      <c r="E2247" s="105"/>
      <c r="F2247" s="105"/>
      <c r="G2247" s="105"/>
      <c r="H2247" s="105"/>
      <c r="I2247" s="105"/>
      <c r="J2247" s="105"/>
      <c r="K2247" s="105"/>
      <c r="L2247" s="105"/>
      <c r="M2247" s="105"/>
      <c r="N2247" s="105"/>
      <c r="O2247" s="105"/>
      <c r="P2247" s="105"/>
      <c r="Q2247" s="105"/>
      <c r="R2247" s="105"/>
      <c r="S2247" s="105"/>
      <c r="T2247" s="105"/>
      <c r="U2247" s="105"/>
      <c r="V2247" s="105"/>
      <c r="W2247" s="105"/>
      <c r="X2247" s="105"/>
      <c r="Y2247" s="105"/>
      <c r="Z2247" s="105"/>
    </row>
    <row r="2248" spans="1:26" ht="15.75" customHeight="1">
      <c r="A2248" s="105"/>
      <c r="B2248" s="105"/>
      <c r="C2248" s="105"/>
      <c r="D2248" s="105"/>
      <c r="E2248" s="105"/>
      <c r="F2248" s="105"/>
      <c r="G2248" s="105"/>
      <c r="H2248" s="105"/>
      <c r="I2248" s="105"/>
      <c r="J2248" s="105"/>
      <c r="K2248" s="105"/>
      <c r="L2248" s="105"/>
      <c r="M2248" s="105"/>
      <c r="N2248" s="105"/>
      <c r="O2248" s="105"/>
      <c r="P2248" s="105"/>
      <c r="Q2248" s="105"/>
      <c r="R2248" s="105"/>
      <c r="S2248" s="105"/>
      <c r="T2248" s="105"/>
      <c r="U2248" s="105"/>
      <c r="V2248" s="105"/>
      <c r="W2248" s="105"/>
      <c r="X2248" s="105"/>
      <c r="Y2248" s="105"/>
      <c r="Z2248" s="105"/>
    </row>
    <row r="2249" spans="1:26" ht="15.75" customHeight="1">
      <c r="A2249" s="105"/>
      <c r="B2249" s="105"/>
      <c r="C2249" s="105"/>
      <c r="D2249" s="105"/>
      <c r="E2249" s="105"/>
      <c r="F2249" s="105"/>
      <c r="G2249" s="105"/>
      <c r="H2249" s="105"/>
      <c r="I2249" s="105"/>
      <c r="J2249" s="105"/>
      <c r="K2249" s="105"/>
      <c r="L2249" s="105"/>
      <c r="M2249" s="105"/>
      <c r="N2249" s="105"/>
      <c r="O2249" s="105"/>
      <c r="P2249" s="105"/>
      <c r="Q2249" s="105"/>
      <c r="R2249" s="105"/>
      <c r="S2249" s="105"/>
      <c r="T2249" s="105"/>
      <c r="U2249" s="105"/>
      <c r="V2249" s="105"/>
      <c r="W2249" s="105"/>
      <c r="X2249" s="105"/>
      <c r="Y2249" s="105"/>
      <c r="Z2249" s="105"/>
    </row>
    <row r="2250" spans="1:26" ht="15.75" customHeight="1">
      <c r="A2250" s="105"/>
      <c r="B2250" s="105"/>
      <c r="C2250" s="105"/>
      <c r="D2250" s="105"/>
      <c r="E2250" s="105"/>
      <c r="F2250" s="105"/>
      <c r="G2250" s="105"/>
      <c r="H2250" s="105"/>
      <c r="I2250" s="105"/>
      <c r="J2250" s="105"/>
      <c r="K2250" s="105"/>
      <c r="L2250" s="105"/>
      <c r="M2250" s="105"/>
      <c r="N2250" s="105"/>
      <c r="O2250" s="105"/>
      <c r="P2250" s="105"/>
      <c r="Q2250" s="105"/>
      <c r="R2250" s="105"/>
      <c r="S2250" s="105"/>
      <c r="T2250" s="105"/>
      <c r="U2250" s="105"/>
      <c r="V2250" s="105"/>
      <c r="W2250" s="105"/>
      <c r="X2250" s="105"/>
      <c r="Y2250" s="105"/>
      <c r="Z2250" s="105"/>
    </row>
    <row r="2251" spans="1:26" ht="15.75" customHeight="1">
      <c r="A2251" s="105"/>
      <c r="B2251" s="105"/>
      <c r="C2251" s="105"/>
      <c r="D2251" s="105"/>
      <c r="E2251" s="105"/>
      <c r="F2251" s="105"/>
      <c r="G2251" s="105"/>
      <c r="H2251" s="105"/>
      <c r="I2251" s="105"/>
      <c r="J2251" s="105"/>
      <c r="K2251" s="105"/>
      <c r="L2251" s="105"/>
      <c r="M2251" s="105"/>
      <c r="N2251" s="105"/>
      <c r="O2251" s="105"/>
      <c r="P2251" s="105"/>
      <c r="Q2251" s="105"/>
      <c r="R2251" s="105"/>
      <c r="S2251" s="105"/>
      <c r="T2251" s="105"/>
      <c r="U2251" s="105"/>
      <c r="V2251" s="105"/>
      <c r="W2251" s="105"/>
      <c r="X2251" s="105"/>
      <c r="Y2251" s="105"/>
      <c r="Z2251" s="105"/>
    </row>
    <row r="2252" spans="1:26" ht="15.75" customHeight="1">
      <c r="A2252" s="105"/>
      <c r="B2252" s="105"/>
      <c r="C2252" s="105"/>
      <c r="D2252" s="105"/>
      <c r="E2252" s="105"/>
      <c r="F2252" s="105"/>
      <c r="G2252" s="105"/>
      <c r="H2252" s="105"/>
      <c r="I2252" s="105"/>
      <c r="J2252" s="105"/>
      <c r="K2252" s="105"/>
      <c r="L2252" s="105"/>
      <c r="M2252" s="105"/>
      <c r="N2252" s="105"/>
      <c r="O2252" s="105"/>
      <c r="P2252" s="105"/>
      <c r="Q2252" s="105"/>
      <c r="R2252" s="105"/>
      <c r="S2252" s="105"/>
      <c r="T2252" s="105"/>
      <c r="U2252" s="105"/>
      <c r="V2252" s="105"/>
      <c r="W2252" s="105"/>
      <c r="X2252" s="105"/>
      <c r="Y2252" s="105"/>
      <c r="Z2252" s="105"/>
    </row>
    <row r="2253" spans="1:26" ht="15.75" customHeight="1">
      <c r="A2253" s="105"/>
      <c r="B2253" s="105"/>
      <c r="C2253" s="105"/>
      <c r="D2253" s="105"/>
      <c r="E2253" s="105"/>
      <c r="F2253" s="105"/>
      <c r="G2253" s="105"/>
      <c r="H2253" s="105"/>
      <c r="I2253" s="105"/>
      <c r="J2253" s="105"/>
      <c r="K2253" s="105"/>
      <c r="L2253" s="105"/>
      <c r="M2253" s="105"/>
      <c r="N2253" s="105"/>
      <c r="O2253" s="105"/>
      <c r="P2253" s="105"/>
      <c r="Q2253" s="105"/>
      <c r="R2253" s="105"/>
      <c r="S2253" s="105"/>
      <c r="T2253" s="105"/>
      <c r="U2253" s="105"/>
      <c r="V2253" s="105"/>
      <c r="W2253" s="105"/>
      <c r="X2253" s="105"/>
      <c r="Y2253" s="105"/>
      <c r="Z2253" s="105"/>
    </row>
    <row r="2254" spans="1:26" ht="15.75" customHeight="1">
      <c r="A2254" s="105"/>
      <c r="B2254" s="105"/>
      <c r="C2254" s="105"/>
      <c r="D2254" s="105"/>
      <c r="E2254" s="105"/>
      <c r="F2254" s="105"/>
      <c r="G2254" s="105"/>
      <c r="H2254" s="105"/>
      <c r="I2254" s="105"/>
      <c r="J2254" s="105"/>
      <c r="K2254" s="105"/>
      <c r="L2254" s="105"/>
      <c r="M2254" s="105"/>
      <c r="N2254" s="105"/>
      <c r="O2254" s="105"/>
      <c r="P2254" s="105"/>
      <c r="Q2254" s="105"/>
      <c r="R2254" s="105"/>
      <c r="S2254" s="105"/>
      <c r="T2254" s="105"/>
      <c r="U2254" s="105"/>
      <c r="V2254" s="105"/>
      <c r="W2254" s="105"/>
      <c r="X2254" s="105"/>
      <c r="Y2254" s="105"/>
      <c r="Z2254" s="105"/>
    </row>
    <row r="2255" spans="1:26" ht="15.75" customHeight="1">
      <c r="A2255" s="105"/>
      <c r="B2255" s="105"/>
      <c r="C2255" s="105"/>
      <c r="D2255" s="105"/>
      <c r="E2255" s="105"/>
      <c r="F2255" s="105"/>
      <c r="G2255" s="105"/>
      <c r="H2255" s="105"/>
      <c r="I2255" s="105"/>
      <c r="J2255" s="105"/>
      <c r="K2255" s="105"/>
      <c r="L2255" s="105"/>
      <c r="M2255" s="105"/>
      <c r="N2255" s="105"/>
      <c r="O2255" s="105"/>
      <c r="P2255" s="105"/>
      <c r="Q2255" s="105"/>
      <c r="R2255" s="105"/>
      <c r="S2255" s="105"/>
      <c r="T2255" s="105"/>
      <c r="U2255" s="105"/>
      <c r="V2255" s="105"/>
      <c r="W2255" s="105"/>
      <c r="X2255" s="105"/>
      <c r="Y2255" s="105"/>
      <c r="Z2255" s="105"/>
    </row>
    <row r="2256" spans="1:26" ht="15.75" customHeight="1">
      <c r="A2256" s="105"/>
      <c r="B2256" s="105"/>
      <c r="C2256" s="105"/>
      <c r="D2256" s="105"/>
      <c r="E2256" s="105"/>
      <c r="F2256" s="105"/>
      <c r="G2256" s="105"/>
      <c r="H2256" s="105"/>
      <c r="I2256" s="105"/>
      <c r="J2256" s="105"/>
      <c r="K2256" s="105"/>
      <c r="L2256" s="105"/>
      <c r="M2256" s="105"/>
      <c r="N2256" s="105"/>
      <c r="O2256" s="105"/>
      <c r="P2256" s="105"/>
      <c r="Q2256" s="105"/>
      <c r="R2256" s="105"/>
      <c r="S2256" s="105"/>
      <c r="T2256" s="105"/>
      <c r="U2256" s="105"/>
      <c r="V2256" s="105"/>
      <c r="W2256" s="105"/>
      <c r="X2256" s="105"/>
      <c r="Y2256" s="105"/>
      <c r="Z2256" s="105"/>
    </row>
    <row r="2257" spans="1:26" ht="15.75" customHeight="1">
      <c r="A2257" s="105"/>
      <c r="B2257" s="105"/>
      <c r="C2257" s="105"/>
      <c r="D2257" s="105"/>
      <c r="E2257" s="105"/>
      <c r="F2257" s="105"/>
      <c r="G2257" s="105"/>
      <c r="H2257" s="105"/>
      <c r="I2257" s="105"/>
      <c r="J2257" s="105"/>
      <c r="K2257" s="105"/>
      <c r="L2257" s="105"/>
      <c r="M2257" s="105"/>
      <c r="N2257" s="105"/>
      <c r="O2257" s="105"/>
      <c r="P2257" s="105"/>
      <c r="Q2257" s="105"/>
      <c r="R2257" s="105"/>
      <c r="S2257" s="105"/>
      <c r="T2257" s="105"/>
      <c r="U2257" s="105"/>
      <c r="V2257" s="105"/>
      <c r="W2257" s="105"/>
      <c r="X2257" s="105"/>
      <c r="Y2257" s="105"/>
      <c r="Z2257" s="105"/>
    </row>
    <row r="2258" spans="1:26" ht="15.75" customHeight="1">
      <c r="A2258" s="105"/>
      <c r="B2258" s="105"/>
      <c r="C2258" s="105"/>
      <c r="D2258" s="105"/>
      <c r="E2258" s="105"/>
      <c r="F2258" s="105"/>
      <c r="G2258" s="105"/>
      <c r="H2258" s="105"/>
      <c r="I2258" s="105"/>
      <c r="J2258" s="105"/>
      <c r="K2258" s="105"/>
      <c r="L2258" s="105"/>
      <c r="M2258" s="105"/>
      <c r="N2258" s="105"/>
      <c r="O2258" s="105"/>
      <c r="P2258" s="105"/>
      <c r="Q2258" s="105"/>
      <c r="R2258" s="105"/>
      <c r="S2258" s="105"/>
      <c r="T2258" s="105"/>
      <c r="U2258" s="105"/>
      <c r="V2258" s="105"/>
      <c r="W2258" s="105"/>
      <c r="X2258" s="105"/>
      <c r="Y2258" s="105"/>
      <c r="Z2258" s="105"/>
    </row>
    <row r="2259" spans="1:26" ht="15.75" customHeight="1">
      <c r="A2259" s="105"/>
      <c r="B2259" s="105"/>
      <c r="C2259" s="105"/>
      <c r="D2259" s="105"/>
      <c r="E2259" s="105"/>
      <c r="F2259" s="105"/>
      <c r="G2259" s="105"/>
      <c r="H2259" s="105"/>
      <c r="I2259" s="105"/>
      <c r="J2259" s="105"/>
      <c r="K2259" s="105"/>
      <c r="L2259" s="105"/>
      <c r="M2259" s="105"/>
      <c r="N2259" s="105"/>
      <c r="O2259" s="105"/>
      <c r="P2259" s="105"/>
      <c r="Q2259" s="105"/>
      <c r="R2259" s="105"/>
      <c r="S2259" s="105"/>
      <c r="T2259" s="105"/>
      <c r="U2259" s="105"/>
      <c r="V2259" s="105"/>
      <c r="W2259" s="105"/>
      <c r="X2259" s="105"/>
      <c r="Y2259" s="105"/>
      <c r="Z2259" s="105"/>
    </row>
    <row r="2260" spans="1:26" ht="15.75" customHeight="1">
      <c r="A2260" s="105"/>
      <c r="B2260" s="105"/>
      <c r="C2260" s="105"/>
      <c r="D2260" s="105"/>
      <c r="E2260" s="105"/>
      <c r="F2260" s="105"/>
      <c r="G2260" s="105"/>
      <c r="H2260" s="105"/>
      <c r="I2260" s="105"/>
      <c r="J2260" s="105"/>
      <c r="K2260" s="105"/>
      <c r="L2260" s="105"/>
      <c r="M2260" s="105"/>
      <c r="N2260" s="105"/>
      <c r="O2260" s="105"/>
      <c r="P2260" s="105"/>
      <c r="Q2260" s="105"/>
      <c r="R2260" s="105"/>
      <c r="S2260" s="105"/>
      <c r="T2260" s="105"/>
      <c r="U2260" s="105"/>
      <c r="V2260" s="105"/>
      <c r="W2260" s="105"/>
      <c r="X2260" s="105"/>
      <c r="Y2260" s="105"/>
      <c r="Z2260" s="105"/>
    </row>
    <row r="2261" spans="1:26" ht="15.75" customHeight="1">
      <c r="A2261" s="105"/>
      <c r="B2261" s="105"/>
      <c r="C2261" s="105"/>
      <c r="D2261" s="105"/>
      <c r="E2261" s="105"/>
      <c r="F2261" s="105"/>
      <c r="G2261" s="105"/>
      <c r="H2261" s="105"/>
      <c r="I2261" s="105"/>
      <c r="J2261" s="105"/>
      <c r="K2261" s="105"/>
      <c r="L2261" s="105"/>
      <c r="M2261" s="105"/>
      <c r="N2261" s="105"/>
      <c r="O2261" s="105"/>
      <c r="P2261" s="105"/>
      <c r="Q2261" s="105"/>
      <c r="R2261" s="105"/>
      <c r="S2261" s="105"/>
      <c r="T2261" s="105"/>
      <c r="U2261" s="105"/>
      <c r="V2261" s="105"/>
      <c r="W2261" s="105"/>
      <c r="X2261" s="105"/>
      <c r="Y2261" s="105"/>
      <c r="Z2261" s="105"/>
    </row>
    <row r="2262" spans="1:26" ht="15.75" customHeight="1">
      <c r="A2262" s="105"/>
      <c r="B2262" s="105"/>
      <c r="C2262" s="105"/>
      <c r="D2262" s="105"/>
      <c r="E2262" s="105"/>
      <c r="F2262" s="105"/>
      <c r="G2262" s="105"/>
      <c r="H2262" s="105"/>
      <c r="I2262" s="105"/>
      <c r="J2262" s="105"/>
      <c r="K2262" s="105"/>
      <c r="L2262" s="105"/>
      <c r="M2262" s="105"/>
      <c r="N2262" s="105"/>
      <c r="O2262" s="105"/>
      <c r="P2262" s="105"/>
      <c r="Q2262" s="105"/>
      <c r="R2262" s="105"/>
      <c r="S2262" s="105"/>
      <c r="T2262" s="105"/>
      <c r="U2262" s="105"/>
      <c r="V2262" s="105"/>
      <c r="W2262" s="105"/>
      <c r="X2262" s="105"/>
      <c r="Y2262" s="105"/>
      <c r="Z2262" s="105"/>
    </row>
    <row r="2263" spans="1:26" ht="15.75" customHeight="1">
      <c r="A2263" s="105"/>
      <c r="B2263" s="105"/>
      <c r="C2263" s="105"/>
      <c r="D2263" s="105"/>
      <c r="E2263" s="105"/>
      <c r="F2263" s="105"/>
      <c r="G2263" s="105"/>
      <c r="H2263" s="105"/>
      <c r="I2263" s="105"/>
      <c r="J2263" s="105"/>
      <c r="K2263" s="105"/>
      <c r="L2263" s="105"/>
      <c r="M2263" s="105"/>
      <c r="N2263" s="105"/>
      <c r="O2263" s="105"/>
      <c r="P2263" s="105"/>
      <c r="Q2263" s="105"/>
      <c r="R2263" s="105"/>
      <c r="S2263" s="105"/>
      <c r="T2263" s="105"/>
      <c r="U2263" s="105"/>
      <c r="V2263" s="105"/>
      <c r="W2263" s="105"/>
      <c r="X2263" s="105"/>
      <c r="Y2263" s="105"/>
      <c r="Z2263" s="105"/>
    </row>
    <row r="2264" spans="1:26" ht="15.75" customHeight="1">
      <c r="A2264" s="105"/>
      <c r="B2264" s="105"/>
      <c r="C2264" s="105"/>
      <c r="D2264" s="105"/>
      <c r="E2264" s="105"/>
      <c r="F2264" s="105"/>
      <c r="G2264" s="105"/>
      <c r="H2264" s="105"/>
      <c r="I2264" s="105"/>
      <c r="J2264" s="105"/>
      <c r="K2264" s="105"/>
      <c r="L2264" s="105"/>
      <c r="M2264" s="105"/>
      <c r="N2264" s="105"/>
      <c r="O2264" s="105"/>
      <c r="P2264" s="105"/>
      <c r="Q2264" s="105"/>
      <c r="R2264" s="105"/>
      <c r="S2264" s="105"/>
      <c r="T2264" s="105"/>
      <c r="U2264" s="105"/>
      <c r="V2264" s="105"/>
      <c r="W2264" s="105"/>
      <c r="X2264" s="105"/>
      <c r="Y2264" s="105"/>
      <c r="Z2264" s="105"/>
    </row>
    <row r="2265" spans="1:26" ht="15.75" customHeight="1">
      <c r="A2265" s="105"/>
      <c r="B2265" s="105"/>
      <c r="C2265" s="105"/>
      <c r="D2265" s="105"/>
      <c r="E2265" s="105"/>
      <c r="F2265" s="105"/>
      <c r="G2265" s="105"/>
      <c r="H2265" s="105"/>
      <c r="I2265" s="105"/>
      <c r="J2265" s="105"/>
      <c r="K2265" s="105"/>
      <c r="L2265" s="105"/>
      <c r="M2265" s="105"/>
      <c r="N2265" s="105"/>
      <c r="O2265" s="105"/>
      <c r="P2265" s="105"/>
      <c r="Q2265" s="105"/>
      <c r="R2265" s="105"/>
      <c r="S2265" s="105"/>
      <c r="T2265" s="105"/>
      <c r="U2265" s="105"/>
      <c r="V2265" s="105"/>
      <c r="W2265" s="105"/>
      <c r="X2265" s="105"/>
      <c r="Y2265" s="105"/>
      <c r="Z2265" s="105"/>
    </row>
    <row r="2266" spans="1:26" ht="15.75" customHeight="1">
      <c r="A2266" s="105"/>
      <c r="B2266" s="105"/>
      <c r="C2266" s="105"/>
      <c r="D2266" s="105"/>
      <c r="E2266" s="105"/>
      <c r="F2266" s="105"/>
      <c r="G2266" s="105"/>
      <c r="H2266" s="105"/>
      <c r="I2266" s="105"/>
      <c r="J2266" s="105"/>
      <c r="K2266" s="105"/>
      <c r="L2266" s="105"/>
      <c r="M2266" s="105"/>
      <c r="N2266" s="105"/>
      <c r="O2266" s="105"/>
      <c r="P2266" s="105"/>
      <c r="Q2266" s="105"/>
      <c r="R2266" s="105"/>
      <c r="S2266" s="105"/>
      <c r="T2266" s="105"/>
      <c r="U2266" s="105"/>
      <c r="V2266" s="105"/>
      <c r="W2266" s="105"/>
      <c r="X2266" s="105"/>
      <c r="Y2266" s="105"/>
      <c r="Z2266" s="105"/>
    </row>
    <row r="2267" spans="1:26" ht="15.75" customHeight="1">
      <c r="A2267" s="105"/>
      <c r="B2267" s="105"/>
      <c r="C2267" s="105"/>
      <c r="D2267" s="105"/>
      <c r="E2267" s="105"/>
      <c r="F2267" s="105"/>
      <c r="G2267" s="105"/>
      <c r="H2267" s="105"/>
      <c r="I2267" s="105"/>
      <c r="J2267" s="105"/>
      <c r="K2267" s="105"/>
      <c r="L2267" s="105"/>
      <c r="M2267" s="105"/>
      <c r="N2267" s="105"/>
      <c r="O2267" s="105"/>
      <c r="P2267" s="105"/>
      <c r="Q2267" s="105"/>
      <c r="R2267" s="105"/>
      <c r="S2267" s="105"/>
      <c r="T2267" s="105"/>
      <c r="U2267" s="105"/>
      <c r="V2267" s="105"/>
      <c r="W2267" s="105"/>
      <c r="X2267" s="105"/>
      <c r="Y2267" s="105"/>
      <c r="Z2267" s="105"/>
    </row>
    <row r="2268" spans="1:26" ht="15.75" customHeight="1">
      <c r="A2268" s="105"/>
      <c r="B2268" s="105"/>
      <c r="C2268" s="105"/>
      <c r="D2268" s="105"/>
      <c r="E2268" s="105"/>
      <c r="F2268" s="105"/>
      <c r="G2268" s="105"/>
      <c r="H2268" s="105"/>
      <c r="I2268" s="105"/>
      <c r="J2268" s="105"/>
      <c r="K2268" s="105"/>
      <c r="L2268" s="105"/>
      <c r="M2268" s="105"/>
      <c r="N2268" s="105"/>
      <c r="O2268" s="105"/>
      <c r="P2268" s="105"/>
      <c r="Q2268" s="105"/>
      <c r="R2268" s="105"/>
      <c r="S2268" s="105"/>
      <c r="T2268" s="105"/>
      <c r="U2268" s="105"/>
      <c r="V2268" s="105"/>
      <c r="W2268" s="105"/>
      <c r="X2268" s="105"/>
      <c r="Y2268" s="105"/>
      <c r="Z2268" s="105"/>
    </row>
    <row r="2269" spans="1:26" ht="15.75" customHeight="1">
      <c r="A2269" s="105"/>
      <c r="B2269" s="105"/>
      <c r="C2269" s="105"/>
      <c r="D2269" s="105"/>
      <c r="E2269" s="105"/>
      <c r="F2269" s="105"/>
      <c r="G2269" s="105"/>
      <c r="H2269" s="105"/>
      <c r="I2269" s="105"/>
      <c r="J2269" s="105"/>
      <c r="K2269" s="105"/>
      <c r="L2269" s="105"/>
      <c r="M2269" s="105"/>
      <c r="N2269" s="105"/>
      <c r="O2269" s="105"/>
      <c r="P2269" s="105"/>
      <c r="Q2269" s="105"/>
      <c r="R2269" s="105"/>
      <c r="S2269" s="105"/>
      <c r="T2269" s="105"/>
      <c r="U2269" s="105"/>
      <c r="V2269" s="105"/>
      <c r="W2269" s="105"/>
      <c r="X2269" s="105"/>
      <c r="Y2269" s="105"/>
      <c r="Z2269" s="105"/>
    </row>
    <row r="2270" spans="1:26" ht="15.75" customHeight="1">
      <c r="A2270" s="105"/>
      <c r="B2270" s="105"/>
      <c r="C2270" s="105"/>
      <c r="D2270" s="105"/>
      <c r="E2270" s="105"/>
      <c r="F2270" s="105"/>
      <c r="G2270" s="105"/>
      <c r="H2270" s="105"/>
      <c r="I2270" s="105"/>
      <c r="J2270" s="105"/>
      <c r="K2270" s="105"/>
      <c r="L2270" s="105"/>
      <c r="M2270" s="105"/>
      <c r="N2270" s="105"/>
      <c r="O2270" s="105"/>
      <c r="P2270" s="105"/>
      <c r="Q2270" s="105"/>
      <c r="R2270" s="105"/>
      <c r="S2270" s="105"/>
      <c r="T2270" s="105"/>
      <c r="U2270" s="105"/>
      <c r="V2270" s="105"/>
      <c r="W2270" s="105"/>
      <c r="X2270" s="105"/>
      <c r="Y2270" s="105"/>
      <c r="Z2270" s="105"/>
    </row>
    <row r="2271" spans="1:26" ht="15.75" customHeight="1">
      <c r="A2271" s="105"/>
      <c r="B2271" s="105"/>
      <c r="C2271" s="105"/>
      <c r="D2271" s="105"/>
      <c r="E2271" s="105"/>
      <c r="F2271" s="105"/>
      <c r="G2271" s="105"/>
      <c r="H2271" s="105"/>
      <c r="I2271" s="105"/>
      <c r="J2271" s="105"/>
      <c r="K2271" s="105"/>
      <c r="L2271" s="105"/>
      <c r="M2271" s="105"/>
      <c r="N2271" s="105"/>
      <c r="O2271" s="105"/>
      <c r="P2271" s="105"/>
      <c r="Q2271" s="105"/>
      <c r="R2271" s="105"/>
      <c r="S2271" s="105"/>
      <c r="T2271" s="105"/>
      <c r="U2271" s="105"/>
      <c r="V2271" s="105"/>
      <c r="W2271" s="105"/>
      <c r="X2271" s="105"/>
      <c r="Y2271" s="105"/>
      <c r="Z2271" s="105"/>
    </row>
    <row r="2272" spans="1:26" ht="15.75" customHeight="1">
      <c r="A2272" s="105"/>
      <c r="B2272" s="105"/>
      <c r="C2272" s="105"/>
      <c r="D2272" s="105"/>
      <c r="E2272" s="105"/>
      <c r="F2272" s="105"/>
      <c r="G2272" s="105"/>
      <c r="H2272" s="105"/>
      <c r="I2272" s="105"/>
      <c r="J2272" s="105"/>
      <c r="K2272" s="105"/>
      <c r="L2272" s="105"/>
      <c r="M2272" s="105"/>
      <c r="N2272" s="105"/>
      <c r="O2272" s="105"/>
      <c r="P2272" s="105"/>
      <c r="Q2272" s="105"/>
      <c r="R2272" s="105"/>
      <c r="S2272" s="105"/>
      <c r="T2272" s="105"/>
      <c r="U2272" s="105"/>
      <c r="V2272" s="105"/>
      <c r="W2272" s="105"/>
      <c r="X2272" s="105"/>
      <c r="Y2272" s="105"/>
      <c r="Z2272" s="105"/>
    </row>
    <row r="2273" spans="1:26" ht="15.75" customHeight="1">
      <c r="A2273" s="105"/>
      <c r="B2273" s="105"/>
      <c r="C2273" s="105"/>
      <c r="D2273" s="105"/>
      <c r="E2273" s="105"/>
      <c r="F2273" s="105"/>
      <c r="G2273" s="105"/>
      <c r="H2273" s="105"/>
      <c r="I2273" s="105"/>
      <c r="J2273" s="105"/>
      <c r="K2273" s="105"/>
      <c r="L2273" s="105"/>
      <c r="M2273" s="105"/>
      <c r="N2273" s="105"/>
      <c r="O2273" s="105"/>
      <c r="P2273" s="105"/>
      <c r="Q2273" s="105"/>
      <c r="R2273" s="105"/>
      <c r="S2273" s="105"/>
      <c r="T2273" s="105"/>
      <c r="U2273" s="105"/>
      <c r="V2273" s="105"/>
      <c r="W2273" s="105"/>
      <c r="X2273" s="105"/>
      <c r="Y2273" s="105"/>
      <c r="Z2273" s="105"/>
    </row>
    <row r="2274" spans="1:26" ht="15.75" customHeight="1">
      <c r="A2274" s="105"/>
      <c r="B2274" s="105"/>
      <c r="C2274" s="105"/>
      <c r="D2274" s="105"/>
      <c r="E2274" s="105"/>
      <c r="F2274" s="105"/>
      <c r="G2274" s="105"/>
      <c r="H2274" s="105"/>
      <c r="I2274" s="105"/>
      <c r="J2274" s="105"/>
      <c r="K2274" s="105"/>
      <c r="L2274" s="105"/>
      <c r="M2274" s="105"/>
      <c r="N2274" s="105"/>
      <c r="O2274" s="105"/>
      <c r="P2274" s="105"/>
      <c r="Q2274" s="105"/>
      <c r="R2274" s="105"/>
      <c r="S2274" s="105"/>
      <c r="T2274" s="105"/>
      <c r="U2274" s="105"/>
      <c r="V2274" s="105"/>
      <c r="W2274" s="105"/>
      <c r="X2274" s="105"/>
      <c r="Y2274" s="105"/>
      <c r="Z2274" s="105"/>
    </row>
    <row r="2275" spans="1:26" ht="15.75" customHeight="1">
      <c r="A2275" s="105"/>
      <c r="B2275" s="105"/>
      <c r="C2275" s="105"/>
      <c r="D2275" s="105"/>
      <c r="E2275" s="105"/>
      <c r="F2275" s="105"/>
      <c r="G2275" s="105"/>
      <c r="H2275" s="105"/>
      <c r="I2275" s="105"/>
      <c r="J2275" s="105"/>
      <c r="K2275" s="105"/>
      <c r="L2275" s="105"/>
      <c r="M2275" s="105"/>
      <c r="N2275" s="105"/>
      <c r="O2275" s="105"/>
      <c r="P2275" s="105"/>
      <c r="Q2275" s="105"/>
      <c r="R2275" s="105"/>
      <c r="S2275" s="105"/>
      <c r="T2275" s="105"/>
      <c r="U2275" s="105"/>
      <c r="V2275" s="105"/>
      <c r="W2275" s="105"/>
      <c r="X2275" s="105"/>
      <c r="Y2275" s="105"/>
      <c r="Z2275" s="105"/>
    </row>
    <row r="2276" spans="1:26" ht="15.75" customHeight="1">
      <c r="A2276" s="105"/>
      <c r="B2276" s="105"/>
      <c r="C2276" s="105"/>
      <c r="D2276" s="105"/>
      <c r="E2276" s="105"/>
      <c r="F2276" s="105"/>
      <c r="G2276" s="105"/>
      <c r="H2276" s="105"/>
      <c r="I2276" s="105"/>
      <c r="J2276" s="105"/>
      <c r="K2276" s="105"/>
      <c r="L2276" s="105"/>
      <c r="M2276" s="105"/>
      <c r="N2276" s="105"/>
      <c r="O2276" s="105"/>
      <c r="P2276" s="105"/>
      <c r="Q2276" s="105"/>
      <c r="R2276" s="105"/>
      <c r="S2276" s="105"/>
      <c r="T2276" s="105"/>
      <c r="U2276" s="105"/>
      <c r="V2276" s="105"/>
      <c r="W2276" s="105"/>
      <c r="X2276" s="105"/>
      <c r="Y2276" s="105"/>
      <c r="Z2276" s="105"/>
    </row>
    <row r="2277" spans="1:26" ht="15.75" customHeight="1">
      <c r="A2277" s="105"/>
      <c r="B2277" s="105"/>
      <c r="C2277" s="105"/>
      <c r="D2277" s="105"/>
      <c r="E2277" s="105"/>
      <c r="F2277" s="105"/>
      <c r="G2277" s="105"/>
      <c r="H2277" s="105"/>
      <c r="I2277" s="105"/>
      <c r="J2277" s="105"/>
      <c r="K2277" s="105"/>
      <c r="L2277" s="105"/>
      <c r="M2277" s="105"/>
      <c r="N2277" s="105"/>
      <c r="O2277" s="105"/>
      <c r="P2277" s="105"/>
      <c r="Q2277" s="105"/>
      <c r="R2277" s="105"/>
      <c r="S2277" s="105"/>
      <c r="T2277" s="105"/>
      <c r="U2277" s="105"/>
      <c r="V2277" s="105"/>
      <c r="W2277" s="105"/>
      <c r="X2277" s="105"/>
      <c r="Y2277" s="105"/>
      <c r="Z2277" s="105"/>
    </row>
    <row r="2278" spans="1:26" ht="15.75" customHeight="1">
      <c r="A2278" s="105"/>
      <c r="B2278" s="105"/>
      <c r="C2278" s="105"/>
      <c r="D2278" s="105"/>
      <c r="E2278" s="105"/>
      <c r="F2278" s="105"/>
      <c r="G2278" s="105"/>
      <c r="H2278" s="105"/>
      <c r="I2278" s="105"/>
      <c r="J2278" s="105"/>
      <c r="K2278" s="105"/>
      <c r="L2278" s="105"/>
      <c r="M2278" s="105"/>
      <c r="N2278" s="105"/>
      <c r="O2278" s="105"/>
      <c r="P2278" s="105"/>
      <c r="Q2278" s="105"/>
      <c r="R2278" s="105"/>
      <c r="S2278" s="105"/>
      <c r="T2278" s="105"/>
      <c r="U2278" s="105"/>
      <c r="V2278" s="105"/>
      <c r="W2278" s="105"/>
      <c r="X2278" s="105"/>
      <c r="Y2278" s="105"/>
      <c r="Z2278" s="105"/>
    </row>
    <row r="2279" spans="1:26" ht="15.75" customHeight="1">
      <c r="A2279" s="105"/>
      <c r="B2279" s="105"/>
      <c r="C2279" s="105"/>
      <c r="D2279" s="105"/>
      <c r="E2279" s="105"/>
      <c r="F2279" s="105"/>
      <c r="G2279" s="105"/>
      <c r="H2279" s="105"/>
      <c r="I2279" s="105"/>
      <c r="J2279" s="105"/>
      <c r="K2279" s="105"/>
      <c r="L2279" s="105"/>
      <c r="M2279" s="105"/>
      <c r="N2279" s="105"/>
      <c r="O2279" s="105"/>
      <c r="P2279" s="105"/>
      <c r="Q2279" s="105"/>
      <c r="R2279" s="105"/>
      <c r="S2279" s="105"/>
      <c r="T2279" s="105"/>
      <c r="U2279" s="105"/>
      <c r="V2279" s="105"/>
      <c r="W2279" s="105"/>
      <c r="X2279" s="105"/>
      <c r="Y2279" s="105"/>
      <c r="Z2279" s="105"/>
    </row>
    <row r="2280" spans="1:26" ht="15.75" customHeight="1">
      <c r="A2280" s="105"/>
      <c r="B2280" s="105"/>
      <c r="C2280" s="105"/>
      <c r="D2280" s="105"/>
      <c r="E2280" s="105"/>
      <c r="F2280" s="105"/>
      <c r="G2280" s="105"/>
      <c r="H2280" s="105"/>
      <c r="I2280" s="105"/>
      <c r="J2280" s="105"/>
      <c r="K2280" s="105"/>
      <c r="L2280" s="105"/>
      <c r="M2280" s="105"/>
      <c r="N2280" s="105"/>
      <c r="O2280" s="105"/>
      <c r="P2280" s="105"/>
      <c r="Q2280" s="105"/>
      <c r="R2280" s="105"/>
      <c r="S2280" s="105"/>
      <c r="T2280" s="105"/>
      <c r="U2280" s="105"/>
      <c r="V2280" s="105"/>
      <c r="W2280" s="105"/>
      <c r="X2280" s="105"/>
      <c r="Y2280" s="105"/>
      <c r="Z2280" s="105"/>
    </row>
    <row r="2281" spans="1:26" ht="15.75" customHeight="1">
      <c r="A2281" s="105"/>
      <c r="B2281" s="105"/>
      <c r="C2281" s="105"/>
      <c r="D2281" s="105"/>
      <c r="E2281" s="105"/>
      <c r="F2281" s="105"/>
      <c r="G2281" s="105"/>
      <c r="H2281" s="105"/>
      <c r="I2281" s="105"/>
      <c r="J2281" s="105"/>
      <c r="K2281" s="105"/>
      <c r="L2281" s="105"/>
      <c r="M2281" s="105"/>
      <c r="N2281" s="105"/>
      <c r="O2281" s="105"/>
      <c r="P2281" s="105"/>
      <c r="Q2281" s="105"/>
      <c r="R2281" s="105"/>
      <c r="S2281" s="105"/>
      <c r="T2281" s="105"/>
      <c r="U2281" s="105"/>
      <c r="V2281" s="105"/>
      <c r="W2281" s="105"/>
      <c r="X2281" s="105"/>
      <c r="Y2281" s="105"/>
      <c r="Z2281" s="105"/>
    </row>
    <row r="2282" spans="1:26" ht="15.75" customHeight="1">
      <c r="A2282" s="105"/>
      <c r="B2282" s="105"/>
      <c r="C2282" s="105"/>
      <c r="D2282" s="105"/>
      <c r="E2282" s="105"/>
      <c r="F2282" s="105"/>
      <c r="G2282" s="105"/>
      <c r="H2282" s="105"/>
      <c r="I2282" s="105"/>
      <c r="J2282" s="105"/>
      <c r="K2282" s="105"/>
      <c r="L2282" s="105"/>
      <c r="M2282" s="105"/>
      <c r="N2282" s="105"/>
      <c r="O2282" s="105"/>
      <c r="P2282" s="105"/>
      <c r="Q2282" s="105"/>
      <c r="R2282" s="105"/>
      <c r="S2282" s="105"/>
      <c r="T2282" s="105"/>
      <c r="U2282" s="105"/>
      <c r="V2282" s="105"/>
      <c r="W2282" s="105"/>
      <c r="X2282" s="105"/>
      <c r="Y2282" s="105"/>
      <c r="Z2282" s="105"/>
    </row>
    <row r="2283" spans="1:26" ht="15.75" customHeight="1">
      <c r="A2283" s="105"/>
      <c r="B2283" s="105"/>
      <c r="C2283" s="105"/>
      <c r="D2283" s="105"/>
      <c r="E2283" s="105"/>
      <c r="F2283" s="105"/>
      <c r="G2283" s="105"/>
      <c r="H2283" s="105"/>
      <c r="I2283" s="105"/>
      <c r="J2283" s="105"/>
      <c r="K2283" s="105"/>
      <c r="L2283" s="105"/>
      <c r="M2283" s="105"/>
      <c r="N2283" s="105"/>
      <c r="O2283" s="105"/>
      <c r="P2283" s="105"/>
      <c r="Q2283" s="105"/>
      <c r="R2283" s="105"/>
      <c r="S2283" s="105"/>
      <c r="T2283" s="105"/>
      <c r="U2283" s="105"/>
      <c r="V2283" s="105"/>
      <c r="W2283" s="105"/>
      <c r="X2283" s="105"/>
      <c r="Y2283" s="105"/>
      <c r="Z2283" s="105"/>
    </row>
    <row r="2284" spans="1:26" ht="15.75" customHeight="1">
      <c r="A2284" s="105"/>
      <c r="B2284" s="105"/>
      <c r="C2284" s="105"/>
      <c r="D2284" s="105"/>
      <c r="E2284" s="105"/>
      <c r="F2284" s="105"/>
      <c r="G2284" s="105"/>
      <c r="H2284" s="105"/>
      <c r="I2284" s="105"/>
      <c r="J2284" s="105"/>
      <c r="K2284" s="105"/>
      <c r="L2284" s="105"/>
      <c r="M2284" s="105"/>
      <c r="N2284" s="105"/>
      <c r="O2284" s="105"/>
      <c r="P2284" s="105"/>
      <c r="Q2284" s="105"/>
      <c r="R2284" s="105"/>
      <c r="S2284" s="105"/>
      <c r="T2284" s="105"/>
      <c r="U2284" s="105"/>
      <c r="V2284" s="105"/>
      <c r="W2284" s="105"/>
      <c r="X2284" s="105"/>
      <c r="Y2284" s="105"/>
      <c r="Z2284" s="105"/>
    </row>
    <row r="2285" spans="1:26" ht="15.75" customHeight="1">
      <c r="A2285" s="105"/>
      <c r="B2285" s="105"/>
      <c r="C2285" s="105"/>
      <c r="D2285" s="105"/>
      <c r="E2285" s="105"/>
      <c r="F2285" s="105"/>
      <c r="G2285" s="105"/>
      <c r="H2285" s="105"/>
      <c r="I2285" s="105"/>
      <c r="J2285" s="105"/>
      <c r="K2285" s="105"/>
      <c r="L2285" s="105"/>
      <c r="M2285" s="105"/>
      <c r="N2285" s="105"/>
      <c r="O2285" s="105"/>
      <c r="P2285" s="105"/>
      <c r="Q2285" s="105"/>
      <c r="R2285" s="105"/>
      <c r="S2285" s="105"/>
      <c r="T2285" s="105"/>
      <c r="U2285" s="105"/>
      <c r="V2285" s="105"/>
      <c r="W2285" s="105"/>
      <c r="X2285" s="105"/>
      <c r="Y2285" s="105"/>
      <c r="Z2285" s="105"/>
    </row>
    <row r="2286" spans="1:26" ht="15.75" customHeight="1">
      <c r="A2286" s="105"/>
      <c r="B2286" s="105"/>
      <c r="C2286" s="105"/>
      <c r="D2286" s="105"/>
      <c r="E2286" s="105"/>
      <c r="F2286" s="105"/>
      <c r="G2286" s="105"/>
      <c r="H2286" s="105"/>
      <c r="I2286" s="105"/>
      <c r="J2286" s="105"/>
      <c r="K2286" s="105"/>
      <c r="L2286" s="105"/>
      <c r="M2286" s="105"/>
      <c r="N2286" s="105"/>
      <c r="O2286" s="105"/>
      <c r="P2286" s="105"/>
      <c r="Q2286" s="105"/>
      <c r="R2286" s="105"/>
      <c r="S2286" s="105"/>
      <c r="T2286" s="105"/>
      <c r="U2286" s="105"/>
      <c r="V2286" s="105"/>
      <c r="W2286" s="105"/>
      <c r="X2286" s="105"/>
      <c r="Y2286" s="105"/>
      <c r="Z2286" s="105"/>
    </row>
    <row r="2287" spans="1:26" ht="15.75" customHeight="1">
      <c r="A2287" s="105"/>
      <c r="B2287" s="105"/>
      <c r="C2287" s="105"/>
      <c r="D2287" s="105"/>
      <c r="E2287" s="105"/>
      <c r="F2287" s="105"/>
      <c r="G2287" s="105"/>
      <c r="H2287" s="105"/>
      <c r="I2287" s="105"/>
      <c r="J2287" s="105"/>
      <c r="K2287" s="105"/>
      <c r="L2287" s="105"/>
      <c r="M2287" s="105"/>
      <c r="N2287" s="105"/>
      <c r="O2287" s="105"/>
      <c r="P2287" s="105"/>
      <c r="Q2287" s="105"/>
      <c r="R2287" s="105"/>
      <c r="S2287" s="105"/>
      <c r="T2287" s="105"/>
      <c r="U2287" s="105"/>
      <c r="V2287" s="105"/>
      <c r="W2287" s="105"/>
      <c r="X2287" s="105"/>
      <c r="Y2287" s="105"/>
      <c r="Z2287" s="105"/>
    </row>
    <row r="2288" spans="1:26" ht="15.75" customHeight="1">
      <c r="A2288" s="105"/>
      <c r="B2288" s="105"/>
      <c r="C2288" s="105"/>
      <c r="D2288" s="105"/>
      <c r="E2288" s="105"/>
      <c r="F2288" s="105"/>
      <c r="G2288" s="105"/>
      <c r="H2288" s="105"/>
      <c r="I2288" s="105"/>
      <c r="J2288" s="105"/>
      <c r="K2288" s="105"/>
      <c r="L2288" s="105"/>
      <c r="M2288" s="105"/>
      <c r="N2288" s="105"/>
      <c r="O2288" s="105"/>
      <c r="P2288" s="105"/>
      <c r="Q2288" s="105"/>
      <c r="R2288" s="105"/>
      <c r="S2288" s="105"/>
      <c r="T2288" s="105"/>
      <c r="U2288" s="105"/>
      <c r="V2288" s="105"/>
      <c r="W2288" s="105"/>
      <c r="X2288" s="105"/>
      <c r="Y2288" s="105"/>
      <c r="Z2288" s="105"/>
    </row>
    <row r="2289" spans="1:26" ht="15.75" customHeight="1">
      <c r="A2289" s="105"/>
      <c r="B2289" s="105"/>
      <c r="C2289" s="105"/>
      <c r="D2289" s="105"/>
      <c r="E2289" s="105"/>
      <c r="F2289" s="105"/>
      <c r="G2289" s="105"/>
      <c r="H2289" s="105"/>
      <c r="I2289" s="105"/>
      <c r="J2289" s="105"/>
      <c r="K2289" s="105"/>
      <c r="L2289" s="105"/>
      <c r="M2289" s="105"/>
      <c r="N2289" s="105"/>
      <c r="O2289" s="105"/>
      <c r="P2289" s="105"/>
      <c r="Q2289" s="105"/>
      <c r="R2289" s="105"/>
      <c r="S2289" s="105"/>
      <c r="T2289" s="105"/>
      <c r="U2289" s="105"/>
      <c r="V2289" s="105"/>
      <c r="W2289" s="105"/>
      <c r="X2289" s="105"/>
      <c r="Y2289" s="105"/>
      <c r="Z2289" s="105"/>
    </row>
    <row r="2290" spans="1:26" ht="15.75" customHeight="1">
      <c r="A2290" s="105"/>
      <c r="B2290" s="105"/>
      <c r="C2290" s="105"/>
      <c r="D2290" s="105"/>
      <c r="E2290" s="105"/>
      <c r="F2290" s="105"/>
      <c r="G2290" s="105"/>
      <c r="H2290" s="105"/>
      <c r="I2290" s="105"/>
      <c r="J2290" s="105"/>
      <c r="K2290" s="105"/>
      <c r="L2290" s="105"/>
      <c r="M2290" s="105"/>
      <c r="N2290" s="105"/>
      <c r="O2290" s="105"/>
      <c r="P2290" s="105"/>
      <c r="Q2290" s="105"/>
      <c r="R2290" s="105"/>
      <c r="S2290" s="105"/>
      <c r="T2290" s="105"/>
      <c r="U2290" s="105"/>
      <c r="V2290" s="105"/>
      <c r="W2290" s="105"/>
      <c r="X2290" s="105"/>
      <c r="Y2290" s="105"/>
      <c r="Z2290" s="105"/>
    </row>
    <row r="2291" spans="1:26" ht="15.75" customHeight="1">
      <c r="A2291" s="105"/>
      <c r="B2291" s="105"/>
      <c r="C2291" s="105"/>
      <c r="D2291" s="105"/>
      <c r="E2291" s="105"/>
      <c r="F2291" s="105"/>
      <c r="G2291" s="105"/>
      <c r="H2291" s="105"/>
      <c r="I2291" s="105"/>
      <c r="J2291" s="105"/>
      <c r="K2291" s="105"/>
      <c r="L2291" s="105"/>
      <c r="M2291" s="105"/>
      <c r="N2291" s="105"/>
      <c r="O2291" s="105"/>
      <c r="P2291" s="105"/>
      <c r="Q2291" s="105"/>
      <c r="R2291" s="105"/>
      <c r="S2291" s="105"/>
      <c r="T2291" s="105"/>
      <c r="U2291" s="105"/>
      <c r="V2291" s="105"/>
      <c r="W2291" s="105"/>
      <c r="X2291" s="105"/>
      <c r="Y2291" s="105"/>
      <c r="Z2291" s="105"/>
    </row>
    <row r="2292" spans="1:26" ht="15.75" customHeight="1">
      <c r="A2292" s="105"/>
      <c r="B2292" s="105"/>
      <c r="C2292" s="105"/>
      <c r="D2292" s="105"/>
      <c r="E2292" s="105"/>
      <c r="F2292" s="105"/>
      <c r="G2292" s="105"/>
      <c r="H2292" s="105"/>
      <c r="I2292" s="105"/>
      <c r="J2292" s="105"/>
      <c r="K2292" s="105"/>
      <c r="L2292" s="105"/>
      <c r="M2292" s="105"/>
      <c r="N2292" s="105"/>
      <c r="O2292" s="105"/>
      <c r="P2292" s="105"/>
      <c r="Q2292" s="105"/>
      <c r="R2292" s="105"/>
      <c r="S2292" s="105"/>
      <c r="T2292" s="105"/>
      <c r="U2292" s="105"/>
      <c r="V2292" s="105"/>
      <c r="W2292" s="105"/>
      <c r="X2292" s="105"/>
      <c r="Y2292" s="105"/>
      <c r="Z2292" s="105"/>
    </row>
    <row r="2293" spans="1:26" ht="15.75" customHeight="1">
      <c r="A2293" s="105"/>
      <c r="B2293" s="105"/>
      <c r="C2293" s="105"/>
      <c r="D2293" s="105"/>
      <c r="E2293" s="105"/>
      <c r="F2293" s="105"/>
      <c r="G2293" s="105"/>
      <c r="H2293" s="105"/>
      <c r="I2293" s="105"/>
      <c r="J2293" s="105"/>
      <c r="K2293" s="105"/>
      <c r="L2293" s="105"/>
      <c r="M2293" s="105"/>
      <c r="N2293" s="105"/>
      <c r="O2293" s="105"/>
      <c r="P2293" s="105"/>
      <c r="Q2293" s="105"/>
      <c r="R2293" s="105"/>
      <c r="S2293" s="105"/>
      <c r="T2293" s="105"/>
      <c r="U2293" s="105"/>
      <c r="V2293" s="105"/>
      <c r="W2293" s="105"/>
      <c r="X2293" s="105"/>
      <c r="Y2293" s="105"/>
      <c r="Z2293" s="105"/>
    </row>
    <row r="2294" spans="1:26" ht="15.75" customHeight="1">
      <c r="A2294" s="105"/>
      <c r="B2294" s="105"/>
      <c r="C2294" s="105"/>
      <c r="D2294" s="105"/>
      <c r="E2294" s="105"/>
      <c r="F2294" s="105"/>
      <c r="G2294" s="105"/>
      <c r="H2294" s="105"/>
      <c r="I2294" s="105"/>
      <c r="J2294" s="105"/>
      <c r="K2294" s="105"/>
      <c r="L2294" s="105"/>
      <c r="M2294" s="105"/>
      <c r="N2294" s="105"/>
      <c r="O2294" s="105"/>
      <c r="P2294" s="105"/>
      <c r="Q2294" s="105"/>
      <c r="R2294" s="105"/>
      <c r="S2294" s="105"/>
      <c r="T2294" s="105"/>
      <c r="U2294" s="105"/>
      <c r="V2294" s="105"/>
      <c r="W2294" s="105"/>
      <c r="X2294" s="105"/>
      <c r="Y2294" s="105"/>
      <c r="Z2294" s="105"/>
    </row>
    <row r="2295" spans="1:26" ht="15.75" customHeight="1">
      <c r="A2295" s="105"/>
      <c r="B2295" s="105"/>
      <c r="C2295" s="105"/>
      <c r="D2295" s="105"/>
      <c r="E2295" s="105"/>
      <c r="F2295" s="105"/>
      <c r="G2295" s="105"/>
      <c r="H2295" s="105"/>
      <c r="I2295" s="105"/>
      <c r="J2295" s="105"/>
      <c r="K2295" s="105"/>
      <c r="L2295" s="105"/>
      <c r="M2295" s="105"/>
      <c r="N2295" s="105"/>
      <c r="O2295" s="105"/>
      <c r="P2295" s="105"/>
      <c r="Q2295" s="105"/>
      <c r="R2295" s="105"/>
      <c r="S2295" s="105"/>
      <c r="T2295" s="105"/>
      <c r="U2295" s="105"/>
      <c r="V2295" s="105"/>
      <c r="W2295" s="105"/>
      <c r="X2295" s="105"/>
      <c r="Y2295" s="105"/>
      <c r="Z2295" s="105"/>
    </row>
    <row r="2296" spans="1:26" ht="15.75" customHeight="1">
      <c r="A2296" s="105"/>
      <c r="B2296" s="105"/>
      <c r="C2296" s="105"/>
      <c r="D2296" s="105"/>
      <c r="E2296" s="105"/>
      <c r="F2296" s="105"/>
      <c r="G2296" s="105"/>
      <c r="H2296" s="105"/>
      <c r="I2296" s="105"/>
      <c r="J2296" s="105"/>
      <c r="K2296" s="105"/>
      <c r="L2296" s="105"/>
      <c r="M2296" s="105"/>
      <c r="N2296" s="105"/>
      <c r="O2296" s="105"/>
      <c r="P2296" s="105"/>
      <c r="Q2296" s="105"/>
      <c r="R2296" s="105"/>
      <c r="S2296" s="105"/>
      <c r="T2296" s="105"/>
      <c r="U2296" s="105"/>
      <c r="V2296" s="105"/>
      <c r="W2296" s="105"/>
      <c r="X2296" s="105"/>
      <c r="Y2296" s="105"/>
      <c r="Z2296" s="105"/>
    </row>
    <row r="2297" spans="1:26" ht="15.75" customHeight="1">
      <c r="A2297" s="105"/>
      <c r="B2297" s="105"/>
      <c r="C2297" s="105"/>
      <c r="D2297" s="105"/>
      <c r="E2297" s="105"/>
      <c r="F2297" s="105"/>
      <c r="G2297" s="105"/>
      <c r="H2297" s="105"/>
      <c r="I2297" s="105"/>
      <c r="J2297" s="105"/>
      <c r="K2297" s="105"/>
      <c r="L2297" s="105"/>
      <c r="M2297" s="105"/>
      <c r="N2297" s="105"/>
      <c r="O2297" s="105"/>
      <c r="P2297" s="105"/>
      <c r="Q2297" s="105"/>
      <c r="R2297" s="105"/>
      <c r="S2297" s="105"/>
      <c r="T2297" s="105"/>
      <c r="U2297" s="105"/>
      <c r="V2297" s="105"/>
      <c r="W2297" s="105"/>
      <c r="X2297" s="105"/>
      <c r="Y2297" s="105"/>
      <c r="Z2297" s="105"/>
    </row>
    <row r="2298" spans="1:26" ht="15.75" customHeight="1">
      <c r="A2298" s="105"/>
      <c r="B2298" s="105"/>
      <c r="C2298" s="105"/>
      <c r="D2298" s="105"/>
      <c r="E2298" s="105"/>
      <c r="F2298" s="105"/>
      <c r="G2298" s="105"/>
      <c r="H2298" s="105"/>
      <c r="I2298" s="105"/>
      <c r="J2298" s="105"/>
      <c r="K2298" s="105"/>
      <c r="L2298" s="105"/>
      <c r="M2298" s="105"/>
      <c r="N2298" s="105"/>
      <c r="O2298" s="105"/>
      <c r="P2298" s="105"/>
      <c r="Q2298" s="105"/>
      <c r="R2298" s="105"/>
      <c r="S2298" s="105"/>
      <c r="T2298" s="105"/>
      <c r="U2298" s="105"/>
      <c r="V2298" s="105"/>
      <c r="W2298" s="105"/>
      <c r="X2298" s="105"/>
      <c r="Y2298" s="105"/>
      <c r="Z2298" s="105"/>
    </row>
    <row r="2299" spans="1:26" ht="15.75" customHeight="1">
      <c r="A2299" s="105"/>
      <c r="B2299" s="105"/>
      <c r="C2299" s="105"/>
      <c r="D2299" s="105"/>
      <c r="E2299" s="105"/>
      <c r="F2299" s="105"/>
      <c r="G2299" s="105"/>
      <c r="H2299" s="105"/>
      <c r="I2299" s="105"/>
      <c r="J2299" s="105"/>
      <c r="K2299" s="105"/>
      <c r="L2299" s="105"/>
      <c r="M2299" s="105"/>
      <c r="N2299" s="105"/>
      <c r="O2299" s="105"/>
      <c r="P2299" s="105"/>
      <c r="Q2299" s="105"/>
      <c r="R2299" s="105"/>
      <c r="S2299" s="105"/>
      <c r="T2299" s="105"/>
      <c r="U2299" s="105"/>
      <c r="V2299" s="105"/>
      <c r="W2299" s="105"/>
      <c r="X2299" s="105"/>
      <c r="Y2299" s="105"/>
      <c r="Z2299" s="105"/>
    </row>
    <row r="2300" spans="1:26" ht="15.75" customHeight="1">
      <c r="A2300" s="105"/>
      <c r="B2300" s="105"/>
      <c r="C2300" s="105"/>
      <c r="D2300" s="105"/>
      <c r="E2300" s="105"/>
      <c r="F2300" s="105"/>
      <c r="G2300" s="105"/>
      <c r="H2300" s="105"/>
      <c r="I2300" s="105"/>
      <c r="J2300" s="105"/>
      <c r="K2300" s="105"/>
      <c r="L2300" s="105"/>
      <c r="M2300" s="105"/>
      <c r="N2300" s="105"/>
      <c r="O2300" s="105"/>
      <c r="P2300" s="105"/>
      <c r="Q2300" s="105"/>
      <c r="R2300" s="105"/>
      <c r="S2300" s="105"/>
      <c r="T2300" s="105"/>
      <c r="U2300" s="105"/>
      <c r="V2300" s="105"/>
      <c r="W2300" s="105"/>
      <c r="X2300" s="105"/>
      <c r="Y2300" s="105"/>
      <c r="Z2300" s="105"/>
    </row>
    <row r="2301" spans="1:26" ht="15.75" customHeight="1">
      <c r="A2301" s="105"/>
      <c r="B2301" s="105"/>
      <c r="C2301" s="105"/>
      <c r="D2301" s="105"/>
      <c r="E2301" s="105"/>
      <c r="F2301" s="105"/>
      <c r="G2301" s="105"/>
      <c r="H2301" s="105"/>
      <c r="I2301" s="105"/>
      <c r="J2301" s="105"/>
      <c r="K2301" s="105"/>
      <c r="L2301" s="105"/>
      <c r="M2301" s="105"/>
      <c r="N2301" s="105"/>
      <c r="O2301" s="105"/>
      <c r="P2301" s="105"/>
      <c r="Q2301" s="105"/>
      <c r="R2301" s="105"/>
      <c r="S2301" s="105"/>
      <c r="T2301" s="105"/>
      <c r="U2301" s="105"/>
      <c r="V2301" s="105"/>
      <c r="W2301" s="105"/>
      <c r="X2301" s="105"/>
      <c r="Y2301" s="105"/>
      <c r="Z2301" s="105"/>
    </row>
    <row r="2302" spans="1:26" ht="15.75" customHeight="1">
      <c r="A2302" s="105"/>
      <c r="B2302" s="105"/>
      <c r="C2302" s="105"/>
      <c r="D2302" s="105"/>
      <c r="E2302" s="105"/>
      <c r="F2302" s="105"/>
      <c r="G2302" s="105"/>
      <c r="H2302" s="105"/>
      <c r="I2302" s="105"/>
      <c r="J2302" s="105"/>
      <c r="K2302" s="105"/>
      <c r="L2302" s="105"/>
      <c r="M2302" s="105"/>
      <c r="N2302" s="105"/>
      <c r="O2302" s="105"/>
      <c r="P2302" s="105"/>
      <c r="Q2302" s="105"/>
      <c r="R2302" s="105"/>
      <c r="S2302" s="105"/>
      <c r="T2302" s="105"/>
      <c r="U2302" s="105"/>
      <c r="V2302" s="105"/>
      <c r="W2302" s="105"/>
      <c r="X2302" s="105"/>
      <c r="Y2302" s="105"/>
      <c r="Z2302" s="105"/>
    </row>
    <row r="2303" spans="1:26" ht="15.75" customHeight="1">
      <c r="A2303" s="105"/>
      <c r="B2303" s="105"/>
      <c r="C2303" s="105"/>
      <c r="D2303" s="105"/>
      <c r="E2303" s="105"/>
      <c r="F2303" s="105"/>
      <c r="G2303" s="105"/>
      <c r="H2303" s="105"/>
      <c r="I2303" s="105"/>
      <c r="J2303" s="105"/>
      <c r="K2303" s="105"/>
      <c r="L2303" s="105"/>
      <c r="M2303" s="105"/>
      <c r="N2303" s="105"/>
      <c r="O2303" s="105"/>
      <c r="P2303" s="105"/>
      <c r="Q2303" s="105"/>
      <c r="R2303" s="105"/>
      <c r="S2303" s="105"/>
      <c r="T2303" s="105"/>
      <c r="U2303" s="105"/>
      <c r="V2303" s="105"/>
      <c r="W2303" s="105"/>
      <c r="X2303" s="105"/>
      <c r="Y2303" s="105"/>
      <c r="Z2303" s="105"/>
    </row>
    <row r="2304" spans="1:26" ht="15.75" customHeight="1">
      <c r="A2304" s="105"/>
      <c r="B2304" s="105"/>
      <c r="C2304" s="105"/>
      <c r="D2304" s="105"/>
      <c r="E2304" s="105"/>
      <c r="F2304" s="105"/>
      <c r="G2304" s="105"/>
      <c r="H2304" s="105"/>
      <c r="I2304" s="105"/>
      <c r="J2304" s="105"/>
      <c r="K2304" s="105"/>
      <c r="L2304" s="105"/>
      <c r="M2304" s="105"/>
      <c r="N2304" s="105"/>
      <c r="O2304" s="105"/>
      <c r="P2304" s="105"/>
      <c r="Q2304" s="105"/>
      <c r="R2304" s="105"/>
      <c r="S2304" s="105"/>
      <c r="T2304" s="105"/>
      <c r="U2304" s="105"/>
      <c r="V2304" s="105"/>
      <c r="W2304" s="105"/>
      <c r="X2304" s="105"/>
      <c r="Y2304" s="105"/>
      <c r="Z2304" s="105"/>
    </row>
    <row r="2305" spans="1:26" ht="15.75" customHeight="1">
      <c r="A2305" s="105"/>
      <c r="B2305" s="105"/>
      <c r="C2305" s="105"/>
      <c r="D2305" s="105"/>
      <c r="E2305" s="105"/>
      <c r="F2305" s="105"/>
      <c r="G2305" s="105"/>
      <c r="H2305" s="105"/>
      <c r="I2305" s="105"/>
      <c r="J2305" s="105"/>
      <c r="K2305" s="105"/>
      <c r="L2305" s="105"/>
      <c r="M2305" s="105"/>
      <c r="N2305" s="105"/>
      <c r="O2305" s="105"/>
      <c r="P2305" s="105"/>
      <c r="Q2305" s="105"/>
      <c r="R2305" s="105"/>
      <c r="S2305" s="105"/>
      <c r="T2305" s="105"/>
      <c r="U2305" s="105"/>
      <c r="V2305" s="105"/>
      <c r="W2305" s="105"/>
      <c r="X2305" s="105"/>
      <c r="Y2305" s="105"/>
      <c r="Z2305" s="105"/>
    </row>
    <row r="2306" spans="1:26" ht="15.75" customHeight="1">
      <c r="A2306" s="105"/>
      <c r="B2306" s="105"/>
      <c r="C2306" s="105"/>
      <c r="D2306" s="105"/>
      <c r="E2306" s="105"/>
      <c r="F2306" s="105"/>
      <c r="G2306" s="105"/>
      <c r="H2306" s="105"/>
      <c r="I2306" s="105"/>
      <c r="J2306" s="105"/>
      <c r="K2306" s="105"/>
      <c r="L2306" s="105"/>
      <c r="M2306" s="105"/>
      <c r="N2306" s="105"/>
      <c r="O2306" s="105"/>
      <c r="P2306" s="105"/>
      <c r="Q2306" s="105"/>
      <c r="R2306" s="105"/>
      <c r="S2306" s="105"/>
      <c r="T2306" s="105"/>
      <c r="U2306" s="105"/>
      <c r="V2306" s="105"/>
      <c r="W2306" s="105"/>
      <c r="X2306" s="105"/>
      <c r="Y2306" s="105"/>
      <c r="Z2306" s="105"/>
    </row>
    <row r="2307" spans="1:26" ht="15.75" customHeight="1">
      <c r="A2307" s="105"/>
      <c r="B2307" s="105"/>
      <c r="C2307" s="105"/>
      <c r="D2307" s="105"/>
      <c r="E2307" s="105"/>
      <c r="F2307" s="105"/>
      <c r="G2307" s="105"/>
      <c r="H2307" s="105"/>
      <c r="I2307" s="105"/>
      <c r="J2307" s="105"/>
      <c r="K2307" s="105"/>
      <c r="L2307" s="105"/>
      <c r="M2307" s="105"/>
      <c r="N2307" s="105"/>
      <c r="O2307" s="105"/>
      <c r="P2307" s="105"/>
      <c r="Q2307" s="105"/>
      <c r="R2307" s="105"/>
      <c r="S2307" s="105"/>
      <c r="T2307" s="105"/>
      <c r="U2307" s="105"/>
      <c r="V2307" s="105"/>
      <c r="W2307" s="105"/>
      <c r="X2307" s="105"/>
      <c r="Y2307" s="105"/>
      <c r="Z2307" s="105"/>
    </row>
    <row r="2308" spans="1:26" ht="15.75" customHeight="1">
      <c r="A2308" s="105"/>
      <c r="B2308" s="105"/>
      <c r="C2308" s="105"/>
      <c r="D2308" s="105"/>
      <c r="E2308" s="105"/>
      <c r="F2308" s="105"/>
      <c r="G2308" s="105"/>
      <c r="H2308" s="105"/>
      <c r="I2308" s="105"/>
      <c r="J2308" s="105"/>
      <c r="K2308" s="105"/>
      <c r="L2308" s="105"/>
      <c r="M2308" s="105"/>
      <c r="N2308" s="105"/>
      <c r="O2308" s="105"/>
      <c r="P2308" s="105"/>
      <c r="Q2308" s="105"/>
      <c r="R2308" s="105"/>
      <c r="S2308" s="105"/>
      <c r="T2308" s="105"/>
      <c r="U2308" s="105"/>
      <c r="V2308" s="105"/>
      <c r="W2308" s="105"/>
      <c r="X2308" s="105"/>
      <c r="Y2308" s="105"/>
      <c r="Z2308" s="105"/>
    </row>
    <row r="2309" spans="1:26" ht="15.75" customHeight="1">
      <c r="A2309" s="105"/>
      <c r="B2309" s="105"/>
      <c r="C2309" s="105"/>
      <c r="D2309" s="105"/>
      <c r="E2309" s="105"/>
      <c r="F2309" s="105"/>
      <c r="G2309" s="105"/>
      <c r="H2309" s="105"/>
      <c r="I2309" s="105"/>
      <c r="J2309" s="105"/>
      <c r="K2309" s="105"/>
      <c r="L2309" s="105"/>
      <c r="M2309" s="105"/>
      <c r="N2309" s="105"/>
      <c r="O2309" s="105"/>
      <c r="P2309" s="105"/>
      <c r="Q2309" s="105"/>
      <c r="R2309" s="105"/>
      <c r="S2309" s="105"/>
      <c r="T2309" s="105"/>
      <c r="U2309" s="105"/>
      <c r="V2309" s="105"/>
      <c r="W2309" s="105"/>
      <c r="X2309" s="105"/>
      <c r="Y2309" s="105"/>
      <c r="Z2309" s="105"/>
    </row>
    <row r="2310" spans="1:26" ht="15.75" customHeight="1">
      <c r="A2310" s="105"/>
      <c r="B2310" s="105"/>
      <c r="C2310" s="105"/>
      <c r="D2310" s="105"/>
      <c r="E2310" s="105"/>
      <c r="F2310" s="105"/>
      <c r="G2310" s="105"/>
      <c r="H2310" s="105"/>
      <c r="I2310" s="105"/>
      <c r="J2310" s="105"/>
      <c r="K2310" s="105"/>
      <c r="L2310" s="105"/>
      <c r="M2310" s="105"/>
      <c r="N2310" s="105"/>
      <c r="O2310" s="105"/>
      <c r="P2310" s="105"/>
      <c r="Q2310" s="105"/>
      <c r="R2310" s="105"/>
      <c r="S2310" s="105"/>
      <c r="T2310" s="105"/>
      <c r="U2310" s="105"/>
      <c r="V2310" s="105"/>
      <c r="W2310" s="105"/>
      <c r="X2310" s="105"/>
      <c r="Y2310" s="105"/>
      <c r="Z2310" s="105"/>
    </row>
    <row r="2311" spans="1:26" ht="15.75" customHeight="1">
      <c r="A2311" s="105"/>
      <c r="B2311" s="105"/>
      <c r="C2311" s="105"/>
      <c r="D2311" s="105"/>
      <c r="E2311" s="105"/>
      <c r="F2311" s="105"/>
      <c r="G2311" s="105"/>
      <c r="H2311" s="105"/>
      <c r="I2311" s="105"/>
      <c r="J2311" s="105"/>
      <c r="K2311" s="105"/>
      <c r="L2311" s="105"/>
      <c r="M2311" s="105"/>
      <c r="N2311" s="105"/>
      <c r="O2311" s="105"/>
      <c r="P2311" s="105"/>
      <c r="Q2311" s="105"/>
      <c r="R2311" s="105"/>
      <c r="S2311" s="105"/>
      <c r="T2311" s="105"/>
      <c r="U2311" s="105"/>
      <c r="V2311" s="105"/>
      <c r="W2311" s="105"/>
      <c r="X2311" s="105"/>
      <c r="Y2311" s="105"/>
      <c r="Z2311" s="105"/>
    </row>
    <row r="2312" spans="1:26" ht="15.75" customHeight="1">
      <c r="A2312" s="105"/>
      <c r="B2312" s="105"/>
      <c r="C2312" s="105"/>
      <c r="D2312" s="105"/>
      <c r="E2312" s="105"/>
      <c r="F2312" s="105"/>
      <c r="G2312" s="105"/>
      <c r="H2312" s="105"/>
      <c r="I2312" s="105"/>
      <c r="J2312" s="105"/>
      <c r="K2312" s="105"/>
      <c r="L2312" s="105"/>
      <c r="M2312" s="105"/>
      <c r="N2312" s="105"/>
      <c r="O2312" s="105"/>
      <c r="P2312" s="105"/>
      <c r="Q2312" s="105"/>
      <c r="R2312" s="105"/>
      <c r="S2312" s="105"/>
      <c r="T2312" s="105"/>
      <c r="U2312" s="105"/>
      <c r="V2312" s="105"/>
      <c r="W2312" s="105"/>
      <c r="X2312" s="105"/>
      <c r="Y2312" s="105"/>
      <c r="Z2312" s="105"/>
    </row>
    <row r="2313" spans="1:26" ht="15.75" customHeight="1">
      <c r="A2313" s="105"/>
      <c r="B2313" s="105"/>
      <c r="C2313" s="105"/>
      <c r="D2313" s="105"/>
      <c r="E2313" s="105"/>
      <c r="F2313" s="105"/>
      <c r="G2313" s="105"/>
      <c r="H2313" s="105"/>
      <c r="I2313" s="105"/>
      <c r="J2313" s="105"/>
      <c r="K2313" s="105"/>
      <c r="L2313" s="105"/>
      <c r="M2313" s="105"/>
      <c r="N2313" s="105"/>
      <c r="O2313" s="105"/>
      <c r="P2313" s="105"/>
      <c r="Q2313" s="105"/>
      <c r="R2313" s="105"/>
      <c r="S2313" s="105"/>
      <c r="T2313" s="105"/>
      <c r="U2313" s="105"/>
      <c r="V2313" s="105"/>
      <c r="W2313" s="105"/>
      <c r="X2313" s="105"/>
      <c r="Y2313" s="105"/>
      <c r="Z2313" s="105"/>
    </row>
    <row r="2314" spans="1:26" ht="15.75" customHeight="1">
      <c r="A2314" s="105"/>
      <c r="B2314" s="105"/>
      <c r="C2314" s="105"/>
      <c r="D2314" s="105"/>
      <c r="E2314" s="105"/>
      <c r="F2314" s="105"/>
      <c r="G2314" s="105"/>
      <c r="H2314" s="105"/>
      <c r="I2314" s="105"/>
      <c r="J2314" s="105"/>
      <c r="K2314" s="105"/>
      <c r="L2314" s="105"/>
      <c r="M2314" s="105"/>
      <c r="N2314" s="105"/>
      <c r="O2314" s="105"/>
      <c r="P2314" s="105"/>
      <c r="Q2314" s="105"/>
      <c r="R2314" s="105"/>
      <c r="S2314" s="105"/>
      <c r="T2314" s="105"/>
      <c r="U2314" s="105"/>
      <c r="V2314" s="105"/>
      <c r="W2314" s="105"/>
      <c r="X2314" s="105"/>
      <c r="Y2314" s="105"/>
      <c r="Z2314" s="105"/>
    </row>
    <row r="2315" spans="1:26" ht="15.75" customHeight="1">
      <c r="A2315" s="105"/>
      <c r="B2315" s="105"/>
      <c r="C2315" s="105"/>
      <c r="D2315" s="105"/>
      <c r="E2315" s="105"/>
      <c r="F2315" s="105"/>
      <c r="G2315" s="105"/>
      <c r="H2315" s="105"/>
      <c r="I2315" s="105"/>
      <c r="J2315" s="105"/>
      <c r="K2315" s="105"/>
      <c r="L2315" s="105"/>
      <c r="M2315" s="105"/>
      <c r="N2315" s="105"/>
      <c r="O2315" s="105"/>
      <c r="P2315" s="105"/>
      <c r="Q2315" s="105"/>
      <c r="R2315" s="105"/>
      <c r="S2315" s="105"/>
      <c r="T2315" s="105"/>
      <c r="U2315" s="105"/>
      <c r="V2315" s="105"/>
      <c r="W2315" s="105"/>
      <c r="X2315" s="105"/>
      <c r="Y2315" s="105"/>
      <c r="Z2315" s="105"/>
    </row>
    <row r="2316" spans="1:26" ht="15.75" customHeight="1">
      <c r="A2316" s="105"/>
      <c r="B2316" s="105"/>
      <c r="C2316" s="105"/>
      <c r="D2316" s="105"/>
      <c r="E2316" s="105"/>
      <c r="F2316" s="105"/>
      <c r="G2316" s="105"/>
      <c r="H2316" s="105"/>
      <c r="I2316" s="105"/>
      <c r="J2316" s="105"/>
      <c r="K2316" s="105"/>
      <c r="L2316" s="105"/>
      <c r="M2316" s="105"/>
      <c r="N2316" s="105"/>
      <c r="O2316" s="105"/>
      <c r="P2316" s="105"/>
      <c r="Q2316" s="105"/>
      <c r="R2316" s="105"/>
      <c r="S2316" s="105"/>
      <c r="T2316" s="105"/>
      <c r="U2316" s="105"/>
      <c r="V2316" s="105"/>
      <c r="W2316" s="105"/>
      <c r="X2316" s="105"/>
      <c r="Y2316" s="105"/>
      <c r="Z2316" s="105"/>
    </row>
    <row r="2317" spans="1:26" ht="15.75" customHeight="1">
      <c r="A2317" s="105"/>
      <c r="B2317" s="105"/>
      <c r="C2317" s="105"/>
      <c r="D2317" s="105"/>
      <c r="E2317" s="105"/>
      <c r="F2317" s="105"/>
      <c r="G2317" s="105"/>
      <c r="H2317" s="105"/>
      <c r="I2317" s="105"/>
      <c r="J2317" s="105"/>
      <c r="K2317" s="105"/>
      <c r="L2317" s="105"/>
      <c r="M2317" s="105"/>
      <c r="N2317" s="105"/>
      <c r="O2317" s="105"/>
      <c r="P2317" s="105"/>
      <c r="Q2317" s="105"/>
      <c r="R2317" s="105"/>
      <c r="S2317" s="105"/>
      <c r="T2317" s="105"/>
      <c r="U2317" s="105"/>
      <c r="V2317" s="105"/>
      <c r="W2317" s="105"/>
      <c r="X2317" s="105"/>
      <c r="Y2317" s="105"/>
      <c r="Z2317" s="105"/>
    </row>
    <row r="2318" spans="1:26" ht="15.75" customHeight="1">
      <c r="A2318" s="105"/>
      <c r="B2318" s="105"/>
      <c r="C2318" s="105"/>
      <c r="D2318" s="105"/>
      <c r="E2318" s="105"/>
      <c r="F2318" s="105"/>
      <c r="G2318" s="105"/>
      <c r="H2318" s="105"/>
      <c r="I2318" s="105"/>
      <c r="J2318" s="105"/>
      <c r="K2318" s="105"/>
      <c r="L2318" s="105"/>
      <c r="M2318" s="105"/>
      <c r="N2318" s="105"/>
      <c r="O2318" s="105"/>
      <c r="P2318" s="105"/>
      <c r="Q2318" s="105"/>
      <c r="R2318" s="105"/>
      <c r="S2318" s="105"/>
      <c r="T2318" s="105"/>
      <c r="U2318" s="105"/>
      <c r="V2318" s="105"/>
      <c r="W2318" s="105"/>
      <c r="X2318" s="105"/>
      <c r="Y2318" s="105"/>
      <c r="Z2318" s="105"/>
    </row>
    <row r="2319" spans="1:26" ht="15.75" customHeight="1">
      <c r="A2319" s="105"/>
      <c r="B2319" s="105"/>
      <c r="C2319" s="105"/>
      <c r="D2319" s="105"/>
      <c r="E2319" s="105"/>
      <c r="F2319" s="105"/>
      <c r="G2319" s="105"/>
      <c r="H2319" s="105"/>
      <c r="I2319" s="105"/>
      <c r="J2319" s="105"/>
      <c r="K2319" s="105"/>
      <c r="L2319" s="105"/>
      <c r="M2319" s="105"/>
      <c r="N2319" s="105"/>
      <c r="O2319" s="105"/>
      <c r="P2319" s="105"/>
      <c r="Q2319" s="105"/>
      <c r="R2319" s="105"/>
      <c r="S2319" s="105"/>
      <c r="T2319" s="105"/>
      <c r="U2319" s="105"/>
      <c r="V2319" s="105"/>
      <c r="W2319" s="105"/>
      <c r="X2319" s="105"/>
      <c r="Y2319" s="105"/>
      <c r="Z2319" s="105"/>
    </row>
    <row r="2320" spans="1:26" ht="15.75" customHeight="1">
      <c r="A2320" s="105"/>
      <c r="B2320" s="105"/>
      <c r="C2320" s="105"/>
      <c r="D2320" s="105"/>
      <c r="E2320" s="105"/>
      <c r="F2320" s="105"/>
      <c r="G2320" s="105"/>
      <c r="H2320" s="105"/>
      <c r="I2320" s="105"/>
      <c r="J2320" s="105"/>
      <c r="K2320" s="105"/>
      <c r="L2320" s="105"/>
      <c r="M2320" s="105"/>
      <c r="N2320" s="105"/>
      <c r="O2320" s="105"/>
      <c r="P2320" s="105"/>
      <c r="Q2320" s="105"/>
      <c r="R2320" s="105"/>
      <c r="S2320" s="105"/>
      <c r="T2320" s="105"/>
      <c r="U2320" s="105"/>
      <c r="V2320" s="105"/>
      <c r="W2320" s="105"/>
      <c r="X2320" s="105"/>
      <c r="Y2320" s="105"/>
      <c r="Z2320" s="105"/>
    </row>
    <row r="2321" spans="1:26" ht="15.75" customHeight="1">
      <c r="A2321" s="105"/>
      <c r="B2321" s="105"/>
      <c r="C2321" s="105"/>
      <c r="D2321" s="105"/>
      <c r="E2321" s="105"/>
      <c r="F2321" s="105"/>
      <c r="G2321" s="105"/>
      <c r="H2321" s="105"/>
      <c r="I2321" s="105"/>
      <c r="J2321" s="105"/>
      <c r="K2321" s="105"/>
      <c r="L2321" s="105"/>
      <c r="M2321" s="105"/>
      <c r="N2321" s="105"/>
      <c r="O2321" s="105"/>
      <c r="P2321" s="105"/>
      <c r="Q2321" s="105"/>
      <c r="R2321" s="105"/>
      <c r="S2321" s="105"/>
      <c r="T2321" s="105"/>
      <c r="U2321" s="105"/>
      <c r="V2321" s="105"/>
      <c r="W2321" s="105"/>
      <c r="X2321" s="105"/>
      <c r="Y2321" s="105"/>
      <c r="Z2321" s="105"/>
    </row>
    <row r="2322" spans="1:26" ht="15.75" customHeight="1">
      <c r="A2322" s="105"/>
      <c r="B2322" s="105"/>
      <c r="C2322" s="105"/>
      <c r="D2322" s="105"/>
      <c r="E2322" s="105"/>
      <c r="F2322" s="105"/>
      <c r="G2322" s="105"/>
      <c r="H2322" s="105"/>
      <c r="I2322" s="105"/>
      <c r="J2322" s="105"/>
      <c r="K2322" s="105"/>
      <c r="L2322" s="105"/>
      <c r="M2322" s="105"/>
      <c r="N2322" s="105"/>
      <c r="O2322" s="105"/>
      <c r="P2322" s="105"/>
      <c r="Q2322" s="105"/>
      <c r="R2322" s="105"/>
      <c r="S2322" s="105"/>
      <c r="T2322" s="105"/>
      <c r="U2322" s="105"/>
      <c r="V2322" s="105"/>
      <c r="W2322" s="105"/>
      <c r="X2322" s="105"/>
      <c r="Y2322" s="105"/>
      <c r="Z2322" s="105"/>
    </row>
    <row r="2323" spans="1:26" ht="15.75" customHeight="1">
      <c r="A2323" s="105"/>
      <c r="B2323" s="105"/>
      <c r="C2323" s="105"/>
      <c r="D2323" s="105"/>
      <c r="E2323" s="105"/>
      <c r="F2323" s="105"/>
      <c r="G2323" s="105"/>
      <c r="H2323" s="105"/>
      <c r="I2323" s="105"/>
      <c r="J2323" s="105"/>
      <c r="K2323" s="105"/>
      <c r="L2323" s="105"/>
      <c r="M2323" s="105"/>
      <c r="N2323" s="105"/>
      <c r="O2323" s="105"/>
      <c r="P2323" s="105"/>
      <c r="Q2323" s="105"/>
      <c r="R2323" s="105"/>
      <c r="S2323" s="105"/>
      <c r="T2323" s="105"/>
      <c r="U2323" s="105"/>
      <c r="V2323" s="105"/>
      <c r="W2323" s="105"/>
      <c r="X2323" s="105"/>
      <c r="Y2323" s="105"/>
      <c r="Z2323" s="105"/>
    </row>
    <row r="2324" spans="1:26" ht="15.75" customHeight="1">
      <c r="A2324" s="105"/>
      <c r="B2324" s="105"/>
      <c r="C2324" s="105"/>
      <c r="D2324" s="105"/>
      <c r="E2324" s="105"/>
      <c r="F2324" s="105"/>
      <c r="G2324" s="105"/>
      <c r="H2324" s="105"/>
      <c r="I2324" s="105"/>
      <c r="J2324" s="105"/>
      <c r="K2324" s="105"/>
      <c r="L2324" s="105"/>
      <c r="M2324" s="105"/>
      <c r="N2324" s="105"/>
      <c r="O2324" s="105"/>
      <c r="P2324" s="105"/>
      <c r="Q2324" s="105"/>
      <c r="R2324" s="105"/>
      <c r="S2324" s="105"/>
      <c r="T2324" s="105"/>
      <c r="U2324" s="105"/>
      <c r="V2324" s="105"/>
      <c r="W2324" s="105"/>
      <c r="X2324" s="105"/>
      <c r="Y2324" s="105"/>
      <c r="Z2324" s="105"/>
    </row>
    <row r="2325" spans="1:26" ht="15.75" customHeight="1">
      <c r="A2325" s="105"/>
      <c r="B2325" s="105"/>
      <c r="C2325" s="105"/>
      <c r="D2325" s="105"/>
      <c r="E2325" s="105"/>
      <c r="F2325" s="105"/>
      <c r="G2325" s="105"/>
      <c r="H2325" s="105"/>
      <c r="I2325" s="105"/>
      <c r="J2325" s="105"/>
      <c r="K2325" s="105"/>
      <c r="L2325" s="105"/>
      <c r="M2325" s="105"/>
      <c r="N2325" s="105"/>
      <c r="O2325" s="105"/>
      <c r="P2325" s="105"/>
      <c r="Q2325" s="105"/>
      <c r="R2325" s="105"/>
      <c r="S2325" s="105"/>
      <c r="T2325" s="105"/>
      <c r="U2325" s="105"/>
      <c r="V2325" s="105"/>
      <c r="W2325" s="105"/>
      <c r="X2325" s="105"/>
      <c r="Y2325" s="105"/>
      <c r="Z2325" s="105"/>
    </row>
    <row r="2326" spans="1:26" ht="15.75" customHeight="1">
      <c r="A2326" s="105"/>
      <c r="B2326" s="105"/>
      <c r="C2326" s="105"/>
      <c r="D2326" s="105"/>
      <c r="E2326" s="105"/>
      <c r="F2326" s="105"/>
      <c r="G2326" s="105"/>
      <c r="H2326" s="105"/>
      <c r="I2326" s="105"/>
      <c r="J2326" s="105"/>
      <c r="K2326" s="105"/>
      <c r="L2326" s="105"/>
      <c r="M2326" s="105"/>
      <c r="N2326" s="105"/>
      <c r="O2326" s="105"/>
      <c r="P2326" s="105"/>
      <c r="Q2326" s="105"/>
      <c r="R2326" s="105"/>
      <c r="S2326" s="105"/>
      <c r="T2326" s="105"/>
      <c r="U2326" s="105"/>
      <c r="V2326" s="105"/>
      <c r="W2326" s="105"/>
      <c r="X2326" s="105"/>
      <c r="Y2326" s="105"/>
      <c r="Z2326" s="105"/>
    </row>
    <row r="2327" spans="1:26" ht="15.75" customHeight="1">
      <c r="A2327" s="105"/>
      <c r="B2327" s="105"/>
      <c r="C2327" s="105"/>
      <c r="D2327" s="105"/>
      <c r="E2327" s="105"/>
      <c r="F2327" s="105"/>
      <c r="G2327" s="105"/>
      <c r="H2327" s="105"/>
      <c r="I2327" s="105"/>
      <c r="J2327" s="105"/>
      <c r="K2327" s="105"/>
      <c r="L2327" s="105"/>
      <c r="M2327" s="105"/>
      <c r="N2327" s="105"/>
      <c r="O2327" s="105"/>
      <c r="P2327" s="105"/>
      <c r="Q2327" s="105"/>
      <c r="R2327" s="105"/>
      <c r="S2327" s="105"/>
      <c r="T2327" s="105"/>
      <c r="U2327" s="105"/>
      <c r="V2327" s="105"/>
      <c r="W2327" s="105"/>
      <c r="X2327" s="105"/>
      <c r="Y2327" s="105"/>
      <c r="Z2327" s="105"/>
    </row>
    <row r="2328" spans="1:26" ht="15.75" customHeight="1">
      <c r="A2328" s="105"/>
      <c r="B2328" s="105"/>
      <c r="C2328" s="105"/>
      <c r="D2328" s="105"/>
      <c r="E2328" s="105"/>
      <c r="F2328" s="105"/>
      <c r="G2328" s="105"/>
      <c r="H2328" s="105"/>
      <c r="I2328" s="105"/>
      <c r="J2328" s="105"/>
      <c r="K2328" s="105"/>
      <c r="L2328" s="105"/>
      <c r="M2328" s="105"/>
      <c r="N2328" s="105"/>
      <c r="O2328" s="105"/>
      <c r="P2328" s="105"/>
      <c r="Q2328" s="105"/>
      <c r="R2328" s="105"/>
      <c r="S2328" s="105"/>
      <c r="T2328" s="105"/>
      <c r="U2328" s="105"/>
      <c r="V2328" s="105"/>
      <c r="W2328" s="105"/>
      <c r="X2328" s="105"/>
      <c r="Y2328" s="105"/>
      <c r="Z2328" s="105"/>
    </row>
    <row r="2329" spans="1:26" ht="15.75" customHeight="1">
      <c r="A2329" s="105"/>
      <c r="B2329" s="105"/>
      <c r="C2329" s="105"/>
      <c r="D2329" s="105"/>
      <c r="E2329" s="105"/>
      <c r="F2329" s="105"/>
      <c r="G2329" s="105"/>
      <c r="H2329" s="105"/>
      <c r="I2329" s="105"/>
      <c r="J2329" s="105"/>
      <c r="K2329" s="105"/>
      <c r="L2329" s="105"/>
      <c r="M2329" s="105"/>
      <c r="N2329" s="105"/>
      <c r="O2329" s="105"/>
      <c r="P2329" s="105"/>
      <c r="Q2329" s="105"/>
      <c r="R2329" s="105"/>
      <c r="S2329" s="105"/>
      <c r="T2329" s="105"/>
      <c r="U2329" s="105"/>
      <c r="V2329" s="105"/>
      <c r="W2329" s="105"/>
      <c r="X2329" s="105"/>
      <c r="Y2329" s="105"/>
      <c r="Z2329" s="105"/>
    </row>
    <row r="2330" spans="1:26" ht="15.75" customHeight="1">
      <c r="A2330" s="105"/>
      <c r="B2330" s="105"/>
      <c r="C2330" s="105"/>
      <c r="D2330" s="105"/>
      <c r="E2330" s="105"/>
      <c r="F2330" s="105"/>
      <c r="G2330" s="105"/>
      <c r="H2330" s="105"/>
      <c r="I2330" s="105"/>
      <c r="J2330" s="105"/>
      <c r="K2330" s="105"/>
      <c r="L2330" s="105"/>
      <c r="M2330" s="105"/>
      <c r="N2330" s="105"/>
      <c r="O2330" s="105"/>
      <c r="P2330" s="105"/>
      <c r="Q2330" s="105"/>
      <c r="R2330" s="105"/>
      <c r="S2330" s="105"/>
      <c r="T2330" s="105"/>
      <c r="U2330" s="105"/>
      <c r="V2330" s="105"/>
      <c r="W2330" s="105"/>
      <c r="X2330" s="105"/>
      <c r="Y2330" s="105"/>
      <c r="Z2330" s="105"/>
    </row>
    <row r="2331" spans="1:26" ht="15.75" customHeight="1">
      <c r="A2331" s="105"/>
      <c r="B2331" s="105"/>
      <c r="C2331" s="105"/>
      <c r="D2331" s="105"/>
      <c r="E2331" s="105"/>
      <c r="F2331" s="105"/>
      <c r="G2331" s="105"/>
      <c r="H2331" s="105"/>
      <c r="I2331" s="105"/>
      <c r="J2331" s="105"/>
      <c r="K2331" s="105"/>
      <c r="L2331" s="105"/>
      <c r="M2331" s="105"/>
      <c r="N2331" s="105"/>
      <c r="O2331" s="105"/>
      <c r="P2331" s="105"/>
      <c r="Q2331" s="105"/>
      <c r="R2331" s="105"/>
      <c r="S2331" s="105"/>
      <c r="T2331" s="105"/>
      <c r="U2331" s="105"/>
      <c r="V2331" s="105"/>
      <c r="W2331" s="105"/>
      <c r="X2331" s="105"/>
      <c r="Y2331" s="105"/>
      <c r="Z2331" s="105"/>
    </row>
    <row r="2332" spans="1:26" ht="15.75" customHeight="1">
      <c r="A2332" s="105"/>
      <c r="B2332" s="105"/>
      <c r="C2332" s="105"/>
      <c r="D2332" s="105"/>
      <c r="E2332" s="105"/>
      <c r="F2332" s="105"/>
      <c r="G2332" s="105"/>
      <c r="H2332" s="105"/>
      <c r="I2332" s="105"/>
      <c r="J2332" s="105"/>
      <c r="K2332" s="105"/>
      <c r="L2332" s="105"/>
      <c r="M2332" s="105"/>
      <c r="N2332" s="105"/>
      <c r="O2332" s="105"/>
      <c r="P2332" s="105"/>
      <c r="Q2332" s="105"/>
      <c r="R2332" s="105"/>
      <c r="S2332" s="105"/>
      <c r="T2332" s="105"/>
      <c r="U2332" s="105"/>
      <c r="V2332" s="105"/>
      <c r="W2332" s="105"/>
      <c r="X2332" s="105"/>
      <c r="Y2332" s="105"/>
      <c r="Z2332" s="105"/>
    </row>
    <row r="2333" spans="1:26" ht="15.75" customHeight="1">
      <c r="A2333" s="105"/>
      <c r="B2333" s="105"/>
      <c r="C2333" s="105"/>
      <c r="D2333" s="105"/>
      <c r="E2333" s="105"/>
      <c r="F2333" s="105"/>
      <c r="G2333" s="105"/>
      <c r="H2333" s="105"/>
      <c r="I2333" s="105"/>
      <c r="J2333" s="105"/>
      <c r="K2333" s="105"/>
      <c r="L2333" s="105"/>
      <c r="M2333" s="105"/>
      <c r="N2333" s="105"/>
      <c r="O2333" s="105"/>
      <c r="P2333" s="105"/>
      <c r="Q2333" s="105"/>
      <c r="R2333" s="105"/>
      <c r="S2333" s="105"/>
      <c r="T2333" s="105"/>
      <c r="U2333" s="105"/>
      <c r="V2333" s="105"/>
      <c r="W2333" s="105"/>
      <c r="X2333" s="105"/>
      <c r="Y2333" s="105"/>
      <c r="Z2333" s="105"/>
    </row>
    <row r="2334" spans="1:26" ht="15.75" customHeight="1">
      <c r="A2334" s="105"/>
      <c r="B2334" s="105"/>
      <c r="C2334" s="105"/>
      <c r="D2334" s="105"/>
      <c r="E2334" s="105"/>
      <c r="F2334" s="105"/>
      <c r="G2334" s="105"/>
      <c r="H2334" s="105"/>
      <c r="I2334" s="105"/>
      <c r="J2334" s="105"/>
      <c r="K2334" s="105"/>
      <c r="L2334" s="105"/>
      <c r="M2334" s="105"/>
      <c r="N2334" s="105"/>
      <c r="O2334" s="105"/>
      <c r="P2334" s="105"/>
      <c r="Q2334" s="105"/>
      <c r="R2334" s="105"/>
      <c r="S2334" s="105"/>
      <c r="T2334" s="105"/>
      <c r="U2334" s="105"/>
      <c r="V2334" s="105"/>
      <c r="W2334" s="105"/>
      <c r="X2334" s="105"/>
      <c r="Y2334" s="105"/>
      <c r="Z2334" s="105"/>
    </row>
    <row r="2335" spans="1:26" ht="15.75" customHeight="1">
      <c r="A2335" s="105"/>
      <c r="B2335" s="105"/>
      <c r="C2335" s="105"/>
      <c r="D2335" s="105"/>
      <c r="E2335" s="105"/>
      <c r="F2335" s="105"/>
      <c r="G2335" s="105"/>
      <c r="H2335" s="105"/>
      <c r="I2335" s="105"/>
      <c r="J2335" s="105"/>
      <c r="K2335" s="105"/>
      <c r="L2335" s="105"/>
      <c r="M2335" s="105"/>
      <c r="N2335" s="105"/>
      <c r="O2335" s="105"/>
      <c r="P2335" s="105"/>
      <c r="Q2335" s="105"/>
      <c r="R2335" s="105"/>
      <c r="S2335" s="105"/>
      <c r="T2335" s="105"/>
      <c r="U2335" s="105"/>
      <c r="V2335" s="105"/>
      <c r="W2335" s="105"/>
      <c r="X2335" s="105"/>
      <c r="Y2335" s="105"/>
      <c r="Z2335" s="105"/>
    </row>
    <row r="2336" spans="1:26" ht="15.75" customHeight="1">
      <c r="A2336" s="105"/>
      <c r="B2336" s="105"/>
      <c r="C2336" s="105"/>
      <c r="D2336" s="105"/>
      <c r="E2336" s="105"/>
      <c r="F2336" s="105"/>
      <c r="G2336" s="105"/>
      <c r="H2336" s="105"/>
      <c r="I2336" s="105"/>
      <c r="J2336" s="105"/>
      <c r="K2336" s="105"/>
      <c r="L2336" s="105"/>
      <c r="M2336" s="105"/>
      <c r="N2336" s="105"/>
      <c r="O2336" s="105"/>
      <c r="P2336" s="105"/>
      <c r="Q2336" s="105"/>
      <c r="R2336" s="105"/>
      <c r="S2336" s="105"/>
      <c r="T2336" s="105"/>
      <c r="U2336" s="105"/>
      <c r="V2336" s="105"/>
      <c r="W2336" s="105"/>
      <c r="X2336" s="105"/>
      <c r="Y2336" s="105"/>
      <c r="Z2336" s="105"/>
    </row>
    <row r="2337" spans="1:26" ht="15.75" customHeight="1">
      <c r="A2337" s="105"/>
      <c r="B2337" s="105"/>
      <c r="C2337" s="105"/>
      <c r="D2337" s="105"/>
      <c r="E2337" s="105"/>
      <c r="F2337" s="105"/>
      <c r="G2337" s="105"/>
      <c r="H2337" s="105"/>
      <c r="I2337" s="105"/>
      <c r="J2337" s="105"/>
      <c r="K2337" s="105"/>
      <c r="L2337" s="105"/>
      <c r="M2337" s="105"/>
      <c r="N2337" s="105"/>
      <c r="O2337" s="105"/>
      <c r="P2337" s="105"/>
      <c r="Q2337" s="105"/>
      <c r="R2337" s="105"/>
      <c r="S2337" s="105"/>
      <c r="T2337" s="105"/>
      <c r="U2337" s="105"/>
      <c r="V2337" s="105"/>
      <c r="W2337" s="105"/>
      <c r="X2337" s="105"/>
      <c r="Y2337" s="105"/>
      <c r="Z2337" s="105"/>
    </row>
    <row r="2338" spans="1:26" ht="15.75" customHeight="1">
      <c r="A2338" s="105"/>
      <c r="B2338" s="105"/>
      <c r="C2338" s="105"/>
      <c r="D2338" s="105"/>
      <c r="E2338" s="105"/>
      <c r="F2338" s="105"/>
      <c r="G2338" s="105"/>
      <c r="H2338" s="105"/>
      <c r="I2338" s="105"/>
      <c r="J2338" s="105"/>
      <c r="K2338" s="105"/>
      <c r="L2338" s="105"/>
      <c r="M2338" s="105"/>
      <c r="N2338" s="105"/>
      <c r="O2338" s="105"/>
      <c r="P2338" s="105"/>
      <c r="Q2338" s="105"/>
      <c r="R2338" s="105"/>
      <c r="S2338" s="105"/>
      <c r="T2338" s="105"/>
      <c r="U2338" s="105"/>
      <c r="V2338" s="105"/>
      <c r="W2338" s="105"/>
      <c r="X2338" s="105"/>
      <c r="Y2338" s="105"/>
      <c r="Z2338" s="105"/>
    </row>
    <row r="2339" spans="1:26" ht="15.75" customHeight="1">
      <c r="A2339" s="105"/>
      <c r="B2339" s="105"/>
      <c r="C2339" s="105"/>
      <c r="D2339" s="105"/>
      <c r="E2339" s="105"/>
      <c r="F2339" s="105"/>
      <c r="G2339" s="105"/>
      <c r="H2339" s="105"/>
      <c r="I2339" s="105"/>
      <c r="J2339" s="105"/>
      <c r="K2339" s="105"/>
      <c r="L2339" s="105"/>
      <c r="M2339" s="105"/>
      <c r="N2339" s="105"/>
      <c r="O2339" s="105"/>
      <c r="P2339" s="105"/>
      <c r="Q2339" s="105"/>
      <c r="R2339" s="105"/>
      <c r="S2339" s="105"/>
      <c r="T2339" s="105"/>
      <c r="U2339" s="105"/>
      <c r="V2339" s="105"/>
      <c r="W2339" s="105"/>
      <c r="X2339" s="105"/>
      <c r="Y2339" s="105"/>
      <c r="Z2339" s="105"/>
    </row>
    <row r="2340" spans="1:26" ht="15.75" customHeight="1">
      <c r="A2340" s="105"/>
      <c r="B2340" s="105"/>
      <c r="C2340" s="105"/>
      <c r="D2340" s="105"/>
      <c r="E2340" s="105"/>
      <c r="F2340" s="105"/>
      <c r="G2340" s="105"/>
      <c r="H2340" s="105"/>
      <c r="I2340" s="105"/>
      <c r="J2340" s="105"/>
      <c r="K2340" s="105"/>
      <c r="L2340" s="105"/>
      <c r="M2340" s="105"/>
      <c r="N2340" s="105"/>
      <c r="O2340" s="105"/>
      <c r="P2340" s="105"/>
      <c r="Q2340" s="105"/>
      <c r="R2340" s="105"/>
      <c r="S2340" s="105"/>
      <c r="T2340" s="105"/>
      <c r="U2340" s="105"/>
      <c r="V2340" s="105"/>
      <c r="W2340" s="105"/>
      <c r="X2340" s="105"/>
      <c r="Y2340" s="105"/>
      <c r="Z2340" s="105"/>
    </row>
    <row r="2341" spans="1:26" ht="15.75" customHeight="1">
      <c r="A2341" s="105"/>
      <c r="B2341" s="105"/>
      <c r="C2341" s="105"/>
      <c r="D2341" s="105"/>
      <c r="E2341" s="105"/>
      <c r="F2341" s="105"/>
      <c r="G2341" s="105"/>
      <c r="H2341" s="105"/>
      <c r="I2341" s="105"/>
      <c r="J2341" s="105"/>
      <c r="K2341" s="105"/>
      <c r="L2341" s="105"/>
      <c r="M2341" s="105"/>
      <c r="N2341" s="105"/>
      <c r="O2341" s="105"/>
      <c r="P2341" s="105"/>
      <c r="Q2341" s="105"/>
      <c r="R2341" s="105"/>
      <c r="S2341" s="105"/>
      <c r="T2341" s="105"/>
      <c r="U2341" s="105"/>
      <c r="V2341" s="105"/>
      <c r="W2341" s="105"/>
      <c r="X2341" s="105"/>
      <c r="Y2341" s="105"/>
      <c r="Z2341" s="105"/>
    </row>
    <row r="2342" spans="1:26" ht="15.75" customHeight="1">
      <c r="A2342" s="105"/>
      <c r="B2342" s="105"/>
      <c r="C2342" s="105"/>
      <c r="D2342" s="105"/>
      <c r="E2342" s="105"/>
      <c r="F2342" s="105"/>
      <c r="G2342" s="105"/>
      <c r="H2342" s="105"/>
      <c r="I2342" s="105"/>
      <c r="J2342" s="105"/>
      <c r="K2342" s="105"/>
      <c r="L2342" s="105"/>
      <c r="M2342" s="105"/>
      <c r="N2342" s="105"/>
      <c r="O2342" s="105"/>
      <c r="P2342" s="105"/>
      <c r="Q2342" s="105"/>
      <c r="R2342" s="105"/>
      <c r="S2342" s="105"/>
      <c r="T2342" s="105"/>
      <c r="U2342" s="105"/>
      <c r="V2342" s="105"/>
      <c r="W2342" s="105"/>
      <c r="X2342" s="105"/>
      <c r="Y2342" s="105"/>
      <c r="Z2342" s="105"/>
    </row>
    <row r="2343" spans="1:26" ht="15.75" customHeight="1">
      <c r="A2343" s="105"/>
      <c r="B2343" s="105"/>
      <c r="C2343" s="105"/>
      <c r="D2343" s="105"/>
      <c r="E2343" s="105"/>
      <c r="F2343" s="105"/>
      <c r="G2343" s="105"/>
      <c r="H2343" s="105"/>
      <c r="I2343" s="105"/>
      <c r="J2343" s="105"/>
      <c r="K2343" s="105"/>
      <c r="L2343" s="105"/>
      <c r="M2343" s="105"/>
      <c r="N2343" s="105"/>
      <c r="O2343" s="105"/>
      <c r="P2343" s="105"/>
      <c r="Q2343" s="105"/>
      <c r="R2343" s="105"/>
      <c r="S2343" s="105"/>
      <c r="T2343" s="105"/>
      <c r="U2343" s="105"/>
      <c r="V2343" s="105"/>
      <c r="W2343" s="105"/>
      <c r="X2343" s="105"/>
      <c r="Y2343" s="105"/>
      <c r="Z2343" s="105"/>
    </row>
    <row r="2344" spans="1:26" ht="15.75" customHeight="1">
      <c r="A2344" s="105"/>
      <c r="B2344" s="105"/>
      <c r="C2344" s="105"/>
      <c r="D2344" s="105"/>
      <c r="E2344" s="105"/>
      <c r="F2344" s="105"/>
      <c r="G2344" s="105"/>
      <c r="H2344" s="105"/>
      <c r="I2344" s="105"/>
      <c r="J2344" s="105"/>
      <c r="K2344" s="105"/>
      <c r="L2344" s="105"/>
      <c r="M2344" s="105"/>
      <c r="N2344" s="105"/>
      <c r="O2344" s="105"/>
      <c r="P2344" s="105"/>
      <c r="Q2344" s="105"/>
      <c r="R2344" s="105"/>
      <c r="S2344" s="105"/>
      <c r="T2344" s="105"/>
      <c r="U2344" s="105"/>
      <c r="V2344" s="105"/>
      <c r="W2344" s="105"/>
      <c r="X2344" s="105"/>
      <c r="Y2344" s="105"/>
      <c r="Z2344" s="105"/>
    </row>
    <row r="2345" spans="1:26" ht="15.75" customHeight="1">
      <c r="A2345" s="105"/>
      <c r="B2345" s="105"/>
      <c r="C2345" s="105"/>
      <c r="D2345" s="105"/>
      <c r="E2345" s="105"/>
      <c r="F2345" s="105"/>
      <c r="G2345" s="105"/>
      <c r="H2345" s="105"/>
      <c r="I2345" s="105"/>
      <c r="J2345" s="105"/>
      <c r="K2345" s="105"/>
      <c r="L2345" s="105"/>
      <c r="M2345" s="105"/>
      <c r="N2345" s="105"/>
      <c r="O2345" s="105"/>
      <c r="P2345" s="105"/>
      <c r="Q2345" s="105"/>
      <c r="R2345" s="105"/>
      <c r="S2345" s="105"/>
      <c r="T2345" s="105"/>
      <c r="U2345" s="105"/>
      <c r="V2345" s="105"/>
      <c r="W2345" s="105"/>
      <c r="X2345" s="105"/>
      <c r="Y2345" s="105"/>
      <c r="Z2345" s="105"/>
    </row>
    <row r="2346" spans="1:26" ht="15.75" customHeight="1">
      <c r="A2346" s="105"/>
      <c r="B2346" s="105"/>
      <c r="C2346" s="105"/>
      <c r="D2346" s="105"/>
      <c r="E2346" s="105"/>
      <c r="F2346" s="105"/>
      <c r="G2346" s="105"/>
      <c r="H2346" s="105"/>
      <c r="I2346" s="105"/>
      <c r="J2346" s="105"/>
      <c r="K2346" s="105"/>
      <c r="L2346" s="105"/>
      <c r="M2346" s="105"/>
      <c r="N2346" s="105"/>
      <c r="O2346" s="105"/>
      <c r="P2346" s="105"/>
      <c r="Q2346" s="105"/>
      <c r="R2346" s="105"/>
      <c r="S2346" s="105"/>
      <c r="T2346" s="105"/>
      <c r="U2346" s="105"/>
      <c r="V2346" s="105"/>
      <c r="W2346" s="105"/>
      <c r="X2346" s="105"/>
      <c r="Y2346" s="105"/>
      <c r="Z2346" s="105"/>
    </row>
    <row r="2347" spans="1:26" ht="15.75" customHeight="1">
      <c r="A2347" s="105"/>
      <c r="B2347" s="105"/>
      <c r="C2347" s="105"/>
      <c r="D2347" s="105"/>
      <c r="E2347" s="105"/>
      <c r="F2347" s="105"/>
      <c r="G2347" s="105"/>
      <c r="H2347" s="105"/>
      <c r="I2347" s="105"/>
      <c r="J2347" s="105"/>
      <c r="K2347" s="105"/>
      <c r="L2347" s="105"/>
      <c r="M2347" s="105"/>
      <c r="N2347" s="105"/>
      <c r="O2347" s="105"/>
      <c r="P2347" s="105"/>
      <c r="Q2347" s="105"/>
      <c r="R2347" s="105"/>
      <c r="S2347" s="105"/>
      <c r="T2347" s="105"/>
      <c r="U2347" s="105"/>
      <c r="V2347" s="105"/>
      <c r="W2347" s="105"/>
      <c r="X2347" s="105"/>
      <c r="Y2347" s="105"/>
      <c r="Z2347" s="105"/>
    </row>
    <row r="2348" spans="1:26" ht="15.75" customHeight="1">
      <c r="A2348" s="105"/>
      <c r="B2348" s="105"/>
      <c r="C2348" s="105"/>
      <c r="D2348" s="105"/>
      <c r="E2348" s="105"/>
      <c r="F2348" s="105"/>
      <c r="G2348" s="105"/>
      <c r="H2348" s="105"/>
      <c r="I2348" s="105"/>
      <c r="J2348" s="105"/>
      <c r="K2348" s="105"/>
      <c r="L2348" s="105"/>
      <c r="M2348" s="105"/>
      <c r="N2348" s="105"/>
      <c r="O2348" s="105"/>
      <c r="P2348" s="105"/>
      <c r="Q2348" s="105"/>
      <c r="R2348" s="105"/>
      <c r="S2348" s="105"/>
      <c r="T2348" s="105"/>
      <c r="U2348" s="105"/>
      <c r="V2348" s="105"/>
      <c r="W2348" s="105"/>
      <c r="X2348" s="105"/>
      <c r="Y2348" s="105"/>
      <c r="Z2348" s="105"/>
    </row>
    <row r="2349" spans="1:26" ht="15.75" customHeight="1">
      <c r="A2349" s="105"/>
      <c r="B2349" s="105"/>
      <c r="C2349" s="105"/>
      <c r="D2349" s="105"/>
      <c r="E2349" s="105"/>
      <c r="F2349" s="105"/>
      <c r="G2349" s="105"/>
      <c r="H2349" s="105"/>
      <c r="I2349" s="105"/>
      <c r="J2349" s="105"/>
      <c r="K2349" s="105"/>
      <c r="L2349" s="105"/>
      <c r="M2349" s="105"/>
      <c r="N2349" s="105"/>
      <c r="O2349" s="105"/>
      <c r="P2349" s="105"/>
      <c r="Q2349" s="105"/>
      <c r="R2349" s="105"/>
      <c r="S2349" s="105"/>
      <c r="T2349" s="105"/>
      <c r="U2349" s="105"/>
      <c r="V2349" s="105"/>
      <c r="W2349" s="105"/>
      <c r="X2349" s="105"/>
      <c r="Y2349" s="105"/>
      <c r="Z2349" s="105"/>
    </row>
    <row r="2350" spans="1:26" ht="15.75" customHeight="1">
      <c r="A2350" s="105"/>
      <c r="B2350" s="105"/>
      <c r="C2350" s="105"/>
      <c r="D2350" s="105"/>
      <c r="E2350" s="105"/>
      <c r="F2350" s="105"/>
      <c r="G2350" s="105"/>
      <c r="H2350" s="105"/>
      <c r="I2350" s="105"/>
      <c r="J2350" s="105"/>
      <c r="K2350" s="105"/>
      <c r="L2350" s="105"/>
      <c r="M2350" s="105"/>
      <c r="N2350" s="105"/>
      <c r="O2350" s="105"/>
      <c r="P2350" s="105"/>
      <c r="Q2350" s="105"/>
      <c r="R2350" s="105"/>
      <c r="S2350" s="105"/>
      <c r="T2350" s="105"/>
      <c r="U2350" s="105"/>
      <c r="V2350" s="105"/>
      <c r="W2350" s="105"/>
      <c r="X2350" s="105"/>
      <c r="Y2350" s="105"/>
      <c r="Z2350" s="105"/>
    </row>
    <row r="2351" spans="1:26" ht="15.75" customHeight="1">
      <c r="A2351" s="105"/>
      <c r="B2351" s="105"/>
      <c r="C2351" s="105"/>
      <c r="D2351" s="105"/>
      <c r="E2351" s="105"/>
      <c r="F2351" s="105"/>
      <c r="G2351" s="105"/>
      <c r="H2351" s="105"/>
      <c r="I2351" s="105"/>
      <c r="J2351" s="105"/>
      <c r="K2351" s="105"/>
      <c r="L2351" s="105"/>
      <c r="M2351" s="105"/>
      <c r="N2351" s="105"/>
      <c r="O2351" s="105"/>
      <c r="P2351" s="105"/>
      <c r="Q2351" s="105"/>
      <c r="R2351" s="105"/>
      <c r="S2351" s="105"/>
      <c r="T2351" s="105"/>
      <c r="U2351" s="105"/>
      <c r="V2351" s="105"/>
      <c r="W2351" s="105"/>
      <c r="X2351" s="105"/>
      <c r="Y2351" s="105"/>
      <c r="Z2351" s="105"/>
    </row>
    <row r="2352" spans="1:26" ht="15.75" customHeight="1">
      <c r="A2352" s="105"/>
      <c r="B2352" s="105"/>
      <c r="C2352" s="105"/>
      <c r="D2352" s="105"/>
      <c r="E2352" s="105"/>
      <c r="F2352" s="105"/>
      <c r="G2352" s="105"/>
      <c r="H2352" s="105"/>
      <c r="I2352" s="105"/>
      <c r="J2352" s="105"/>
      <c r="K2352" s="105"/>
      <c r="L2352" s="105"/>
      <c r="M2352" s="105"/>
      <c r="N2352" s="105"/>
      <c r="O2352" s="105"/>
      <c r="P2352" s="105"/>
      <c r="Q2352" s="105"/>
      <c r="R2352" s="105"/>
      <c r="S2352" s="105"/>
      <c r="T2352" s="105"/>
      <c r="U2352" s="105"/>
      <c r="V2352" s="105"/>
      <c r="W2352" s="105"/>
      <c r="X2352" s="105"/>
      <c r="Y2352" s="105"/>
      <c r="Z2352" s="105"/>
    </row>
    <row r="2353" spans="1:26" ht="15.75" customHeight="1">
      <c r="A2353" s="105"/>
      <c r="B2353" s="105"/>
      <c r="C2353" s="105"/>
      <c r="D2353" s="105"/>
      <c r="E2353" s="105"/>
      <c r="F2353" s="105"/>
      <c r="G2353" s="105"/>
      <c r="H2353" s="105"/>
      <c r="I2353" s="105"/>
      <c r="J2353" s="105"/>
      <c r="K2353" s="105"/>
      <c r="L2353" s="105"/>
      <c r="M2353" s="105"/>
      <c r="N2353" s="105"/>
      <c r="O2353" s="105"/>
      <c r="P2353" s="105"/>
      <c r="Q2353" s="105"/>
      <c r="R2353" s="105"/>
      <c r="S2353" s="105"/>
      <c r="T2353" s="105"/>
      <c r="U2353" s="105"/>
      <c r="V2353" s="105"/>
      <c r="W2353" s="105"/>
      <c r="X2353" s="105"/>
      <c r="Y2353" s="105"/>
      <c r="Z2353" s="105"/>
    </row>
    <row r="2354" spans="1:26" ht="15.75" customHeight="1">
      <c r="A2354" s="105"/>
      <c r="B2354" s="105"/>
      <c r="C2354" s="105"/>
      <c r="D2354" s="105"/>
      <c r="E2354" s="105"/>
      <c r="F2354" s="105"/>
      <c r="G2354" s="105"/>
      <c r="H2354" s="105"/>
      <c r="I2354" s="105"/>
      <c r="J2354" s="105"/>
      <c r="K2354" s="105"/>
      <c r="L2354" s="105"/>
      <c r="M2354" s="105"/>
      <c r="N2354" s="105"/>
      <c r="O2354" s="105"/>
      <c r="P2354" s="105"/>
      <c r="Q2354" s="105"/>
      <c r="R2354" s="105"/>
      <c r="S2354" s="105"/>
      <c r="T2354" s="105"/>
      <c r="U2354" s="105"/>
      <c r="V2354" s="105"/>
      <c r="W2354" s="105"/>
      <c r="X2354" s="105"/>
      <c r="Y2354" s="105"/>
      <c r="Z2354" s="105"/>
    </row>
    <row r="2355" spans="1:26" ht="15.75" customHeight="1">
      <c r="A2355" s="105"/>
      <c r="B2355" s="105"/>
      <c r="C2355" s="105"/>
      <c r="D2355" s="105"/>
      <c r="E2355" s="105"/>
      <c r="F2355" s="105"/>
      <c r="G2355" s="105"/>
      <c r="H2355" s="105"/>
      <c r="I2355" s="105"/>
      <c r="J2355" s="105"/>
      <c r="K2355" s="105"/>
      <c r="L2355" s="105"/>
      <c r="M2355" s="105"/>
      <c r="N2355" s="105"/>
      <c r="O2355" s="105"/>
      <c r="P2355" s="105"/>
      <c r="Q2355" s="105"/>
      <c r="R2355" s="105"/>
      <c r="S2355" s="105"/>
      <c r="T2355" s="105"/>
      <c r="U2355" s="105"/>
      <c r="V2355" s="105"/>
      <c r="W2355" s="105"/>
      <c r="X2355" s="105"/>
      <c r="Y2355" s="105"/>
      <c r="Z2355" s="105"/>
    </row>
    <row r="2356" spans="1:26" ht="15.75" customHeight="1">
      <c r="A2356" s="105"/>
      <c r="B2356" s="105"/>
      <c r="C2356" s="105"/>
      <c r="D2356" s="105"/>
      <c r="E2356" s="105"/>
      <c r="F2356" s="105"/>
      <c r="G2356" s="105"/>
      <c r="H2356" s="105"/>
      <c r="I2356" s="105"/>
      <c r="J2356" s="105"/>
      <c r="K2356" s="105"/>
      <c r="L2356" s="105"/>
      <c r="M2356" s="105"/>
      <c r="N2356" s="105"/>
      <c r="O2356" s="105"/>
      <c r="P2356" s="105"/>
      <c r="Q2356" s="105"/>
      <c r="R2356" s="105"/>
      <c r="S2356" s="105"/>
      <c r="T2356" s="105"/>
      <c r="U2356" s="105"/>
      <c r="V2356" s="105"/>
      <c r="W2356" s="105"/>
      <c r="X2356" s="105"/>
      <c r="Y2356" s="105"/>
      <c r="Z2356" s="105"/>
    </row>
    <row r="2357" spans="1:26" ht="15.75" customHeight="1">
      <c r="A2357" s="105"/>
      <c r="B2357" s="105"/>
      <c r="C2357" s="105"/>
      <c r="D2357" s="105"/>
      <c r="E2357" s="105"/>
      <c r="F2357" s="105"/>
      <c r="G2357" s="105"/>
      <c r="H2357" s="105"/>
      <c r="I2357" s="105"/>
      <c r="J2357" s="105"/>
      <c r="K2357" s="105"/>
      <c r="L2357" s="105"/>
      <c r="M2357" s="105"/>
      <c r="N2357" s="105"/>
      <c r="O2357" s="105"/>
      <c r="P2357" s="105"/>
      <c r="Q2357" s="105"/>
      <c r="R2357" s="105"/>
      <c r="S2357" s="105"/>
      <c r="T2357" s="105"/>
      <c r="U2357" s="105"/>
      <c r="V2357" s="105"/>
      <c r="W2357" s="105"/>
      <c r="X2357" s="105"/>
      <c r="Y2357" s="105"/>
      <c r="Z2357" s="105"/>
    </row>
    <row r="2358" spans="1:26" ht="15.75" customHeight="1">
      <c r="A2358" s="105"/>
      <c r="B2358" s="105"/>
      <c r="C2358" s="105"/>
      <c r="D2358" s="105"/>
      <c r="E2358" s="105"/>
      <c r="F2358" s="105"/>
      <c r="G2358" s="105"/>
      <c r="H2358" s="105"/>
      <c r="I2358" s="105"/>
      <c r="J2358" s="105"/>
      <c r="K2358" s="105"/>
      <c r="L2358" s="105"/>
      <c r="M2358" s="105"/>
      <c r="N2358" s="105"/>
      <c r="O2358" s="105"/>
      <c r="P2358" s="105"/>
      <c r="Q2358" s="105"/>
      <c r="R2358" s="105"/>
      <c r="S2358" s="105"/>
      <c r="T2358" s="105"/>
      <c r="U2358" s="105"/>
      <c r="V2358" s="105"/>
      <c r="W2358" s="105"/>
      <c r="X2358" s="105"/>
      <c r="Y2358" s="105"/>
      <c r="Z2358" s="105"/>
    </row>
    <row r="2359" spans="1:26" ht="15.75" customHeight="1">
      <c r="A2359" s="105"/>
      <c r="B2359" s="105"/>
      <c r="C2359" s="105"/>
      <c r="D2359" s="105"/>
      <c r="E2359" s="105"/>
      <c r="F2359" s="105"/>
      <c r="G2359" s="105"/>
      <c r="H2359" s="105"/>
      <c r="I2359" s="105"/>
      <c r="J2359" s="105"/>
      <c r="K2359" s="105"/>
      <c r="L2359" s="105"/>
      <c r="M2359" s="105"/>
      <c r="N2359" s="105"/>
      <c r="O2359" s="105"/>
      <c r="P2359" s="105"/>
      <c r="Q2359" s="105"/>
      <c r="R2359" s="105"/>
      <c r="S2359" s="105"/>
      <c r="T2359" s="105"/>
      <c r="U2359" s="105"/>
      <c r="V2359" s="105"/>
      <c r="W2359" s="105"/>
      <c r="X2359" s="105"/>
      <c r="Y2359" s="105"/>
      <c r="Z2359" s="105"/>
    </row>
    <row r="2360" spans="1:26" ht="15.75" customHeight="1">
      <c r="A2360" s="105"/>
      <c r="B2360" s="105"/>
      <c r="C2360" s="105"/>
      <c r="D2360" s="105"/>
      <c r="E2360" s="105"/>
      <c r="F2360" s="105"/>
      <c r="G2360" s="105"/>
      <c r="H2360" s="105"/>
      <c r="I2360" s="105"/>
      <c r="J2360" s="105"/>
      <c r="K2360" s="105"/>
      <c r="L2360" s="105"/>
      <c r="M2360" s="105"/>
      <c r="N2360" s="105"/>
      <c r="O2360" s="105"/>
      <c r="P2360" s="105"/>
      <c r="Q2360" s="105"/>
      <c r="R2360" s="105"/>
      <c r="S2360" s="105"/>
      <c r="T2360" s="105"/>
      <c r="U2360" s="105"/>
      <c r="V2360" s="105"/>
      <c r="W2360" s="105"/>
      <c r="X2360" s="105"/>
      <c r="Y2360" s="105"/>
      <c r="Z2360" s="105"/>
    </row>
    <row r="2361" spans="1:26" ht="15.75" customHeight="1">
      <c r="A2361" s="105"/>
      <c r="B2361" s="105"/>
      <c r="C2361" s="105"/>
      <c r="D2361" s="105"/>
      <c r="E2361" s="105"/>
      <c r="F2361" s="105"/>
      <c r="G2361" s="105"/>
      <c r="H2361" s="105"/>
      <c r="I2361" s="105"/>
      <c r="J2361" s="105"/>
      <c r="K2361" s="105"/>
      <c r="L2361" s="105"/>
      <c r="M2361" s="105"/>
      <c r="N2361" s="105"/>
      <c r="O2361" s="105"/>
      <c r="P2361" s="105"/>
      <c r="Q2361" s="105"/>
      <c r="R2361" s="105"/>
      <c r="S2361" s="105"/>
      <c r="T2361" s="105"/>
      <c r="U2361" s="105"/>
      <c r="V2361" s="105"/>
      <c r="W2361" s="105"/>
      <c r="X2361" s="105"/>
      <c r="Y2361" s="105"/>
      <c r="Z2361" s="105"/>
    </row>
    <row r="2362" spans="1:26" ht="15.75" customHeight="1">
      <c r="A2362" s="105"/>
      <c r="B2362" s="105"/>
      <c r="C2362" s="105"/>
      <c r="D2362" s="105"/>
      <c r="E2362" s="105"/>
      <c r="F2362" s="105"/>
      <c r="G2362" s="105"/>
      <c r="H2362" s="105"/>
      <c r="I2362" s="105"/>
      <c r="J2362" s="105"/>
      <c r="K2362" s="105"/>
      <c r="L2362" s="105"/>
      <c r="M2362" s="105"/>
      <c r="N2362" s="105"/>
      <c r="O2362" s="105"/>
      <c r="P2362" s="105"/>
      <c r="Q2362" s="105"/>
      <c r="R2362" s="105"/>
      <c r="S2362" s="105"/>
      <c r="T2362" s="105"/>
      <c r="U2362" s="105"/>
      <c r="V2362" s="105"/>
      <c r="W2362" s="105"/>
      <c r="X2362" s="105"/>
      <c r="Y2362" s="105"/>
      <c r="Z2362" s="105"/>
    </row>
    <row r="2363" spans="1:26" ht="15.75" customHeight="1">
      <c r="A2363" s="105"/>
      <c r="B2363" s="105"/>
      <c r="C2363" s="105"/>
      <c r="D2363" s="105"/>
      <c r="E2363" s="105"/>
      <c r="F2363" s="105"/>
      <c r="G2363" s="105"/>
      <c r="H2363" s="105"/>
      <c r="I2363" s="105"/>
      <c r="J2363" s="105"/>
      <c r="K2363" s="105"/>
      <c r="L2363" s="105"/>
      <c r="M2363" s="105"/>
      <c r="N2363" s="105"/>
      <c r="O2363" s="105"/>
      <c r="P2363" s="105"/>
      <c r="Q2363" s="105"/>
      <c r="R2363" s="105"/>
      <c r="S2363" s="105"/>
      <c r="T2363" s="105"/>
      <c r="U2363" s="105"/>
      <c r="V2363" s="105"/>
      <c r="W2363" s="105"/>
      <c r="X2363" s="105"/>
      <c r="Y2363" s="105"/>
      <c r="Z2363" s="105"/>
    </row>
    <row r="2364" spans="1:26" ht="15.75" customHeight="1">
      <c r="A2364" s="105"/>
      <c r="B2364" s="105"/>
      <c r="C2364" s="105"/>
      <c r="D2364" s="105"/>
      <c r="E2364" s="105"/>
      <c r="F2364" s="105"/>
      <c r="G2364" s="105"/>
      <c r="H2364" s="105"/>
      <c r="I2364" s="105"/>
      <c r="J2364" s="105"/>
      <c r="K2364" s="105"/>
      <c r="L2364" s="105"/>
      <c r="M2364" s="105"/>
      <c r="N2364" s="105"/>
      <c r="O2364" s="105"/>
      <c r="P2364" s="105"/>
      <c r="Q2364" s="105"/>
      <c r="R2364" s="105"/>
      <c r="S2364" s="105"/>
      <c r="T2364" s="105"/>
      <c r="U2364" s="105"/>
      <c r="V2364" s="105"/>
      <c r="W2364" s="105"/>
      <c r="X2364" s="105"/>
      <c r="Y2364" s="105"/>
      <c r="Z2364" s="105"/>
    </row>
    <row r="2365" spans="1:26" ht="15.75" customHeight="1">
      <c r="A2365" s="105"/>
      <c r="B2365" s="105"/>
      <c r="C2365" s="105"/>
      <c r="D2365" s="105"/>
      <c r="E2365" s="105"/>
      <c r="F2365" s="105"/>
      <c r="G2365" s="105"/>
      <c r="H2365" s="105"/>
      <c r="I2365" s="105"/>
      <c r="J2365" s="105"/>
      <c r="K2365" s="105"/>
      <c r="L2365" s="105"/>
      <c r="M2365" s="105"/>
      <c r="N2365" s="105"/>
      <c r="O2365" s="105"/>
      <c r="P2365" s="105"/>
      <c r="Q2365" s="105"/>
      <c r="R2365" s="105"/>
      <c r="S2365" s="105"/>
      <c r="T2365" s="105"/>
      <c r="U2365" s="105"/>
      <c r="V2365" s="105"/>
      <c r="W2365" s="105"/>
      <c r="X2365" s="105"/>
      <c r="Y2365" s="105"/>
      <c r="Z2365" s="105"/>
    </row>
    <row r="2366" spans="1:26" ht="15.75" customHeight="1">
      <c r="A2366" s="105"/>
      <c r="B2366" s="105"/>
      <c r="C2366" s="105"/>
      <c r="D2366" s="105"/>
      <c r="E2366" s="105"/>
      <c r="F2366" s="105"/>
      <c r="G2366" s="105"/>
      <c r="H2366" s="105"/>
      <c r="I2366" s="105"/>
      <c r="J2366" s="105"/>
      <c r="K2366" s="105"/>
      <c r="L2366" s="105"/>
      <c r="M2366" s="105"/>
      <c r="N2366" s="105"/>
      <c r="O2366" s="105"/>
      <c r="P2366" s="105"/>
      <c r="Q2366" s="105"/>
      <c r="R2366" s="105"/>
      <c r="S2366" s="105"/>
      <c r="T2366" s="105"/>
      <c r="U2366" s="105"/>
      <c r="V2366" s="105"/>
      <c r="W2366" s="105"/>
      <c r="X2366" s="105"/>
      <c r="Y2366" s="105"/>
      <c r="Z2366" s="105"/>
    </row>
    <row r="2367" spans="1:26" ht="15.75" customHeight="1">
      <c r="A2367" s="105"/>
      <c r="B2367" s="105"/>
      <c r="C2367" s="105"/>
      <c r="D2367" s="105"/>
      <c r="E2367" s="105"/>
      <c r="F2367" s="105"/>
      <c r="G2367" s="105"/>
      <c r="H2367" s="105"/>
      <c r="I2367" s="105"/>
      <c r="J2367" s="105"/>
      <c r="K2367" s="105"/>
      <c r="L2367" s="105"/>
      <c r="M2367" s="105"/>
      <c r="N2367" s="105"/>
      <c r="O2367" s="105"/>
      <c r="P2367" s="105"/>
      <c r="Q2367" s="105"/>
      <c r="R2367" s="105"/>
      <c r="S2367" s="105"/>
      <c r="T2367" s="105"/>
      <c r="U2367" s="105"/>
      <c r="V2367" s="105"/>
      <c r="W2367" s="105"/>
      <c r="X2367" s="105"/>
      <c r="Y2367" s="105"/>
      <c r="Z2367" s="105"/>
    </row>
    <row r="2368" spans="1:26" ht="15.75" customHeight="1">
      <c r="A2368" s="105"/>
      <c r="B2368" s="105"/>
      <c r="C2368" s="105"/>
      <c r="D2368" s="105"/>
      <c r="E2368" s="105"/>
      <c r="F2368" s="105"/>
      <c r="G2368" s="105"/>
      <c r="H2368" s="105"/>
      <c r="I2368" s="105"/>
      <c r="J2368" s="105"/>
      <c r="K2368" s="105"/>
      <c r="L2368" s="105"/>
      <c r="M2368" s="105"/>
      <c r="N2368" s="105"/>
      <c r="O2368" s="105"/>
      <c r="P2368" s="105"/>
      <c r="Q2368" s="105"/>
      <c r="R2368" s="105"/>
      <c r="S2368" s="105"/>
      <c r="T2368" s="105"/>
      <c r="U2368" s="105"/>
      <c r="V2368" s="105"/>
      <c r="W2368" s="105"/>
      <c r="X2368" s="105"/>
      <c r="Y2368" s="105"/>
      <c r="Z2368" s="105"/>
    </row>
    <row r="2369" spans="1:26" ht="15.75" customHeight="1">
      <c r="A2369" s="105"/>
      <c r="B2369" s="105"/>
      <c r="C2369" s="105"/>
      <c r="D2369" s="105"/>
      <c r="E2369" s="105"/>
      <c r="F2369" s="105"/>
      <c r="G2369" s="105"/>
      <c r="H2369" s="105"/>
      <c r="I2369" s="105"/>
      <c r="J2369" s="105"/>
      <c r="K2369" s="105"/>
      <c r="L2369" s="105"/>
      <c r="M2369" s="105"/>
      <c r="N2369" s="105"/>
      <c r="O2369" s="105"/>
      <c r="P2369" s="105"/>
      <c r="Q2369" s="105"/>
      <c r="R2369" s="105"/>
      <c r="S2369" s="105"/>
      <c r="T2369" s="105"/>
      <c r="U2369" s="105"/>
      <c r="V2369" s="105"/>
      <c r="W2369" s="105"/>
      <c r="X2369" s="105"/>
      <c r="Y2369" s="105"/>
      <c r="Z2369" s="105"/>
    </row>
    <row r="2370" spans="1:26" ht="15.75" customHeight="1">
      <c r="A2370" s="105"/>
      <c r="B2370" s="105"/>
      <c r="C2370" s="105"/>
      <c r="D2370" s="105"/>
      <c r="E2370" s="105"/>
      <c r="F2370" s="105"/>
      <c r="G2370" s="105"/>
      <c r="H2370" s="105"/>
      <c r="I2370" s="105"/>
      <c r="J2370" s="105"/>
      <c r="K2370" s="105"/>
      <c r="L2370" s="105"/>
      <c r="M2370" s="105"/>
      <c r="N2370" s="105"/>
      <c r="O2370" s="105"/>
      <c r="P2370" s="105"/>
      <c r="Q2370" s="105"/>
      <c r="R2370" s="105"/>
      <c r="S2370" s="105"/>
      <c r="T2370" s="105"/>
      <c r="U2370" s="105"/>
      <c r="V2370" s="105"/>
      <c r="W2370" s="105"/>
      <c r="X2370" s="105"/>
      <c r="Y2370" s="105"/>
      <c r="Z2370" s="105"/>
    </row>
    <row r="2371" spans="1:26" ht="15.75" customHeight="1">
      <c r="A2371" s="105"/>
      <c r="B2371" s="105"/>
      <c r="C2371" s="105"/>
      <c r="D2371" s="105"/>
      <c r="E2371" s="105"/>
      <c r="F2371" s="105"/>
      <c r="G2371" s="105"/>
      <c r="H2371" s="105"/>
      <c r="I2371" s="105"/>
      <c r="J2371" s="105"/>
      <c r="K2371" s="105"/>
      <c r="L2371" s="105"/>
      <c r="M2371" s="105"/>
      <c r="N2371" s="105"/>
      <c r="O2371" s="105"/>
      <c r="P2371" s="105"/>
      <c r="Q2371" s="105"/>
      <c r="R2371" s="105"/>
      <c r="S2371" s="105"/>
      <c r="T2371" s="105"/>
      <c r="U2371" s="105"/>
      <c r="V2371" s="105"/>
      <c r="W2371" s="105"/>
      <c r="X2371" s="105"/>
      <c r="Y2371" s="105"/>
      <c r="Z2371" s="105"/>
    </row>
    <row r="2372" spans="1:26" ht="15.75" customHeight="1">
      <c r="A2372" s="105"/>
      <c r="B2372" s="105"/>
      <c r="C2372" s="105"/>
      <c r="D2372" s="105"/>
      <c r="E2372" s="105"/>
      <c r="F2372" s="105"/>
      <c r="G2372" s="105"/>
      <c r="H2372" s="105"/>
      <c r="I2372" s="105"/>
      <c r="J2372" s="105"/>
      <c r="K2372" s="105"/>
      <c r="L2372" s="105"/>
      <c r="M2372" s="105"/>
      <c r="N2372" s="105"/>
      <c r="O2372" s="105"/>
      <c r="P2372" s="105"/>
      <c r="Q2372" s="105"/>
      <c r="R2372" s="105"/>
      <c r="S2372" s="105"/>
      <c r="T2372" s="105"/>
      <c r="U2372" s="105"/>
      <c r="V2372" s="105"/>
      <c r="W2372" s="105"/>
      <c r="X2372" s="105"/>
      <c r="Y2372" s="105"/>
      <c r="Z2372" s="105"/>
    </row>
    <row r="2373" spans="1:26" ht="15.75" customHeight="1">
      <c r="A2373" s="105"/>
      <c r="B2373" s="105"/>
      <c r="C2373" s="105"/>
      <c r="D2373" s="105"/>
      <c r="E2373" s="105"/>
      <c r="F2373" s="105"/>
      <c r="G2373" s="105"/>
      <c r="H2373" s="105"/>
      <c r="I2373" s="105"/>
      <c r="J2373" s="105"/>
      <c r="K2373" s="105"/>
      <c r="L2373" s="105"/>
      <c r="M2373" s="105"/>
      <c r="N2373" s="105"/>
      <c r="O2373" s="105"/>
      <c r="P2373" s="105"/>
      <c r="Q2373" s="105"/>
      <c r="R2373" s="105"/>
      <c r="S2373" s="105"/>
      <c r="T2373" s="105"/>
      <c r="U2373" s="105"/>
      <c r="V2373" s="105"/>
      <c r="W2373" s="105"/>
      <c r="X2373" s="105"/>
      <c r="Y2373" s="105"/>
      <c r="Z2373" s="105"/>
    </row>
    <row r="2374" spans="1:26" ht="15.75" customHeight="1">
      <c r="A2374" s="105"/>
      <c r="B2374" s="105"/>
      <c r="C2374" s="105"/>
      <c r="D2374" s="105"/>
      <c r="E2374" s="105"/>
      <c r="F2374" s="105"/>
      <c r="G2374" s="105"/>
      <c r="H2374" s="105"/>
      <c r="I2374" s="105"/>
      <c r="J2374" s="105"/>
      <c r="K2374" s="105"/>
      <c r="L2374" s="105"/>
      <c r="M2374" s="105"/>
      <c r="N2374" s="105"/>
      <c r="O2374" s="105"/>
      <c r="P2374" s="105"/>
      <c r="Q2374" s="105"/>
      <c r="R2374" s="105"/>
      <c r="S2374" s="105"/>
      <c r="T2374" s="105"/>
      <c r="U2374" s="105"/>
      <c r="V2374" s="105"/>
      <c r="W2374" s="105"/>
      <c r="X2374" s="105"/>
      <c r="Y2374" s="105"/>
      <c r="Z2374" s="105"/>
    </row>
    <row r="2375" spans="1:26" ht="15.75" customHeight="1">
      <c r="A2375" s="105"/>
      <c r="B2375" s="105"/>
      <c r="C2375" s="105"/>
      <c r="D2375" s="105"/>
      <c r="E2375" s="105"/>
      <c r="F2375" s="105"/>
      <c r="G2375" s="105"/>
      <c r="H2375" s="105"/>
      <c r="I2375" s="105"/>
      <c r="J2375" s="105"/>
      <c r="K2375" s="105"/>
      <c r="L2375" s="105"/>
      <c r="M2375" s="105"/>
      <c r="N2375" s="105"/>
      <c r="O2375" s="105"/>
      <c r="P2375" s="105"/>
      <c r="Q2375" s="105"/>
      <c r="R2375" s="105"/>
      <c r="S2375" s="105"/>
      <c r="T2375" s="105"/>
      <c r="U2375" s="105"/>
      <c r="V2375" s="105"/>
      <c r="W2375" s="105"/>
      <c r="X2375" s="105"/>
      <c r="Y2375" s="105"/>
      <c r="Z2375" s="105"/>
    </row>
    <row r="2376" spans="1:26" ht="15.75" customHeight="1">
      <c r="A2376" s="105"/>
      <c r="B2376" s="105"/>
      <c r="C2376" s="105"/>
      <c r="D2376" s="105"/>
      <c r="E2376" s="105"/>
      <c r="F2376" s="105"/>
      <c r="G2376" s="105"/>
      <c r="H2376" s="105"/>
      <c r="I2376" s="105"/>
      <c r="J2376" s="105"/>
      <c r="K2376" s="105"/>
      <c r="L2376" s="105"/>
      <c r="M2376" s="105"/>
      <c r="N2376" s="105"/>
      <c r="O2376" s="105"/>
      <c r="P2376" s="105"/>
      <c r="Q2376" s="105"/>
      <c r="R2376" s="105"/>
      <c r="S2376" s="105"/>
      <c r="T2376" s="105"/>
      <c r="U2376" s="105"/>
      <c r="V2376" s="105"/>
      <c r="W2376" s="105"/>
      <c r="X2376" s="105"/>
      <c r="Y2376" s="105"/>
      <c r="Z2376" s="105"/>
    </row>
    <row r="2377" spans="1:26" ht="15.75" customHeight="1">
      <c r="A2377" s="105"/>
      <c r="B2377" s="105"/>
      <c r="C2377" s="105"/>
      <c r="D2377" s="105"/>
      <c r="E2377" s="105"/>
      <c r="F2377" s="105"/>
      <c r="G2377" s="105"/>
      <c r="H2377" s="105"/>
      <c r="I2377" s="105"/>
      <c r="J2377" s="105"/>
      <c r="K2377" s="105"/>
      <c r="L2377" s="105"/>
      <c r="M2377" s="105"/>
      <c r="N2377" s="105"/>
      <c r="O2377" s="105"/>
      <c r="P2377" s="105"/>
      <c r="Q2377" s="105"/>
      <c r="R2377" s="105"/>
      <c r="S2377" s="105"/>
      <c r="T2377" s="105"/>
      <c r="U2377" s="105"/>
      <c r="V2377" s="105"/>
      <c r="W2377" s="105"/>
      <c r="X2377" s="105"/>
      <c r="Y2377" s="105"/>
      <c r="Z2377" s="105"/>
    </row>
    <row r="2378" spans="1:26" ht="15.75" customHeight="1">
      <c r="A2378" s="105"/>
      <c r="B2378" s="105"/>
      <c r="C2378" s="105"/>
      <c r="D2378" s="105"/>
      <c r="E2378" s="105"/>
      <c r="F2378" s="105"/>
      <c r="G2378" s="105"/>
      <c r="H2378" s="105"/>
      <c r="I2378" s="105"/>
      <c r="J2378" s="105"/>
      <c r="K2378" s="105"/>
      <c r="L2378" s="105"/>
      <c r="M2378" s="105"/>
      <c r="N2378" s="105"/>
      <c r="O2378" s="105"/>
      <c r="P2378" s="105"/>
      <c r="Q2378" s="105"/>
      <c r="R2378" s="105"/>
      <c r="S2378" s="105"/>
      <c r="T2378" s="105"/>
      <c r="U2378" s="105"/>
      <c r="V2378" s="105"/>
      <c r="W2378" s="105"/>
      <c r="X2378" s="105"/>
      <c r="Y2378" s="105"/>
      <c r="Z2378" s="105"/>
    </row>
    <row r="2379" spans="1:26" ht="15.75" customHeight="1">
      <c r="A2379" s="105"/>
      <c r="B2379" s="105"/>
      <c r="C2379" s="105"/>
      <c r="D2379" s="105"/>
      <c r="E2379" s="105"/>
      <c r="F2379" s="105"/>
      <c r="G2379" s="105"/>
      <c r="H2379" s="105"/>
      <c r="I2379" s="105"/>
      <c r="J2379" s="105"/>
      <c r="K2379" s="105"/>
      <c r="L2379" s="105"/>
      <c r="M2379" s="105"/>
      <c r="N2379" s="105"/>
      <c r="O2379" s="105"/>
      <c r="P2379" s="105"/>
      <c r="Q2379" s="105"/>
      <c r="R2379" s="105"/>
      <c r="S2379" s="105"/>
      <c r="T2379" s="105"/>
      <c r="U2379" s="105"/>
      <c r="V2379" s="105"/>
      <c r="W2379" s="105"/>
      <c r="X2379" s="105"/>
      <c r="Y2379" s="105"/>
      <c r="Z2379" s="105"/>
    </row>
    <row r="2380" spans="1:26" ht="15.75" customHeight="1">
      <c r="A2380" s="105"/>
      <c r="B2380" s="105"/>
      <c r="C2380" s="105"/>
      <c r="D2380" s="105"/>
      <c r="E2380" s="105"/>
      <c r="F2380" s="105"/>
      <c r="G2380" s="105"/>
      <c r="H2380" s="105"/>
      <c r="I2380" s="105"/>
      <c r="J2380" s="105"/>
      <c r="K2380" s="105"/>
      <c r="L2380" s="105"/>
      <c r="M2380" s="105"/>
      <c r="N2380" s="105"/>
      <c r="O2380" s="105"/>
      <c r="P2380" s="105"/>
      <c r="Q2380" s="105"/>
      <c r="R2380" s="105"/>
      <c r="S2380" s="105"/>
      <c r="T2380" s="105"/>
      <c r="U2380" s="105"/>
      <c r="V2380" s="105"/>
      <c r="W2380" s="105"/>
      <c r="X2380" s="105"/>
      <c r="Y2380" s="105"/>
      <c r="Z2380" s="105"/>
    </row>
    <row r="2381" spans="1:26" ht="15.75" customHeight="1">
      <c r="A2381" s="105"/>
      <c r="B2381" s="105"/>
      <c r="C2381" s="105"/>
      <c r="D2381" s="105"/>
      <c r="E2381" s="105"/>
      <c r="F2381" s="105"/>
      <c r="G2381" s="105"/>
      <c r="H2381" s="105"/>
      <c r="I2381" s="105"/>
      <c r="J2381" s="105"/>
      <c r="K2381" s="105"/>
      <c r="L2381" s="105"/>
      <c r="M2381" s="105"/>
      <c r="N2381" s="105"/>
      <c r="O2381" s="105"/>
      <c r="P2381" s="105"/>
      <c r="Q2381" s="105"/>
      <c r="R2381" s="105"/>
      <c r="S2381" s="105"/>
      <c r="T2381" s="105"/>
      <c r="U2381" s="105"/>
      <c r="V2381" s="105"/>
      <c r="W2381" s="105"/>
      <c r="X2381" s="105"/>
      <c r="Y2381" s="105"/>
      <c r="Z2381" s="105"/>
    </row>
    <row r="2382" spans="1:26" ht="15.75" customHeight="1">
      <c r="A2382" s="105"/>
      <c r="B2382" s="105"/>
      <c r="C2382" s="105"/>
      <c r="D2382" s="105"/>
      <c r="E2382" s="105"/>
      <c r="F2382" s="105"/>
      <c r="G2382" s="105"/>
      <c r="H2382" s="105"/>
      <c r="I2382" s="105"/>
      <c r="J2382" s="105"/>
      <c r="K2382" s="105"/>
      <c r="L2382" s="105"/>
      <c r="M2382" s="105"/>
      <c r="N2382" s="105"/>
      <c r="O2382" s="105"/>
      <c r="P2382" s="105"/>
      <c r="Q2382" s="105"/>
      <c r="R2382" s="105"/>
      <c r="S2382" s="105"/>
      <c r="T2382" s="105"/>
      <c r="U2382" s="105"/>
      <c r="V2382" s="105"/>
      <c r="W2382" s="105"/>
      <c r="X2382" s="105"/>
      <c r="Y2382" s="105"/>
      <c r="Z2382" s="105"/>
    </row>
    <row r="2383" spans="1:26" ht="15.75" customHeight="1">
      <c r="A2383" s="105"/>
      <c r="B2383" s="105"/>
      <c r="C2383" s="105"/>
      <c r="D2383" s="105"/>
      <c r="E2383" s="105"/>
      <c r="F2383" s="105"/>
      <c r="G2383" s="105"/>
      <c r="H2383" s="105"/>
      <c r="I2383" s="105"/>
      <c r="J2383" s="105"/>
      <c r="K2383" s="105"/>
      <c r="L2383" s="105"/>
      <c r="M2383" s="105"/>
      <c r="N2383" s="105"/>
      <c r="O2383" s="105"/>
      <c r="P2383" s="105"/>
      <c r="Q2383" s="105"/>
      <c r="R2383" s="105"/>
      <c r="S2383" s="105"/>
      <c r="T2383" s="105"/>
      <c r="U2383" s="105"/>
      <c r="V2383" s="105"/>
      <c r="W2383" s="105"/>
      <c r="X2383" s="105"/>
      <c r="Y2383" s="105"/>
      <c r="Z2383" s="105"/>
    </row>
    <row r="2384" spans="1:26" ht="15.75" customHeight="1">
      <c r="A2384" s="105"/>
      <c r="B2384" s="105"/>
      <c r="C2384" s="105"/>
      <c r="D2384" s="105"/>
      <c r="E2384" s="105"/>
      <c r="F2384" s="105"/>
      <c r="G2384" s="105"/>
      <c r="H2384" s="105"/>
      <c r="I2384" s="105"/>
      <c r="J2384" s="105"/>
      <c r="K2384" s="105"/>
      <c r="L2384" s="105"/>
      <c r="M2384" s="105"/>
      <c r="N2384" s="105"/>
      <c r="O2384" s="105"/>
      <c r="P2384" s="105"/>
      <c r="Q2384" s="105"/>
      <c r="R2384" s="105"/>
      <c r="S2384" s="105"/>
      <c r="T2384" s="105"/>
      <c r="U2384" s="105"/>
      <c r="V2384" s="105"/>
      <c r="W2384" s="105"/>
      <c r="X2384" s="105"/>
      <c r="Y2384" s="105"/>
      <c r="Z2384" s="105"/>
    </row>
    <row r="2385" spans="1:26" ht="15.75" customHeight="1">
      <c r="A2385" s="105"/>
      <c r="B2385" s="105"/>
      <c r="C2385" s="105"/>
      <c r="D2385" s="105"/>
      <c r="E2385" s="105"/>
      <c r="F2385" s="105"/>
      <c r="G2385" s="105"/>
      <c r="H2385" s="105"/>
      <c r="I2385" s="105"/>
      <c r="J2385" s="105"/>
      <c r="K2385" s="105"/>
      <c r="L2385" s="105"/>
      <c r="M2385" s="105"/>
      <c r="N2385" s="105"/>
      <c r="O2385" s="105"/>
      <c r="P2385" s="105"/>
      <c r="Q2385" s="105"/>
      <c r="R2385" s="105"/>
      <c r="S2385" s="105"/>
      <c r="T2385" s="105"/>
      <c r="U2385" s="105"/>
      <c r="V2385" s="105"/>
      <c r="W2385" s="105"/>
      <c r="X2385" s="105"/>
      <c r="Y2385" s="105"/>
      <c r="Z2385" s="105"/>
    </row>
    <row r="2386" spans="1:26" ht="15.75" customHeight="1">
      <c r="A2386" s="105"/>
      <c r="B2386" s="105"/>
      <c r="C2386" s="105"/>
      <c r="D2386" s="105"/>
      <c r="E2386" s="105"/>
      <c r="F2386" s="105"/>
      <c r="G2386" s="105"/>
      <c r="H2386" s="105"/>
      <c r="I2386" s="105"/>
      <c r="J2386" s="105"/>
      <c r="K2386" s="105"/>
      <c r="L2386" s="105"/>
      <c r="M2386" s="105"/>
      <c r="N2386" s="105"/>
      <c r="O2386" s="105"/>
      <c r="P2386" s="105"/>
      <c r="Q2386" s="105"/>
      <c r="R2386" s="105"/>
      <c r="S2386" s="105"/>
      <c r="T2386" s="105"/>
      <c r="U2386" s="105"/>
      <c r="V2386" s="105"/>
      <c r="W2386" s="105"/>
      <c r="X2386" s="105"/>
      <c r="Y2386" s="105"/>
      <c r="Z2386" s="105"/>
    </row>
    <row r="2387" spans="1:26" ht="15.75" customHeight="1">
      <c r="A2387" s="105"/>
      <c r="B2387" s="105"/>
      <c r="C2387" s="105"/>
      <c r="D2387" s="105"/>
      <c r="E2387" s="105"/>
      <c r="F2387" s="105"/>
      <c r="G2387" s="105"/>
      <c r="H2387" s="105"/>
      <c r="I2387" s="105"/>
      <c r="J2387" s="105"/>
      <c r="K2387" s="105"/>
      <c r="L2387" s="105"/>
      <c r="M2387" s="105"/>
      <c r="N2387" s="105"/>
      <c r="O2387" s="105"/>
      <c r="P2387" s="105"/>
      <c r="Q2387" s="105"/>
      <c r="R2387" s="105"/>
      <c r="S2387" s="105"/>
      <c r="T2387" s="105"/>
      <c r="U2387" s="105"/>
      <c r="V2387" s="105"/>
      <c r="W2387" s="105"/>
      <c r="X2387" s="105"/>
      <c r="Y2387" s="105"/>
      <c r="Z2387" s="105"/>
    </row>
    <row r="2388" spans="1:26" ht="15.75" customHeight="1">
      <c r="A2388" s="105"/>
      <c r="B2388" s="105"/>
      <c r="C2388" s="105"/>
      <c r="D2388" s="105"/>
      <c r="E2388" s="105"/>
      <c r="F2388" s="105"/>
      <c r="G2388" s="105"/>
      <c r="H2388" s="105"/>
      <c r="I2388" s="105"/>
      <c r="J2388" s="105"/>
      <c r="K2388" s="105"/>
      <c r="L2388" s="105"/>
      <c r="M2388" s="105"/>
      <c r="N2388" s="105"/>
      <c r="O2388" s="105"/>
      <c r="P2388" s="105"/>
      <c r="Q2388" s="105"/>
      <c r="R2388" s="105"/>
      <c r="S2388" s="105"/>
      <c r="T2388" s="105"/>
      <c r="U2388" s="105"/>
      <c r="V2388" s="105"/>
      <c r="W2388" s="105"/>
      <c r="X2388" s="105"/>
      <c r="Y2388" s="105"/>
      <c r="Z2388" s="105"/>
    </row>
    <row r="2389" spans="1:26" ht="15.75" customHeight="1">
      <c r="A2389" s="105"/>
      <c r="B2389" s="105"/>
      <c r="C2389" s="105"/>
      <c r="D2389" s="105"/>
      <c r="E2389" s="105"/>
      <c r="F2389" s="105"/>
      <c r="G2389" s="105"/>
      <c r="H2389" s="105"/>
      <c r="I2389" s="105"/>
      <c r="J2389" s="105"/>
      <c r="K2389" s="105"/>
      <c r="L2389" s="105"/>
      <c r="M2389" s="105"/>
      <c r="N2389" s="105"/>
      <c r="O2389" s="105"/>
      <c r="P2389" s="105"/>
      <c r="Q2389" s="105"/>
      <c r="R2389" s="105"/>
      <c r="S2389" s="105"/>
      <c r="T2389" s="105"/>
      <c r="U2389" s="105"/>
      <c r="V2389" s="105"/>
      <c r="W2389" s="105"/>
      <c r="X2389" s="105"/>
      <c r="Y2389" s="105"/>
      <c r="Z2389" s="105"/>
    </row>
    <row r="2390" spans="1:26" ht="15.75" customHeight="1">
      <c r="A2390" s="105"/>
      <c r="B2390" s="105"/>
      <c r="C2390" s="105"/>
      <c r="D2390" s="105"/>
      <c r="E2390" s="105"/>
      <c r="F2390" s="105"/>
      <c r="G2390" s="105"/>
      <c r="H2390" s="105"/>
      <c r="I2390" s="105"/>
      <c r="J2390" s="105"/>
      <c r="K2390" s="105"/>
      <c r="L2390" s="105"/>
      <c r="M2390" s="105"/>
      <c r="N2390" s="105"/>
      <c r="O2390" s="105"/>
      <c r="P2390" s="105"/>
      <c r="Q2390" s="105"/>
      <c r="R2390" s="105"/>
      <c r="S2390" s="105"/>
      <c r="T2390" s="105"/>
      <c r="U2390" s="105"/>
      <c r="V2390" s="105"/>
      <c r="W2390" s="105"/>
      <c r="X2390" s="105"/>
      <c r="Y2390" s="105"/>
      <c r="Z2390" s="105"/>
    </row>
    <row r="2391" spans="1:26" ht="15.75" customHeight="1">
      <c r="A2391" s="105"/>
      <c r="B2391" s="105"/>
      <c r="C2391" s="105"/>
      <c r="D2391" s="105"/>
      <c r="E2391" s="105"/>
      <c r="F2391" s="105"/>
      <c r="G2391" s="105"/>
      <c r="H2391" s="105"/>
      <c r="I2391" s="105"/>
      <c r="J2391" s="105"/>
      <c r="K2391" s="105"/>
      <c r="L2391" s="105"/>
      <c r="M2391" s="105"/>
      <c r="N2391" s="105"/>
      <c r="O2391" s="105"/>
      <c r="P2391" s="105"/>
      <c r="Q2391" s="105"/>
      <c r="R2391" s="105"/>
      <c r="S2391" s="105"/>
      <c r="T2391" s="105"/>
      <c r="U2391" s="105"/>
      <c r="V2391" s="105"/>
      <c r="W2391" s="105"/>
      <c r="X2391" s="105"/>
      <c r="Y2391" s="105"/>
      <c r="Z2391" s="105"/>
    </row>
    <row r="2392" spans="1:26" ht="15.75" customHeight="1">
      <c r="A2392" s="105"/>
      <c r="B2392" s="105"/>
      <c r="C2392" s="105"/>
      <c r="D2392" s="105"/>
      <c r="E2392" s="105"/>
      <c r="F2392" s="105"/>
      <c r="G2392" s="105"/>
      <c r="H2392" s="105"/>
      <c r="I2392" s="105"/>
      <c r="J2392" s="105"/>
      <c r="K2392" s="105"/>
      <c r="L2392" s="105"/>
      <c r="M2392" s="105"/>
      <c r="N2392" s="105"/>
      <c r="O2392" s="105"/>
      <c r="P2392" s="105"/>
      <c r="Q2392" s="105"/>
      <c r="R2392" s="105"/>
      <c r="S2392" s="105"/>
      <c r="T2392" s="105"/>
      <c r="U2392" s="105"/>
      <c r="V2392" s="105"/>
      <c r="W2392" s="105"/>
      <c r="X2392" s="105"/>
      <c r="Y2392" s="105"/>
      <c r="Z2392" s="105"/>
    </row>
    <row r="2393" spans="1:26" ht="15.75" customHeight="1">
      <c r="A2393" s="105"/>
      <c r="B2393" s="105"/>
      <c r="C2393" s="105"/>
      <c r="D2393" s="105"/>
      <c r="E2393" s="105"/>
      <c r="F2393" s="105"/>
      <c r="G2393" s="105"/>
      <c r="H2393" s="105"/>
      <c r="I2393" s="105"/>
      <c r="J2393" s="105"/>
      <c r="K2393" s="105"/>
      <c r="L2393" s="105"/>
      <c r="M2393" s="105"/>
      <c r="N2393" s="105"/>
      <c r="O2393" s="105"/>
      <c r="P2393" s="105"/>
      <c r="Q2393" s="105"/>
      <c r="R2393" s="105"/>
      <c r="S2393" s="105"/>
      <c r="T2393" s="105"/>
      <c r="U2393" s="105"/>
      <c r="V2393" s="105"/>
      <c r="W2393" s="105"/>
      <c r="X2393" s="105"/>
      <c r="Y2393" s="105"/>
      <c r="Z2393" s="105"/>
    </row>
    <row r="2394" spans="1:26" ht="15.75" customHeight="1">
      <c r="A2394" s="105"/>
      <c r="B2394" s="105"/>
      <c r="C2394" s="105"/>
      <c r="D2394" s="105"/>
      <c r="E2394" s="105"/>
      <c r="F2394" s="105"/>
      <c r="G2394" s="105"/>
      <c r="H2394" s="105"/>
      <c r="I2394" s="105"/>
      <c r="J2394" s="105"/>
      <c r="K2394" s="105"/>
      <c r="L2394" s="105"/>
      <c r="M2394" s="105"/>
      <c r="N2394" s="105"/>
      <c r="O2394" s="105"/>
      <c r="P2394" s="105"/>
      <c r="Q2394" s="105"/>
      <c r="R2394" s="105"/>
      <c r="S2394" s="105"/>
      <c r="T2394" s="105"/>
      <c r="U2394" s="105"/>
      <c r="V2394" s="105"/>
      <c r="W2394" s="105"/>
      <c r="X2394" s="105"/>
      <c r="Y2394" s="105"/>
      <c r="Z2394" s="105"/>
    </row>
    <row r="2395" spans="1:26" ht="15.75" customHeight="1">
      <c r="A2395" s="105"/>
      <c r="B2395" s="105"/>
      <c r="C2395" s="105"/>
      <c r="D2395" s="105"/>
      <c r="E2395" s="105"/>
      <c r="F2395" s="105"/>
      <c r="G2395" s="105"/>
      <c r="H2395" s="105"/>
      <c r="I2395" s="105"/>
      <c r="J2395" s="105"/>
      <c r="K2395" s="105"/>
      <c r="L2395" s="105"/>
      <c r="M2395" s="105"/>
      <c r="N2395" s="105"/>
      <c r="O2395" s="105"/>
      <c r="P2395" s="105"/>
      <c r="Q2395" s="105"/>
      <c r="R2395" s="105"/>
      <c r="S2395" s="105"/>
      <c r="T2395" s="105"/>
      <c r="U2395" s="105"/>
      <c r="V2395" s="105"/>
      <c r="W2395" s="105"/>
      <c r="X2395" s="105"/>
      <c r="Y2395" s="105"/>
      <c r="Z2395" s="105"/>
    </row>
    <row r="2396" spans="1:26" ht="15.75" customHeight="1">
      <c r="A2396" s="105"/>
      <c r="B2396" s="105"/>
      <c r="C2396" s="105"/>
      <c r="D2396" s="105"/>
      <c r="E2396" s="105"/>
      <c r="F2396" s="105"/>
      <c r="G2396" s="105"/>
      <c r="H2396" s="105"/>
      <c r="I2396" s="105"/>
      <c r="J2396" s="105"/>
      <c r="K2396" s="105"/>
      <c r="L2396" s="105"/>
      <c r="M2396" s="105"/>
      <c r="N2396" s="105"/>
      <c r="O2396" s="105"/>
      <c r="P2396" s="105"/>
      <c r="Q2396" s="105"/>
      <c r="R2396" s="105"/>
      <c r="S2396" s="105"/>
      <c r="T2396" s="105"/>
      <c r="U2396" s="105"/>
      <c r="V2396" s="105"/>
      <c r="W2396" s="105"/>
      <c r="X2396" s="105"/>
      <c r="Y2396" s="105"/>
      <c r="Z2396" s="105"/>
    </row>
    <row r="2397" spans="1:26" ht="15.75" customHeight="1">
      <c r="A2397" s="105"/>
      <c r="B2397" s="105"/>
      <c r="C2397" s="105"/>
      <c r="D2397" s="105"/>
      <c r="E2397" s="105"/>
      <c r="F2397" s="105"/>
      <c r="G2397" s="105"/>
      <c r="H2397" s="105"/>
      <c r="I2397" s="105"/>
      <c r="J2397" s="105"/>
      <c r="K2397" s="105"/>
      <c r="L2397" s="105"/>
      <c r="M2397" s="105"/>
      <c r="N2397" s="105"/>
      <c r="O2397" s="105"/>
      <c r="P2397" s="105"/>
      <c r="Q2397" s="105"/>
      <c r="R2397" s="105"/>
      <c r="S2397" s="105"/>
      <c r="T2397" s="105"/>
      <c r="U2397" s="105"/>
      <c r="V2397" s="105"/>
      <c r="W2397" s="105"/>
      <c r="X2397" s="105"/>
      <c r="Y2397" s="105"/>
      <c r="Z2397" s="105"/>
    </row>
    <row r="2398" spans="1:26" ht="15.75" customHeight="1">
      <c r="A2398" s="105"/>
      <c r="B2398" s="105"/>
      <c r="C2398" s="105"/>
      <c r="D2398" s="105"/>
      <c r="E2398" s="105"/>
      <c r="F2398" s="105"/>
      <c r="G2398" s="105"/>
      <c r="H2398" s="105"/>
      <c r="I2398" s="105"/>
      <c r="J2398" s="105"/>
      <c r="K2398" s="105"/>
      <c r="L2398" s="105"/>
      <c r="M2398" s="105"/>
      <c r="N2398" s="105"/>
      <c r="O2398" s="105"/>
      <c r="P2398" s="105"/>
      <c r="Q2398" s="105"/>
      <c r="R2398" s="105"/>
      <c r="S2398" s="105"/>
      <c r="T2398" s="105"/>
      <c r="U2398" s="105"/>
      <c r="V2398" s="105"/>
      <c r="W2398" s="105"/>
      <c r="X2398" s="105"/>
      <c r="Y2398" s="105"/>
      <c r="Z2398" s="105"/>
    </row>
    <row r="2399" spans="1:26" ht="15.75" customHeight="1">
      <c r="A2399" s="105"/>
      <c r="B2399" s="105"/>
      <c r="C2399" s="105"/>
      <c r="D2399" s="105"/>
      <c r="E2399" s="105"/>
      <c r="F2399" s="105"/>
      <c r="G2399" s="105"/>
      <c r="H2399" s="105"/>
      <c r="I2399" s="105"/>
      <c r="J2399" s="105"/>
      <c r="K2399" s="105"/>
      <c r="L2399" s="105"/>
      <c r="M2399" s="105"/>
      <c r="N2399" s="105"/>
      <c r="O2399" s="105"/>
      <c r="P2399" s="105"/>
      <c r="Q2399" s="105"/>
      <c r="R2399" s="105"/>
      <c r="S2399" s="105"/>
      <c r="T2399" s="105"/>
      <c r="U2399" s="105"/>
      <c r="V2399" s="105"/>
      <c r="W2399" s="105"/>
      <c r="X2399" s="105"/>
      <c r="Y2399" s="105"/>
      <c r="Z2399" s="105"/>
    </row>
    <row r="2400" spans="1:26" ht="15.75" customHeight="1">
      <c r="A2400" s="105"/>
      <c r="B2400" s="105"/>
      <c r="C2400" s="105"/>
      <c r="D2400" s="105"/>
      <c r="E2400" s="105"/>
      <c r="F2400" s="105"/>
      <c r="G2400" s="105"/>
      <c r="H2400" s="105"/>
      <c r="I2400" s="105"/>
      <c r="J2400" s="105"/>
      <c r="K2400" s="105"/>
      <c r="L2400" s="105"/>
      <c r="M2400" s="105"/>
      <c r="N2400" s="105"/>
      <c r="O2400" s="105"/>
      <c r="P2400" s="105"/>
      <c r="Q2400" s="105"/>
      <c r="R2400" s="105"/>
      <c r="S2400" s="105"/>
      <c r="T2400" s="105"/>
      <c r="U2400" s="105"/>
      <c r="V2400" s="105"/>
      <c r="W2400" s="105"/>
      <c r="X2400" s="105"/>
      <c r="Y2400" s="105"/>
      <c r="Z2400" s="105"/>
    </row>
    <row r="2401" spans="1:26" ht="15.75" customHeight="1">
      <c r="A2401" s="105"/>
      <c r="B2401" s="105"/>
      <c r="C2401" s="105"/>
      <c r="D2401" s="105"/>
      <c r="E2401" s="105"/>
      <c r="F2401" s="105"/>
      <c r="G2401" s="105"/>
      <c r="H2401" s="105"/>
      <c r="I2401" s="105"/>
      <c r="J2401" s="105"/>
      <c r="K2401" s="105"/>
      <c r="L2401" s="105"/>
      <c r="M2401" s="105"/>
      <c r="N2401" s="105"/>
      <c r="O2401" s="105"/>
      <c r="P2401" s="105"/>
      <c r="Q2401" s="105"/>
      <c r="R2401" s="105"/>
      <c r="S2401" s="105"/>
      <c r="T2401" s="105"/>
      <c r="U2401" s="105"/>
      <c r="V2401" s="105"/>
      <c r="W2401" s="105"/>
      <c r="X2401" s="105"/>
      <c r="Y2401" s="105"/>
      <c r="Z2401" s="105"/>
    </row>
  </sheetData>
  <mergeCells count="1">
    <mergeCell ref="B3:D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2401"/>
  <sheetViews>
    <sheetView workbookViewId="0"/>
  </sheetViews>
  <sheetFormatPr defaultColWidth="14.44140625" defaultRowHeight="15" customHeight="1"/>
  <cols>
    <col min="1" max="1" width="8.6640625" customWidth="1"/>
    <col min="2" max="2" width="29.33203125" customWidth="1"/>
    <col min="3" max="3" width="34.33203125" customWidth="1"/>
    <col min="4" max="4" width="29.33203125" customWidth="1"/>
    <col min="5" max="6" width="8.6640625" customWidth="1"/>
    <col min="7" max="7" width="29.109375" customWidth="1"/>
    <col min="8" max="26" width="8.6640625" customWidth="1"/>
  </cols>
  <sheetData>
    <row r="1" spans="1:26" ht="20.25" customHeight="1">
      <c r="A1" s="53"/>
      <c r="B1" s="53"/>
      <c r="C1" s="53"/>
      <c r="D1" s="53"/>
      <c r="E1" s="53"/>
      <c r="F1" s="53"/>
      <c r="G1" s="79" t="s">
        <v>424</v>
      </c>
      <c r="H1" s="80">
        <v>12</v>
      </c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20.25" customHeight="1">
      <c r="A2" s="53"/>
      <c r="B2" s="53"/>
      <c r="C2" s="53"/>
      <c r="D2" s="53"/>
      <c r="E2" s="53"/>
      <c r="F2" s="53"/>
      <c r="G2" s="79" t="s">
        <v>425</v>
      </c>
      <c r="H2" s="81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27" customHeight="1">
      <c r="A3" s="53"/>
      <c r="B3" s="475" t="s">
        <v>426</v>
      </c>
      <c r="C3" s="476"/>
      <c r="D3" s="477"/>
      <c r="E3" s="53"/>
      <c r="F3" s="53"/>
      <c r="G3" s="79" t="s">
        <v>427</v>
      </c>
      <c r="H3" s="81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20.25" customHeight="1">
      <c r="A4" s="53"/>
      <c r="B4" s="82"/>
      <c r="C4" s="82"/>
      <c r="D4" s="82"/>
      <c r="E4" s="53"/>
      <c r="F4" s="53"/>
      <c r="G4" s="79" t="s">
        <v>428</v>
      </c>
      <c r="H4" s="81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24.75" customHeight="1">
      <c r="A5" s="83"/>
      <c r="B5" s="84" t="s">
        <v>429</v>
      </c>
      <c r="C5" s="85" t="e">
        <f>VLOOKUP(H1,#REF!,2,0)</f>
        <v>#REF!</v>
      </c>
      <c r="D5" s="86" t="s">
        <v>430</v>
      </c>
      <c r="E5" s="64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32.25" customHeight="1">
      <c r="A6" s="83"/>
      <c r="B6" s="87" t="s">
        <v>431</v>
      </c>
      <c r="C6" s="88" t="e">
        <f>VLOOKUP($C$5,#REF!,4,0)</f>
        <v>#REF!</v>
      </c>
      <c r="D6" s="89"/>
      <c r="E6" s="64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20.25" customHeight="1">
      <c r="A7" s="83"/>
      <c r="B7" s="87" t="s">
        <v>16</v>
      </c>
      <c r="C7" s="88">
        <v>26</v>
      </c>
      <c r="D7" s="89"/>
      <c r="E7" s="64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20.25" customHeight="1">
      <c r="A8" s="83"/>
      <c r="B8" s="87" t="s">
        <v>17</v>
      </c>
      <c r="C8" s="90" t="e">
        <f>VLOOKUP($C$5,#REF!,11,0)</f>
        <v>#REF!</v>
      </c>
      <c r="D8" s="89"/>
      <c r="E8" s="64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20.25" customHeight="1">
      <c r="A9" s="83"/>
      <c r="B9" s="87" t="s">
        <v>432</v>
      </c>
      <c r="C9" s="90" t="e">
        <f>VLOOKUP($C$5,#REF!,12,0)</f>
        <v>#REF!</v>
      </c>
      <c r="D9" s="89"/>
      <c r="E9" s="64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20.25" customHeight="1">
      <c r="A10" s="83"/>
      <c r="B10" s="87" t="s">
        <v>433</v>
      </c>
      <c r="C10" s="91" t="e">
        <f>VLOOKUP($C$5,#REF!,13,0)</f>
        <v>#REF!</v>
      </c>
      <c r="D10" s="89"/>
      <c r="E10" s="64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20.25" customHeight="1">
      <c r="A11" s="83"/>
      <c r="B11" s="87" t="s">
        <v>434</v>
      </c>
      <c r="C11" s="91" t="e">
        <f>VLOOKUP($C$5,#REF!,17,0)</f>
        <v>#REF!</v>
      </c>
      <c r="D11" s="89"/>
      <c r="E11" s="64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20.25" customHeight="1">
      <c r="A12" s="83"/>
      <c r="B12" s="87" t="s">
        <v>435</v>
      </c>
      <c r="C12" s="91" t="e">
        <f>VLOOKUP($C$5,#REF!,18,0)</f>
        <v>#REF!</v>
      </c>
      <c r="D12" s="89"/>
      <c r="E12" s="64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20.25" customHeight="1">
      <c r="A13" s="83"/>
      <c r="B13" s="87" t="s">
        <v>436</v>
      </c>
      <c r="C13" s="91" t="e">
        <f>VLOOKUP($C$5,#REF!,19,0)</f>
        <v>#REF!</v>
      </c>
      <c r="D13" s="89"/>
      <c r="E13" s="64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20.25" customHeight="1">
      <c r="A14" s="83"/>
      <c r="B14" s="87" t="s">
        <v>437</v>
      </c>
      <c r="C14" s="91" t="e">
        <f>VLOOKUP($C$5,#REF!,20,0)</f>
        <v>#REF!</v>
      </c>
      <c r="D14" s="89"/>
      <c r="E14" s="64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20.25" customHeight="1">
      <c r="A15" s="83"/>
      <c r="B15" s="87" t="s">
        <v>438</v>
      </c>
      <c r="C15" s="91" t="e">
        <f>VLOOKUP($C$5,#REF!,24,0)</f>
        <v>#REF!</v>
      </c>
      <c r="D15" s="89"/>
      <c r="E15" s="64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20.25" customHeight="1">
      <c r="A16" s="83"/>
      <c r="B16" s="92" t="s">
        <v>32</v>
      </c>
      <c r="C16" s="93" t="e">
        <f>SUM(C11:C15)</f>
        <v>#REF!</v>
      </c>
      <c r="D16" s="89"/>
      <c r="E16" s="64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0.25" customHeight="1">
      <c r="A17" s="83"/>
      <c r="B17" s="92" t="s">
        <v>35</v>
      </c>
      <c r="C17" s="94" t="e">
        <f>VLOOKUP($C$5,#REF!,31,0)</f>
        <v>#REF!</v>
      </c>
      <c r="D17" s="89"/>
      <c r="E17" s="64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20.25" customHeight="1">
      <c r="A18" s="83"/>
      <c r="B18" s="92" t="s">
        <v>439</v>
      </c>
      <c r="C18" s="93" t="e">
        <f>SUM(C19:C23)+C17</f>
        <v>#REF!</v>
      </c>
      <c r="D18" s="89"/>
      <c r="E18" s="64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20.25" customHeight="1">
      <c r="A19" s="83"/>
      <c r="B19" s="87" t="s">
        <v>440</v>
      </c>
      <c r="C19" s="91" t="e">
        <f>VLOOKUP($C$5,#REF!,34,0)</f>
        <v>#REF!</v>
      </c>
      <c r="D19" s="89"/>
      <c r="E19" s="64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20.25" customHeight="1">
      <c r="A20" s="83"/>
      <c r="B20" s="87" t="s">
        <v>441</v>
      </c>
      <c r="C20" s="91" t="e">
        <f>VLOOKUP($C$5,#REF!,35,0)</f>
        <v>#REF!</v>
      </c>
      <c r="D20" s="89"/>
      <c r="E20" s="64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30" customHeight="1">
      <c r="A21" s="83"/>
      <c r="B21" s="87" t="s">
        <v>442</v>
      </c>
      <c r="C21" s="91" t="e">
        <f>VLOOKUP(C5,#REF!,36,0)</f>
        <v>#REF!</v>
      </c>
      <c r="D21" s="89"/>
      <c r="E21" s="64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20.25" customHeight="1">
      <c r="A22" s="83"/>
      <c r="B22" s="87" t="s">
        <v>443</v>
      </c>
      <c r="C22" s="91" t="e">
        <f>VLOOKUP($C$5,#REF!,46,0)</f>
        <v>#REF!</v>
      </c>
      <c r="D22" s="89"/>
      <c r="E22" s="64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20.25" customHeight="1">
      <c r="A23" s="83"/>
      <c r="B23" s="87" t="s">
        <v>444</v>
      </c>
      <c r="C23" s="91"/>
      <c r="D23" s="89"/>
      <c r="E23" s="64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30" customHeight="1">
      <c r="A24" s="83"/>
      <c r="B24" s="92" t="s">
        <v>445</v>
      </c>
      <c r="C24" s="95" t="e">
        <f>SUM(C25:C27)</f>
        <v>#REF!</v>
      </c>
      <c r="D24" s="89"/>
      <c r="E24" s="64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20.25" customHeight="1">
      <c r="A25" s="83"/>
      <c r="B25" s="87" t="s">
        <v>446</v>
      </c>
      <c r="C25" s="91" t="e">
        <f>VLOOKUP($C$5,#REF!,72,0)</f>
        <v>#REF!</v>
      </c>
      <c r="D25" s="89"/>
      <c r="E25" s="64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20.25" customHeight="1">
      <c r="A26" s="83"/>
      <c r="B26" s="87" t="s">
        <v>84</v>
      </c>
      <c r="C26" s="91" t="e">
        <f>VLOOKUP($C$5,#REF!,75,0)</f>
        <v>#REF!</v>
      </c>
      <c r="D26" s="89"/>
      <c r="E26" s="64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20.25" customHeight="1">
      <c r="A27" s="83"/>
      <c r="B27" s="96" t="s">
        <v>447</v>
      </c>
      <c r="C27" s="97"/>
      <c r="D27" s="98"/>
      <c r="E27" s="64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20.25" customHeight="1">
      <c r="A28" s="83"/>
      <c r="B28" s="99" t="s">
        <v>448</v>
      </c>
      <c r="C28" s="100" t="e">
        <f>C18-C24</f>
        <v>#REF!</v>
      </c>
      <c r="D28" s="101"/>
      <c r="E28" s="64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20.25" customHeight="1">
      <c r="A29" s="53"/>
      <c r="B29" s="102"/>
      <c r="C29" s="102"/>
      <c r="D29" s="102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20.2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20.2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20.2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20.2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20.2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20.2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20.2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20.2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20.2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20.2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20.2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20.2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20.2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20.2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20.2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20.2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20.2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20.2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20.2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20.2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20.2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20.2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20.2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20.2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20.2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20.2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20.2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20.2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20.2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20.2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20.2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20.2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20.2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20.2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20.2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20.2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20.2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20.2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20.2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20.2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20.2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20.2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20.2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20.2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20.2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20.2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20.2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20.2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20.2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20.2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20.2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20.2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20.2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20.2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20.2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20.2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20.2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20.2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20.2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20.2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20.2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20.2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20.2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20.2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20.2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20.2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20.2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20.2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20.2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20.2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20.2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20.2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20.2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20.2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20.2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20.2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20.2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20.2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20.2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20.2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20.2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20.2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20.2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20.2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20.2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20.2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20.2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20.2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20.2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20.2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20.2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20.2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20.2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20.2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20.2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20.2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20.2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20.2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20.2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20.2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103"/>
      <c r="B151" s="103"/>
      <c r="C151" s="104" t="e">
        <v>#REF!</v>
      </c>
      <c r="D151" s="10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103"/>
      <c r="B152" s="103"/>
      <c r="C152" s="104" t="e">
        <v>#REF!</v>
      </c>
      <c r="D152" s="10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103"/>
      <c r="B153" s="103"/>
      <c r="C153" s="104" t="e">
        <v>#REF!</v>
      </c>
      <c r="D153" s="10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103"/>
      <c r="B154" s="103"/>
      <c r="C154" s="104" t="e">
        <v>#REF!</v>
      </c>
      <c r="D154" s="10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103"/>
      <c r="B155" s="103"/>
      <c r="C155" s="104" t="e">
        <v>#REF!</v>
      </c>
      <c r="D155" s="10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103"/>
      <c r="B156" s="103"/>
      <c r="C156" s="104" t="e">
        <v>#REF!</v>
      </c>
      <c r="D156" s="10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103"/>
      <c r="B157" s="103"/>
      <c r="C157" s="104" t="e">
        <v>#REF!</v>
      </c>
      <c r="D157" s="10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103"/>
      <c r="B158" s="103"/>
      <c r="C158" s="104" t="e">
        <v>#REF!</v>
      </c>
      <c r="D158" s="10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103"/>
      <c r="B159" s="103"/>
      <c r="C159" s="104" t="e">
        <v>#REF!</v>
      </c>
      <c r="D159" s="10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103"/>
      <c r="B160" s="103"/>
      <c r="C160" s="104" t="e">
        <v>#REF!</v>
      </c>
      <c r="D160" s="10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103"/>
      <c r="B161" s="103"/>
      <c r="C161" s="104" t="e">
        <v>#REF!</v>
      </c>
      <c r="D161" s="10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103"/>
      <c r="B162" s="103"/>
      <c r="C162" s="104" t="e">
        <v>#REF!</v>
      </c>
      <c r="D162" s="10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103"/>
      <c r="B163" s="103"/>
      <c r="C163" s="104" t="e">
        <v>#REF!</v>
      </c>
      <c r="D163" s="10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103"/>
      <c r="B164" s="103"/>
      <c r="C164" s="104" t="e">
        <v>#REF!</v>
      </c>
      <c r="D164" s="10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103"/>
      <c r="B165" s="103"/>
      <c r="C165" s="104" t="e">
        <v>#REF!</v>
      </c>
      <c r="D165" s="10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103"/>
      <c r="B166" s="103"/>
      <c r="C166" s="104" t="e">
        <v>#REF!</v>
      </c>
      <c r="D166" s="10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103"/>
      <c r="B167" s="103"/>
      <c r="C167" s="104" t="e">
        <v>#REF!</v>
      </c>
      <c r="D167" s="10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103"/>
      <c r="B168" s="103"/>
      <c r="C168" s="104" t="e">
        <v>#REF!</v>
      </c>
      <c r="D168" s="10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103"/>
      <c r="B169" s="103"/>
      <c r="C169" s="104" t="e">
        <v>#REF!</v>
      </c>
      <c r="D169" s="10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103"/>
      <c r="B170" s="103"/>
      <c r="C170" s="104" t="e">
        <v>#REF!</v>
      </c>
      <c r="D170" s="10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103"/>
      <c r="B171" s="103"/>
      <c r="C171" s="104" t="e">
        <v>#REF!</v>
      </c>
      <c r="D171" s="10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103"/>
      <c r="B172" s="103"/>
      <c r="C172" s="104" t="e">
        <v>#REF!</v>
      </c>
      <c r="D172" s="10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103"/>
      <c r="B173" s="103"/>
      <c r="C173" s="104" t="e">
        <v>#REF!</v>
      </c>
      <c r="D173" s="10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103"/>
      <c r="B174" s="103"/>
      <c r="C174" s="104" t="e">
        <v>#REF!</v>
      </c>
      <c r="D174" s="10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103"/>
      <c r="B175" s="103"/>
      <c r="C175" s="104" t="e">
        <v>#REF!</v>
      </c>
      <c r="D175" s="10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103"/>
      <c r="B176" s="103"/>
      <c r="C176" s="104" t="e">
        <v>#REF!</v>
      </c>
      <c r="D176" s="10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103"/>
      <c r="B177" s="103"/>
      <c r="C177" s="104" t="e">
        <v>#REF!</v>
      </c>
      <c r="D177" s="10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103"/>
      <c r="B178" s="103"/>
      <c r="C178" s="104" t="e">
        <v>#REF!</v>
      </c>
      <c r="D178" s="10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103"/>
      <c r="B179" s="103"/>
      <c r="C179" s="104" t="e">
        <v>#REF!</v>
      </c>
      <c r="D179" s="10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103"/>
      <c r="B180" s="103"/>
      <c r="C180" s="104" t="e">
        <v>#REF!</v>
      </c>
      <c r="D180" s="10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103"/>
      <c r="B181" s="103"/>
      <c r="C181" s="104" t="e">
        <v>#REF!</v>
      </c>
      <c r="D181" s="10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103"/>
      <c r="B182" s="103"/>
      <c r="C182" s="104" t="e">
        <v>#REF!</v>
      </c>
      <c r="D182" s="10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103"/>
      <c r="B183" s="103"/>
      <c r="C183" s="104" t="e">
        <v>#REF!</v>
      </c>
      <c r="D183" s="10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103"/>
      <c r="B184" s="103"/>
      <c r="C184" s="104" t="e">
        <v>#REF!</v>
      </c>
      <c r="D184" s="10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103"/>
      <c r="B185" s="103"/>
      <c r="C185" s="104" t="e">
        <v>#REF!</v>
      </c>
      <c r="D185" s="10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103"/>
      <c r="B186" s="103"/>
      <c r="C186" s="104" t="e">
        <v>#REF!</v>
      </c>
      <c r="D186" s="10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103"/>
      <c r="B187" s="103"/>
      <c r="C187" s="104" t="e">
        <v>#REF!</v>
      </c>
      <c r="D187" s="10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103"/>
      <c r="B188" s="103"/>
      <c r="C188" s="104" t="e">
        <v>#REF!</v>
      </c>
      <c r="D188" s="10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103"/>
      <c r="B189" s="103"/>
      <c r="C189" s="104" t="e">
        <v>#REF!</v>
      </c>
      <c r="D189" s="10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103"/>
      <c r="B190" s="103"/>
      <c r="C190" s="104" t="e">
        <v>#REF!</v>
      </c>
      <c r="D190" s="10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103"/>
      <c r="B191" s="103"/>
      <c r="C191" s="104" t="e">
        <v>#REF!</v>
      </c>
      <c r="D191" s="10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103"/>
      <c r="B192" s="103"/>
      <c r="C192" s="104" t="e">
        <v>#REF!</v>
      </c>
      <c r="D192" s="10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103"/>
      <c r="B193" s="103"/>
      <c r="C193" s="104" t="e">
        <v>#REF!</v>
      </c>
      <c r="D193" s="10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103"/>
      <c r="B194" s="103"/>
      <c r="C194" s="104" t="e">
        <v>#REF!</v>
      </c>
      <c r="D194" s="10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103"/>
      <c r="B195" s="103"/>
      <c r="C195" s="104" t="e">
        <v>#REF!</v>
      </c>
      <c r="D195" s="10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103"/>
      <c r="B196" s="103"/>
      <c r="C196" s="104" t="e">
        <v>#REF!</v>
      </c>
      <c r="D196" s="10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103"/>
      <c r="B197" s="103"/>
      <c r="C197" s="104" t="e">
        <v>#REF!</v>
      </c>
      <c r="D197" s="10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103"/>
      <c r="B198" s="103"/>
      <c r="C198" s="104" t="e">
        <v>#REF!</v>
      </c>
      <c r="D198" s="10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103"/>
      <c r="B199" s="103"/>
      <c r="C199" s="104" t="e">
        <v>#REF!</v>
      </c>
      <c r="D199" s="10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103"/>
      <c r="B200" s="103"/>
      <c r="C200" s="104" t="e">
        <v>#REF!</v>
      </c>
      <c r="D200" s="10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103"/>
      <c r="B201" s="103"/>
      <c r="C201" s="104" t="e">
        <v>#REF!</v>
      </c>
      <c r="D201" s="10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103"/>
      <c r="B202" s="103"/>
      <c r="C202" s="104" t="e">
        <v>#REF!</v>
      </c>
      <c r="D202" s="10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103"/>
      <c r="B203" s="103"/>
      <c r="C203" s="104" t="e">
        <v>#REF!</v>
      </c>
      <c r="D203" s="10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103"/>
      <c r="B204" s="103"/>
      <c r="C204" s="104" t="e">
        <v>#REF!</v>
      </c>
      <c r="D204" s="10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103"/>
      <c r="B205" s="103"/>
      <c r="C205" s="104" t="e">
        <v>#REF!</v>
      </c>
      <c r="D205" s="10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103"/>
      <c r="B206" s="103"/>
      <c r="C206" s="104" t="e">
        <v>#REF!</v>
      </c>
      <c r="D206" s="10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103"/>
      <c r="B207" s="103"/>
      <c r="C207" s="104" t="e">
        <v>#REF!</v>
      </c>
      <c r="D207" s="10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103"/>
      <c r="B208" s="103"/>
      <c r="C208" s="104" t="e">
        <v>#REF!</v>
      </c>
      <c r="D208" s="10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103"/>
      <c r="B209" s="103"/>
      <c r="C209" s="104" t="e">
        <v>#REF!</v>
      </c>
      <c r="D209" s="10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103"/>
      <c r="B210" s="103"/>
      <c r="C210" s="104" t="e">
        <v>#REF!</v>
      </c>
      <c r="D210" s="10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103"/>
      <c r="B211" s="103"/>
      <c r="C211" s="104" t="e">
        <v>#REF!</v>
      </c>
      <c r="D211" s="10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103"/>
      <c r="B212" s="103"/>
      <c r="C212" s="104" t="e">
        <v>#REF!</v>
      </c>
      <c r="D212" s="10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103"/>
      <c r="B213" s="103"/>
      <c r="C213" s="104" t="e">
        <v>#REF!</v>
      </c>
      <c r="D213" s="10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103"/>
      <c r="B214" s="103"/>
      <c r="C214" s="104" t="e">
        <v>#REF!</v>
      </c>
      <c r="D214" s="10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103"/>
      <c r="B215" s="103"/>
      <c r="C215" s="104" t="e">
        <v>#REF!</v>
      </c>
      <c r="D215" s="10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103"/>
      <c r="B216" s="103"/>
      <c r="C216" s="104" t="e">
        <v>#REF!</v>
      </c>
      <c r="D216" s="10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103"/>
      <c r="B217" s="103"/>
      <c r="C217" s="104" t="e">
        <v>#REF!</v>
      </c>
      <c r="D217" s="10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103"/>
      <c r="B218" s="103"/>
      <c r="C218" s="104" t="e">
        <v>#REF!</v>
      </c>
      <c r="D218" s="10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103"/>
      <c r="B219" s="103"/>
      <c r="C219" s="104" t="e">
        <v>#REF!</v>
      </c>
      <c r="D219" s="10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103"/>
      <c r="B220" s="103"/>
      <c r="C220" s="104" t="e">
        <v>#REF!</v>
      </c>
      <c r="D220" s="10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103"/>
      <c r="B221" s="103"/>
      <c r="C221" s="104" t="e">
        <v>#REF!</v>
      </c>
      <c r="D221" s="10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103"/>
      <c r="B222" s="103"/>
      <c r="C222" s="104" t="e">
        <v>#REF!</v>
      </c>
      <c r="D222" s="10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103"/>
      <c r="B223" s="103"/>
      <c r="C223" s="104" t="e">
        <v>#REF!</v>
      </c>
      <c r="D223" s="10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103"/>
      <c r="B224" s="103"/>
      <c r="C224" s="104" t="e">
        <v>#REF!</v>
      </c>
      <c r="D224" s="10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103"/>
      <c r="B225" s="103"/>
      <c r="C225" s="104" t="e">
        <v>#REF!</v>
      </c>
      <c r="D225" s="10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103"/>
      <c r="B226" s="103"/>
      <c r="C226" s="104" t="e">
        <v>#REF!</v>
      </c>
      <c r="D226" s="10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103"/>
      <c r="B227" s="103"/>
      <c r="C227" s="104" t="e">
        <v>#REF!</v>
      </c>
      <c r="D227" s="10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103"/>
      <c r="B228" s="103"/>
      <c r="C228" s="104" t="e">
        <v>#REF!</v>
      </c>
      <c r="D228" s="10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103"/>
      <c r="B229" s="103"/>
      <c r="C229" s="104" t="e">
        <v>#REF!</v>
      </c>
      <c r="D229" s="10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103"/>
      <c r="B230" s="103"/>
      <c r="C230" s="104" t="e">
        <v>#REF!</v>
      </c>
      <c r="D230" s="10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103"/>
      <c r="B231" s="103"/>
      <c r="C231" s="104" t="e">
        <v>#REF!</v>
      </c>
      <c r="D231" s="10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103"/>
      <c r="B232" s="103"/>
      <c r="C232" s="104" t="e">
        <v>#REF!</v>
      </c>
      <c r="D232" s="10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103"/>
      <c r="B233" s="103"/>
      <c r="C233" s="104" t="e">
        <v>#REF!</v>
      </c>
      <c r="D233" s="10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103"/>
      <c r="B234" s="103"/>
      <c r="C234" s="104" t="e">
        <v>#REF!</v>
      </c>
      <c r="D234" s="10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103"/>
      <c r="B235" s="103"/>
      <c r="C235" s="104" t="e">
        <v>#REF!</v>
      </c>
      <c r="D235" s="10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103"/>
      <c r="B236" s="103"/>
      <c r="C236" s="104" t="e">
        <v>#REF!</v>
      </c>
      <c r="D236" s="10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103"/>
      <c r="B237" s="103"/>
      <c r="C237" s="104" t="e">
        <v>#REF!</v>
      </c>
      <c r="D237" s="10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103"/>
      <c r="B238" s="103"/>
      <c r="C238" s="104" t="e">
        <v>#REF!</v>
      </c>
      <c r="D238" s="10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103"/>
      <c r="B239" s="103"/>
      <c r="C239" s="104" t="e">
        <v>#REF!</v>
      </c>
      <c r="D239" s="10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103"/>
      <c r="B240" s="103"/>
      <c r="C240" s="104" t="e">
        <v>#REF!</v>
      </c>
      <c r="D240" s="10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103"/>
      <c r="B241" s="103"/>
      <c r="C241" s="104" t="e">
        <v>#REF!</v>
      </c>
      <c r="D241" s="10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103"/>
      <c r="B242" s="103"/>
      <c r="C242" s="104" t="e">
        <v>#REF!</v>
      </c>
      <c r="D242" s="10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103"/>
      <c r="B243" s="103"/>
      <c r="C243" s="104" t="e">
        <v>#REF!</v>
      </c>
      <c r="D243" s="10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103"/>
      <c r="B244" s="103"/>
      <c r="C244" s="104" t="e">
        <v>#REF!</v>
      </c>
      <c r="D244" s="10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103"/>
      <c r="B245" s="103"/>
      <c r="C245" s="104" t="e">
        <v>#REF!</v>
      </c>
      <c r="D245" s="10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103"/>
      <c r="B246" s="103"/>
      <c r="C246" s="104" t="e">
        <v>#REF!</v>
      </c>
      <c r="D246" s="10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103"/>
      <c r="B247" s="103"/>
      <c r="C247" s="104" t="e">
        <v>#REF!</v>
      </c>
      <c r="D247" s="10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103"/>
      <c r="B248" s="103"/>
      <c r="C248" s="104" t="e">
        <v>#REF!</v>
      </c>
      <c r="D248" s="10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103"/>
      <c r="B249" s="103"/>
      <c r="C249" s="104" t="e">
        <v>#REF!</v>
      </c>
      <c r="D249" s="10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103"/>
      <c r="B250" s="103"/>
      <c r="C250" s="104" t="e">
        <v>#REF!</v>
      </c>
      <c r="D250" s="10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103"/>
      <c r="B251" s="103"/>
      <c r="C251" s="104" t="e">
        <v>#REF!</v>
      </c>
      <c r="D251" s="10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103"/>
      <c r="B252" s="103"/>
      <c r="C252" s="104" t="e">
        <v>#REF!</v>
      </c>
      <c r="D252" s="10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103"/>
      <c r="B253" s="103"/>
      <c r="C253" s="104" t="e">
        <v>#REF!</v>
      </c>
      <c r="D253" s="10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103"/>
      <c r="B254" s="103"/>
      <c r="C254" s="104" t="e">
        <v>#REF!</v>
      </c>
      <c r="D254" s="10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103"/>
      <c r="B255" s="103"/>
      <c r="C255" s="104" t="e">
        <v>#REF!</v>
      </c>
      <c r="D255" s="10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103"/>
      <c r="B256" s="103"/>
      <c r="C256" s="104" t="e">
        <v>#REF!</v>
      </c>
      <c r="D256" s="10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103"/>
      <c r="B257" s="103"/>
      <c r="C257" s="104" t="e">
        <v>#REF!</v>
      </c>
      <c r="D257" s="10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103"/>
      <c r="B258" s="103"/>
      <c r="C258" s="104" t="e">
        <v>#REF!</v>
      </c>
      <c r="D258" s="10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103"/>
      <c r="B259" s="103"/>
      <c r="C259" s="104" t="e">
        <v>#REF!</v>
      </c>
      <c r="D259" s="10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103"/>
      <c r="B260" s="103"/>
      <c r="C260" s="104" t="e">
        <v>#REF!</v>
      </c>
      <c r="D260" s="10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103"/>
      <c r="B261" s="103"/>
      <c r="C261" s="104" t="e">
        <v>#REF!</v>
      </c>
      <c r="D261" s="10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103"/>
      <c r="B262" s="103"/>
      <c r="C262" s="104" t="e">
        <v>#REF!</v>
      </c>
      <c r="D262" s="10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103"/>
      <c r="B263" s="103"/>
      <c r="C263" s="104" t="e">
        <v>#REF!</v>
      </c>
      <c r="D263" s="10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103"/>
      <c r="B264" s="103"/>
      <c r="C264" s="104" t="e">
        <v>#REF!</v>
      </c>
      <c r="D264" s="10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103"/>
      <c r="B265" s="103"/>
      <c r="C265" s="104" t="e">
        <v>#REF!</v>
      </c>
      <c r="D265" s="10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103"/>
      <c r="B266" s="103"/>
      <c r="C266" s="104" t="e">
        <v>#REF!</v>
      </c>
      <c r="D266" s="10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103"/>
      <c r="B267" s="103"/>
      <c r="C267" s="104" t="e">
        <v>#REF!</v>
      </c>
      <c r="D267" s="10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103"/>
      <c r="B268" s="103"/>
      <c r="C268" s="104" t="e">
        <v>#REF!</v>
      </c>
      <c r="D268" s="10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103"/>
      <c r="B269" s="103"/>
      <c r="C269" s="104" t="e">
        <v>#REF!</v>
      </c>
      <c r="D269" s="10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103"/>
      <c r="B270" s="103"/>
      <c r="C270" s="104" t="e">
        <v>#REF!</v>
      </c>
      <c r="D270" s="10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103"/>
      <c r="B271" s="103"/>
      <c r="C271" s="104" t="e">
        <v>#REF!</v>
      </c>
      <c r="D271" s="10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103"/>
      <c r="B272" s="103"/>
      <c r="C272" s="104" t="e">
        <v>#REF!</v>
      </c>
      <c r="D272" s="10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103"/>
      <c r="B273" s="103"/>
      <c r="C273" s="104" t="e">
        <v>#REF!</v>
      </c>
      <c r="D273" s="10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103"/>
      <c r="B274" s="103"/>
      <c r="C274" s="104" t="e">
        <v>#REF!</v>
      </c>
      <c r="D274" s="10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103"/>
      <c r="B275" s="103"/>
      <c r="C275" s="104" t="e">
        <v>#REF!</v>
      </c>
      <c r="D275" s="10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103"/>
      <c r="B276" s="103"/>
      <c r="C276" s="104" t="e">
        <v>#REF!</v>
      </c>
      <c r="D276" s="10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103"/>
      <c r="B277" s="103"/>
      <c r="C277" s="104" t="e">
        <v>#REF!</v>
      </c>
      <c r="D277" s="10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103"/>
      <c r="B278" s="103"/>
      <c r="C278" s="104" t="e">
        <v>#REF!</v>
      </c>
      <c r="D278" s="10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103"/>
      <c r="B279" s="103"/>
      <c r="C279" s="104" t="e">
        <v>#REF!</v>
      </c>
      <c r="D279" s="10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103"/>
      <c r="B280" s="103"/>
      <c r="C280" s="104" t="e">
        <v>#REF!</v>
      </c>
      <c r="D280" s="10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103"/>
      <c r="B281" s="103"/>
      <c r="C281" s="104" t="e">
        <v>#REF!</v>
      </c>
      <c r="D281" s="10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103"/>
      <c r="B282" s="103"/>
      <c r="C282" s="104" t="e">
        <v>#REF!</v>
      </c>
      <c r="D282" s="10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103"/>
      <c r="B283" s="103"/>
      <c r="C283" s="104" t="e">
        <v>#REF!</v>
      </c>
      <c r="D283" s="10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103"/>
      <c r="B284" s="103"/>
      <c r="C284" s="104" t="e">
        <v>#REF!</v>
      </c>
      <c r="D284" s="10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103"/>
      <c r="B285" s="103"/>
      <c r="C285" s="104" t="e">
        <v>#REF!</v>
      </c>
      <c r="D285" s="10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103"/>
      <c r="B286" s="103"/>
      <c r="C286" s="104" t="e">
        <v>#REF!</v>
      </c>
      <c r="D286" s="10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103"/>
      <c r="B287" s="103"/>
      <c r="C287" s="104" t="e">
        <v>#REF!</v>
      </c>
      <c r="D287" s="10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103"/>
      <c r="B288" s="103"/>
      <c r="C288" s="104" t="e">
        <v>#REF!</v>
      </c>
      <c r="D288" s="10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103"/>
      <c r="B289" s="103"/>
      <c r="C289" s="104" t="e">
        <v>#REF!</v>
      </c>
      <c r="D289" s="10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103"/>
      <c r="B290" s="103"/>
      <c r="C290" s="104" t="e">
        <v>#REF!</v>
      </c>
      <c r="D290" s="10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103"/>
      <c r="B291" s="103"/>
      <c r="C291" s="104" t="e">
        <v>#REF!</v>
      </c>
      <c r="D291" s="10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103"/>
      <c r="B292" s="103"/>
      <c r="C292" s="104" t="e">
        <v>#REF!</v>
      </c>
      <c r="D292" s="10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103"/>
      <c r="B293" s="103"/>
      <c r="C293" s="104" t="e">
        <v>#REF!</v>
      </c>
      <c r="D293" s="10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103"/>
      <c r="B294" s="103"/>
      <c r="C294" s="104" t="e">
        <v>#REF!</v>
      </c>
      <c r="D294" s="10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103"/>
      <c r="B295" s="103"/>
      <c r="C295" s="104" t="e">
        <v>#REF!</v>
      </c>
      <c r="D295" s="10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103"/>
      <c r="B296" s="103"/>
      <c r="C296" s="104" t="e">
        <v>#REF!</v>
      </c>
      <c r="D296" s="10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103"/>
      <c r="B297" s="103"/>
      <c r="C297" s="104" t="e">
        <v>#REF!</v>
      </c>
      <c r="D297" s="10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103"/>
      <c r="B298" s="103"/>
      <c r="C298" s="104" t="e">
        <v>#REF!</v>
      </c>
      <c r="D298" s="10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103"/>
      <c r="B299" s="103"/>
      <c r="C299" s="104" t="e">
        <v>#REF!</v>
      </c>
      <c r="D299" s="10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103"/>
      <c r="B300" s="103"/>
      <c r="C300" s="104" t="e">
        <v>#REF!</v>
      </c>
      <c r="D300" s="10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103"/>
      <c r="B301" s="103"/>
      <c r="C301" s="104" t="e">
        <v>#REF!</v>
      </c>
      <c r="D301" s="10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103"/>
      <c r="B302" s="103"/>
      <c r="C302" s="104" t="e">
        <v>#REF!</v>
      </c>
      <c r="D302" s="10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103"/>
      <c r="B303" s="103"/>
      <c r="C303" s="104" t="e">
        <v>#REF!</v>
      </c>
      <c r="D303" s="10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103"/>
      <c r="B304" s="103"/>
      <c r="C304" s="104" t="e">
        <v>#REF!</v>
      </c>
      <c r="D304" s="10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103"/>
      <c r="B305" s="103"/>
      <c r="C305" s="104" t="e">
        <v>#REF!</v>
      </c>
      <c r="D305" s="10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103"/>
      <c r="B306" s="103"/>
      <c r="C306" s="104" t="e">
        <v>#REF!</v>
      </c>
      <c r="D306" s="10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103"/>
      <c r="B307" s="103"/>
      <c r="C307" s="104" t="e">
        <v>#REF!</v>
      </c>
      <c r="D307" s="10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103"/>
      <c r="B308" s="103"/>
      <c r="C308" s="104" t="e">
        <v>#REF!</v>
      </c>
      <c r="D308" s="10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103"/>
      <c r="B309" s="103"/>
      <c r="C309" s="104" t="e">
        <v>#REF!</v>
      </c>
      <c r="D309" s="10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103"/>
      <c r="B310" s="103"/>
      <c r="C310" s="104" t="e">
        <v>#REF!</v>
      </c>
      <c r="D310" s="10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103"/>
      <c r="B311" s="103"/>
      <c r="C311" s="104" t="e">
        <v>#REF!</v>
      </c>
      <c r="D311" s="10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103"/>
      <c r="B312" s="103"/>
      <c r="C312" s="104" t="e">
        <v>#REF!</v>
      </c>
      <c r="D312" s="10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103"/>
      <c r="B313" s="103"/>
      <c r="C313" s="104" t="e">
        <v>#REF!</v>
      </c>
      <c r="D313" s="10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103"/>
      <c r="B314" s="103"/>
      <c r="C314" s="104" t="e">
        <v>#REF!</v>
      </c>
      <c r="D314" s="10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103"/>
      <c r="B315" s="103"/>
      <c r="C315" s="104" t="e">
        <v>#REF!</v>
      </c>
      <c r="D315" s="10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103"/>
      <c r="B316" s="103"/>
      <c r="C316" s="104" t="e">
        <v>#REF!</v>
      </c>
      <c r="D316" s="10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103"/>
      <c r="B317" s="103"/>
      <c r="C317" s="104" t="e">
        <v>#REF!</v>
      </c>
      <c r="D317" s="10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103"/>
      <c r="B318" s="103"/>
      <c r="C318" s="104" t="e">
        <v>#REF!</v>
      </c>
      <c r="D318" s="10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103"/>
      <c r="B319" s="103"/>
      <c r="C319" s="104" t="e">
        <v>#REF!</v>
      </c>
      <c r="D319" s="10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103"/>
      <c r="B320" s="103"/>
      <c r="C320" s="104" t="e">
        <v>#REF!</v>
      </c>
      <c r="D320" s="10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103"/>
      <c r="B321" s="103"/>
      <c r="C321" s="104" t="e">
        <v>#REF!</v>
      </c>
      <c r="D321" s="10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103"/>
      <c r="B322" s="103"/>
      <c r="C322" s="104" t="e">
        <v>#REF!</v>
      </c>
      <c r="D322" s="10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103"/>
      <c r="B323" s="103"/>
      <c r="C323" s="104" t="e">
        <v>#REF!</v>
      </c>
      <c r="D323" s="10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103"/>
      <c r="B324" s="103"/>
      <c r="C324" s="104" t="e">
        <v>#REF!</v>
      </c>
      <c r="D324" s="10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103"/>
      <c r="B325" s="103"/>
      <c r="C325" s="104" t="e">
        <v>#REF!</v>
      </c>
      <c r="D325" s="10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103"/>
      <c r="B326" s="103"/>
      <c r="C326" s="104" t="e">
        <v>#REF!</v>
      </c>
      <c r="D326" s="10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103"/>
      <c r="B327" s="103"/>
      <c r="C327" s="104" t="e">
        <v>#REF!</v>
      </c>
      <c r="D327" s="10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103"/>
      <c r="B328" s="103"/>
      <c r="C328" s="104" t="e">
        <v>#REF!</v>
      </c>
      <c r="D328" s="10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103"/>
      <c r="B329" s="103"/>
      <c r="C329" s="104" t="e">
        <v>#REF!</v>
      </c>
      <c r="D329" s="10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103"/>
      <c r="B330" s="103"/>
      <c r="C330" s="104" t="e">
        <v>#REF!</v>
      </c>
      <c r="D330" s="10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103"/>
      <c r="B331" s="103"/>
      <c r="C331" s="104" t="e">
        <v>#REF!</v>
      </c>
      <c r="D331" s="10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103"/>
      <c r="B332" s="103"/>
      <c r="C332" s="104" t="e">
        <v>#REF!</v>
      </c>
      <c r="D332" s="10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103"/>
      <c r="B333" s="103"/>
      <c r="C333" s="104" t="e">
        <v>#REF!</v>
      </c>
      <c r="D333" s="10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103"/>
      <c r="B334" s="103"/>
      <c r="C334" s="104" t="e">
        <v>#REF!</v>
      </c>
      <c r="D334" s="10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103"/>
      <c r="B335" s="103"/>
      <c r="C335" s="104" t="e">
        <v>#REF!</v>
      </c>
      <c r="D335" s="10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103"/>
      <c r="B336" s="103"/>
      <c r="C336" s="104" t="e">
        <v>#REF!</v>
      </c>
      <c r="D336" s="10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103"/>
      <c r="B337" s="103"/>
      <c r="C337" s="104" t="e">
        <v>#REF!</v>
      </c>
      <c r="D337" s="10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103"/>
      <c r="B338" s="103"/>
      <c r="C338" s="104" t="e">
        <v>#REF!</v>
      </c>
      <c r="D338" s="10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103"/>
      <c r="B339" s="103"/>
      <c r="C339" s="104" t="e">
        <v>#REF!</v>
      </c>
      <c r="D339" s="10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103"/>
      <c r="B340" s="103"/>
      <c r="C340" s="104" t="e">
        <v>#REF!</v>
      </c>
      <c r="D340" s="10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103"/>
      <c r="B341" s="103"/>
      <c r="C341" s="104" t="e">
        <v>#REF!</v>
      </c>
      <c r="D341" s="10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103"/>
      <c r="B342" s="103"/>
      <c r="C342" s="104" t="e">
        <v>#REF!</v>
      </c>
      <c r="D342" s="10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103"/>
      <c r="B343" s="103"/>
      <c r="C343" s="104" t="e">
        <v>#REF!</v>
      </c>
      <c r="D343" s="10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103"/>
      <c r="B344" s="103"/>
      <c r="C344" s="104" t="e">
        <v>#REF!</v>
      </c>
      <c r="D344" s="10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103"/>
      <c r="B345" s="103"/>
      <c r="C345" s="104" t="e">
        <v>#REF!</v>
      </c>
      <c r="D345" s="10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103"/>
      <c r="B346" s="103"/>
      <c r="C346" s="104" t="e">
        <v>#REF!</v>
      </c>
      <c r="D346" s="10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103"/>
      <c r="B347" s="103"/>
      <c r="C347" s="104" t="e">
        <v>#REF!</v>
      </c>
      <c r="D347" s="10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103"/>
      <c r="B348" s="103"/>
      <c r="C348" s="104" t="e">
        <v>#REF!</v>
      </c>
      <c r="D348" s="10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103"/>
      <c r="B349" s="103"/>
      <c r="C349" s="104" t="e">
        <v>#REF!</v>
      </c>
      <c r="D349" s="10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103"/>
      <c r="B350" s="103"/>
      <c r="C350" s="104" t="e">
        <v>#REF!</v>
      </c>
      <c r="D350" s="10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103"/>
      <c r="B351" s="103"/>
      <c r="C351" s="104" t="e">
        <v>#REF!</v>
      </c>
      <c r="D351" s="10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103"/>
      <c r="B352" s="103"/>
      <c r="C352" s="104" t="e">
        <v>#REF!</v>
      </c>
      <c r="D352" s="10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103"/>
      <c r="B353" s="103"/>
      <c r="C353" s="104" t="e">
        <v>#REF!</v>
      </c>
      <c r="D353" s="10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103"/>
      <c r="B354" s="103"/>
      <c r="C354" s="104" t="e">
        <v>#REF!</v>
      </c>
      <c r="D354" s="10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103"/>
      <c r="B355" s="103"/>
      <c r="C355" s="104" t="e">
        <v>#REF!</v>
      </c>
      <c r="D355" s="10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103"/>
      <c r="B356" s="103"/>
      <c r="C356" s="104" t="e">
        <v>#REF!</v>
      </c>
      <c r="D356" s="10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103"/>
      <c r="B357" s="103"/>
      <c r="C357" s="104" t="e">
        <v>#REF!</v>
      </c>
      <c r="D357" s="10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103"/>
      <c r="B358" s="103"/>
      <c r="C358" s="104" t="e">
        <v>#REF!</v>
      </c>
      <c r="D358" s="10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103"/>
      <c r="B359" s="103"/>
      <c r="C359" s="104" t="e">
        <v>#REF!</v>
      </c>
      <c r="D359" s="10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103"/>
      <c r="B360" s="103"/>
      <c r="C360" s="104" t="e">
        <v>#REF!</v>
      </c>
      <c r="D360" s="10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103"/>
      <c r="B361" s="103"/>
      <c r="C361" s="104" t="e">
        <v>#REF!</v>
      </c>
      <c r="D361" s="10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103"/>
      <c r="B362" s="103"/>
      <c r="C362" s="104" t="e">
        <v>#REF!</v>
      </c>
      <c r="D362" s="10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103"/>
      <c r="B363" s="103"/>
      <c r="C363" s="104" t="e">
        <v>#REF!</v>
      </c>
      <c r="D363" s="10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103"/>
      <c r="B364" s="103"/>
      <c r="C364" s="104" t="e">
        <v>#REF!</v>
      </c>
      <c r="D364" s="10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103"/>
      <c r="B365" s="103"/>
      <c r="C365" s="104" t="e">
        <v>#REF!</v>
      </c>
      <c r="D365" s="10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103"/>
      <c r="B366" s="103"/>
      <c r="C366" s="104" t="e">
        <v>#REF!</v>
      </c>
      <c r="D366" s="10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103"/>
      <c r="B367" s="103"/>
      <c r="C367" s="104" t="e">
        <v>#REF!</v>
      </c>
      <c r="D367" s="10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103"/>
      <c r="B368" s="103"/>
      <c r="C368" s="104" t="e">
        <v>#REF!</v>
      </c>
      <c r="D368" s="10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103"/>
      <c r="B369" s="103"/>
      <c r="C369" s="104" t="e">
        <v>#REF!</v>
      </c>
      <c r="D369" s="10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103"/>
      <c r="B370" s="103"/>
      <c r="C370" s="104" t="e">
        <v>#REF!</v>
      </c>
      <c r="D370" s="10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103"/>
      <c r="B371" s="103"/>
      <c r="C371" s="104" t="e">
        <v>#REF!</v>
      </c>
      <c r="D371" s="10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103"/>
      <c r="B372" s="103"/>
      <c r="C372" s="104" t="e">
        <v>#REF!</v>
      </c>
      <c r="D372" s="10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103"/>
      <c r="B373" s="103"/>
      <c r="C373" s="104" t="e">
        <v>#REF!</v>
      </c>
      <c r="D373" s="10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103"/>
      <c r="B374" s="103"/>
      <c r="C374" s="104" t="e">
        <v>#REF!</v>
      </c>
      <c r="D374" s="10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103"/>
      <c r="B375" s="103"/>
      <c r="C375" s="104" t="e">
        <v>#REF!</v>
      </c>
      <c r="D375" s="10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103"/>
      <c r="B376" s="103"/>
      <c r="C376" s="104" t="e">
        <v>#REF!</v>
      </c>
      <c r="D376" s="10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103"/>
      <c r="B377" s="103"/>
      <c r="C377" s="104" t="e">
        <v>#REF!</v>
      </c>
      <c r="D377" s="10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103"/>
      <c r="B378" s="103"/>
      <c r="C378" s="104" t="e">
        <v>#REF!</v>
      </c>
      <c r="D378" s="10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103"/>
      <c r="B379" s="103"/>
      <c r="C379" s="104" t="e">
        <v>#REF!</v>
      </c>
      <c r="D379" s="10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103"/>
      <c r="B380" s="103"/>
      <c r="C380" s="104" t="e">
        <v>#REF!</v>
      </c>
      <c r="D380" s="10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103"/>
      <c r="B381" s="103"/>
      <c r="C381" s="104" t="e">
        <v>#REF!</v>
      </c>
      <c r="D381" s="10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103"/>
      <c r="B382" s="103"/>
      <c r="C382" s="104" t="e">
        <v>#REF!</v>
      </c>
      <c r="D382" s="10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103"/>
      <c r="B383" s="103"/>
      <c r="C383" s="104" t="e">
        <v>#REF!</v>
      </c>
      <c r="D383" s="10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103"/>
      <c r="B384" s="103"/>
      <c r="C384" s="104" t="e">
        <v>#REF!</v>
      </c>
      <c r="D384" s="10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103"/>
      <c r="B385" s="103"/>
      <c r="C385" s="104" t="e">
        <v>#REF!</v>
      </c>
      <c r="D385" s="10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103"/>
      <c r="B386" s="103"/>
      <c r="C386" s="104" t="e">
        <v>#REF!</v>
      </c>
      <c r="D386" s="10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103"/>
      <c r="B387" s="103"/>
      <c r="C387" s="104" t="e">
        <v>#REF!</v>
      </c>
      <c r="D387" s="10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103"/>
      <c r="B388" s="103"/>
      <c r="C388" s="104" t="e">
        <v>#REF!</v>
      </c>
      <c r="D388" s="10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103"/>
      <c r="B389" s="103"/>
      <c r="C389" s="104" t="e">
        <v>#REF!</v>
      </c>
      <c r="D389" s="10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103"/>
      <c r="B390" s="103"/>
      <c r="C390" s="104" t="e">
        <v>#REF!</v>
      </c>
      <c r="D390" s="10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103"/>
      <c r="B391" s="103"/>
      <c r="C391" s="104" t="e">
        <v>#REF!</v>
      </c>
      <c r="D391" s="10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103"/>
      <c r="B392" s="103"/>
      <c r="C392" s="104" t="e">
        <v>#REF!</v>
      </c>
      <c r="D392" s="10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103"/>
      <c r="B393" s="103"/>
      <c r="C393" s="104" t="e">
        <v>#REF!</v>
      </c>
      <c r="D393" s="10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103"/>
      <c r="B394" s="103"/>
      <c r="C394" s="104" t="e">
        <v>#REF!</v>
      </c>
      <c r="D394" s="10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103"/>
      <c r="B395" s="103"/>
      <c r="C395" s="104" t="e">
        <v>#REF!</v>
      </c>
      <c r="D395" s="10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103"/>
      <c r="B396" s="103"/>
      <c r="C396" s="104" t="e">
        <v>#REF!</v>
      </c>
      <c r="D396" s="10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103"/>
      <c r="B397" s="103"/>
      <c r="C397" s="104" t="e">
        <v>#REF!</v>
      </c>
      <c r="D397" s="10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103"/>
      <c r="B398" s="103"/>
      <c r="C398" s="104" t="e">
        <v>#REF!</v>
      </c>
      <c r="D398" s="10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103"/>
      <c r="B399" s="103"/>
      <c r="C399" s="104" t="e">
        <v>#REF!</v>
      </c>
      <c r="D399" s="10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103"/>
      <c r="B400" s="103"/>
      <c r="C400" s="104" t="e">
        <v>#REF!</v>
      </c>
      <c r="D400" s="10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103"/>
      <c r="B401" s="103"/>
      <c r="C401" s="104" t="e">
        <v>#REF!</v>
      </c>
      <c r="D401" s="10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103"/>
      <c r="B402" s="103"/>
      <c r="C402" s="104" t="e">
        <v>#REF!</v>
      </c>
      <c r="D402" s="10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103"/>
      <c r="B403" s="103"/>
      <c r="C403" s="104" t="e">
        <v>#REF!</v>
      </c>
      <c r="D403" s="10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103"/>
      <c r="B404" s="103"/>
      <c r="C404" s="104" t="e">
        <v>#REF!</v>
      </c>
      <c r="D404" s="10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103"/>
      <c r="B405" s="103"/>
      <c r="C405" s="104" t="e">
        <v>#REF!</v>
      </c>
      <c r="D405" s="10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103"/>
      <c r="B406" s="103"/>
      <c r="C406" s="104" t="e">
        <v>#REF!</v>
      </c>
      <c r="D406" s="10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103"/>
      <c r="B407" s="103"/>
      <c r="C407" s="104" t="e">
        <v>#REF!</v>
      </c>
      <c r="D407" s="10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103"/>
      <c r="B408" s="103"/>
      <c r="C408" s="104" t="e">
        <v>#REF!</v>
      </c>
      <c r="D408" s="10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103"/>
      <c r="B409" s="103"/>
      <c r="C409" s="104" t="e">
        <v>#REF!</v>
      </c>
      <c r="D409" s="10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103"/>
      <c r="B410" s="103"/>
      <c r="C410" s="104" t="e">
        <v>#REF!</v>
      </c>
      <c r="D410" s="10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103"/>
      <c r="B411" s="103"/>
      <c r="C411" s="104" t="e">
        <v>#REF!</v>
      </c>
      <c r="D411" s="10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103"/>
      <c r="B412" s="103"/>
      <c r="C412" s="104" t="e">
        <v>#REF!</v>
      </c>
      <c r="D412" s="10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103"/>
      <c r="B413" s="103"/>
      <c r="C413" s="104" t="e">
        <v>#REF!</v>
      </c>
      <c r="D413" s="10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103"/>
      <c r="B414" s="103"/>
      <c r="C414" s="104" t="e">
        <v>#REF!</v>
      </c>
      <c r="D414" s="10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103"/>
      <c r="B415" s="103"/>
      <c r="C415" s="104" t="e">
        <v>#REF!</v>
      </c>
      <c r="D415" s="10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103"/>
      <c r="B416" s="103"/>
      <c r="C416" s="104" t="e">
        <v>#REF!</v>
      </c>
      <c r="D416" s="10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103"/>
      <c r="B417" s="103"/>
      <c r="C417" s="104" t="e">
        <v>#REF!</v>
      </c>
      <c r="D417" s="10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103"/>
      <c r="B418" s="103"/>
      <c r="C418" s="104" t="e">
        <v>#REF!</v>
      </c>
      <c r="D418" s="10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103"/>
      <c r="B419" s="103"/>
      <c r="C419" s="104" t="e">
        <v>#REF!</v>
      </c>
      <c r="D419" s="10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103"/>
      <c r="B420" s="103"/>
      <c r="C420" s="104" t="e">
        <v>#REF!</v>
      </c>
      <c r="D420" s="10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103"/>
      <c r="B421" s="103"/>
      <c r="C421" s="104" t="e">
        <v>#REF!</v>
      </c>
      <c r="D421" s="10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103"/>
      <c r="B422" s="103"/>
      <c r="C422" s="104" t="e">
        <v>#REF!</v>
      </c>
      <c r="D422" s="10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103"/>
      <c r="B423" s="103"/>
      <c r="C423" s="104" t="e">
        <v>#REF!</v>
      </c>
      <c r="D423" s="10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103"/>
      <c r="B424" s="103"/>
      <c r="C424" s="104" t="e">
        <v>#REF!</v>
      </c>
      <c r="D424" s="10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103"/>
      <c r="B425" s="103"/>
      <c r="C425" s="104" t="e">
        <v>#REF!</v>
      </c>
      <c r="D425" s="10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103"/>
      <c r="B426" s="103"/>
      <c r="C426" s="104" t="e">
        <v>#REF!</v>
      </c>
      <c r="D426" s="10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103"/>
      <c r="B427" s="103"/>
      <c r="C427" s="104" t="e">
        <v>#REF!</v>
      </c>
      <c r="D427" s="10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103"/>
      <c r="B428" s="103"/>
      <c r="C428" s="104" t="e">
        <v>#REF!</v>
      </c>
      <c r="D428" s="10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103"/>
      <c r="B429" s="103"/>
      <c r="C429" s="104" t="e">
        <v>#REF!</v>
      </c>
      <c r="D429" s="10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103"/>
      <c r="B430" s="103"/>
      <c r="C430" s="104" t="e">
        <v>#REF!</v>
      </c>
      <c r="D430" s="10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103"/>
      <c r="B431" s="103"/>
      <c r="C431" s="104" t="e">
        <v>#REF!</v>
      </c>
      <c r="D431" s="10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103"/>
      <c r="B432" s="103"/>
      <c r="C432" s="104" t="e">
        <v>#REF!</v>
      </c>
      <c r="D432" s="10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103"/>
      <c r="B433" s="103"/>
      <c r="C433" s="104" t="e">
        <v>#REF!</v>
      </c>
      <c r="D433" s="10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103"/>
      <c r="B434" s="103"/>
      <c r="C434" s="104" t="e">
        <v>#REF!</v>
      </c>
      <c r="D434" s="10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103"/>
      <c r="B435" s="103"/>
      <c r="C435" s="104" t="e">
        <v>#REF!</v>
      </c>
      <c r="D435" s="10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103"/>
      <c r="B436" s="103"/>
      <c r="C436" s="104" t="e">
        <v>#REF!</v>
      </c>
      <c r="D436" s="10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103"/>
      <c r="B437" s="103"/>
      <c r="C437" s="104" t="e">
        <v>#REF!</v>
      </c>
      <c r="D437" s="10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103"/>
      <c r="B438" s="103"/>
      <c r="C438" s="104" t="e">
        <v>#REF!</v>
      </c>
      <c r="D438" s="10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103"/>
      <c r="B439" s="103"/>
      <c r="C439" s="104" t="e">
        <v>#REF!</v>
      </c>
      <c r="D439" s="10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103"/>
      <c r="B440" s="103"/>
      <c r="C440" s="104" t="e">
        <v>#REF!</v>
      </c>
      <c r="D440" s="10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103"/>
      <c r="B441" s="103"/>
      <c r="C441" s="104" t="e">
        <v>#REF!</v>
      </c>
      <c r="D441" s="10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103"/>
      <c r="B442" s="103"/>
      <c r="C442" s="104" t="e">
        <v>#REF!</v>
      </c>
      <c r="D442" s="10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103"/>
      <c r="B443" s="103"/>
      <c r="C443" s="104" t="e">
        <v>#REF!</v>
      </c>
      <c r="D443" s="10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103"/>
      <c r="B444" s="103"/>
      <c r="C444" s="104" t="e">
        <v>#REF!</v>
      </c>
      <c r="D444" s="10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103"/>
      <c r="B445" s="103"/>
      <c r="C445" s="104" t="e">
        <v>#REF!</v>
      </c>
      <c r="D445" s="10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103"/>
      <c r="B446" s="103"/>
      <c r="C446" s="104" t="e">
        <v>#REF!</v>
      </c>
      <c r="D446" s="10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103"/>
      <c r="B447" s="103"/>
      <c r="C447" s="104" t="e">
        <v>#REF!</v>
      </c>
      <c r="D447" s="10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103"/>
      <c r="B448" s="103"/>
      <c r="C448" s="104" t="e">
        <v>#REF!</v>
      </c>
      <c r="D448" s="10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103"/>
      <c r="B449" s="103"/>
      <c r="C449" s="104" t="e">
        <v>#REF!</v>
      </c>
      <c r="D449" s="10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103"/>
      <c r="B450" s="103"/>
      <c r="C450" s="104" t="e">
        <v>#REF!</v>
      </c>
      <c r="D450" s="10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103"/>
      <c r="B451" s="103"/>
      <c r="C451" s="104" t="e">
        <v>#REF!</v>
      </c>
      <c r="D451" s="10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103"/>
      <c r="B452" s="103"/>
      <c r="C452" s="104" t="e">
        <v>#REF!</v>
      </c>
      <c r="D452" s="10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103"/>
      <c r="B453" s="103"/>
      <c r="C453" s="104" t="e">
        <v>#REF!</v>
      </c>
      <c r="D453" s="10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103"/>
      <c r="B454" s="103"/>
      <c r="C454" s="104" t="e">
        <v>#REF!</v>
      </c>
      <c r="D454" s="10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103"/>
      <c r="B455" s="103"/>
      <c r="C455" s="104" t="e">
        <v>#REF!</v>
      </c>
      <c r="D455" s="10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103"/>
      <c r="B456" s="103"/>
      <c r="C456" s="104" t="e">
        <v>#REF!</v>
      </c>
      <c r="D456" s="10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103"/>
      <c r="B457" s="103"/>
      <c r="C457" s="104" t="e">
        <v>#REF!</v>
      </c>
      <c r="D457" s="10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103"/>
      <c r="B458" s="103"/>
      <c r="C458" s="104" t="e">
        <v>#REF!</v>
      </c>
      <c r="D458" s="10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103"/>
      <c r="B459" s="103"/>
      <c r="C459" s="104" t="e">
        <v>#REF!</v>
      </c>
      <c r="D459" s="10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103"/>
      <c r="B460" s="103"/>
      <c r="C460" s="104" t="e">
        <v>#REF!</v>
      </c>
      <c r="D460" s="10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103"/>
      <c r="B461" s="103"/>
      <c r="C461" s="104" t="e">
        <v>#REF!</v>
      </c>
      <c r="D461" s="10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103"/>
      <c r="B462" s="103"/>
      <c r="C462" s="104" t="e">
        <v>#REF!</v>
      </c>
      <c r="D462" s="10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103"/>
      <c r="B463" s="103"/>
      <c r="C463" s="104" t="e">
        <v>#REF!</v>
      </c>
      <c r="D463" s="10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103"/>
      <c r="B464" s="103"/>
      <c r="C464" s="104" t="e">
        <v>#REF!</v>
      </c>
      <c r="D464" s="10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103"/>
      <c r="B465" s="103"/>
      <c r="C465" s="104" t="e">
        <v>#REF!</v>
      </c>
      <c r="D465" s="10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103"/>
      <c r="B466" s="103"/>
      <c r="C466" s="104" t="e">
        <v>#REF!</v>
      </c>
      <c r="D466" s="10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103"/>
      <c r="B467" s="103"/>
      <c r="C467" s="104" t="e">
        <v>#REF!</v>
      </c>
      <c r="D467" s="10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103"/>
      <c r="B468" s="103"/>
      <c r="C468" s="104" t="e">
        <v>#REF!</v>
      </c>
      <c r="D468" s="10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103"/>
      <c r="B469" s="103"/>
      <c r="C469" s="104" t="e">
        <v>#REF!</v>
      </c>
      <c r="D469" s="10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103"/>
      <c r="B470" s="103"/>
      <c r="C470" s="104" t="e">
        <v>#REF!</v>
      </c>
      <c r="D470" s="10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103"/>
      <c r="B471" s="103"/>
      <c r="C471" s="104" t="e">
        <v>#REF!</v>
      </c>
      <c r="D471" s="10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103"/>
      <c r="B472" s="103"/>
      <c r="C472" s="104" t="e">
        <v>#REF!</v>
      </c>
      <c r="D472" s="10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103"/>
      <c r="B473" s="103"/>
      <c r="C473" s="104" t="e">
        <v>#REF!</v>
      </c>
      <c r="D473" s="10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103"/>
      <c r="B474" s="103"/>
      <c r="C474" s="104" t="e">
        <v>#REF!</v>
      </c>
      <c r="D474" s="10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103"/>
      <c r="B475" s="103"/>
      <c r="C475" s="104" t="e">
        <v>#REF!</v>
      </c>
      <c r="D475" s="10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103"/>
      <c r="B476" s="103"/>
      <c r="C476" s="104" t="e">
        <v>#REF!</v>
      </c>
      <c r="D476" s="10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103"/>
      <c r="B477" s="103"/>
      <c r="C477" s="104" t="e">
        <v>#REF!</v>
      </c>
      <c r="D477" s="10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103"/>
      <c r="B478" s="103"/>
      <c r="C478" s="104" t="e">
        <v>#REF!</v>
      </c>
      <c r="D478" s="10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103"/>
      <c r="B479" s="103"/>
      <c r="C479" s="104" t="e">
        <v>#REF!</v>
      </c>
      <c r="D479" s="10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103"/>
      <c r="B480" s="103"/>
      <c r="C480" s="104" t="e">
        <v>#REF!</v>
      </c>
      <c r="D480" s="10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103"/>
      <c r="B481" s="103"/>
      <c r="C481" s="104" t="e">
        <v>#REF!</v>
      </c>
      <c r="D481" s="10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103"/>
      <c r="B482" s="103"/>
      <c r="C482" s="104" t="e">
        <v>#REF!</v>
      </c>
      <c r="D482" s="10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103"/>
      <c r="B483" s="103"/>
      <c r="C483" s="104" t="e">
        <v>#REF!</v>
      </c>
      <c r="D483" s="10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103"/>
      <c r="B484" s="103"/>
      <c r="C484" s="104" t="e">
        <v>#REF!</v>
      </c>
      <c r="D484" s="10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103"/>
      <c r="B485" s="103"/>
      <c r="C485" s="104" t="e">
        <v>#REF!</v>
      </c>
      <c r="D485" s="10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103"/>
      <c r="B486" s="103"/>
      <c r="C486" s="104" t="e">
        <v>#REF!</v>
      </c>
      <c r="D486" s="10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103"/>
      <c r="B487" s="103"/>
      <c r="C487" s="104" t="e">
        <v>#REF!</v>
      </c>
      <c r="D487" s="10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103"/>
      <c r="B488" s="103"/>
      <c r="C488" s="104" t="e">
        <v>#REF!</v>
      </c>
      <c r="D488" s="10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103"/>
      <c r="B489" s="103"/>
      <c r="C489" s="104" t="e">
        <v>#REF!</v>
      </c>
      <c r="D489" s="10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103"/>
      <c r="B490" s="103"/>
      <c r="C490" s="104" t="e">
        <v>#REF!</v>
      </c>
      <c r="D490" s="10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103"/>
      <c r="B491" s="103"/>
      <c r="C491" s="104" t="e">
        <v>#REF!</v>
      </c>
      <c r="D491" s="10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103"/>
      <c r="B492" s="103"/>
      <c r="C492" s="104" t="e">
        <v>#REF!</v>
      </c>
      <c r="D492" s="10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103"/>
      <c r="B493" s="103"/>
      <c r="C493" s="104" t="e">
        <v>#REF!</v>
      </c>
      <c r="D493" s="10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103"/>
      <c r="B494" s="103"/>
      <c r="C494" s="104" t="e">
        <v>#REF!</v>
      </c>
      <c r="D494" s="10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103"/>
      <c r="B495" s="103"/>
      <c r="C495" s="104" t="e">
        <v>#REF!</v>
      </c>
      <c r="D495" s="10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103"/>
      <c r="B496" s="103"/>
      <c r="C496" s="104" t="e">
        <v>#REF!</v>
      </c>
      <c r="D496" s="10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103"/>
      <c r="B497" s="103"/>
      <c r="C497" s="104" t="e">
        <v>#REF!</v>
      </c>
      <c r="D497" s="10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103"/>
      <c r="B498" s="103"/>
      <c r="C498" s="104" t="e">
        <v>#REF!</v>
      </c>
      <c r="D498" s="10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103"/>
      <c r="B499" s="103"/>
      <c r="C499" s="104" t="e">
        <v>#REF!</v>
      </c>
      <c r="D499" s="10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103"/>
      <c r="B500" s="103"/>
      <c r="C500" s="104" t="e">
        <v>#REF!</v>
      </c>
      <c r="D500" s="10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103"/>
      <c r="B501" s="103"/>
      <c r="C501" s="104" t="e">
        <v>#REF!</v>
      </c>
      <c r="D501" s="10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103"/>
      <c r="B502" s="103"/>
      <c r="C502" s="104" t="e">
        <v>#REF!</v>
      </c>
      <c r="D502" s="10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103"/>
      <c r="B503" s="103"/>
      <c r="C503" s="104" t="e">
        <v>#REF!</v>
      </c>
      <c r="D503" s="10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103"/>
      <c r="B504" s="103"/>
      <c r="C504" s="104" t="e">
        <v>#REF!</v>
      </c>
      <c r="D504" s="10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103"/>
      <c r="B505" s="103"/>
      <c r="C505" s="104" t="e">
        <v>#REF!</v>
      </c>
      <c r="D505" s="10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103"/>
      <c r="B506" s="103"/>
      <c r="C506" s="104" t="e">
        <v>#REF!</v>
      </c>
      <c r="D506" s="10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103"/>
      <c r="B507" s="103"/>
      <c r="C507" s="104" t="e">
        <v>#REF!</v>
      </c>
      <c r="D507" s="10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103"/>
      <c r="B508" s="103"/>
      <c r="C508" s="104" t="e">
        <v>#REF!</v>
      </c>
      <c r="D508" s="10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103"/>
      <c r="B509" s="103"/>
      <c r="C509" s="104" t="e">
        <v>#REF!</v>
      </c>
      <c r="D509" s="10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103"/>
      <c r="B510" s="103"/>
      <c r="C510" s="104" t="e">
        <v>#REF!</v>
      </c>
      <c r="D510" s="10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103"/>
      <c r="B511" s="103"/>
      <c r="C511" s="104" t="e">
        <v>#REF!</v>
      </c>
      <c r="D511" s="10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103"/>
      <c r="B512" s="103"/>
      <c r="C512" s="104" t="e">
        <v>#REF!</v>
      </c>
      <c r="D512" s="10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103"/>
      <c r="B513" s="103"/>
      <c r="C513" s="104" t="e">
        <v>#REF!</v>
      </c>
      <c r="D513" s="10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103"/>
      <c r="B514" s="103"/>
      <c r="C514" s="104" t="e">
        <v>#REF!</v>
      </c>
      <c r="D514" s="10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103"/>
      <c r="B515" s="103"/>
      <c r="C515" s="104" t="e">
        <v>#REF!</v>
      </c>
      <c r="D515" s="10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103"/>
      <c r="B516" s="103"/>
      <c r="C516" s="104" t="e">
        <v>#REF!</v>
      </c>
      <c r="D516" s="10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103"/>
      <c r="B517" s="103"/>
      <c r="C517" s="104" t="e">
        <v>#REF!</v>
      </c>
      <c r="D517" s="10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103"/>
      <c r="B518" s="103"/>
      <c r="C518" s="104" t="e">
        <v>#REF!</v>
      </c>
      <c r="D518" s="10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103"/>
      <c r="B519" s="103"/>
      <c r="C519" s="104" t="e">
        <v>#REF!</v>
      </c>
      <c r="D519" s="10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103"/>
      <c r="B520" s="103"/>
      <c r="C520" s="104" t="e">
        <v>#REF!</v>
      </c>
      <c r="D520" s="10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103"/>
      <c r="B521" s="103"/>
      <c r="C521" s="104" t="e">
        <v>#REF!</v>
      </c>
      <c r="D521" s="10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103"/>
      <c r="B522" s="103"/>
      <c r="C522" s="104" t="e">
        <v>#REF!</v>
      </c>
      <c r="D522" s="10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103"/>
      <c r="B523" s="103"/>
      <c r="C523" s="104" t="e">
        <v>#REF!</v>
      </c>
      <c r="D523" s="10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103"/>
      <c r="B524" s="103"/>
      <c r="C524" s="104" t="e">
        <v>#REF!</v>
      </c>
      <c r="D524" s="10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103"/>
      <c r="B525" s="103"/>
      <c r="C525" s="104" t="e">
        <v>#REF!</v>
      </c>
      <c r="D525" s="10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103"/>
      <c r="B526" s="103"/>
      <c r="C526" s="104" t="e">
        <v>#REF!</v>
      </c>
      <c r="D526" s="10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103"/>
      <c r="B527" s="103"/>
      <c r="C527" s="104" t="e">
        <v>#REF!</v>
      </c>
      <c r="D527" s="10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103"/>
      <c r="B528" s="103"/>
      <c r="C528" s="104" t="e">
        <v>#REF!</v>
      </c>
      <c r="D528" s="10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103"/>
      <c r="B529" s="103"/>
      <c r="C529" s="104" t="e">
        <v>#REF!</v>
      </c>
      <c r="D529" s="10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103"/>
      <c r="B530" s="103"/>
      <c r="C530" s="104" t="e">
        <v>#REF!</v>
      </c>
      <c r="D530" s="10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103"/>
      <c r="B531" s="103"/>
      <c r="C531" s="104" t="e">
        <v>#REF!</v>
      </c>
      <c r="D531" s="10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103"/>
      <c r="B532" s="103"/>
      <c r="C532" s="104" t="e">
        <v>#REF!</v>
      </c>
      <c r="D532" s="10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103"/>
      <c r="B533" s="103"/>
      <c r="C533" s="104" t="e">
        <v>#REF!</v>
      </c>
      <c r="D533" s="10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103"/>
      <c r="B534" s="103"/>
      <c r="C534" s="104" t="e">
        <v>#REF!</v>
      </c>
      <c r="D534" s="10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103"/>
      <c r="B535" s="103"/>
      <c r="C535" s="104" t="e">
        <v>#REF!</v>
      </c>
      <c r="D535" s="10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103"/>
      <c r="B536" s="103"/>
      <c r="C536" s="104" t="e">
        <v>#REF!</v>
      </c>
      <c r="D536" s="10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103"/>
      <c r="B537" s="103"/>
      <c r="C537" s="104" t="e">
        <v>#REF!</v>
      </c>
      <c r="D537" s="10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103"/>
      <c r="B538" s="103"/>
      <c r="C538" s="104" t="e">
        <v>#REF!</v>
      </c>
      <c r="D538" s="10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103"/>
      <c r="B539" s="103"/>
      <c r="C539" s="104" t="e">
        <v>#REF!</v>
      </c>
      <c r="D539" s="10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103"/>
      <c r="B540" s="103"/>
      <c r="C540" s="104" t="e">
        <v>#REF!</v>
      </c>
      <c r="D540" s="10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103"/>
      <c r="B541" s="103"/>
      <c r="C541" s="104" t="e">
        <v>#REF!</v>
      </c>
      <c r="D541" s="10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103"/>
      <c r="B542" s="103"/>
      <c r="C542" s="104" t="e">
        <v>#REF!</v>
      </c>
      <c r="D542" s="10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103"/>
      <c r="B543" s="103"/>
      <c r="C543" s="104" t="e">
        <v>#REF!</v>
      </c>
      <c r="D543" s="10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103"/>
      <c r="B544" s="103"/>
      <c r="C544" s="104" t="e">
        <v>#REF!</v>
      </c>
      <c r="D544" s="10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103"/>
      <c r="B545" s="103"/>
      <c r="C545" s="104" t="e">
        <v>#REF!</v>
      </c>
      <c r="D545" s="10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103"/>
      <c r="B546" s="103"/>
      <c r="C546" s="104" t="e">
        <v>#REF!</v>
      </c>
      <c r="D546" s="10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103"/>
      <c r="B547" s="103"/>
      <c r="C547" s="104" t="e">
        <v>#REF!</v>
      </c>
      <c r="D547" s="10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103"/>
      <c r="B548" s="103"/>
      <c r="C548" s="104" t="e">
        <v>#REF!</v>
      </c>
      <c r="D548" s="10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103"/>
      <c r="B549" s="103"/>
      <c r="C549" s="104" t="e">
        <v>#REF!</v>
      </c>
      <c r="D549" s="10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103"/>
      <c r="B550" s="103"/>
      <c r="C550" s="104" t="e">
        <v>#REF!</v>
      </c>
      <c r="D550" s="10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103"/>
      <c r="B551" s="103"/>
      <c r="C551" s="104" t="e">
        <v>#REF!</v>
      </c>
      <c r="D551" s="10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103"/>
      <c r="B552" s="103"/>
      <c r="C552" s="104" t="e">
        <v>#REF!</v>
      </c>
      <c r="D552" s="10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103"/>
      <c r="B553" s="103"/>
      <c r="C553" s="104" t="e">
        <v>#REF!</v>
      </c>
      <c r="D553" s="10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103"/>
      <c r="B554" s="103"/>
      <c r="C554" s="104" t="e">
        <v>#REF!</v>
      </c>
      <c r="D554" s="10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103"/>
      <c r="B555" s="103"/>
      <c r="C555" s="104" t="e">
        <v>#REF!</v>
      </c>
      <c r="D555" s="10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103"/>
      <c r="B556" s="103"/>
      <c r="C556" s="104" t="e">
        <v>#REF!</v>
      </c>
      <c r="D556" s="10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103"/>
      <c r="B557" s="103"/>
      <c r="C557" s="104" t="e">
        <v>#REF!</v>
      </c>
      <c r="D557" s="10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103"/>
      <c r="B558" s="103"/>
      <c r="C558" s="104" t="e">
        <v>#REF!</v>
      </c>
      <c r="D558" s="10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103"/>
      <c r="B559" s="103"/>
      <c r="C559" s="104" t="e">
        <v>#REF!</v>
      </c>
      <c r="D559" s="10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103"/>
      <c r="B560" s="103"/>
      <c r="C560" s="104" t="e">
        <v>#REF!</v>
      </c>
      <c r="D560" s="10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103"/>
      <c r="B561" s="103"/>
      <c r="C561" s="104" t="e">
        <v>#REF!</v>
      </c>
      <c r="D561" s="10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103"/>
      <c r="B562" s="103"/>
      <c r="C562" s="104" t="e">
        <v>#REF!</v>
      </c>
      <c r="D562" s="10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103"/>
      <c r="B563" s="103"/>
      <c r="C563" s="104" t="e">
        <v>#REF!</v>
      </c>
      <c r="D563" s="10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103"/>
      <c r="B564" s="103"/>
      <c r="C564" s="104" t="e">
        <v>#REF!</v>
      </c>
      <c r="D564" s="10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103"/>
      <c r="B565" s="103"/>
      <c r="C565" s="104" t="e">
        <v>#REF!</v>
      </c>
      <c r="D565" s="10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103"/>
      <c r="B566" s="103"/>
      <c r="C566" s="104" t="e">
        <v>#REF!</v>
      </c>
      <c r="D566" s="10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103"/>
      <c r="B567" s="103"/>
      <c r="C567" s="104" t="e">
        <v>#REF!</v>
      </c>
      <c r="D567" s="10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103"/>
      <c r="B568" s="103"/>
      <c r="C568" s="104" t="e">
        <v>#REF!</v>
      </c>
      <c r="D568" s="10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103"/>
      <c r="B569" s="103"/>
      <c r="C569" s="104" t="e">
        <v>#REF!</v>
      </c>
      <c r="D569" s="10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103"/>
      <c r="B570" s="103"/>
      <c r="C570" s="104" t="e">
        <v>#REF!</v>
      </c>
      <c r="D570" s="10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103"/>
      <c r="B571" s="103"/>
      <c r="C571" s="104" t="e">
        <v>#REF!</v>
      </c>
      <c r="D571" s="10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103"/>
      <c r="B572" s="103"/>
      <c r="C572" s="104" t="e">
        <v>#REF!</v>
      </c>
      <c r="D572" s="10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103"/>
      <c r="B573" s="103"/>
      <c r="C573" s="104" t="e">
        <v>#REF!</v>
      </c>
      <c r="D573" s="10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103"/>
      <c r="B574" s="103"/>
      <c r="C574" s="104" t="e">
        <v>#REF!</v>
      </c>
      <c r="D574" s="10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103"/>
      <c r="B575" s="103"/>
      <c r="C575" s="104" t="e">
        <v>#REF!</v>
      </c>
      <c r="D575" s="10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103"/>
      <c r="B576" s="103"/>
      <c r="C576" s="104" t="e">
        <v>#REF!</v>
      </c>
      <c r="D576" s="10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103"/>
      <c r="B577" s="103"/>
      <c r="C577" s="104" t="e">
        <v>#REF!</v>
      </c>
      <c r="D577" s="10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103"/>
      <c r="B578" s="103"/>
      <c r="C578" s="104" t="e">
        <v>#REF!</v>
      </c>
      <c r="D578" s="10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103"/>
      <c r="B579" s="103"/>
      <c r="C579" s="104" t="e">
        <v>#REF!</v>
      </c>
      <c r="D579" s="10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103"/>
      <c r="B580" s="103"/>
      <c r="C580" s="104" t="e">
        <v>#REF!</v>
      </c>
      <c r="D580" s="10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103"/>
      <c r="B581" s="103"/>
      <c r="C581" s="104" t="e">
        <v>#REF!</v>
      </c>
      <c r="D581" s="10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103"/>
      <c r="B582" s="103"/>
      <c r="C582" s="104" t="e">
        <v>#REF!</v>
      </c>
      <c r="D582" s="10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103"/>
      <c r="B583" s="103"/>
      <c r="C583" s="104" t="e">
        <v>#REF!</v>
      </c>
      <c r="D583" s="10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103"/>
      <c r="B584" s="103"/>
      <c r="C584" s="104" t="e">
        <v>#REF!</v>
      </c>
      <c r="D584" s="10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103"/>
      <c r="B585" s="103"/>
      <c r="C585" s="104" t="e">
        <v>#REF!</v>
      </c>
      <c r="D585" s="10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103"/>
      <c r="B586" s="103"/>
      <c r="C586" s="104" t="e">
        <v>#REF!</v>
      </c>
      <c r="D586" s="10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103"/>
      <c r="B587" s="103"/>
      <c r="C587" s="104" t="e">
        <v>#REF!</v>
      </c>
      <c r="D587" s="10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103"/>
      <c r="B588" s="103"/>
      <c r="C588" s="104" t="e">
        <v>#REF!</v>
      </c>
      <c r="D588" s="10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103"/>
      <c r="B589" s="103"/>
      <c r="C589" s="104" t="e">
        <v>#REF!</v>
      </c>
      <c r="D589" s="10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103"/>
      <c r="B590" s="103"/>
      <c r="C590" s="104" t="e">
        <v>#REF!</v>
      </c>
      <c r="D590" s="10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103"/>
      <c r="B591" s="103"/>
      <c r="C591" s="104" t="e">
        <v>#REF!</v>
      </c>
      <c r="D591" s="10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103"/>
      <c r="B592" s="103"/>
      <c r="C592" s="104" t="e">
        <v>#REF!</v>
      </c>
      <c r="D592" s="10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103"/>
      <c r="B593" s="103"/>
      <c r="C593" s="104" t="e">
        <v>#REF!</v>
      </c>
      <c r="D593" s="10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103"/>
      <c r="B594" s="103"/>
      <c r="C594" s="104" t="e">
        <v>#REF!</v>
      </c>
      <c r="D594" s="10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103"/>
      <c r="B595" s="103"/>
      <c r="C595" s="104" t="e">
        <v>#REF!</v>
      </c>
      <c r="D595" s="10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103"/>
      <c r="B596" s="103"/>
      <c r="C596" s="104" t="e">
        <v>#REF!</v>
      </c>
      <c r="D596" s="10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103"/>
      <c r="B597" s="103"/>
      <c r="C597" s="104" t="e">
        <v>#REF!</v>
      </c>
      <c r="D597" s="10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103"/>
      <c r="B598" s="103"/>
      <c r="C598" s="104" t="e">
        <v>#REF!</v>
      </c>
      <c r="D598" s="10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103"/>
      <c r="B599" s="103"/>
      <c r="C599" s="104" t="e">
        <v>#REF!</v>
      </c>
      <c r="D599" s="10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103"/>
      <c r="B600" s="103"/>
      <c r="C600" s="104" t="e">
        <v>#REF!</v>
      </c>
      <c r="D600" s="10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103"/>
      <c r="B601" s="103"/>
      <c r="C601" s="104" t="e">
        <v>#REF!</v>
      </c>
      <c r="D601" s="10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103"/>
      <c r="B602" s="103"/>
      <c r="C602" s="104" t="e">
        <v>#REF!</v>
      </c>
      <c r="D602" s="10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103"/>
      <c r="B603" s="103"/>
      <c r="C603" s="104" t="e">
        <v>#REF!</v>
      </c>
      <c r="D603" s="10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103"/>
      <c r="B604" s="103"/>
      <c r="C604" s="104" t="e">
        <v>#REF!</v>
      </c>
      <c r="D604" s="10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103"/>
      <c r="B605" s="103"/>
      <c r="C605" s="104" t="e">
        <v>#REF!</v>
      </c>
      <c r="D605" s="10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103"/>
      <c r="B606" s="103"/>
      <c r="C606" s="104" t="e">
        <v>#REF!</v>
      </c>
      <c r="D606" s="10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103"/>
      <c r="B607" s="103"/>
      <c r="C607" s="104" t="e">
        <v>#REF!</v>
      </c>
      <c r="D607" s="10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103"/>
      <c r="B608" s="103"/>
      <c r="C608" s="104" t="e">
        <v>#REF!</v>
      </c>
      <c r="D608" s="10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103"/>
      <c r="B609" s="103"/>
      <c r="C609" s="104" t="e">
        <v>#REF!</v>
      </c>
      <c r="D609" s="10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103"/>
      <c r="B610" s="103"/>
      <c r="C610" s="104" t="e">
        <v>#REF!</v>
      </c>
      <c r="D610" s="10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103"/>
      <c r="B611" s="103"/>
      <c r="C611" s="104" t="e">
        <v>#REF!</v>
      </c>
      <c r="D611" s="10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103"/>
      <c r="B612" s="103"/>
      <c r="C612" s="104" t="e">
        <v>#REF!</v>
      </c>
      <c r="D612" s="10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103"/>
      <c r="B613" s="103"/>
      <c r="C613" s="104" t="e">
        <v>#REF!</v>
      </c>
      <c r="D613" s="10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103"/>
      <c r="B614" s="103"/>
      <c r="C614" s="104" t="e">
        <v>#REF!</v>
      </c>
      <c r="D614" s="10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103"/>
      <c r="B615" s="103"/>
      <c r="C615" s="104" t="e">
        <v>#REF!</v>
      </c>
      <c r="D615" s="10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103"/>
      <c r="B616" s="103"/>
      <c r="C616" s="104" t="e">
        <v>#REF!</v>
      </c>
      <c r="D616" s="10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103"/>
      <c r="B617" s="103"/>
      <c r="C617" s="104" t="e">
        <v>#REF!</v>
      </c>
      <c r="D617" s="10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103"/>
      <c r="B618" s="103"/>
      <c r="C618" s="104" t="e">
        <v>#REF!</v>
      </c>
      <c r="D618" s="10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103"/>
      <c r="B619" s="103"/>
      <c r="C619" s="104" t="e">
        <v>#REF!</v>
      </c>
      <c r="D619" s="10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103"/>
      <c r="B620" s="103"/>
      <c r="C620" s="104" t="e">
        <v>#REF!</v>
      </c>
      <c r="D620" s="10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103"/>
      <c r="B621" s="103"/>
      <c r="C621" s="104" t="e">
        <v>#REF!</v>
      </c>
      <c r="D621" s="10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103"/>
      <c r="B622" s="103"/>
      <c r="C622" s="104" t="e">
        <v>#REF!</v>
      </c>
      <c r="D622" s="10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103"/>
      <c r="B623" s="103"/>
      <c r="C623" s="104" t="e">
        <v>#REF!</v>
      </c>
      <c r="D623" s="10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103"/>
      <c r="B624" s="103"/>
      <c r="C624" s="104" t="e">
        <v>#REF!</v>
      </c>
      <c r="D624" s="10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103"/>
      <c r="B625" s="103"/>
      <c r="C625" s="104" t="e">
        <v>#REF!</v>
      </c>
      <c r="D625" s="10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103"/>
      <c r="B626" s="103"/>
      <c r="C626" s="104" t="e">
        <v>#REF!</v>
      </c>
      <c r="D626" s="10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103"/>
      <c r="B627" s="103"/>
      <c r="C627" s="104" t="e">
        <v>#REF!</v>
      </c>
      <c r="D627" s="10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103"/>
      <c r="B628" s="103"/>
      <c r="C628" s="104" t="e">
        <v>#REF!</v>
      </c>
      <c r="D628" s="10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103"/>
      <c r="B629" s="103"/>
      <c r="C629" s="104" t="e">
        <v>#REF!</v>
      </c>
      <c r="D629" s="10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103"/>
      <c r="B630" s="103"/>
      <c r="C630" s="104" t="e">
        <v>#REF!</v>
      </c>
      <c r="D630" s="10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103"/>
      <c r="B631" s="103"/>
      <c r="C631" s="104" t="e">
        <v>#REF!</v>
      </c>
      <c r="D631" s="10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103"/>
      <c r="B632" s="103"/>
      <c r="C632" s="104" t="e">
        <v>#REF!</v>
      </c>
      <c r="D632" s="10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103"/>
      <c r="B633" s="103"/>
      <c r="C633" s="104" t="e">
        <v>#REF!</v>
      </c>
      <c r="D633" s="10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103"/>
      <c r="B634" s="103"/>
      <c r="C634" s="104" t="e">
        <v>#REF!</v>
      </c>
      <c r="D634" s="10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103"/>
      <c r="B635" s="103"/>
      <c r="C635" s="104" t="e">
        <v>#REF!</v>
      </c>
      <c r="D635" s="10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103"/>
      <c r="B636" s="103"/>
      <c r="C636" s="104" t="e">
        <v>#REF!</v>
      </c>
      <c r="D636" s="10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103"/>
      <c r="B637" s="103"/>
      <c r="C637" s="104" t="e">
        <v>#REF!</v>
      </c>
      <c r="D637" s="10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103"/>
      <c r="B638" s="103"/>
      <c r="C638" s="104" t="e">
        <v>#REF!</v>
      </c>
      <c r="D638" s="10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103"/>
      <c r="B639" s="103"/>
      <c r="C639" s="104" t="e">
        <v>#REF!</v>
      </c>
      <c r="D639" s="10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103"/>
      <c r="B640" s="103"/>
      <c r="C640" s="104" t="e">
        <v>#REF!</v>
      </c>
      <c r="D640" s="10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103"/>
      <c r="B641" s="103"/>
      <c r="C641" s="104" t="e">
        <v>#REF!</v>
      </c>
      <c r="D641" s="10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103"/>
      <c r="B642" s="103"/>
      <c r="C642" s="104" t="e">
        <v>#REF!</v>
      </c>
      <c r="D642" s="10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103"/>
      <c r="B643" s="103"/>
      <c r="C643" s="104" t="e">
        <v>#REF!</v>
      </c>
      <c r="D643" s="10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103"/>
      <c r="B644" s="103"/>
      <c r="C644" s="104" t="e">
        <v>#REF!</v>
      </c>
      <c r="D644" s="10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103"/>
      <c r="B645" s="103"/>
      <c r="C645" s="104" t="e">
        <v>#REF!</v>
      </c>
      <c r="D645" s="10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103"/>
      <c r="B646" s="103"/>
      <c r="C646" s="104" t="e">
        <v>#REF!</v>
      </c>
      <c r="D646" s="10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103"/>
      <c r="B647" s="103"/>
      <c r="C647" s="104" t="e">
        <v>#REF!</v>
      </c>
      <c r="D647" s="10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103"/>
      <c r="B648" s="103"/>
      <c r="C648" s="104" t="e">
        <v>#REF!</v>
      </c>
      <c r="D648" s="10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103"/>
      <c r="B649" s="103"/>
      <c r="C649" s="104" t="e">
        <v>#REF!</v>
      </c>
      <c r="D649" s="10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103"/>
      <c r="B650" s="103"/>
      <c r="C650" s="104" t="e">
        <v>#REF!</v>
      </c>
      <c r="D650" s="10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103"/>
      <c r="B651" s="103"/>
      <c r="C651" s="104" t="e">
        <v>#REF!</v>
      </c>
      <c r="D651" s="10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103"/>
      <c r="B652" s="103"/>
      <c r="C652" s="104" t="e">
        <v>#REF!</v>
      </c>
      <c r="D652" s="10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103"/>
      <c r="B653" s="103"/>
      <c r="C653" s="104" t="e">
        <v>#REF!</v>
      </c>
      <c r="D653" s="10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103"/>
      <c r="B654" s="103"/>
      <c r="C654" s="104" t="e">
        <v>#REF!</v>
      </c>
      <c r="D654" s="10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103"/>
      <c r="B655" s="103"/>
      <c r="C655" s="104" t="e">
        <v>#REF!</v>
      </c>
      <c r="D655" s="10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103"/>
      <c r="B656" s="103"/>
      <c r="C656" s="104" t="e">
        <v>#REF!</v>
      </c>
      <c r="D656" s="10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103"/>
      <c r="B657" s="103"/>
      <c r="C657" s="104" t="e">
        <v>#REF!</v>
      </c>
      <c r="D657" s="10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103"/>
      <c r="B658" s="103"/>
      <c r="C658" s="104" t="e">
        <v>#REF!</v>
      </c>
      <c r="D658" s="10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103"/>
      <c r="B659" s="103"/>
      <c r="C659" s="104" t="e">
        <v>#REF!</v>
      </c>
      <c r="D659" s="10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103"/>
      <c r="B660" s="103"/>
      <c r="C660" s="104" t="e">
        <v>#REF!</v>
      </c>
      <c r="D660" s="10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103"/>
      <c r="B661" s="103"/>
      <c r="C661" s="104" t="e">
        <v>#REF!</v>
      </c>
      <c r="D661" s="10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103"/>
      <c r="B662" s="103"/>
      <c r="C662" s="104" t="e">
        <v>#REF!</v>
      </c>
      <c r="D662" s="10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103"/>
      <c r="B663" s="103"/>
      <c r="C663" s="104" t="e">
        <v>#REF!</v>
      </c>
      <c r="D663" s="10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103"/>
      <c r="B664" s="103"/>
      <c r="C664" s="104" t="e">
        <v>#REF!</v>
      </c>
      <c r="D664" s="10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103"/>
      <c r="B665" s="103"/>
      <c r="C665" s="104" t="e">
        <v>#REF!</v>
      </c>
      <c r="D665" s="10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103"/>
      <c r="B666" s="103"/>
      <c r="C666" s="104" t="e">
        <v>#REF!</v>
      </c>
      <c r="D666" s="10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103"/>
      <c r="B667" s="103"/>
      <c r="C667" s="104" t="e">
        <v>#REF!</v>
      </c>
      <c r="D667" s="10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103"/>
      <c r="B668" s="103"/>
      <c r="C668" s="104" t="e">
        <v>#REF!</v>
      </c>
      <c r="D668" s="10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103"/>
      <c r="B669" s="103"/>
      <c r="C669" s="104" t="e">
        <v>#REF!</v>
      </c>
      <c r="D669" s="10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103"/>
      <c r="B670" s="103"/>
      <c r="C670" s="104" t="e">
        <v>#REF!</v>
      </c>
      <c r="D670" s="10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103"/>
      <c r="B671" s="103"/>
      <c r="C671" s="104" t="e">
        <v>#REF!</v>
      </c>
      <c r="D671" s="10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103"/>
      <c r="B672" s="103"/>
      <c r="C672" s="104" t="e">
        <v>#REF!</v>
      </c>
      <c r="D672" s="10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103"/>
      <c r="B673" s="103"/>
      <c r="C673" s="104" t="e">
        <v>#REF!</v>
      </c>
      <c r="D673" s="10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103"/>
      <c r="B674" s="103"/>
      <c r="C674" s="104" t="e">
        <v>#REF!</v>
      </c>
      <c r="D674" s="10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103"/>
      <c r="B675" s="103"/>
      <c r="C675" s="104" t="e">
        <v>#REF!</v>
      </c>
      <c r="D675" s="10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103"/>
      <c r="B676" s="103"/>
      <c r="C676" s="104" t="e">
        <v>#REF!</v>
      </c>
      <c r="D676" s="10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103"/>
      <c r="B677" s="103"/>
      <c r="C677" s="104" t="e">
        <v>#REF!</v>
      </c>
      <c r="D677" s="10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103"/>
      <c r="B678" s="103"/>
      <c r="C678" s="104" t="e">
        <v>#REF!</v>
      </c>
      <c r="D678" s="10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103"/>
      <c r="B679" s="103"/>
      <c r="C679" s="104" t="e">
        <v>#REF!</v>
      </c>
      <c r="D679" s="10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103"/>
      <c r="B680" s="103"/>
      <c r="C680" s="104" t="e">
        <v>#REF!</v>
      </c>
      <c r="D680" s="10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103"/>
      <c r="B681" s="103"/>
      <c r="C681" s="104" t="e">
        <v>#REF!</v>
      </c>
      <c r="D681" s="10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103"/>
      <c r="B682" s="103"/>
      <c r="C682" s="104" t="e">
        <v>#REF!</v>
      </c>
      <c r="D682" s="10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103"/>
      <c r="B683" s="103"/>
      <c r="C683" s="104" t="e">
        <v>#REF!</v>
      </c>
      <c r="D683" s="10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103"/>
      <c r="B684" s="103"/>
      <c r="C684" s="104" t="e">
        <v>#REF!</v>
      </c>
      <c r="D684" s="10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103"/>
      <c r="B685" s="103"/>
      <c r="C685" s="104" t="e">
        <v>#REF!</v>
      </c>
      <c r="D685" s="10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103"/>
      <c r="B686" s="103"/>
      <c r="C686" s="104" t="e">
        <v>#REF!</v>
      </c>
      <c r="D686" s="10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103"/>
      <c r="B687" s="103"/>
      <c r="C687" s="104" t="e">
        <v>#REF!</v>
      </c>
      <c r="D687" s="10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103"/>
      <c r="B688" s="103"/>
      <c r="C688" s="104" t="e">
        <v>#REF!</v>
      </c>
      <c r="D688" s="10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103"/>
      <c r="B689" s="103"/>
      <c r="C689" s="104" t="e">
        <v>#REF!</v>
      </c>
      <c r="D689" s="10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103"/>
      <c r="B690" s="103"/>
      <c r="C690" s="104" t="e">
        <v>#REF!</v>
      </c>
      <c r="D690" s="10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103"/>
      <c r="B691" s="103"/>
      <c r="C691" s="104" t="e">
        <v>#REF!</v>
      </c>
      <c r="D691" s="10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103"/>
      <c r="B692" s="103"/>
      <c r="C692" s="104" t="e">
        <v>#REF!</v>
      </c>
      <c r="D692" s="10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103"/>
      <c r="B693" s="103"/>
      <c r="C693" s="104" t="e">
        <v>#REF!</v>
      </c>
      <c r="D693" s="10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103"/>
      <c r="B694" s="103"/>
      <c r="C694" s="104" t="e">
        <v>#REF!</v>
      </c>
      <c r="D694" s="10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103"/>
      <c r="B695" s="103"/>
      <c r="C695" s="104" t="e">
        <v>#REF!</v>
      </c>
      <c r="D695" s="10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103"/>
      <c r="B696" s="103"/>
      <c r="C696" s="104" t="e">
        <v>#REF!</v>
      </c>
      <c r="D696" s="10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103"/>
      <c r="B697" s="103"/>
      <c r="C697" s="104" t="e">
        <v>#REF!</v>
      </c>
      <c r="D697" s="10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103"/>
      <c r="B698" s="103"/>
      <c r="C698" s="104" t="e">
        <v>#REF!</v>
      </c>
      <c r="D698" s="10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103"/>
      <c r="B699" s="103"/>
      <c r="C699" s="104" t="e">
        <v>#REF!</v>
      </c>
      <c r="D699" s="10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103"/>
      <c r="B700" s="103"/>
      <c r="C700" s="104" t="e">
        <v>#REF!</v>
      </c>
      <c r="D700" s="10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103"/>
      <c r="B701" s="103"/>
      <c r="C701" s="104" t="e">
        <v>#REF!</v>
      </c>
      <c r="D701" s="10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103"/>
      <c r="B702" s="103"/>
      <c r="C702" s="104" t="e">
        <v>#REF!</v>
      </c>
      <c r="D702" s="10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103"/>
      <c r="B703" s="103"/>
      <c r="C703" s="104" t="e">
        <v>#REF!</v>
      </c>
      <c r="D703" s="10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103"/>
      <c r="B704" s="103"/>
      <c r="C704" s="104" t="e">
        <v>#REF!</v>
      </c>
      <c r="D704" s="10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103"/>
      <c r="B705" s="103"/>
      <c r="C705" s="104" t="e">
        <v>#REF!</v>
      </c>
      <c r="D705" s="10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103"/>
      <c r="B706" s="103"/>
      <c r="C706" s="104" t="e">
        <v>#REF!</v>
      </c>
      <c r="D706" s="10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103"/>
      <c r="B707" s="103"/>
      <c r="C707" s="104" t="e">
        <v>#REF!</v>
      </c>
      <c r="D707" s="10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103"/>
      <c r="B708" s="103"/>
      <c r="C708" s="104" t="e">
        <v>#REF!</v>
      </c>
      <c r="D708" s="10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103"/>
      <c r="B709" s="103"/>
      <c r="C709" s="104" t="e">
        <v>#REF!</v>
      </c>
      <c r="D709" s="10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103"/>
      <c r="B710" s="103"/>
      <c r="C710" s="104" t="e">
        <v>#REF!</v>
      </c>
      <c r="D710" s="10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103"/>
      <c r="B711" s="103"/>
      <c r="C711" s="104" t="e">
        <v>#REF!</v>
      </c>
      <c r="D711" s="10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103"/>
      <c r="B712" s="103"/>
      <c r="C712" s="104" t="e">
        <v>#REF!</v>
      </c>
      <c r="D712" s="10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103"/>
      <c r="B713" s="103"/>
      <c r="C713" s="104" t="e">
        <v>#REF!</v>
      </c>
      <c r="D713" s="10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103"/>
      <c r="B714" s="103"/>
      <c r="C714" s="104" t="e">
        <v>#REF!</v>
      </c>
      <c r="D714" s="10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103"/>
      <c r="B715" s="103"/>
      <c r="C715" s="104" t="e">
        <v>#REF!</v>
      </c>
      <c r="D715" s="10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103"/>
      <c r="B716" s="103"/>
      <c r="C716" s="104" t="e">
        <v>#REF!</v>
      </c>
      <c r="D716" s="10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103"/>
      <c r="B717" s="103"/>
      <c r="C717" s="104" t="e">
        <v>#REF!</v>
      </c>
      <c r="D717" s="10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103"/>
      <c r="B718" s="103"/>
      <c r="C718" s="104" t="e">
        <v>#REF!</v>
      </c>
      <c r="D718" s="10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103"/>
      <c r="B719" s="103"/>
      <c r="C719" s="104" t="e">
        <v>#REF!</v>
      </c>
      <c r="D719" s="10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103"/>
      <c r="B720" s="103"/>
      <c r="C720" s="104" t="e">
        <v>#REF!</v>
      </c>
      <c r="D720" s="10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103"/>
      <c r="B721" s="103"/>
      <c r="C721" s="104" t="e">
        <v>#REF!</v>
      </c>
      <c r="D721" s="10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103"/>
      <c r="B722" s="103"/>
      <c r="C722" s="104" t="e">
        <v>#REF!</v>
      </c>
      <c r="D722" s="10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103"/>
      <c r="B723" s="103"/>
      <c r="C723" s="104" t="e">
        <v>#REF!</v>
      </c>
      <c r="D723" s="10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103"/>
      <c r="B724" s="103"/>
      <c r="C724" s="104" t="e">
        <v>#REF!</v>
      </c>
      <c r="D724" s="10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103"/>
      <c r="B725" s="103"/>
      <c r="C725" s="104" t="e">
        <v>#REF!</v>
      </c>
      <c r="D725" s="10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103"/>
      <c r="B726" s="103"/>
      <c r="C726" s="104" t="e">
        <v>#REF!</v>
      </c>
      <c r="D726" s="10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103"/>
      <c r="B727" s="103"/>
      <c r="C727" s="104" t="e">
        <v>#REF!</v>
      </c>
      <c r="D727" s="10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103"/>
      <c r="B728" s="103"/>
      <c r="C728" s="104" t="e">
        <v>#REF!</v>
      </c>
      <c r="D728" s="10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103"/>
      <c r="B729" s="103"/>
      <c r="C729" s="104" t="e">
        <v>#REF!</v>
      </c>
      <c r="D729" s="10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103"/>
      <c r="B730" s="103"/>
      <c r="C730" s="104" t="e">
        <v>#REF!</v>
      </c>
      <c r="D730" s="10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103"/>
      <c r="B731" s="103"/>
      <c r="C731" s="104" t="e">
        <v>#REF!</v>
      </c>
      <c r="D731" s="10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103"/>
      <c r="B732" s="103"/>
      <c r="C732" s="104" t="e">
        <v>#REF!</v>
      </c>
      <c r="D732" s="10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103"/>
      <c r="B733" s="103"/>
      <c r="C733" s="104" t="e">
        <v>#REF!</v>
      </c>
      <c r="D733" s="10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103"/>
      <c r="B734" s="103"/>
      <c r="C734" s="104" t="e">
        <v>#REF!</v>
      </c>
      <c r="D734" s="10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103"/>
      <c r="B735" s="103"/>
      <c r="C735" s="104" t="e">
        <v>#REF!</v>
      </c>
      <c r="D735" s="10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103"/>
      <c r="B736" s="103"/>
      <c r="C736" s="104" t="e">
        <v>#REF!</v>
      </c>
      <c r="D736" s="10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103"/>
      <c r="B737" s="103"/>
      <c r="C737" s="104" t="e">
        <v>#REF!</v>
      </c>
      <c r="D737" s="10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103"/>
      <c r="B738" s="103"/>
      <c r="C738" s="104" t="e">
        <v>#REF!</v>
      </c>
      <c r="D738" s="10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103"/>
      <c r="B739" s="103"/>
      <c r="C739" s="104" t="e">
        <v>#REF!</v>
      </c>
      <c r="D739" s="10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103"/>
      <c r="B740" s="103"/>
      <c r="C740" s="104" t="e">
        <v>#REF!</v>
      </c>
      <c r="D740" s="10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103"/>
      <c r="B741" s="103"/>
      <c r="C741" s="104" t="e">
        <v>#REF!</v>
      </c>
      <c r="D741" s="10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103"/>
      <c r="B742" s="103"/>
      <c r="C742" s="104" t="e">
        <v>#REF!</v>
      </c>
      <c r="D742" s="10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103"/>
      <c r="B743" s="103"/>
      <c r="C743" s="104" t="e">
        <v>#REF!</v>
      </c>
      <c r="D743" s="10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103"/>
      <c r="B744" s="103"/>
      <c r="C744" s="104" t="e">
        <v>#REF!</v>
      </c>
      <c r="D744" s="10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103"/>
      <c r="B745" s="103"/>
      <c r="C745" s="104" t="e">
        <v>#REF!</v>
      </c>
      <c r="D745" s="10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103"/>
      <c r="B746" s="103"/>
      <c r="C746" s="104" t="e">
        <v>#REF!</v>
      </c>
      <c r="D746" s="10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103"/>
      <c r="B747" s="103"/>
      <c r="C747" s="104" t="e">
        <v>#REF!</v>
      </c>
      <c r="D747" s="10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103"/>
      <c r="B748" s="103"/>
      <c r="C748" s="104" t="e">
        <v>#REF!</v>
      </c>
      <c r="D748" s="10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103"/>
      <c r="B749" s="103"/>
      <c r="C749" s="104" t="e">
        <v>#REF!</v>
      </c>
      <c r="D749" s="10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103"/>
      <c r="B750" s="103"/>
      <c r="C750" s="104" t="e">
        <v>#REF!</v>
      </c>
      <c r="D750" s="10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103"/>
      <c r="B751" s="103"/>
      <c r="C751" s="104" t="e">
        <v>#REF!</v>
      </c>
      <c r="D751" s="10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103"/>
      <c r="B752" s="103"/>
      <c r="C752" s="104" t="e">
        <v>#REF!</v>
      </c>
      <c r="D752" s="10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103"/>
      <c r="B753" s="103"/>
      <c r="C753" s="104" t="e">
        <v>#REF!</v>
      </c>
      <c r="D753" s="10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103"/>
      <c r="B754" s="103"/>
      <c r="C754" s="104" t="e">
        <v>#REF!</v>
      </c>
      <c r="D754" s="10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103"/>
      <c r="B755" s="103"/>
      <c r="C755" s="104" t="e">
        <v>#REF!</v>
      </c>
      <c r="D755" s="10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103"/>
      <c r="B756" s="103"/>
      <c r="C756" s="104" t="e">
        <v>#REF!</v>
      </c>
      <c r="D756" s="10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103"/>
      <c r="B757" s="103"/>
      <c r="C757" s="104" t="e">
        <v>#REF!</v>
      </c>
      <c r="D757" s="10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103"/>
      <c r="B758" s="103"/>
      <c r="C758" s="104" t="e">
        <v>#REF!</v>
      </c>
      <c r="D758" s="10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103"/>
      <c r="B759" s="103"/>
      <c r="C759" s="104" t="e">
        <v>#REF!</v>
      </c>
      <c r="D759" s="10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103"/>
      <c r="B760" s="103"/>
      <c r="C760" s="104" t="e">
        <v>#REF!</v>
      </c>
      <c r="D760" s="10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103"/>
      <c r="B761" s="103"/>
      <c r="C761" s="104" t="e">
        <v>#REF!</v>
      </c>
      <c r="D761" s="10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103"/>
      <c r="B762" s="103"/>
      <c r="C762" s="104" t="e">
        <v>#REF!</v>
      </c>
      <c r="D762" s="10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103"/>
      <c r="B763" s="103"/>
      <c r="C763" s="104" t="e">
        <v>#REF!</v>
      </c>
      <c r="D763" s="10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103"/>
      <c r="B764" s="103"/>
      <c r="C764" s="104" t="e">
        <v>#REF!</v>
      </c>
      <c r="D764" s="10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103"/>
      <c r="B765" s="103"/>
      <c r="C765" s="104" t="e">
        <v>#REF!</v>
      </c>
      <c r="D765" s="10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103"/>
      <c r="B766" s="103"/>
      <c r="C766" s="104" t="e">
        <v>#REF!</v>
      </c>
      <c r="D766" s="10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103"/>
      <c r="B767" s="103"/>
      <c r="C767" s="104" t="e">
        <v>#REF!</v>
      </c>
      <c r="D767" s="10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103"/>
      <c r="B768" s="103"/>
      <c r="C768" s="104" t="e">
        <v>#REF!</v>
      </c>
      <c r="D768" s="10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103"/>
      <c r="B769" s="103"/>
      <c r="C769" s="104" t="e">
        <v>#REF!</v>
      </c>
      <c r="D769" s="10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103"/>
      <c r="B770" s="103"/>
      <c r="C770" s="104" t="e">
        <v>#REF!</v>
      </c>
      <c r="D770" s="10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103"/>
      <c r="B771" s="103"/>
      <c r="C771" s="104" t="e">
        <v>#REF!</v>
      </c>
      <c r="D771" s="10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103"/>
      <c r="B772" s="103"/>
      <c r="C772" s="104" t="e">
        <v>#REF!</v>
      </c>
      <c r="D772" s="10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103"/>
      <c r="B773" s="103"/>
      <c r="C773" s="104" t="e">
        <v>#REF!</v>
      </c>
      <c r="D773" s="10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103"/>
      <c r="B774" s="103"/>
      <c r="C774" s="104" t="e">
        <v>#REF!</v>
      </c>
      <c r="D774" s="10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103"/>
      <c r="B775" s="103"/>
      <c r="C775" s="104" t="e">
        <v>#REF!</v>
      </c>
      <c r="D775" s="10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103"/>
      <c r="B776" s="103"/>
      <c r="C776" s="104" t="e">
        <v>#REF!</v>
      </c>
      <c r="D776" s="10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103"/>
      <c r="B777" s="103"/>
      <c r="C777" s="104" t="e">
        <v>#REF!</v>
      </c>
      <c r="D777" s="10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103"/>
      <c r="B778" s="103"/>
      <c r="C778" s="104" t="e">
        <v>#REF!</v>
      </c>
      <c r="D778" s="10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103"/>
      <c r="B779" s="103"/>
      <c r="C779" s="104" t="e">
        <v>#REF!</v>
      </c>
      <c r="D779" s="10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103"/>
      <c r="B780" s="103"/>
      <c r="C780" s="104" t="e">
        <v>#REF!</v>
      </c>
      <c r="D780" s="10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103"/>
      <c r="B781" s="103"/>
      <c r="C781" s="104" t="e">
        <v>#REF!</v>
      </c>
      <c r="D781" s="10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103"/>
      <c r="B782" s="103"/>
      <c r="C782" s="104" t="e">
        <v>#REF!</v>
      </c>
      <c r="D782" s="10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103"/>
      <c r="B783" s="103"/>
      <c r="C783" s="104" t="e">
        <v>#REF!</v>
      </c>
      <c r="D783" s="10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103"/>
      <c r="B784" s="103"/>
      <c r="C784" s="104" t="e">
        <v>#REF!</v>
      </c>
      <c r="D784" s="10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103"/>
      <c r="B785" s="103"/>
      <c r="C785" s="104" t="e">
        <v>#REF!</v>
      </c>
      <c r="D785" s="10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103"/>
      <c r="B786" s="103"/>
      <c r="C786" s="104" t="e">
        <v>#REF!</v>
      </c>
      <c r="D786" s="10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103"/>
      <c r="B787" s="103"/>
      <c r="C787" s="104" t="e">
        <v>#REF!</v>
      </c>
      <c r="D787" s="10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103"/>
      <c r="B788" s="103"/>
      <c r="C788" s="104" t="e">
        <v>#REF!</v>
      </c>
      <c r="D788" s="10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103"/>
      <c r="B789" s="103"/>
      <c r="C789" s="104" t="e">
        <v>#REF!</v>
      </c>
      <c r="D789" s="10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103"/>
      <c r="B790" s="103"/>
      <c r="C790" s="104" t="e">
        <v>#REF!</v>
      </c>
      <c r="D790" s="10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103"/>
      <c r="B791" s="103"/>
      <c r="C791" s="104" t="e">
        <v>#REF!</v>
      </c>
      <c r="D791" s="10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103"/>
      <c r="B792" s="103"/>
      <c r="C792" s="104" t="e">
        <v>#REF!</v>
      </c>
      <c r="D792" s="10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103"/>
      <c r="B793" s="103"/>
      <c r="C793" s="104" t="e">
        <v>#REF!</v>
      </c>
      <c r="D793" s="10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103"/>
      <c r="B794" s="103"/>
      <c r="C794" s="104" t="e">
        <v>#REF!</v>
      </c>
      <c r="D794" s="10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103"/>
      <c r="B795" s="103"/>
      <c r="C795" s="104" t="e">
        <v>#REF!</v>
      </c>
      <c r="D795" s="10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103"/>
      <c r="B796" s="103"/>
      <c r="C796" s="104" t="e">
        <v>#REF!</v>
      </c>
      <c r="D796" s="10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103"/>
      <c r="B797" s="103"/>
      <c r="C797" s="104" t="e">
        <v>#REF!</v>
      </c>
      <c r="D797" s="10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103"/>
      <c r="B798" s="103"/>
      <c r="C798" s="104" t="e">
        <v>#REF!</v>
      </c>
      <c r="D798" s="10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103"/>
      <c r="B799" s="103"/>
      <c r="C799" s="104" t="e">
        <v>#REF!</v>
      </c>
      <c r="D799" s="10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103"/>
      <c r="B800" s="103"/>
      <c r="C800" s="104" t="e">
        <v>#REF!</v>
      </c>
      <c r="D800" s="10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103"/>
      <c r="B801" s="103"/>
      <c r="C801" s="104" t="e">
        <v>#REF!</v>
      </c>
      <c r="D801" s="10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103"/>
      <c r="B802" s="103"/>
      <c r="C802" s="104" t="e">
        <v>#REF!</v>
      </c>
      <c r="D802" s="10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103"/>
      <c r="B803" s="103"/>
      <c r="C803" s="104" t="e">
        <v>#REF!</v>
      </c>
      <c r="D803" s="10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103"/>
      <c r="B804" s="103"/>
      <c r="C804" s="104" t="e">
        <v>#REF!</v>
      </c>
      <c r="D804" s="10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103"/>
      <c r="B805" s="103"/>
      <c r="C805" s="104" t="e">
        <v>#REF!</v>
      </c>
      <c r="D805" s="10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103"/>
      <c r="B806" s="103"/>
      <c r="C806" s="104" t="e">
        <v>#REF!</v>
      </c>
      <c r="D806" s="10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103"/>
      <c r="B807" s="103"/>
      <c r="C807" s="104" t="e">
        <v>#REF!</v>
      </c>
      <c r="D807" s="10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103"/>
      <c r="B808" s="103"/>
      <c r="C808" s="104" t="e">
        <v>#REF!</v>
      </c>
      <c r="D808" s="10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103"/>
      <c r="B809" s="103"/>
      <c r="C809" s="104" t="e">
        <v>#REF!</v>
      </c>
      <c r="D809" s="10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103"/>
      <c r="B810" s="103"/>
      <c r="C810" s="104" t="e">
        <v>#REF!</v>
      </c>
      <c r="D810" s="10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103"/>
      <c r="B811" s="103"/>
      <c r="C811" s="104" t="e">
        <v>#REF!</v>
      </c>
      <c r="D811" s="10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103"/>
      <c r="B812" s="103"/>
      <c r="C812" s="104" t="e">
        <v>#REF!</v>
      </c>
      <c r="D812" s="10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103"/>
      <c r="B813" s="103"/>
      <c r="C813" s="104" t="e">
        <v>#REF!</v>
      </c>
      <c r="D813" s="10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103"/>
      <c r="B814" s="103"/>
      <c r="C814" s="104" t="e">
        <v>#REF!</v>
      </c>
      <c r="D814" s="10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103"/>
      <c r="B815" s="103"/>
      <c r="C815" s="104" t="e">
        <v>#REF!</v>
      </c>
      <c r="D815" s="10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103"/>
      <c r="B816" s="103"/>
      <c r="C816" s="104" t="e">
        <v>#REF!</v>
      </c>
      <c r="D816" s="10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103"/>
      <c r="B817" s="103"/>
      <c r="C817" s="104" t="e">
        <v>#REF!</v>
      </c>
      <c r="D817" s="10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103"/>
      <c r="B818" s="103"/>
      <c r="C818" s="104" t="e">
        <v>#REF!</v>
      </c>
      <c r="D818" s="10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103"/>
      <c r="B819" s="103"/>
      <c r="C819" s="104" t="e">
        <v>#REF!</v>
      </c>
      <c r="D819" s="10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103"/>
      <c r="B820" s="103"/>
      <c r="C820" s="104" t="e">
        <v>#REF!</v>
      </c>
      <c r="D820" s="10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103"/>
      <c r="B821" s="103"/>
      <c r="C821" s="104" t="e">
        <v>#REF!</v>
      </c>
      <c r="D821" s="10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103"/>
      <c r="B822" s="103"/>
      <c r="C822" s="104" t="e">
        <v>#REF!</v>
      </c>
      <c r="D822" s="10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103"/>
      <c r="B823" s="103"/>
      <c r="C823" s="104" t="e">
        <v>#REF!</v>
      </c>
      <c r="D823" s="10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103"/>
      <c r="B824" s="103"/>
      <c r="C824" s="104" t="e">
        <v>#REF!</v>
      </c>
      <c r="D824" s="10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103"/>
      <c r="B825" s="103"/>
      <c r="C825" s="104" t="e">
        <v>#REF!</v>
      </c>
      <c r="D825" s="10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103"/>
      <c r="B826" s="103"/>
      <c r="C826" s="104" t="e">
        <v>#REF!</v>
      </c>
      <c r="D826" s="10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103"/>
      <c r="B827" s="103"/>
      <c r="C827" s="104" t="e">
        <v>#REF!</v>
      </c>
      <c r="D827" s="10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103"/>
      <c r="B828" s="103"/>
      <c r="C828" s="104" t="e">
        <v>#REF!</v>
      </c>
      <c r="D828" s="10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103"/>
      <c r="B829" s="103"/>
      <c r="C829" s="104" t="e">
        <v>#REF!</v>
      </c>
      <c r="D829" s="10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103"/>
      <c r="B830" s="103"/>
      <c r="C830" s="104" t="e">
        <v>#REF!</v>
      </c>
      <c r="D830" s="10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103"/>
      <c r="B831" s="103"/>
      <c r="C831" s="104" t="e">
        <v>#REF!</v>
      </c>
      <c r="D831" s="10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103"/>
      <c r="B832" s="103"/>
      <c r="C832" s="104" t="e">
        <v>#REF!</v>
      </c>
      <c r="D832" s="10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103"/>
      <c r="B833" s="103"/>
      <c r="C833" s="104" t="e">
        <v>#REF!</v>
      </c>
      <c r="D833" s="10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103"/>
      <c r="B834" s="103"/>
      <c r="C834" s="104" t="e">
        <v>#REF!</v>
      </c>
      <c r="D834" s="10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103"/>
      <c r="B835" s="103"/>
      <c r="C835" s="104" t="e">
        <v>#REF!</v>
      </c>
      <c r="D835" s="10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103"/>
      <c r="B836" s="103"/>
      <c r="C836" s="104" t="e">
        <v>#REF!</v>
      </c>
      <c r="D836" s="10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103"/>
      <c r="B837" s="103"/>
      <c r="C837" s="104" t="e">
        <v>#REF!</v>
      </c>
      <c r="D837" s="10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103"/>
      <c r="B838" s="103"/>
      <c r="C838" s="104" t="e">
        <v>#REF!</v>
      </c>
      <c r="D838" s="10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103"/>
      <c r="B839" s="103"/>
      <c r="C839" s="104" t="e">
        <v>#REF!</v>
      </c>
      <c r="D839" s="10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103"/>
      <c r="B840" s="103"/>
      <c r="C840" s="104" t="e">
        <v>#REF!</v>
      </c>
      <c r="D840" s="10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103"/>
      <c r="B841" s="103"/>
      <c r="C841" s="104" t="e">
        <v>#REF!</v>
      </c>
      <c r="D841" s="10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103"/>
      <c r="B842" s="103"/>
      <c r="C842" s="104" t="e">
        <v>#REF!</v>
      </c>
      <c r="D842" s="10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103"/>
      <c r="B843" s="103"/>
      <c r="C843" s="104" t="e">
        <v>#REF!</v>
      </c>
      <c r="D843" s="10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103"/>
      <c r="B844" s="103"/>
      <c r="C844" s="104" t="e">
        <v>#REF!</v>
      </c>
      <c r="D844" s="10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103"/>
      <c r="B845" s="103"/>
      <c r="C845" s="104" t="e">
        <v>#REF!</v>
      </c>
      <c r="D845" s="10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103"/>
      <c r="B846" s="103"/>
      <c r="C846" s="104" t="e">
        <v>#REF!</v>
      </c>
      <c r="D846" s="10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103"/>
      <c r="B847" s="103"/>
      <c r="C847" s="104" t="e">
        <v>#REF!</v>
      </c>
      <c r="D847" s="10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103"/>
      <c r="B848" s="103"/>
      <c r="C848" s="104" t="e">
        <v>#REF!</v>
      </c>
      <c r="D848" s="10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103"/>
      <c r="B849" s="103"/>
      <c r="C849" s="104" t="e">
        <v>#REF!</v>
      </c>
      <c r="D849" s="10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103"/>
      <c r="B850" s="103"/>
      <c r="C850" s="104" t="e">
        <v>#REF!</v>
      </c>
      <c r="D850" s="10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103"/>
      <c r="B851" s="103"/>
      <c r="C851" s="104" t="e">
        <v>#REF!</v>
      </c>
      <c r="D851" s="10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103"/>
      <c r="B852" s="103"/>
      <c r="C852" s="104" t="e">
        <v>#REF!</v>
      </c>
      <c r="D852" s="10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103"/>
      <c r="B853" s="103"/>
      <c r="C853" s="104" t="e">
        <v>#REF!</v>
      </c>
      <c r="D853" s="10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103"/>
      <c r="B854" s="103"/>
      <c r="C854" s="104" t="e">
        <v>#REF!</v>
      </c>
      <c r="D854" s="10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103"/>
      <c r="B855" s="103"/>
      <c r="C855" s="104" t="e">
        <v>#REF!</v>
      </c>
      <c r="D855" s="10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103"/>
      <c r="B856" s="103"/>
      <c r="C856" s="104" t="e">
        <v>#REF!</v>
      </c>
      <c r="D856" s="10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103"/>
      <c r="B857" s="103"/>
      <c r="C857" s="104" t="e">
        <v>#REF!</v>
      </c>
      <c r="D857" s="10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103"/>
      <c r="B858" s="103"/>
      <c r="C858" s="104" t="e">
        <v>#REF!</v>
      </c>
      <c r="D858" s="10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103"/>
      <c r="B859" s="103"/>
      <c r="C859" s="104" t="e">
        <v>#REF!</v>
      </c>
      <c r="D859" s="10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103"/>
      <c r="B860" s="103"/>
      <c r="C860" s="104" t="e">
        <v>#REF!</v>
      </c>
      <c r="D860" s="10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103"/>
      <c r="B861" s="103"/>
      <c r="C861" s="104" t="e">
        <v>#REF!</v>
      </c>
      <c r="D861" s="10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103"/>
      <c r="B862" s="103"/>
      <c r="C862" s="104" t="e">
        <v>#REF!</v>
      </c>
      <c r="D862" s="10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103"/>
      <c r="B863" s="103"/>
      <c r="C863" s="104" t="e">
        <v>#REF!</v>
      </c>
      <c r="D863" s="10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103"/>
      <c r="B864" s="103"/>
      <c r="C864" s="104" t="e">
        <v>#REF!</v>
      </c>
      <c r="D864" s="10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103"/>
      <c r="B865" s="103"/>
      <c r="C865" s="104" t="e">
        <v>#REF!</v>
      </c>
      <c r="D865" s="10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103"/>
      <c r="B866" s="103"/>
      <c r="C866" s="104" t="e">
        <v>#REF!</v>
      </c>
      <c r="D866" s="10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103"/>
      <c r="B867" s="103"/>
      <c r="C867" s="104" t="e">
        <v>#REF!</v>
      </c>
      <c r="D867" s="10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103"/>
      <c r="B868" s="103"/>
      <c r="C868" s="104" t="e">
        <v>#REF!</v>
      </c>
      <c r="D868" s="10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103"/>
      <c r="B869" s="103"/>
      <c r="C869" s="104" t="e">
        <v>#REF!</v>
      </c>
      <c r="D869" s="10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103"/>
      <c r="B870" s="103"/>
      <c r="C870" s="104" t="e">
        <v>#REF!</v>
      </c>
      <c r="D870" s="10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103"/>
      <c r="B871" s="103"/>
      <c r="C871" s="104" t="e">
        <v>#REF!</v>
      </c>
      <c r="D871" s="10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103"/>
      <c r="B872" s="103"/>
      <c r="C872" s="104" t="e">
        <v>#REF!</v>
      </c>
      <c r="D872" s="10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103"/>
      <c r="B873" s="103"/>
      <c r="C873" s="104" t="e">
        <v>#REF!</v>
      </c>
      <c r="D873" s="10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103"/>
      <c r="B874" s="103"/>
      <c r="C874" s="104" t="e">
        <v>#REF!</v>
      </c>
      <c r="D874" s="10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103"/>
      <c r="B875" s="103"/>
      <c r="C875" s="104" t="e">
        <v>#REF!</v>
      </c>
      <c r="D875" s="10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103"/>
      <c r="B876" s="103"/>
      <c r="C876" s="104" t="e">
        <v>#REF!</v>
      </c>
      <c r="D876" s="10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103"/>
      <c r="B877" s="103"/>
      <c r="C877" s="104" t="e">
        <v>#REF!</v>
      </c>
      <c r="D877" s="10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103"/>
      <c r="B878" s="103"/>
      <c r="C878" s="104" t="e">
        <v>#REF!</v>
      </c>
      <c r="D878" s="10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103"/>
      <c r="B879" s="103"/>
      <c r="C879" s="104" t="e">
        <v>#REF!</v>
      </c>
      <c r="D879" s="10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103"/>
      <c r="B880" s="103"/>
      <c r="C880" s="104" t="e">
        <v>#REF!</v>
      </c>
      <c r="D880" s="10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103"/>
      <c r="B881" s="103"/>
      <c r="C881" s="104" t="e">
        <v>#REF!</v>
      </c>
      <c r="D881" s="10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103"/>
      <c r="B882" s="103"/>
      <c r="C882" s="104" t="e">
        <v>#REF!</v>
      </c>
      <c r="D882" s="10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103"/>
      <c r="B883" s="103"/>
      <c r="C883" s="104" t="e">
        <v>#REF!</v>
      </c>
      <c r="D883" s="10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103"/>
      <c r="B884" s="103"/>
      <c r="C884" s="104" t="e">
        <v>#REF!</v>
      </c>
      <c r="D884" s="10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103"/>
      <c r="B885" s="103"/>
      <c r="C885" s="104" t="e">
        <v>#REF!</v>
      </c>
      <c r="D885" s="10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103"/>
      <c r="B886" s="103"/>
      <c r="C886" s="104" t="e">
        <v>#REF!</v>
      </c>
      <c r="D886" s="10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103"/>
      <c r="B887" s="103"/>
      <c r="C887" s="104" t="e">
        <v>#REF!</v>
      </c>
      <c r="D887" s="10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103"/>
      <c r="B888" s="103"/>
      <c r="C888" s="104" t="e">
        <v>#REF!</v>
      </c>
      <c r="D888" s="10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103"/>
      <c r="B889" s="103"/>
      <c r="C889" s="104" t="e">
        <v>#REF!</v>
      </c>
      <c r="D889" s="10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103"/>
      <c r="B890" s="103"/>
      <c r="C890" s="104" t="e">
        <v>#REF!</v>
      </c>
      <c r="D890" s="10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103"/>
      <c r="B891" s="103"/>
      <c r="C891" s="104" t="e">
        <v>#REF!</v>
      </c>
      <c r="D891" s="10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103"/>
      <c r="B892" s="103"/>
      <c r="C892" s="104" t="e">
        <v>#REF!</v>
      </c>
      <c r="D892" s="10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103"/>
      <c r="B893" s="103"/>
      <c r="C893" s="104" t="e">
        <v>#REF!</v>
      </c>
      <c r="D893" s="10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103"/>
      <c r="B894" s="103"/>
      <c r="C894" s="104" t="e">
        <v>#REF!</v>
      </c>
      <c r="D894" s="10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103"/>
      <c r="B895" s="103"/>
      <c r="C895" s="104" t="e">
        <v>#REF!</v>
      </c>
      <c r="D895" s="10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103"/>
      <c r="B896" s="103"/>
      <c r="C896" s="104" t="e">
        <v>#REF!</v>
      </c>
      <c r="D896" s="10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103"/>
      <c r="B897" s="103"/>
      <c r="C897" s="104" t="e">
        <v>#REF!</v>
      </c>
      <c r="D897" s="10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103"/>
      <c r="B898" s="103"/>
      <c r="C898" s="104" t="e">
        <v>#REF!</v>
      </c>
      <c r="D898" s="10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103"/>
      <c r="B899" s="103"/>
      <c r="C899" s="104" t="e">
        <v>#REF!</v>
      </c>
      <c r="D899" s="10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103"/>
      <c r="B900" s="103"/>
      <c r="C900" s="104" t="e">
        <v>#REF!</v>
      </c>
      <c r="D900" s="10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103"/>
      <c r="B901" s="103"/>
      <c r="C901" s="104" t="e">
        <v>#REF!</v>
      </c>
      <c r="D901" s="10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103"/>
      <c r="B902" s="103"/>
      <c r="C902" s="104" t="e">
        <v>#REF!</v>
      </c>
      <c r="D902" s="10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103"/>
      <c r="B903" s="103"/>
      <c r="C903" s="104" t="e">
        <v>#REF!</v>
      </c>
      <c r="D903" s="10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103"/>
      <c r="B904" s="103"/>
      <c r="C904" s="104" t="e">
        <v>#REF!</v>
      </c>
      <c r="D904" s="10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103"/>
      <c r="B905" s="103"/>
      <c r="C905" s="104" t="e">
        <v>#REF!</v>
      </c>
      <c r="D905" s="10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103"/>
      <c r="B906" s="103"/>
      <c r="C906" s="104" t="e">
        <v>#REF!</v>
      </c>
      <c r="D906" s="10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103"/>
      <c r="B907" s="103"/>
      <c r="C907" s="104" t="e">
        <v>#REF!</v>
      </c>
      <c r="D907" s="10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103"/>
      <c r="B908" s="103"/>
      <c r="C908" s="104" t="e">
        <v>#REF!</v>
      </c>
      <c r="D908" s="10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103"/>
      <c r="B909" s="103"/>
      <c r="C909" s="104" t="e">
        <v>#REF!</v>
      </c>
      <c r="D909" s="10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103"/>
      <c r="B910" s="103"/>
      <c r="C910" s="104" t="e">
        <v>#REF!</v>
      </c>
      <c r="D910" s="10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103"/>
      <c r="B911" s="103"/>
      <c r="C911" s="104" t="e">
        <v>#REF!</v>
      </c>
      <c r="D911" s="10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103"/>
      <c r="B912" s="103"/>
      <c r="C912" s="104" t="e">
        <v>#REF!</v>
      </c>
      <c r="D912" s="10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103"/>
      <c r="B913" s="103"/>
      <c r="C913" s="104" t="e">
        <v>#REF!</v>
      </c>
      <c r="D913" s="10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103"/>
      <c r="B914" s="103"/>
      <c r="C914" s="104" t="e">
        <v>#REF!</v>
      </c>
      <c r="D914" s="10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103"/>
      <c r="B915" s="103"/>
      <c r="C915" s="104" t="e">
        <v>#REF!</v>
      </c>
      <c r="D915" s="10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103"/>
      <c r="B916" s="103"/>
      <c r="C916" s="104" t="e">
        <v>#REF!</v>
      </c>
      <c r="D916" s="10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103"/>
      <c r="B917" s="103"/>
      <c r="C917" s="104" t="e">
        <v>#REF!</v>
      </c>
      <c r="D917" s="10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103"/>
      <c r="B918" s="103"/>
      <c r="C918" s="104" t="e">
        <v>#REF!</v>
      </c>
      <c r="D918" s="10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103"/>
      <c r="B919" s="103"/>
      <c r="C919" s="104" t="e">
        <v>#REF!</v>
      </c>
      <c r="D919" s="10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103"/>
      <c r="B920" s="103"/>
      <c r="C920" s="104" t="e">
        <v>#REF!</v>
      </c>
      <c r="D920" s="10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103"/>
      <c r="B921" s="103"/>
      <c r="C921" s="104" t="e">
        <v>#REF!</v>
      </c>
      <c r="D921" s="10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103"/>
      <c r="B922" s="103"/>
      <c r="C922" s="104" t="e">
        <v>#REF!</v>
      </c>
      <c r="D922" s="10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103"/>
      <c r="B923" s="103"/>
      <c r="C923" s="104" t="e">
        <v>#REF!</v>
      </c>
      <c r="D923" s="10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103"/>
      <c r="B924" s="103"/>
      <c r="C924" s="104" t="e">
        <v>#REF!</v>
      </c>
      <c r="D924" s="10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103"/>
      <c r="B925" s="103"/>
      <c r="C925" s="104" t="e">
        <v>#REF!</v>
      </c>
      <c r="D925" s="10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103"/>
      <c r="B926" s="103"/>
      <c r="C926" s="104" t="e">
        <v>#REF!</v>
      </c>
      <c r="D926" s="10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103"/>
      <c r="B927" s="103"/>
      <c r="C927" s="104" t="e">
        <v>#REF!</v>
      </c>
      <c r="D927" s="10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103"/>
      <c r="B928" s="103"/>
      <c r="C928" s="104" t="e">
        <v>#REF!</v>
      </c>
      <c r="D928" s="10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103"/>
      <c r="B929" s="103"/>
      <c r="C929" s="104" t="e">
        <v>#REF!</v>
      </c>
      <c r="D929" s="10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103"/>
      <c r="B930" s="103"/>
      <c r="C930" s="104" t="e">
        <v>#REF!</v>
      </c>
      <c r="D930" s="10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103"/>
      <c r="B931" s="103"/>
      <c r="C931" s="104" t="e">
        <v>#REF!</v>
      </c>
      <c r="D931" s="10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103"/>
      <c r="B932" s="103"/>
      <c r="C932" s="104" t="e">
        <v>#REF!</v>
      </c>
      <c r="D932" s="10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103"/>
      <c r="B933" s="103"/>
      <c r="C933" s="104" t="e">
        <v>#REF!</v>
      </c>
      <c r="D933" s="10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103"/>
      <c r="B934" s="103"/>
      <c r="C934" s="104" t="e">
        <v>#REF!</v>
      </c>
      <c r="D934" s="10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103"/>
      <c r="B935" s="103"/>
      <c r="C935" s="104" t="e">
        <v>#REF!</v>
      </c>
      <c r="D935" s="10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103"/>
      <c r="B936" s="103"/>
      <c r="C936" s="104" t="e">
        <v>#REF!</v>
      </c>
      <c r="D936" s="10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103"/>
      <c r="B937" s="103"/>
      <c r="C937" s="104" t="e">
        <v>#REF!</v>
      </c>
      <c r="D937" s="10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103"/>
      <c r="B938" s="103"/>
      <c r="C938" s="104" t="e">
        <v>#REF!</v>
      </c>
      <c r="D938" s="10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103"/>
      <c r="B939" s="103"/>
      <c r="C939" s="104" t="e">
        <v>#REF!</v>
      </c>
      <c r="D939" s="10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103"/>
      <c r="B940" s="103"/>
      <c r="C940" s="104" t="e">
        <v>#REF!</v>
      </c>
      <c r="D940" s="10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103"/>
      <c r="B941" s="103"/>
      <c r="C941" s="104" t="e">
        <v>#REF!</v>
      </c>
      <c r="D941" s="10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103"/>
      <c r="B942" s="103"/>
      <c r="C942" s="104" t="e">
        <v>#REF!</v>
      </c>
      <c r="D942" s="10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103"/>
      <c r="B943" s="103"/>
      <c r="C943" s="104" t="e">
        <v>#REF!</v>
      </c>
      <c r="D943" s="10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103"/>
      <c r="B944" s="103"/>
      <c r="C944" s="104" t="e">
        <v>#REF!</v>
      </c>
      <c r="D944" s="10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103"/>
      <c r="B945" s="103"/>
      <c r="C945" s="104" t="e">
        <v>#REF!</v>
      </c>
      <c r="D945" s="10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103"/>
      <c r="B946" s="103"/>
      <c r="C946" s="104" t="e">
        <v>#REF!</v>
      </c>
      <c r="D946" s="10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103"/>
      <c r="B947" s="103"/>
      <c r="C947" s="104" t="e">
        <v>#REF!</v>
      </c>
      <c r="D947" s="10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103"/>
      <c r="B948" s="103"/>
      <c r="C948" s="104" t="e">
        <v>#REF!</v>
      </c>
      <c r="D948" s="10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103"/>
      <c r="B949" s="103"/>
      <c r="C949" s="104" t="e">
        <v>#REF!</v>
      </c>
      <c r="D949" s="10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103"/>
      <c r="B950" s="103"/>
      <c r="C950" s="104" t="e">
        <v>#REF!</v>
      </c>
      <c r="D950" s="10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103"/>
      <c r="B951" s="103"/>
      <c r="C951" s="104" t="e">
        <v>#REF!</v>
      </c>
      <c r="D951" s="10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103"/>
      <c r="B952" s="103"/>
      <c r="C952" s="104" t="e">
        <v>#REF!</v>
      </c>
      <c r="D952" s="10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103"/>
      <c r="B953" s="103"/>
      <c r="C953" s="104" t="e">
        <v>#REF!</v>
      </c>
      <c r="D953" s="10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103"/>
      <c r="B954" s="103"/>
      <c r="C954" s="104" t="e">
        <v>#REF!</v>
      </c>
      <c r="D954" s="10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103"/>
      <c r="B955" s="103"/>
      <c r="C955" s="104" t="e">
        <v>#REF!</v>
      </c>
      <c r="D955" s="10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103"/>
      <c r="B956" s="103"/>
      <c r="C956" s="104" t="e">
        <v>#REF!</v>
      </c>
      <c r="D956" s="10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103"/>
      <c r="B957" s="103"/>
      <c r="C957" s="104" t="e">
        <v>#REF!</v>
      </c>
      <c r="D957" s="10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103"/>
      <c r="B958" s="103"/>
      <c r="C958" s="104" t="e">
        <v>#REF!</v>
      </c>
      <c r="D958" s="10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103"/>
      <c r="B959" s="103"/>
      <c r="C959" s="104" t="e">
        <v>#REF!</v>
      </c>
      <c r="D959" s="10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103"/>
      <c r="B960" s="103"/>
      <c r="C960" s="104" t="e">
        <v>#REF!</v>
      </c>
      <c r="D960" s="10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103"/>
      <c r="B961" s="103"/>
      <c r="C961" s="104" t="e">
        <v>#REF!</v>
      </c>
      <c r="D961" s="10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103"/>
      <c r="B962" s="103"/>
      <c r="C962" s="104" t="e">
        <v>#REF!</v>
      </c>
      <c r="D962" s="10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5.75" customHeight="1">
      <c r="A963" s="103"/>
      <c r="B963" s="103"/>
      <c r="C963" s="104" t="e">
        <v>#REF!</v>
      </c>
      <c r="D963" s="10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5.75" customHeight="1">
      <c r="A964" s="103"/>
      <c r="B964" s="103"/>
      <c r="C964" s="104" t="e">
        <v>#REF!</v>
      </c>
      <c r="D964" s="10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5.75" customHeight="1">
      <c r="A965" s="103"/>
      <c r="B965" s="103"/>
      <c r="C965" s="104" t="e">
        <v>#REF!</v>
      </c>
      <c r="D965" s="10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5.75" customHeight="1">
      <c r="A966" s="103"/>
      <c r="B966" s="103"/>
      <c r="C966" s="104" t="e">
        <v>#REF!</v>
      </c>
      <c r="D966" s="10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5.75" customHeight="1">
      <c r="A967" s="103"/>
      <c r="B967" s="103"/>
      <c r="C967" s="104" t="e">
        <v>#REF!</v>
      </c>
      <c r="D967" s="10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5.75" customHeight="1">
      <c r="A968" s="103"/>
      <c r="B968" s="103"/>
      <c r="C968" s="104" t="e">
        <v>#REF!</v>
      </c>
      <c r="D968" s="10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5.75" customHeight="1">
      <c r="A969" s="103"/>
      <c r="B969" s="103"/>
      <c r="C969" s="104" t="e">
        <v>#REF!</v>
      </c>
      <c r="D969" s="10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5.75" customHeight="1">
      <c r="A970" s="103"/>
      <c r="B970" s="103"/>
      <c r="C970" s="104" t="e">
        <v>#REF!</v>
      </c>
      <c r="D970" s="10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5.75" customHeight="1">
      <c r="A971" s="103"/>
      <c r="B971" s="103"/>
      <c r="C971" s="104" t="e">
        <v>#REF!</v>
      </c>
      <c r="D971" s="10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5.75" customHeight="1">
      <c r="A972" s="103"/>
      <c r="B972" s="103"/>
      <c r="C972" s="104" t="e">
        <v>#REF!</v>
      </c>
      <c r="D972" s="10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5.75" customHeight="1">
      <c r="A973" s="103"/>
      <c r="B973" s="103"/>
      <c r="C973" s="104" t="e">
        <v>#REF!</v>
      </c>
      <c r="D973" s="10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5.75" customHeight="1">
      <c r="A974" s="103"/>
      <c r="B974" s="103"/>
      <c r="C974" s="104" t="e">
        <v>#REF!</v>
      </c>
      <c r="D974" s="10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5.75" customHeight="1">
      <c r="A975" s="103"/>
      <c r="B975" s="103"/>
      <c r="C975" s="104" t="e">
        <v>#REF!</v>
      </c>
      <c r="D975" s="10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5.75" customHeight="1">
      <c r="A976" s="103"/>
      <c r="B976" s="103"/>
      <c r="C976" s="104" t="e">
        <v>#REF!</v>
      </c>
      <c r="D976" s="10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5.75" customHeight="1">
      <c r="A977" s="103"/>
      <c r="B977" s="103"/>
      <c r="C977" s="104" t="e">
        <v>#REF!</v>
      </c>
      <c r="D977" s="10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5.75" customHeight="1">
      <c r="A978" s="103"/>
      <c r="B978" s="103"/>
      <c r="C978" s="104" t="e">
        <v>#REF!</v>
      </c>
      <c r="D978" s="10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5.75" customHeight="1">
      <c r="A979" s="103"/>
      <c r="B979" s="103"/>
      <c r="C979" s="104" t="e">
        <v>#REF!</v>
      </c>
      <c r="D979" s="10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5.75" customHeight="1">
      <c r="A980" s="103"/>
      <c r="B980" s="103"/>
      <c r="C980" s="104" t="e">
        <v>#REF!</v>
      </c>
      <c r="D980" s="10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5.75" customHeight="1">
      <c r="A981" s="103"/>
      <c r="B981" s="103"/>
      <c r="C981" s="104" t="e">
        <v>#REF!</v>
      </c>
      <c r="D981" s="10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5.75" customHeight="1">
      <c r="A982" s="103"/>
      <c r="B982" s="103"/>
      <c r="C982" s="104" t="e">
        <v>#REF!</v>
      </c>
      <c r="D982" s="10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5.75" customHeight="1">
      <c r="A983" s="103"/>
      <c r="B983" s="103"/>
      <c r="C983" s="104" t="e">
        <v>#REF!</v>
      </c>
      <c r="D983" s="10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5.75" customHeight="1">
      <c r="A984" s="103"/>
      <c r="B984" s="103"/>
      <c r="C984" s="104" t="e">
        <v>#REF!</v>
      </c>
      <c r="D984" s="10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5.75" customHeight="1">
      <c r="A985" s="103"/>
      <c r="B985" s="103"/>
      <c r="C985" s="104" t="e">
        <v>#REF!</v>
      </c>
      <c r="D985" s="10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5.75" customHeight="1">
      <c r="A986" s="103"/>
      <c r="B986" s="103"/>
      <c r="C986" s="104" t="e">
        <v>#REF!</v>
      </c>
      <c r="D986" s="10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5.75" customHeight="1">
      <c r="A987" s="103"/>
      <c r="B987" s="103"/>
      <c r="C987" s="104" t="e">
        <v>#REF!</v>
      </c>
      <c r="D987" s="10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5.75" customHeight="1">
      <c r="A988" s="103"/>
      <c r="B988" s="103"/>
      <c r="C988" s="104" t="e">
        <v>#REF!</v>
      </c>
      <c r="D988" s="10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5.75" customHeight="1">
      <c r="A989" s="103"/>
      <c r="B989" s="103"/>
      <c r="C989" s="104" t="e">
        <v>#REF!</v>
      </c>
      <c r="D989" s="10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5.75" customHeight="1">
      <c r="A990" s="103"/>
      <c r="B990" s="103"/>
      <c r="C990" s="104" t="e">
        <v>#REF!</v>
      </c>
      <c r="D990" s="10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5.75" customHeight="1">
      <c r="A991" s="103"/>
      <c r="B991" s="103"/>
      <c r="C991" s="104" t="e">
        <v>#REF!</v>
      </c>
      <c r="D991" s="10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5.75" customHeight="1">
      <c r="A992" s="103"/>
      <c r="B992" s="103"/>
      <c r="C992" s="104" t="e">
        <v>#REF!</v>
      </c>
      <c r="D992" s="10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5.75" customHeight="1">
      <c r="A993" s="103"/>
      <c r="B993" s="103"/>
      <c r="C993" s="104" t="e">
        <v>#REF!</v>
      </c>
      <c r="D993" s="10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5.75" customHeight="1">
      <c r="A994" s="103"/>
      <c r="B994" s="103"/>
      <c r="C994" s="104" t="e">
        <v>#REF!</v>
      </c>
      <c r="D994" s="10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5.75" customHeight="1">
      <c r="A995" s="103"/>
      <c r="B995" s="103"/>
      <c r="C995" s="104" t="e">
        <v>#REF!</v>
      </c>
      <c r="D995" s="10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5.75" customHeight="1">
      <c r="A996" s="103"/>
      <c r="B996" s="103"/>
      <c r="C996" s="104" t="e">
        <v>#REF!</v>
      </c>
      <c r="D996" s="10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5.75" customHeight="1">
      <c r="A997" s="103"/>
      <c r="B997" s="103"/>
      <c r="C997" s="104" t="e">
        <v>#REF!</v>
      </c>
      <c r="D997" s="10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5.75" customHeight="1">
      <c r="A998" s="103"/>
      <c r="B998" s="103"/>
      <c r="C998" s="104" t="e">
        <v>#REF!</v>
      </c>
      <c r="D998" s="10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5.75" customHeight="1">
      <c r="A999" s="103"/>
      <c r="B999" s="103"/>
      <c r="C999" s="104" t="e">
        <v>#REF!</v>
      </c>
      <c r="D999" s="10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5.75" customHeight="1">
      <c r="A1000" s="103"/>
      <c r="B1000" s="103"/>
      <c r="C1000" s="104" t="e">
        <v>#REF!</v>
      </c>
      <c r="D1000" s="10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  <row r="1001" spans="1:26" ht="15.75" customHeight="1">
      <c r="A1001" s="103"/>
      <c r="B1001" s="103"/>
      <c r="C1001" s="104" t="e">
        <v>#REF!</v>
      </c>
      <c r="D1001" s="10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</row>
    <row r="1002" spans="1:26" ht="15.75" customHeight="1">
      <c r="A1002" s="103"/>
      <c r="B1002" s="103"/>
      <c r="C1002" s="104" t="e">
        <v>#REF!</v>
      </c>
      <c r="D1002" s="10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</row>
    <row r="1003" spans="1:26" ht="15.75" customHeight="1">
      <c r="A1003" s="103"/>
      <c r="B1003" s="103"/>
      <c r="C1003" s="104" t="e">
        <v>#REF!</v>
      </c>
      <c r="D1003" s="103"/>
      <c r="E1003" s="53"/>
      <c r="F1003" s="53"/>
      <c r="G1003" s="53"/>
      <c r="H1003" s="53"/>
      <c r="I1003" s="53"/>
      <c r="J1003" s="53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</row>
    <row r="1004" spans="1:26" ht="15.75" customHeight="1">
      <c r="A1004" s="103"/>
      <c r="B1004" s="103"/>
      <c r="C1004" s="104" t="e">
        <v>#REF!</v>
      </c>
      <c r="D1004" s="103"/>
      <c r="E1004" s="53"/>
      <c r="F1004" s="53"/>
      <c r="G1004" s="53"/>
      <c r="H1004" s="53"/>
      <c r="I1004" s="53"/>
      <c r="J1004" s="53"/>
      <c r="K1004" s="53"/>
      <c r="L1004" s="53"/>
      <c r="M1004" s="53"/>
      <c r="N1004" s="53"/>
      <c r="O1004" s="53"/>
      <c r="P1004" s="53"/>
      <c r="Q1004" s="53"/>
      <c r="R1004" s="53"/>
      <c r="S1004" s="53"/>
      <c r="T1004" s="53"/>
      <c r="U1004" s="53"/>
      <c r="V1004" s="53"/>
      <c r="W1004" s="53"/>
      <c r="X1004" s="53"/>
      <c r="Y1004" s="53"/>
      <c r="Z1004" s="53"/>
    </row>
    <row r="1005" spans="1:26" ht="15.75" customHeight="1">
      <c r="A1005" s="103"/>
      <c r="B1005" s="103"/>
      <c r="C1005" s="104" t="e">
        <v>#REF!</v>
      </c>
      <c r="D1005" s="103"/>
      <c r="E1005" s="53"/>
      <c r="F1005" s="53"/>
      <c r="G1005" s="53"/>
      <c r="H1005" s="53"/>
      <c r="I1005" s="53"/>
      <c r="J1005" s="53"/>
      <c r="K1005" s="53"/>
      <c r="L1005" s="53"/>
      <c r="M1005" s="53"/>
      <c r="N1005" s="53"/>
      <c r="O1005" s="53"/>
      <c r="P1005" s="53"/>
      <c r="Q1005" s="53"/>
      <c r="R1005" s="53"/>
      <c r="S1005" s="53"/>
      <c r="T1005" s="53"/>
      <c r="U1005" s="53"/>
      <c r="V1005" s="53"/>
      <c r="W1005" s="53"/>
      <c r="X1005" s="53"/>
      <c r="Y1005" s="53"/>
      <c r="Z1005" s="53"/>
    </row>
    <row r="1006" spans="1:26" ht="15.75" customHeight="1">
      <c r="A1006" s="103"/>
      <c r="B1006" s="103"/>
      <c r="C1006" s="104" t="e">
        <v>#REF!</v>
      </c>
      <c r="D1006" s="103"/>
      <c r="E1006" s="53"/>
      <c r="F1006" s="53"/>
      <c r="G1006" s="53"/>
      <c r="H1006" s="53"/>
      <c r="I1006" s="53"/>
      <c r="J1006" s="53"/>
      <c r="K1006" s="53"/>
      <c r="L1006" s="53"/>
      <c r="M1006" s="53"/>
      <c r="N1006" s="53"/>
      <c r="O1006" s="53"/>
      <c r="P1006" s="53"/>
      <c r="Q1006" s="53"/>
      <c r="R1006" s="53"/>
      <c r="S1006" s="53"/>
      <c r="T1006" s="53"/>
      <c r="U1006" s="53"/>
      <c r="V1006" s="53"/>
      <c r="W1006" s="53"/>
      <c r="X1006" s="53"/>
      <c r="Y1006" s="53"/>
      <c r="Z1006" s="53"/>
    </row>
    <row r="1007" spans="1:26" ht="15.75" customHeight="1">
      <c r="A1007" s="103"/>
      <c r="B1007" s="103"/>
      <c r="C1007" s="104" t="e">
        <v>#REF!</v>
      </c>
      <c r="D1007" s="103"/>
      <c r="E1007" s="53"/>
      <c r="F1007" s="53"/>
      <c r="G1007" s="53"/>
      <c r="H1007" s="53"/>
      <c r="I1007" s="53"/>
      <c r="J1007" s="53"/>
      <c r="K1007" s="53"/>
      <c r="L1007" s="53"/>
      <c r="M1007" s="53"/>
      <c r="N1007" s="53"/>
      <c r="O1007" s="53"/>
      <c r="P1007" s="53"/>
      <c r="Q1007" s="53"/>
      <c r="R1007" s="53"/>
      <c r="S1007" s="53"/>
      <c r="T1007" s="53"/>
      <c r="U1007" s="53"/>
      <c r="V1007" s="53"/>
      <c r="W1007" s="53"/>
      <c r="X1007" s="53"/>
      <c r="Y1007" s="53"/>
      <c r="Z1007" s="53"/>
    </row>
    <row r="1008" spans="1:26" ht="15.75" customHeight="1">
      <c r="A1008" s="103"/>
      <c r="B1008" s="103"/>
      <c r="C1008" s="104" t="e">
        <v>#REF!</v>
      </c>
      <c r="D1008" s="103"/>
      <c r="E1008" s="53"/>
      <c r="F1008" s="53"/>
      <c r="G1008" s="53"/>
      <c r="H1008" s="53"/>
      <c r="I1008" s="53"/>
      <c r="J1008" s="53"/>
      <c r="K1008" s="53"/>
      <c r="L1008" s="53"/>
      <c r="M1008" s="53"/>
      <c r="N1008" s="53"/>
      <c r="O1008" s="53"/>
      <c r="P1008" s="53"/>
      <c r="Q1008" s="53"/>
      <c r="R1008" s="53"/>
      <c r="S1008" s="53"/>
      <c r="T1008" s="53"/>
      <c r="U1008" s="53"/>
      <c r="V1008" s="53"/>
      <c r="W1008" s="53"/>
      <c r="X1008" s="53"/>
      <c r="Y1008" s="53"/>
      <c r="Z1008" s="53"/>
    </row>
    <row r="1009" spans="1:26" ht="15.75" customHeight="1">
      <c r="A1009" s="103"/>
      <c r="B1009" s="103"/>
      <c r="C1009" s="104" t="e">
        <v>#REF!</v>
      </c>
      <c r="D1009" s="103"/>
      <c r="E1009" s="53"/>
      <c r="F1009" s="53"/>
      <c r="G1009" s="53"/>
      <c r="H1009" s="53"/>
      <c r="I1009" s="53"/>
      <c r="J1009" s="53"/>
      <c r="K1009" s="53"/>
      <c r="L1009" s="53"/>
      <c r="M1009" s="53"/>
      <c r="N1009" s="53"/>
      <c r="O1009" s="53"/>
      <c r="P1009" s="53"/>
      <c r="Q1009" s="53"/>
      <c r="R1009" s="53"/>
      <c r="S1009" s="53"/>
      <c r="T1009" s="53"/>
      <c r="U1009" s="53"/>
      <c r="V1009" s="53"/>
      <c r="W1009" s="53"/>
      <c r="X1009" s="53"/>
      <c r="Y1009" s="53"/>
      <c r="Z1009" s="53"/>
    </row>
    <row r="1010" spans="1:26" ht="15.75" customHeight="1">
      <c r="A1010" s="103"/>
      <c r="B1010" s="103"/>
      <c r="C1010" s="104" t="e">
        <v>#REF!</v>
      </c>
      <c r="D1010" s="103"/>
      <c r="E1010" s="53"/>
      <c r="F1010" s="53"/>
      <c r="G1010" s="53"/>
      <c r="H1010" s="53"/>
      <c r="I1010" s="53"/>
      <c r="J1010" s="53"/>
      <c r="K1010" s="53"/>
      <c r="L1010" s="53"/>
      <c r="M1010" s="53"/>
      <c r="N1010" s="53"/>
      <c r="O1010" s="53"/>
      <c r="P1010" s="53"/>
      <c r="Q1010" s="53"/>
      <c r="R1010" s="53"/>
      <c r="S1010" s="53"/>
      <c r="T1010" s="53"/>
      <c r="U1010" s="53"/>
      <c r="V1010" s="53"/>
      <c r="W1010" s="53"/>
      <c r="X1010" s="53"/>
      <c r="Y1010" s="53"/>
      <c r="Z1010" s="53"/>
    </row>
    <row r="1011" spans="1:26" ht="15.75" customHeight="1">
      <c r="A1011" s="103"/>
      <c r="B1011" s="103"/>
      <c r="C1011" s="104" t="e">
        <v>#REF!</v>
      </c>
      <c r="D1011" s="103"/>
      <c r="E1011" s="53"/>
      <c r="F1011" s="53"/>
      <c r="G1011" s="53"/>
      <c r="H1011" s="53"/>
      <c r="I1011" s="53"/>
      <c r="J1011" s="53"/>
      <c r="K1011" s="53"/>
      <c r="L1011" s="53"/>
      <c r="M1011" s="53"/>
      <c r="N1011" s="53"/>
      <c r="O1011" s="53"/>
      <c r="P1011" s="53"/>
      <c r="Q1011" s="53"/>
      <c r="R1011" s="53"/>
      <c r="S1011" s="53"/>
      <c r="T1011" s="53"/>
      <c r="U1011" s="53"/>
      <c r="V1011" s="53"/>
      <c r="W1011" s="53"/>
      <c r="X1011" s="53"/>
      <c r="Y1011" s="53"/>
      <c r="Z1011" s="53"/>
    </row>
    <row r="1012" spans="1:26" ht="15.75" customHeight="1">
      <c r="A1012" s="103"/>
      <c r="B1012" s="103"/>
      <c r="C1012" s="104" t="e">
        <v>#REF!</v>
      </c>
      <c r="D1012" s="103"/>
      <c r="E1012" s="53"/>
      <c r="F1012" s="53"/>
      <c r="G1012" s="53"/>
      <c r="H1012" s="53"/>
      <c r="I1012" s="53"/>
      <c r="J1012" s="53"/>
      <c r="K1012" s="53"/>
      <c r="L1012" s="53"/>
      <c r="M1012" s="53"/>
      <c r="N1012" s="53"/>
      <c r="O1012" s="53"/>
      <c r="P1012" s="53"/>
      <c r="Q1012" s="53"/>
      <c r="R1012" s="53"/>
      <c r="S1012" s="53"/>
      <c r="T1012" s="53"/>
      <c r="U1012" s="53"/>
      <c r="V1012" s="53"/>
      <c r="W1012" s="53"/>
      <c r="X1012" s="53"/>
      <c r="Y1012" s="53"/>
      <c r="Z1012" s="53"/>
    </row>
    <row r="1013" spans="1:26" ht="15.75" customHeight="1">
      <c r="A1013" s="103"/>
      <c r="B1013" s="103"/>
      <c r="C1013" s="104" t="e">
        <v>#REF!</v>
      </c>
      <c r="D1013" s="103"/>
      <c r="E1013" s="53"/>
      <c r="F1013" s="53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3"/>
      <c r="X1013" s="53"/>
      <c r="Y1013" s="53"/>
      <c r="Z1013" s="53"/>
    </row>
    <row r="1014" spans="1:26" ht="15.75" customHeight="1">
      <c r="A1014" s="103"/>
      <c r="B1014" s="103"/>
      <c r="C1014" s="104" t="e">
        <v>#REF!</v>
      </c>
      <c r="D1014" s="103"/>
      <c r="E1014" s="53"/>
      <c r="F1014" s="53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3"/>
      <c r="X1014" s="53"/>
      <c r="Y1014" s="53"/>
      <c r="Z1014" s="53"/>
    </row>
    <row r="1015" spans="1:26" ht="15.75" customHeight="1">
      <c r="A1015" s="103"/>
      <c r="B1015" s="103"/>
      <c r="C1015" s="104" t="e">
        <v>#REF!</v>
      </c>
      <c r="D1015" s="103"/>
      <c r="E1015" s="53"/>
      <c r="F1015" s="53"/>
      <c r="G1015" s="53"/>
      <c r="H1015" s="53"/>
      <c r="I1015" s="53"/>
      <c r="J1015" s="53"/>
      <c r="K1015" s="53"/>
      <c r="L1015" s="53"/>
      <c r="M1015" s="53"/>
      <c r="N1015" s="53"/>
      <c r="O1015" s="53"/>
      <c r="P1015" s="53"/>
      <c r="Q1015" s="53"/>
      <c r="R1015" s="53"/>
      <c r="S1015" s="53"/>
      <c r="T1015" s="53"/>
      <c r="U1015" s="53"/>
      <c r="V1015" s="53"/>
      <c r="W1015" s="53"/>
      <c r="X1015" s="53"/>
      <c r="Y1015" s="53"/>
      <c r="Z1015" s="53"/>
    </row>
    <row r="1016" spans="1:26" ht="15.75" customHeight="1">
      <c r="A1016" s="103"/>
      <c r="B1016" s="103"/>
      <c r="C1016" s="104" t="e">
        <v>#REF!</v>
      </c>
      <c r="D1016" s="103"/>
      <c r="E1016" s="53"/>
      <c r="F1016" s="53"/>
      <c r="G1016" s="53"/>
      <c r="H1016" s="53"/>
      <c r="I1016" s="53"/>
      <c r="J1016" s="53"/>
      <c r="K1016" s="53"/>
      <c r="L1016" s="53"/>
      <c r="M1016" s="53"/>
      <c r="N1016" s="53"/>
      <c r="O1016" s="53"/>
      <c r="P1016" s="53"/>
      <c r="Q1016" s="53"/>
      <c r="R1016" s="53"/>
      <c r="S1016" s="53"/>
      <c r="T1016" s="53"/>
      <c r="U1016" s="53"/>
      <c r="V1016" s="53"/>
      <c r="W1016" s="53"/>
      <c r="X1016" s="53"/>
      <c r="Y1016" s="53"/>
      <c r="Z1016" s="53"/>
    </row>
    <row r="1017" spans="1:26" ht="15.75" customHeight="1">
      <c r="A1017" s="103"/>
      <c r="B1017" s="103"/>
      <c r="C1017" s="104" t="e">
        <v>#REF!</v>
      </c>
      <c r="D1017" s="103"/>
      <c r="E1017" s="53"/>
      <c r="F1017" s="53"/>
      <c r="G1017" s="53"/>
      <c r="H1017" s="53"/>
      <c r="I1017" s="53"/>
      <c r="J1017" s="53"/>
      <c r="K1017" s="53"/>
      <c r="L1017" s="53"/>
      <c r="M1017" s="53"/>
      <c r="N1017" s="53"/>
      <c r="O1017" s="53"/>
      <c r="P1017" s="53"/>
      <c r="Q1017" s="53"/>
      <c r="R1017" s="53"/>
      <c r="S1017" s="53"/>
      <c r="T1017" s="53"/>
      <c r="U1017" s="53"/>
      <c r="V1017" s="53"/>
      <c r="W1017" s="53"/>
      <c r="X1017" s="53"/>
      <c r="Y1017" s="53"/>
      <c r="Z1017" s="53"/>
    </row>
    <row r="1018" spans="1:26" ht="15.75" customHeight="1">
      <c r="A1018" s="103"/>
      <c r="B1018" s="103"/>
      <c r="C1018" s="104" t="e">
        <v>#REF!</v>
      </c>
      <c r="D1018" s="103"/>
      <c r="E1018" s="53"/>
      <c r="F1018" s="53"/>
      <c r="G1018" s="53"/>
      <c r="H1018" s="53"/>
      <c r="I1018" s="53"/>
      <c r="J1018" s="53"/>
      <c r="K1018" s="53"/>
      <c r="L1018" s="53"/>
      <c r="M1018" s="53"/>
      <c r="N1018" s="53"/>
      <c r="O1018" s="53"/>
      <c r="P1018" s="53"/>
      <c r="Q1018" s="53"/>
      <c r="R1018" s="53"/>
      <c r="S1018" s="53"/>
      <c r="T1018" s="53"/>
      <c r="U1018" s="53"/>
      <c r="V1018" s="53"/>
      <c r="W1018" s="53"/>
      <c r="X1018" s="53"/>
      <c r="Y1018" s="53"/>
      <c r="Z1018" s="53"/>
    </row>
    <row r="1019" spans="1:26" ht="15.75" customHeight="1">
      <c r="A1019" s="103"/>
      <c r="B1019" s="103"/>
      <c r="C1019" s="104" t="e">
        <v>#REF!</v>
      </c>
      <c r="D1019" s="103"/>
      <c r="E1019" s="53"/>
      <c r="F1019" s="53"/>
      <c r="G1019" s="53"/>
      <c r="H1019" s="53"/>
      <c r="I1019" s="53"/>
      <c r="J1019" s="53"/>
      <c r="K1019" s="53"/>
      <c r="L1019" s="53"/>
      <c r="M1019" s="53"/>
      <c r="N1019" s="53"/>
      <c r="O1019" s="53"/>
      <c r="P1019" s="53"/>
      <c r="Q1019" s="53"/>
      <c r="R1019" s="53"/>
      <c r="S1019" s="53"/>
      <c r="T1019" s="53"/>
      <c r="U1019" s="53"/>
      <c r="V1019" s="53"/>
      <c r="W1019" s="53"/>
      <c r="X1019" s="53"/>
      <c r="Y1019" s="53"/>
      <c r="Z1019" s="53"/>
    </row>
    <row r="1020" spans="1:26" ht="15.75" customHeight="1">
      <c r="A1020" s="103"/>
      <c r="B1020" s="103"/>
      <c r="C1020" s="104" t="e">
        <v>#REF!</v>
      </c>
      <c r="D1020" s="103"/>
      <c r="E1020" s="53"/>
      <c r="F1020" s="53"/>
      <c r="G1020" s="53"/>
      <c r="H1020" s="53"/>
      <c r="I1020" s="53"/>
      <c r="J1020" s="53"/>
      <c r="K1020" s="53"/>
      <c r="L1020" s="53"/>
      <c r="M1020" s="53"/>
      <c r="N1020" s="53"/>
      <c r="O1020" s="53"/>
      <c r="P1020" s="53"/>
      <c r="Q1020" s="53"/>
      <c r="R1020" s="53"/>
      <c r="S1020" s="53"/>
      <c r="T1020" s="53"/>
      <c r="U1020" s="53"/>
      <c r="V1020" s="53"/>
      <c r="W1020" s="53"/>
      <c r="X1020" s="53"/>
      <c r="Y1020" s="53"/>
      <c r="Z1020" s="53"/>
    </row>
    <row r="1021" spans="1:26" ht="15.75" customHeight="1">
      <c r="A1021" s="103"/>
      <c r="B1021" s="103"/>
      <c r="C1021" s="104" t="e">
        <v>#REF!</v>
      </c>
      <c r="D1021" s="103"/>
      <c r="E1021" s="53"/>
      <c r="F1021" s="53"/>
      <c r="G1021" s="53"/>
      <c r="H1021" s="53"/>
      <c r="I1021" s="53"/>
      <c r="J1021" s="53"/>
      <c r="K1021" s="53"/>
      <c r="L1021" s="53"/>
      <c r="M1021" s="53"/>
      <c r="N1021" s="53"/>
      <c r="O1021" s="53"/>
      <c r="P1021" s="53"/>
      <c r="Q1021" s="53"/>
      <c r="R1021" s="53"/>
      <c r="S1021" s="53"/>
      <c r="T1021" s="53"/>
      <c r="U1021" s="53"/>
      <c r="V1021" s="53"/>
      <c r="W1021" s="53"/>
      <c r="X1021" s="53"/>
      <c r="Y1021" s="53"/>
      <c r="Z1021" s="53"/>
    </row>
    <row r="1022" spans="1:26" ht="15.75" customHeight="1">
      <c r="A1022" s="103"/>
      <c r="B1022" s="103"/>
      <c r="C1022" s="104" t="e">
        <v>#REF!</v>
      </c>
      <c r="D1022" s="103"/>
      <c r="E1022" s="53"/>
      <c r="F1022" s="53"/>
      <c r="G1022" s="53"/>
      <c r="H1022" s="53"/>
      <c r="I1022" s="53"/>
      <c r="J1022" s="53"/>
      <c r="K1022" s="53"/>
      <c r="L1022" s="53"/>
      <c r="M1022" s="53"/>
      <c r="N1022" s="53"/>
      <c r="O1022" s="53"/>
      <c r="P1022" s="53"/>
      <c r="Q1022" s="53"/>
      <c r="R1022" s="53"/>
      <c r="S1022" s="53"/>
      <c r="T1022" s="53"/>
      <c r="U1022" s="53"/>
      <c r="V1022" s="53"/>
      <c r="W1022" s="53"/>
      <c r="X1022" s="53"/>
      <c r="Y1022" s="53"/>
      <c r="Z1022" s="53"/>
    </row>
    <row r="1023" spans="1:26" ht="15.75" customHeight="1">
      <c r="A1023" s="103"/>
      <c r="B1023" s="103"/>
      <c r="C1023" s="104" t="e">
        <v>#REF!</v>
      </c>
      <c r="D1023" s="103"/>
      <c r="E1023" s="53"/>
      <c r="F1023" s="53"/>
      <c r="G1023" s="53"/>
      <c r="H1023" s="53"/>
      <c r="I1023" s="53"/>
      <c r="J1023" s="53"/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3"/>
      <c r="V1023" s="53"/>
      <c r="W1023" s="53"/>
      <c r="X1023" s="53"/>
      <c r="Y1023" s="53"/>
      <c r="Z1023" s="53"/>
    </row>
    <row r="1024" spans="1:26" ht="15.75" customHeight="1">
      <c r="A1024" s="103"/>
      <c r="B1024" s="103"/>
      <c r="C1024" s="104" t="e">
        <v>#REF!</v>
      </c>
      <c r="D1024" s="103"/>
      <c r="E1024" s="53"/>
      <c r="F1024" s="53"/>
      <c r="G1024" s="53"/>
      <c r="H1024" s="53"/>
      <c r="I1024" s="53"/>
      <c r="J1024" s="53"/>
      <c r="K1024" s="53"/>
      <c r="L1024" s="53"/>
      <c r="M1024" s="53"/>
      <c r="N1024" s="53"/>
      <c r="O1024" s="53"/>
      <c r="P1024" s="53"/>
      <c r="Q1024" s="53"/>
      <c r="R1024" s="53"/>
      <c r="S1024" s="53"/>
      <c r="T1024" s="53"/>
      <c r="U1024" s="53"/>
      <c r="V1024" s="53"/>
      <c r="W1024" s="53"/>
      <c r="X1024" s="53"/>
      <c r="Y1024" s="53"/>
      <c r="Z1024" s="53"/>
    </row>
    <row r="1025" spans="1:26" ht="15.75" customHeight="1">
      <c r="A1025" s="103"/>
      <c r="B1025" s="103"/>
      <c r="C1025" s="104" t="e">
        <v>#REF!</v>
      </c>
      <c r="D1025" s="103"/>
      <c r="E1025" s="53"/>
      <c r="F1025" s="53"/>
      <c r="G1025" s="53"/>
      <c r="H1025" s="53"/>
      <c r="I1025" s="53"/>
      <c r="J1025" s="53"/>
      <c r="K1025" s="53"/>
      <c r="L1025" s="53"/>
      <c r="M1025" s="53"/>
      <c r="N1025" s="53"/>
      <c r="O1025" s="53"/>
      <c r="P1025" s="53"/>
      <c r="Q1025" s="53"/>
      <c r="R1025" s="53"/>
      <c r="S1025" s="53"/>
      <c r="T1025" s="53"/>
      <c r="U1025" s="53"/>
      <c r="V1025" s="53"/>
      <c r="W1025" s="53"/>
      <c r="X1025" s="53"/>
      <c r="Y1025" s="53"/>
      <c r="Z1025" s="53"/>
    </row>
    <row r="1026" spans="1:26" ht="15.75" customHeight="1">
      <c r="A1026" s="103"/>
      <c r="B1026" s="103"/>
      <c r="C1026" s="104" t="e">
        <v>#REF!</v>
      </c>
      <c r="D1026" s="103"/>
      <c r="E1026" s="53"/>
      <c r="F1026" s="53"/>
      <c r="G1026" s="53"/>
      <c r="H1026" s="53"/>
      <c r="I1026" s="53"/>
      <c r="J1026" s="53"/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3"/>
      <c r="V1026" s="53"/>
      <c r="W1026" s="53"/>
      <c r="X1026" s="53"/>
      <c r="Y1026" s="53"/>
      <c r="Z1026" s="53"/>
    </row>
    <row r="1027" spans="1:26" ht="15.75" customHeight="1">
      <c r="A1027" s="103"/>
      <c r="B1027" s="103"/>
      <c r="C1027" s="104" t="e">
        <v>#REF!</v>
      </c>
      <c r="D1027" s="103"/>
      <c r="E1027" s="53"/>
      <c r="F1027" s="53"/>
      <c r="G1027" s="53"/>
      <c r="H1027" s="53"/>
      <c r="I1027" s="53"/>
      <c r="J1027" s="53"/>
      <c r="K1027" s="53"/>
      <c r="L1027" s="53"/>
      <c r="M1027" s="53"/>
      <c r="N1027" s="53"/>
      <c r="O1027" s="53"/>
      <c r="P1027" s="53"/>
      <c r="Q1027" s="53"/>
      <c r="R1027" s="53"/>
      <c r="S1027" s="53"/>
      <c r="T1027" s="53"/>
      <c r="U1027" s="53"/>
      <c r="V1027" s="53"/>
      <c r="W1027" s="53"/>
      <c r="X1027" s="53"/>
      <c r="Y1027" s="53"/>
      <c r="Z1027" s="53"/>
    </row>
    <row r="1028" spans="1:26" ht="15.75" customHeight="1">
      <c r="A1028" s="103"/>
      <c r="B1028" s="103"/>
      <c r="C1028" s="104" t="e">
        <v>#REF!</v>
      </c>
      <c r="D1028" s="103"/>
      <c r="E1028" s="53"/>
      <c r="F1028" s="53"/>
      <c r="G1028" s="53"/>
      <c r="H1028" s="53"/>
      <c r="I1028" s="53"/>
      <c r="J1028" s="53"/>
      <c r="K1028" s="53"/>
      <c r="L1028" s="53"/>
      <c r="M1028" s="53"/>
      <c r="N1028" s="53"/>
      <c r="O1028" s="53"/>
      <c r="P1028" s="53"/>
      <c r="Q1028" s="53"/>
      <c r="R1028" s="53"/>
      <c r="S1028" s="53"/>
      <c r="T1028" s="53"/>
      <c r="U1028" s="53"/>
      <c r="V1028" s="53"/>
      <c r="W1028" s="53"/>
      <c r="X1028" s="53"/>
      <c r="Y1028" s="53"/>
      <c r="Z1028" s="53"/>
    </row>
    <row r="1029" spans="1:26" ht="15.75" customHeight="1">
      <c r="A1029" s="103"/>
      <c r="B1029" s="103"/>
      <c r="C1029" s="104" t="e">
        <v>#REF!</v>
      </c>
      <c r="D1029" s="103"/>
      <c r="E1029" s="53"/>
      <c r="F1029" s="53"/>
      <c r="G1029" s="53"/>
      <c r="H1029" s="53"/>
      <c r="I1029" s="53"/>
      <c r="J1029" s="53"/>
      <c r="K1029" s="53"/>
      <c r="L1029" s="53"/>
      <c r="M1029" s="53"/>
      <c r="N1029" s="53"/>
      <c r="O1029" s="53"/>
      <c r="P1029" s="53"/>
      <c r="Q1029" s="53"/>
      <c r="R1029" s="53"/>
      <c r="S1029" s="53"/>
      <c r="T1029" s="53"/>
      <c r="U1029" s="53"/>
      <c r="V1029" s="53"/>
      <c r="W1029" s="53"/>
      <c r="X1029" s="53"/>
      <c r="Y1029" s="53"/>
      <c r="Z1029" s="53"/>
    </row>
    <row r="1030" spans="1:26" ht="15.75" customHeight="1">
      <c r="A1030" s="103"/>
      <c r="B1030" s="103"/>
      <c r="C1030" s="104" t="e">
        <v>#REF!</v>
      </c>
      <c r="D1030" s="103"/>
      <c r="E1030" s="53"/>
      <c r="F1030" s="53"/>
      <c r="G1030" s="53"/>
      <c r="H1030" s="53"/>
      <c r="I1030" s="53"/>
      <c r="J1030" s="53"/>
      <c r="K1030" s="53"/>
      <c r="L1030" s="53"/>
      <c r="M1030" s="53"/>
      <c r="N1030" s="53"/>
      <c r="O1030" s="53"/>
      <c r="P1030" s="53"/>
      <c r="Q1030" s="53"/>
      <c r="R1030" s="53"/>
      <c r="S1030" s="53"/>
      <c r="T1030" s="53"/>
      <c r="U1030" s="53"/>
      <c r="V1030" s="53"/>
      <c r="W1030" s="53"/>
      <c r="X1030" s="53"/>
      <c r="Y1030" s="53"/>
      <c r="Z1030" s="53"/>
    </row>
    <row r="1031" spans="1:26" ht="15.75" customHeight="1">
      <c r="A1031" s="103"/>
      <c r="B1031" s="103"/>
      <c r="C1031" s="104" t="e">
        <v>#REF!</v>
      </c>
      <c r="D1031" s="103"/>
      <c r="E1031" s="53"/>
      <c r="F1031" s="53"/>
      <c r="G1031" s="53"/>
      <c r="H1031" s="53"/>
      <c r="I1031" s="53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3"/>
      <c r="X1031" s="53"/>
      <c r="Y1031" s="53"/>
      <c r="Z1031" s="53"/>
    </row>
    <row r="1032" spans="1:26" ht="15.75" customHeight="1">
      <c r="A1032" s="103"/>
      <c r="B1032" s="103"/>
      <c r="C1032" s="104" t="e">
        <v>#REF!</v>
      </c>
      <c r="D1032" s="103"/>
      <c r="E1032" s="53"/>
      <c r="F1032" s="53"/>
      <c r="G1032" s="53"/>
      <c r="H1032" s="53"/>
      <c r="I1032" s="53"/>
      <c r="J1032" s="53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3"/>
      <c r="X1032" s="53"/>
      <c r="Y1032" s="53"/>
      <c r="Z1032" s="53"/>
    </row>
    <row r="1033" spans="1:26" ht="15.75" customHeight="1">
      <c r="A1033" s="103"/>
      <c r="B1033" s="103"/>
      <c r="C1033" s="104" t="e">
        <v>#REF!</v>
      </c>
      <c r="D1033" s="103"/>
      <c r="E1033" s="53"/>
      <c r="F1033" s="53"/>
      <c r="G1033" s="53"/>
      <c r="H1033" s="53"/>
      <c r="I1033" s="53"/>
      <c r="J1033" s="53"/>
      <c r="K1033" s="53"/>
      <c r="L1033" s="53"/>
      <c r="M1033" s="53"/>
      <c r="N1033" s="53"/>
      <c r="O1033" s="53"/>
      <c r="P1033" s="53"/>
      <c r="Q1033" s="53"/>
      <c r="R1033" s="53"/>
      <c r="S1033" s="53"/>
      <c r="T1033" s="53"/>
      <c r="U1033" s="53"/>
      <c r="V1033" s="53"/>
      <c r="W1033" s="53"/>
      <c r="X1033" s="53"/>
      <c r="Y1033" s="53"/>
      <c r="Z1033" s="53"/>
    </row>
    <row r="1034" spans="1:26" ht="15.75" customHeight="1">
      <c r="A1034" s="103"/>
      <c r="B1034" s="103"/>
      <c r="C1034" s="104" t="e">
        <v>#REF!</v>
      </c>
      <c r="D1034" s="103"/>
      <c r="E1034" s="53"/>
      <c r="F1034" s="53"/>
      <c r="G1034" s="53"/>
      <c r="H1034" s="53"/>
      <c r="I1034" s="53"/>
      <c r="J1034" s="53"/>
      <c r="K1034" s="53"/>
      <c r="L1034" s="53"/>
      <c r="M1034" s="53"/>
      <c r="N1034" s="53"/>
      <c r="O1034" s="53"/>
      <c r="P1034" s="53"/>
      <c r="Q1034" s="53"/>
      <c r="R1034" s="53"/>
      <c r="S1034" s="53"/>
      <c r="T1034" s="53"/>
      <c r="U1034" s="53"/>
      <c r="V1034" s="53"/>
      <c r="W1034" s="53"/>
      <c r="X1034" s="53"/>
      <c r="Y1034" s="53"/>
      <c r="Z1034" s="53"/>
    </row>
    <row r="1035" spans="1:26" ht="15.75" customHeight="1">
      <c r="A1035" s="103"/>
      <c r="B1035" s="103"/>
      <c r="C1035" s="104" t="e">
        <v>#REF!</v>
      </c>
      <c r="D1035" s="103"/>
      <c r="E1035" s="53"/>
      <c r="F1035" s="53"/>
      <c r="G1035" s="53"/>
      <c r="H1035" s="53"/>
      <c r="I1035" s="53"/>
      <c r="J1035" s="53"/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3"/>
      <c r="V1035" s="53"/>
      <c r="W1035" s="53"/>
      <c r="X1035" s="53"/>
      <c r="Y1035" s="53"/>
      <c r="Z1035" s="53"/>
    </row>
    <row r="1036" spans="1:26" ht="15.75" customHeight="1">
      <c r="A1036" s="103"/>
      <c r="B1036" s="103"/>
      <c r="C1036" s="104" t="e">
        <v>#REF!</v>
      </c>
      <c r="D1036" s="103"/>
      <c r="E1036" s="53"/>
      <c r="F1036" s="53"/>
      <c r="G1036" s="53"/>
      <c r="H1036" s="53"/>
      <c r="I1036" s="53"/>
      <c r="J1036" s="53"/>
      <c r="K1036" s="53"/>
      <c r="L1036" s="53"/>
      <c r="M1036" s="53"/>
      <c r="N1036" s="53"/>
      <c r="O1036" s="53"/>
      <c r="P1036" s="53"/>
      <c r="Q1036" s="53"/>
      <c r="R1036" s="53"/>
      <c r="S1036" s="53"/>
      <c r="T1036" s="53"/>
      <c r="U1036" s="53"/>
      <c r="V1036" s="53"/>
      <c r="W1036" s="53"/>
      <c r="X1036" s="53"/>
      <c r="Y1036" s="53"/>
      <c r="Z1036" s="53"/>
    </row>
    <row r="1037" spans="1:26" ht="15.75" customHeight="1">
      <c r="A1037" s="103"/>
      <c r="B1037" s="103"/>
      <c r="C1037" s="104" t="e">
        <v>#REF!</v>
      </c>
      <c r="D1037" s="103"/>
      <c r="E1037" s="53"/>
      <c r="F1037" s="53"/>
      <c r="G1037" s="53"/>
      <c r="H1037" s="53"/>
      <c r="I1037" s="53"/>
      <c r="J1037" s="53"/>
      <c r="K1037" s="53"/>
      <c r="L1037" s="53"/>
      <c r="M1037" s="53"/>
      <c r="N1037" s="53"/>
      <c r="O1037" s="53"/>
      <c r="P1037" s="53"/>
      <c r="Q1037" s="53"/>
      <c r="R1037" s="53"/>
      <c r="S1037" s="53"/>
      <c r="T1037" s="53"/>
      <c r="U1037" s="53"/>
      <c r="V1037" s="53"/>
      <c r="W1037" s="53"/>
      <c r="X1037" s="53"/>
      <c r="Y1037" s="53"/>
      <c r="Z1037" s="53"/>
    </row>
    <row r="1038" spans="1:26" ht="15.75" customHeight="1">
      <c r="A1038" s="103"/>
      <c r="B1038" s="103"/>
      <c r="C1038" s="104" t="e">
        <v>#REF!</v>
      </c>
      <c r="D1038" s="103"/>
      <c r="E1038" s="53"/>
      <c r="F1038" s="53"/>
      <c r="G1038" s="53"/>
      <c r="H1038" s="53"/>
      <c r="I1038" s="53"/>
      <c r="J1038" s="53"/>
      <c r="K1038" s="53"/>
      <c r="L1038" s="53"/>
      <c r="M1038" s="53"/>
      <c r="N1038" s="53"/>
      <c r="O1038" s="53"/>
      <c r="P1038" s="53"/>
      <c r="Q1038" s="53"/>
      <c r="R1038" s="53"/>
      <c r="S1038" s="53"/>
      <c r="T1038" s="53"/>
      <c r="U1038" s="53"/>
      <c r="V1038" s="53"/>
      <c r="W1038" s="53"/>
      <c r="X1038" s="53"/>
      <c r="Y1038" s="53"/>
      <c r="Z1038" s="53"/>
    </row>
    <row r="1039" spans="1:26" ht="15.75" customHeight="1">
      <c r="A1039" s="103"/>
      <c r="B1039" s="103"/>
      <c r="C1039" s="104" t="e">
        <v>#REF!</v>
      </c>
      <c r="D1039" s="103"/>
      <c r="E1039" s="53"/>
      <c r="F1039" s="53"/>
      <c r="G1039" s="53"/>
      <c r="H1039" s="53"/>
      <c r="I1039" s="53"/>
      <c r="J1039" s="53"/>
      <c r="K1039" s="53"/>
      <c r="L1039" s="53"/>
      <c r="M1039" s="53"/>
      <c r="N1039" s="53"/>
      <c r="O1039" s="53"/>
      <c r="P1039" s="53"/>
      <c r="Q1039" s="53"/>
      <c r="R1039" s="53"/>
      <c r="S1039" s="53"/>
      <c r="T1039" s="53"/>
      <c r="U1039" s="53"/>
      <c r="V1039" s="53"/>
      <c r="W1039" s="53"/>
      <c r="X1039" s="53"/>
      <c r="Y1039" s="53"/>
      <c r="Z1039" s="53"/>
    </row>
    <row r="1040" spans="1:26" ht="15.75" customHeight="1">
      <c r="A1040" s="103"/>
      <c r="B1040" s="103"/>
      <c r="C1040" s="104" t="e">
        <v>#REF!</v>
      </c>
      <c r="D1040" s="103"/>
      <c r="E1040" s="53"/>
      <c r="F1040" s="53"/>
      <c r="G1040" s="53"/>
      <c r="H1040" s="53"/>
      <c r="I1040" s="53"/>
      <c r="J1040" s="53"/>
      <c r="K1040" s="53"/>
      <c r="L1040" s="53"/>
      <c r="M1040" s="53"/>
      <c r="N1040" s="53"/>
      <c r="O1040" s="53"/>
      <c r="P1040" s="53"/>
      <c r="Q1040" s="53"/>
      <c r="R1040" s="53"/>
      <c r="S1040" s="53"/>
      <c r="T1040" s="53"/>
      <c r="U1040" s="53"/>
      <c r="V1040" s="53"/>
      <c r="W1040" s="53"/>
      <c r="X1040" s="53"/>
      <c r="Y1040" s="53"/>
      <c r="Z1040" s="53"/>
    </row>
    <row r="1041" spans="1:26" ht="15.75" customHeight="1">
      <c r="A1041" s="103"/>
      <c r="B1041" s="103"/>
      <c r="C1041" s="104" t="e">
        <v>#REF!</v>
      </c>
      <c r="D1041" s="103"/>
      <c r="E1041" s="53"/>
      <c r="F1041" s="53"/>
      <c r="G1041" s="53"/>
      <c r="H1041" s="53"/>
      <c r="I1041" s="53"/>
      <c r="J1041" s="53"/>
      <c r="K1041" s="53"/>
      <c r="L1041" s="53"/>
      <c r="M1041" s="53"/>
      <c r="N1041" s="53"/>
      <c r="O1041" s="53"/>
      <c r="P1041" s="53"/>
      <c r="Q1041" s="53"/>
      <c r="R1041" s="53"/>
      <c r="S1041" s="53"/>
      <c r="T1041" s="53"/>
      <c r="U1041" s="53"/>
      <c r="V1041" s="53"/>
      <c r="W1041" s="53"/>
      <c r="X1041" s="53"/>
      <c r="Y1041" s="53"/>
      <c r="Z1041" s="53"/>
    </row>
    <row r="1042" spans="1:26" ht="15.75" customHeight="1">
      <c r="A1042" s="103"/>
      <c r="B1042" s="103"/>
      <c r="C1042" s="104" t="e">
        <v>#REF!</v>
      </c>
      <c r="D1042" s="103"/>
      <c r="E1042" s="53"/>
      <c r="F1042" s="53"/>
      <c r="G1042" s="53"/>
      <c r="H1042" s="53"/>
      <c r="I1042" s="53"/>
      <c r="J1042" s="53"/>
      <c r="K1042" s="53"/>
      <c r="L1042" s="53"/>
      <c r="M1042" s="53"/>
      <c r="N1042" s="53"/>
      <c r="O1042" s="53"/>
      <c r="P1042" s="53"/>
      <c r="Q1042" s="53"/>
      <c r="R1042" s="53"/>
      <c r="S1042" s="53"/>
      <c r="T1042" s="53"/>
      <c r="U1042" s="53"/>
      <c r="V1042" s="53"/>
      <c r="W1042" s="53"/>
      <c r="X1042" s="53"/>
      <c r="Y1042" s="53"/>
      <c r="Z1042" s="53"/>
    </row>
    <row r="1043" spans="1:26" ht="15.75" customHeight="1">
      <c r="A1043" s="103"/>
      <c r="B1043" s="103"/>
      <c r="C1043" s="104" t="e">
        <v>#REF!</v>
      </c>
      <c r="D1043" s="103"/>
      <c r="E1043" s="53"/>
      <c r="F1043" s="53"/>
      <c r="G1043" s="53"/>
      <c r="H1043" s="53"/>
      <c r="I1043" s="53"/>
      <c r="J1043" s="53"/>
      <c r="K1043" s="53"/>
      <c r="L1043" s="53"/>
      <c r="M1043" s="53"/>
      <c r="N1043" s="53"/>
      <c r="O1043" s="53"/>
      <c r="P1043" s="53"/>
      <c r="Q1043" s="53"/>
      <c r="R1043" s="53"/>
      <c r="S1043" s="53"/>
      <c r="T1043" s="53"/>
      <c r="U1043" s="53"/>
      <c r="V1043" s="53"/>
      <c r="W1043" s="53"/>
      <c r="X1043" s="53"/>
      <c r="Y1043" s="53"/>
      <c r="Z1043" s="53"/>
    </row>
    <row r="1044" spans="1:26" ht="15.75" customHeight="1">
      <c r="A1044" s="103"/>
      <c r="B1044" s="103"/>
      <c r="C1044" s="104" t="e">
        <v>#REF!</v>
      </c>
      <c r="D1044" s="103"/>
      <c r="E1044" s="53"/>
      <c r="F1044" s="53"/>
      <c r="G1044" s="53"/>
      <c r="H1044" s="53"/>
      <c r="I1044" s="53"/>
      <c r="J1044" s="53"/>
      <c r="K1044" s="53"/>
      <c r="L1044" s="53"/>
      <c r="M1044" s="53"/>
      <c r="N1044" s="53"/>
      <c r="O1044" s="53"/>
      <c r="P1044" s="53"/>
      <c r="Q1044" s="53"/>
      <c r="R1044" s="53"/>
      <c r="S1044" s="53"/>
      <c r="T1044" s="53"/>
      <c r="U1044" s="53"/>
      <c r="V1044" s="53"/>
      <c r="W1044" s="53"/>
      <c r="X1044" s="53"/>
      <c r="Y1044" s="53"/>
      <c r="Z1044" s="53"/>
    </row>
    <row r="1045" spans="1:26" ht="15.75" customHeight="1">
      <c r="A1045" s="103"/>
      <c r="B1045" s="103"/>
      <c r="C1045" s="104" t="e">
        <v>#REF!</v>
      </c>
      <c r="D1045" s="103"/>
      <c r="E1045" s="53"/>
      <c r="F1045" s="53"/>
      <c r="G1045" s="53"/>
      <c r="H1045" s="53"/>
      <c r="I1045" s="53"/>
      <c r="J1045" s="53"/>
      <c r="K1045" s="53"/>
      <c r="L1045" s="53"/>
      <c r="M1045" s="53"/>
      <c r="N1045" s="53"/>
      <c r="O1045" s="53"/>
      <c r="P1045" s="53"/>
      <c r="Q1045" s="53"/>
      <c r="R1045" s="53"/>
      <c r="S1045" s="53"/>
      <c r="T1045" s="53"/>
      <c r="U1045" s="53"/>
      <c r="V1045" s="53"/>
      <c r="W1045" s="53"/>
      <c r="X1045" s="53"/>
      <c r="Y1045" s="53"/>
      <c r="Z1045" s="53"/>
    </row>
    <row r="1046" spans="1:26" ht="15.75" customHeight="1">
      <c r="A1046" s="103"/>
      <c r="B1046" s="103"/>
      <c r="C1046" s="104" t="e">
        <v>#REF!</v>
      </c>
      <c r="D1046" s="103"/>
      <c r="E1046" s="53"/>
      <c r="F1046" s="53"/>
      <c r="G1046" s="53"/>
      <c r="H1046" s="53"/>
      <c r="I1046" s="53"/>
      <c r="J1046" s="53"/>
      <c r="K1046" s="53"/>
      <c r="L1046" s="53"/>
      <c r="M1046" s="53"/>
      <c r="N1046" s="53"/>
      <c r="O1046" s="53"/>
      <c r="P1046" s="53"/>
      <c r="Q1046" s="53"/>
      <c r="R1046" s="53"/>
      <c r="S1046" s="53"/>
      <c r="T1046" s="53"/>
      <c r="U1046" s="53"/>
      <c r="V1046" s="53"/>
      <c r="W1046" s="53"/>
      <c r="X1046" s="53"/>
      <c r="Y1046" s="53"/>
      <c r="Z1046" s="53"/>
    </row>
    <row r="1047" spans="1:26" ht="15.75" customHeight="1">
      <c r="A1047" s="103"/>
      <c r="B1047" s="103"/>
      <c r="C1047" s="104" t="e">
        <v>#REF!</v>
      </c>
      <c r="D1047" s="103"/>
      <c r="E1047" s="53"/>
      <c r="F1047" s="53"/>
      <c r="G1047" s="53"/>
      <c r="H1047" s="53"/>
      <c r="I1047" s="53"/>
      <c r="J1047" s="53"/>
      <c r="K1047" s="53"/>
      <c r="L1047" s="53"/>
      <c r="M1047" s="53"/>
      <c r="N1047" s="53"/>
      <c r="O1047" s="53"/>
      <c r="P1047" s="53"/>
      <c r="Q1047" s="53"/>
      <c r="R1047" s="53"/>
      <c r="S1047" s="53"/>
      <c r="T1047" s="53"/>
      <c r="U1047" s="53"/>
      <c r="V1047" s="53"/>
      <c r="W1047" s="53"/>
      <c r="X1047" s="53"/>
      <c r="Y1047" s="53"/>
      <c r="Z1047" s="53"/>
    </row>
    <row r="1048" spans="1:26" ht="15.75" customHeight="1">
      <c r="A1048" s="103"/>
      <c r="B1048" s="103"/>
      <c r="C1048" s="104" t="e">
        <v>#REF!</v>
      </c>
      <c r="D1048" s="103"/>
      <c r="E1048" s="53"/>
      <c r="F1048" s="53"/>
      <c r="G1048" s="53"/>
      <c r="H1048" s="53"/>
      <c r="I1048" s="53"/>
      <c r="J1048" s="53"/>
      <c r="K1048" s="53"/>
      <c r="L1048" s="53"/>
      <c r="M1048" s="53"/>
      <c r="N1048" s="53"/>
      <c r="O1048" s="53"/>
      <c r="P1048" s="53"/>
      <c r="Q1048" s="53"/>
      <c r="R1048" s="53"/>
      <c r="S1048" s="53"/>
      <c r="T1048" s="53"/>
      <c r="U1048" s="53"/>
      <c r="V1048" s="53"/>
      <c r="W1048" s="53"/>
      <c r="X1048" s="53"/>
      <c r="Y1048" s="53"/>
      <c r="Z1048" s="53"/>
    </row>
    <row r="1049" spans="1:26" ht="15.75" customHeight="1">
      <c r="A1049" s="103"/>
      <c r="B1049" s="103"/>
      <c r="C1049" s="104" t="e">
        <v>#REF!</v>
      </c>
      <c r="D1049" s="103"/>
      <c r="E1049" s="53"/>
      <c r="F1049" s="53"/>
      <c r="G1049" s="53"/>
      <c r="H1049" s="53"/>
      <c r="I1049" s="53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  <c r="W1049" s="53"/>
      <c r="X1049" s="53"/>
      <c r="Y1049" s="53"/>
      <c r="Z1049" s="53"/>
    </row>
    <row r="1050" spans="1:26" ht="15.75" customHeight="1">
      <c r="A1050" s="103"/>
      <c r="B1050" s="103"/>
      <c r="C1050" s="104" t="e">
        <v>#REF!</v>
      </c>
      <c r="D1050" s="103"/>
      <c r="E1050" s="53"/>
      <c r="F1050" s="53"/>
      <c r="G1050" s="53"/>
      <c r="H1050" s="53"/>
      <c r="I1050" s="53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3"/>
      <c r="X1050" s="53"/>
      <c r="Y1050" s="53"/>
      <c r="Z1050" s="53"/>
    </row>
    <row r="1051" spans="1:26" ht="15.75" customHeight="1">
      <c r="A1051" s="103"/>
      <c r="B1051" s="103"/>
      <c r="C1051" s="104" t="e">
        <v>#REF!</v>
      </c>
      <c r="D1051" s="103"/>
      <c r="E1051" s="53"/>
      <c r="F1051" s="53"/>
      <c r="G1051" s="53"/>
      <c r="H1051" s="53"/>
      <c r="I1051" s="53"/>
      <c r="J1051" s="53"/>
      <c r="K1051" s="53"/>
      <c r="L1051" s="53"/>
      <c r="M1051" s="53"/>
      <c r="N1051" s="53"/>
      <c r="O1051" s="53"/>
      <c r="P1051" s="53"/>
      <c r="Q1051" s="53"/>
      <c r="R1051" s="53"/>
      <c r="S1051" s="53"/>
      <c r="T1051" s="53"/>
      <c r="U1051" s="53"/>
      <c r="V1051" s="53"/>
      <c r="W1051" s="53"/>
      <c r="X1051" s="53"/>
      <c r="Y1051" s="53"/>
      <c r="Z1051" s="53"/>
    </row>
    <row r="1052" spans="1:26" ht="15.75" customHeight="1">
      <c r="A1052" s="103"/>
      <c r="B1052" s="103"/>
      <c r="C1052" s="104" t="e">
        <v>#REF!</v>
      </c>
      <c r="D1052" s="103"/>
      <c r="E1052" s="53"/>
      <c r="F1052" s="53"/>
      <c r="G1052" s="53"/>
      <c r="H1052" s="53"/>
      <c r="I1052" s="53"/>
      <c r="J1052" s="53"/>
      <c r="K1052" s="53"/>
      <c r="L1052" s="53"/>
      <c r="M1052" s="53"/>
      <c r="N1052" s="53"/>
      <c r="O1052" s="53"/>
      <c r="P1052" s="53"/>
      <c r="Q1052" s="53"/>
      <c r="R1052" s="53"/>
      <c r="S1052" s="53"/>
      <c r="T1052" s="53"/>
      <c r="U1052" s="53"/>
      <c r="V1052" s="53"/>
      <c r="W1052" s="53"/>
      <c r="X1052" s="53"/>
      <c r="Y1052" s="53"/>
      <c r="Z1052" s="53"/>
    </row>
    <row r="1053" spans="1:26" ht="15.75" customHeight="1">
      <c r="A1053" s="103"/>
      <c r="B1053" s="103"/>
      <c r="C1053" s="104" t="e">
        <v>#REF!</v>
      </c>
      <c r="D1053" s="103"/>
      <c r="E1053" s="53"/>
      <c r="F1053" s="53"/>
      <c r="G1053" s="53"/>
      <c r="H1053" s="53"/>
      <c r="I1053" s="53"/>
      <c r="J1053" s="53"/>
      <c r="K1053" s="53"/>
      <c r="L1053" s="53"/>
      <c r="M1053" s="53"/>
      <c r="N1053" s="53"/>
      <c r="O1053" s="53"/>
      <c r="P1053" s="53"/>
      <c r="Q1053" s="53"/>
      <c r="R1053" s="53"/>
      <c r="S1053" s="53"/>
      <c r="T1053" s="53"/>
      <c r="U1053" s="53"/>
      <c r="V1053" s="53"/>
      <c r="W1053" s="53"/>
      <c r="X1053" s="53"/>
      <c r="Y1053" s="53"/>
      <c r="Z1053" s="53"/>
    </row>
    <row r="1054" spans="1:26" ht="15.75" customHeight="1">
      <c r="A1054" s="103"/>
      <c r="B1054" s="103"/>
      <c r="C1054" s="104" t="e">
        <v>#REF!</v>
      </c>
      <c r="D1054" s="103"/>
      <c r="E1054" s="53"/>
      <c r="F1054" s="53"/>
      <c r="G1054" s="53"/>
      <c r="H1054" s="53"/>
      <c r="I1054" s="53"/>
      <c r="J1054" s="53"/>
      <c r="K1054" s="53"/>
      <c r="L1054" s="53"/>
      <c r="M1054" s="53"/>
      <c r="N1054" s="53"/>
      <c r="O1054" s="53"/>
      <c r="P1054" s="53"/>
      <c r="Q1054" s="53"/>
      <c r="R1054" s="53"/>
      <c r="S1054" s="53"/>
      <c r="T1054" s="53"/>
      <c r="U1054" s="53"/>
      <c r="V1054" s="53"/>
      <c r="W1054" s="53"/>
      <c r="X1054" s="53"/>
      <c r="Y1054" s="53"/>
      <c r="Z1054" s="53"/>
    </row>
    <row r="1055" spans="1:26" ht="15.75" customHeight="1">
      <c r="A1055" s="103"/>
      <c r="B1055" s="103"/>
      <c r="C1055" s="104" t="e">
        <v>#REF!</v>
      </c>
      <c r="D1055" s="103"/>
      <c r="E1055" s="53"/>
      <c r="F1055" s="53"/>
      <c r="G1055" s="53"/>
      <c r="H1055" s="53"/>
      <c r="I1055" s="53"/>
      <c r="J1055" s="53"/>
      <c r="K1055" s="53"/>
      <c r="L1055" s="53"/>
      <c r="M1055" s="53"/>
      <c r="N1055" s="53"/>
      <c r="O1055" s="53"/>
      <c r="P1055" s="53"/>
      <c r="Q1055" s="53"/>
      <c r="R1055" s="53"/>
      <c r="S1055" s="53"/>
      <c r="T1055" s="53"/>
      <c r="U1055" s="53"/>
      <c r="V1055" s="53"/>
      <c r="W1055" s="53"/>
      <c r="X1055" s="53"/>
      <c r="Y1055" s="53"/>
      <c r="Z1055" s="53"/>
    </row>
    <row r="1056" spans="1:26" ht="15.75" customHeight="1">
      <c r="A1056" s="103"/>
      <c r="B1056" s="103"/>
      <c r="C1056" s="104" t="e">
        <v>#REF!</v>
      </c>
      <c r="D1056" s="103"/>
      <c r="E1056" s="53"/>
      <c r="F1056" s="53"/>
      <c r="G1056" s="53"/>
      <c r="H1056" s="53"/>
      <c r="I1056" s="53"/>
      <c r="J1056" s="53"/>
      <c r="K1056" s="53"/>
      <c r="L1056" s="53"/>
      <c r="M1056" s="53"/>
      <c r="N1056" s="53"/>
      <c r="O1056" s="53"/>
      <c r="P1056" s="53"/>
      <c r="Q1056" s="53"/>
      <c r="R1056" s="53"/>
      <c r="S1056" s="53"/>
      <c r="T1056" s="53"/>
      <c r="U1056" s="53"/>
      <c r="V1056" s="53"/>
      <c r="W1056" s="53"/>
      <c r="X1056" s="53"/>
      <c r="Y1056" s="53"/>
      <c r="Z1056" s="53"/>
    </row>
    <row r="1057" spans="1:26" ht="15.75" customHeight="1">
      <c r="A1057" s="103"/>
      <c r="B1057" s="103"/>
      <c r="C1057" s="104" t="e">
        <v>#REF!</v>
      </c>
      <c r="D1057" s="103"/>
      <c r="E1057" s="53"/>
      <c r="F1057" s="53"/>
      <c r="G1057" s="53"/>
      <c r="H1057" s="53"/>
      <c r="I1057" s="53"/>
      <c r="J1057" s="53"/>
      <c r="K1057" s="53"/>
      <c r="L1057" s="53"/>
      <c r="M1057" s="53"/>
      <c r="N1057" s="53"/>
      <c r="O1057" s="53"/>
      <c r="P1057" s="53"/>
      <c r="Q1057" s="53"/>
      <c r="R1057" s="53"/>
      <c r="S1057" s="53"/>
      <c r="T1057" s="53"/>
      <c r="U1057" s="53"/>
      <c r="V1057" s="53"/>
      <c r="W1057" s="53"/>
      <c r="X1057" s="53"/>
      <c r="Y1057" s="53"/>
      <c r="Z1057" s="53"/>
    </row>
    <row r="1058" spans="1:26" ht="15.75" customHeight="1">
      <c r="A1058" s="103"/>
      <c r="B1058" s="103"/>
      <c r="C1058" s="104" t="e">
        <v>#REF!</v>
      </c>
      <c r="D1058" s="103"/>
      <c r="E1058" s="53"/>
      <c r="F1058" s="53"/>
      <c r="G1058" s="53"/>
      <c r="H1058" s="53"/>
      <c r="I1058" s="53"/>
      <c r="J1058" s="53"/>
      <c r="K1058" s="53"/>
      <c r="L1058" s="53"/>
      <c r="M1058" s="53"/>
      <c r="N1058" s="53"/>
      <c r="O1058" s="53"/>
      <c r="P1058" s="53"/>
      <c r="Q1058" s="53"/>
      <c r="R1058" s="53"/>
      <c r="S1058" s="53"/>
      <c r="T1058" s="53"/>
      <c r="U1058" s="53"/>
      <c r="V1058" s="53"/>
      <c r="W1058" s="53"/>
      <c r="X1058" s="53"/>
      <c r="Y1058" s="53"/>
      <c r="Z1058" s="53"/>
    </row>
    <row r="1059" spans="1:26" ht="15.75" customHeight="1">
      <c r="A1059" s="103"/>
      <c r="B1059" s="103"/>
      <c r="C1059" s="104" t="e">
        <v>#REF!</v>
      </c>
      <c r="D1059" s="103"/>
      <c r="E1059" s="53"/>
      <c r="F1059" s="53"/>
      <c r="G1059" s="53"/>
      <c r="H1059" s="53"/>
      <c r="I1059" s="53"/>
      <c r="J1059" s="53"/>
      <c r="K1059" s="53"/>
      <c r="L1059" s="53"/>
      <c r="M1059" s="53"/>
      <c r="N1059" s="53"/>
      <c r="O1059" s="53"/>
      <c r="P1059" s="53"/>
      <c r="Q1059" s="53"/>
      <c r="R1059" s="53"/>
      <c r="S1059" s="53"/>
      <c r="T1059" s="53"/>
      <c r="U1059" s="53"/>
      <c r="V1059" s="53"/>
      <c r="W1059" s="53"/>
      <c r="X1059" s="53"/>
      <c r="Y1059" s="53"/>
      <c r="Z1059" s="53"/>
    </row>
    <row r="1060" spans="1:26" ht="15.75" customHeight="1">
      <c r="A1060" s="103"/>
      <c r="B1060" s="103"/>
      <c r="C1060" s="104" t="e">
        <v>#REF!</v>
      </c>
      <c r="D1060" s="103"/>
      <c r="E1060" s="53"/>
      <c r="F1060" s="53"/>
      <c r="G1060" s="53"/>
      <c r="H1060" s="53"/>
      <c r="I1060" s="53"/>
      <c r="J1060" s="53"/>
      <c r="K1060" s="53"/>
      <c r="L1060" s="53"/>
      <c r="M1060" s="53"/>
      <c r="N1060" s="53"/>
      <c r="O1060" s="53"/>
      <c r="P1060" s="53"/>
      <c r="Q1060" s="53"/>
      <c r="R1060" s="53"/>
      <c r="S1060" s="53"/>
      <c r="T1060" s="53"/>
      <c r="U1060" s="53"/>
      <c r="V1060" s="53"/>
      <c r="W1060" s="53"/>
      <c r="X1060" s="53"/>
      <c r="Y1060" s="53"/>
      <c r="Z1060" s="53"/>
    </row>
    <row r="1061" spans="1:26" ht="15.75" customHeight="1">
      <c r="A1061" s="103"/>
      <c r="B1061" s="103"/>
      <c r="C1061" s="104" t="e">
        <v>#REF!</v>
      </c>
      <c r="D1061" s="103"/>
      <c r="E1061" s="53"/>
      <c r="F1061" s="53"/>
      <c r="G1061" s="53"/>
      <c r="H1061" s="53"/>
      <c r="I1061" s="53"/>
      <c r="J1061" s="53"/>
      <c r="K1061" s="53"/>
      <c r="L1061" s="53"/>
      <c r="M1061" s="53"/>
      <c r="N1061" s="53"/>
      <c r="O1061" s="53"/>
      <c r="P1061" s="53"/>
      <c r="Q1061" s="53"/>
      <c r="R1061" s="53"/>
      <c r="S1061" s="53"/>
      <c r="T1061" s="53"/>
      <c r="U1061" s="53"/>
      <c r="V1061" s="53"/>
      <c r="W1061" s="53"/>
      <c r="X1061" s="53"/>
      <c r="Y1061" s="53"/>
      <c r="Z1061" s="53"/>
    </row>
    <row r="1062" spans="1:26" ht="15.75" customHeight="1">
      <c r="A1062" s="103"/>
      <c r="B1062" s="103"/>
      <c r="C1062" s="104" t="e">
        <v>#REF!</v>
      </c>
      <c r="D1062" s="103"/>
      <c r="E1062" s="53"/>
      <c r="F1062" s="53"/>
      <c r="G1062" s="53"/>
      <c r="H1062" s="53"/>
      <c r="I1062" s="53"/>
      <c r="J1062" s="53"/>
      <c r="K1062" s="53"/>
      <c r="L1062" s="53"/>
      <c r="M1062" s="53"/>
      <c r="N1062" s="53"/>
      <c r="O1062" s="53"/>
      <c r="P1062" s="53"/>
      <c r="Q1062" s="53"/>
      <c r="R1062" s="53"/>
      <c r="S1062" s="53"/>
      <c r="T1062" s="53"/>
      <c r="U1062" s="53"/>
      <c r="V1062" s="53"/>
      <c r="W1062" s="53"/>
      <c r="X1062" s="53"/>
      <c r="Y1062" s="53"/>
      <c r="Z1062" s="53"/>
    </row>
    <row r="1063" spans="1:26" ht="15.75" customHeight="1">
      <c r="A1063" s="103"/>
      <c r="B1063" s="103"/>
      <c r="C1063" s="104" t="e">
        <v>#REF!</v>
      </c>
      <c r="D1063" s="103"/>
      <c r="E1063" s="53"/>
      <c r="F1063" s="53"/>
      <c r="G1063" s="53"/>
      <c r="H1063" s="53"/>
      <c r="I1063" s="53"/>
      <c r="J1063" s="53"/>
      <c r="K1063" s="53"/>
      <c r="L1063" s="53"/>
      <c r="M1063" s="53"/>
      <c r="N1063" s="53"/>
      <c r="O1063" s="53"/>
      <c r="P1063" s="53"/>
      <c r="Q1063" s="53"/>
      <c r="R1063" s="53"/>
      <c r="S1063" s="53"/>
      <c r="T1063" s="53"/>
      <c r="U1063" s="53"/>
      <c r="V1063" s="53"/>
      <c r="W1063" s="53"/>
      <c r="X1063" s="53"/>
      <c r="Y1063" s="53"/>
      <c r="Z1063" s="53"/>
    </row>
    <row r="1064" spans="1:26" ht="15.75" customHeight="1">
      <c r="A1064" s="103"/>
      <c r="B1064" s="103"/>
      <c r="C1064" s="104" t="e">
        <v>#REF!</v>
      </c>
      <c r="D1064" s="103"/>
      <c r="E1064" s="53"/>
      <c r="F1064" s="53"/>
      <c r="G1064" s="53"/>
      <c r="H1064" s="53"/>
      <c r="I1064" s="53"/>
      <c r="J1064" s="53"/>
      <c r="K1064" s="53"/>
      <c r="L1064" s="53"/>
      <c r="M1064" s="53"/>
      <c r="N1064" s="53"/>
      <c r="O1064" s="53"/>
      <c r="P1064" s="53"/>
      <c r="Q1064" s="53"/>
      <c r="R1064" s="53"/>
      <c r="S1064" s="53"/>
      <c r="T1064" s="53"/>
      <c r="U1064" s="53"/>
      <c r="V1064" s="53"/>
      <c r="W1064" s="53"/>
      <c r="X1064" s="53"/>
      <c r="Y1064" s="53"/>
      <c r="Z1064" s="53"/>
    </row>
    <row r="1065" spans="1:26" ht="15.75" customHeight="1">
      <c r="A1065" s="103"/>
      <c r="B1065" s="103"/>
      <c r="C1065" s="104" t="e">
        <v>#REF!</v>
      </c>
      <c r="D1065" s="103"/>
      <c r="E1065" s="53"/>
      <c r="F1065" s="53"/>
      <c r="G1065" s="53"/>
      <c r="H1065" s="53"/>
      <c r="I1065" s="53"/>
      <c r="J1065" s="53"/>
      <c r="K1065" s="53"/>
      <c r="L1065" s="53"/>
      <c r="M1065" s="53"/>
      <c r="N1065" s="53"/>
      <c r="O1065" s="53"/>
      <c r="P1065" s="53"/>
      <c r="Q1065" s="53"/>
      <c r="R1065" s="53"/>
      <c r="S1065" s="53"/>
      <c r="T1065" s="53"/>
      <c r="U1065" s="53"/>
      <c r="V1065" s="53"/>
      <c r="W1065" s="53"/>
      <c r="X1065" s="53"/>
      <c r="Y1065" s="53"/>
      <c r="Z1065" s="53"/>
    </row>
    <row r="1066" spans="1:26" ht="15.75" customHeight="1">
      <c r="A1066" s="103"/>
      <c r="B1066" s="103"/>
      <c r="C1066" s="104" t="e">
        <v>#REF!</v>
      </c>
      <c r="D1066" s="103"/>
      <c r="E1066" s="53"/>
      <c r="F1066" s="53"/>
      <c r="G1066" s="53"/>
      <c r="H1066" s="53"/>
      <c r="I1066" s="53"/>
      <c r="J1066" s="53"/>
      <c r="K1066" s="53"/>
      <c r="L1066" s="53"/>
      <c r="M1066" s="53"/>
      <c r="N1066" s="53"/>
      <c r="O1066" s="53"/>
      <c r="P1066" s="53"/>
      <c r="Q1066" s="53"/>
      <c r="R1066" s="53"/>
      <c r="S1066" s="53"/>
      <c r="T1066" s="53"/>
      <c r="U1066" s="53"/>
      <c r="V1066" s="53"/>
      <c r="W1066" s="53"/>
      <c r="X1066" s="53"/>
      <c r="Y1066" s="53"/>
      <c r="Z1066" s="53"/>
    </row>
    <row r="1067" spans="1:26" ht="15.75" customHeight="1">
      <c r="A1067" s="103"/>
      <c r="B1067" s="103"/>
      <c r="C1067" s="104" t="e">
        <v>#REF!</v>
      </c>
      <c r="D1067" s="103"/>
      <c r="E1067" s="53"/>
      <c r="F1067" s="53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3"/>
      <c r="X1067" s="53"/>
      <c r="Y1067" s="53"/>
      <c r="Z1067" s="53"/>
    </row>
    <row r="1068" spans="1:26" ht="15.75" customHeight="1">
      <c r="A1068" s="103"/>
      <c r="B1068" s="103"/>
      <c r="C1068" s="104" t="e">
        <v>#REF!</v>
      </c>
      <c r="D1068" s="103"/>
      <c r="E1068" s="53"/>
      <c r="F1068" s="53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3"/>
      <c r="X1068" s="53"/>
      <c r="Y1068" s="53"/>
      <c r="Z1068" s="53"/>
    </row>
    <row r="1069" spans="1:26" ht="15.75" customHeight="1">
      <c r="A1069" s="103"/>
      <c r="B1069" s="103"/>
      <c r="C1069" s="104" t="e">
        <v>#REF!</v>
      </c>
      <c r="D1069" s="103"/>
      <c r="E1069" s="53"/>
      <c r="F1069" s="53"/>
      <c r="G1069" s="53"/>
      <c r="H1069" s="53"/>
      <c r="I1069" s="53"/>
      <c r="J1069" s="53"/>
      <c r="K1069" s="53"/>
      <c r="L1069" s="53"/>
      <c r="M1069" s="53"/>
      <c r="N1069" s="53"/>
      <c r="O1069" s="53"/>
      <c r="P1069" s="53"/>
      <c r="Q1069" s="53"/>
      <c r="R1069" s="53"/>
      <c r="S1069" s="53"/>
      <c r="T1069" s="53"/>
      <c r="U1069" s="53"/>
      <c r="V1069" s="53"/>
      <c r="W1069" s="53"/>
      <c r="X1069" s="53"/>
      <c r="Y1069" s="53"/>
      <c r="Z1069" s="53"/>
    </row>
    <row r="1070" spans="1:26" ht="15.75" customHeight="1">
      <c r="A1070" s="103"/>
      <c r="B1070" s="103"/>
      <c r="C1070" s="104" t="e">
        <v>#REF!</v>
      </c>
      <c r="D1070" s="103"/>
      <c r="E1070" s="53"/>
      <c r="F1070" s="53"/>
      <c r="G1070" s="53"/>
      <c r="H1070" s="53"/>
      <c r="I1070" s="53"/>
      <c r="J1070" s="53"/>
      <c r="K1070" s="53"/>
      <c r="L1070" s="53"/>
      <c r="M1070" s="53"/>
      <c r="N1070" s="53"/>
      <c r="O1070" s="53"/>
      <c r="P1070" s="53"/>
      <c r="Q1070" s="53"/>
      <c r="R1070" s="53"/>
      <c r="S1070" s="53"/>
      <c r="T1070" s="53"/>
      <c r="U1070" s="53"/>
      <c r="V1070" s="53"/>
      <c r="W1070" s="53"/>
      <c r="X1070" s="53"/>
      <c r="Y1070" s="53"/>
      <c r="Z1070" s="53"/>
    </row>
    <row r="1071" spans="1:26" ht="15.75" customHeight="1">
      <c r="A1071" s="103"/>
      <c r="B1071" s="103"/>
      <c r="C1071" s="104" t="e">
        <v>#REF!</v>
      </c>
      <c r="D1071" s="103"/>
      <c r="E1071" s="53"/>
      <c r="F1071" s="53"/>
      <c r="G1071" s="53"/>
      <c r="H1071" s="53"/>
      <c r="I1071" s="53"/>
      <c r="J1071" s="53"/>
      <c r="K1071" s="53"/>
      <c r="L1071" s="53"/>
      <c r="M1071" s="53"/>
      <c r="N1071" s="53"/>
      <c r="O1071" s="53"/>
      <c r="P1071" s="53"/>
      <c r="Q1071" s="53"/>
      <c r="R1071" s="53"/>
      <c r="S1071" s="53"/>
      <c r="T1071" s="53"/>
      <c r="U1071" s="53"/>
      <c r="V1071" s="53"/>
      <c r="W1071" s="53"/>
      <c r="X1071" s="53"/>
      <c r="Y1071" s="53"/>
      <c r="Z1071" s="53"/>
    </row>
    <row r="1072" spans="1:26" ht="15.75" customHeight="1">
      <c r="A1072" s="103"/>
      <c r="B1072" s="103"/>
      <c r="C1072" s="104" t="e">
        <v>#REF!</v>
      </c>
      <c r="D1072" s="103"/>
      <c r="E1072" s="53"/>
      <c r="F1072" s="53"/>
      <c r="G1072" s="53"/>
      <c r="H1072" s="53"/>
      <c r="I1072" s="53"/>
      <c r="J1072" s="53"/>
      <c r="K1072" s="53"/>
      <c r="L1072" s="53"/>
      <c r="M1072" s="53"/>
      <c r="N1072" s="53"/>
      <c r="O1072" s="53"/>
      <c r="P1072" s="53"/>
      <c r="Q1072" s="53"/>
      <c r="R1072" s="53"/>
      <c r="S1072" s="53"/>
      <c r="T1072" s="53"/>
      <c r="U1072" s="53"/>
      <c r="V1072" s="53"/>
      <c r="W1072" s="53"/>
      <c r="X1072" s="53"/>
      <c r="Y1072" s="53"/>
      <c r="Z1072" s="53"/>
    </row>
    <row r="1073" spans="1:26" ht="15.75" customHeight="1">
      <c r="A1073" s="103"/>
      <c r="B1073" s="103"/>
      <c r="C1073" s="104" t="e">
        <v>#REF!</v>
      </c>
      <c r="D1073" s="103"/>
      <c r="E1073" s="53"/>
      <c r="F1073" s="53"/>
      <c r="G1073" s="53"/>
      <c r="H1073" s="53"/>
      <c r="I1073" s="53"/>
      <c r="J1073" s="53"/>
      <c r="K1073" s="53"/>
      <c r="L1073" s="53"/>
      <c r="M1073" s="53"/>
      <c r="N1073" s="53"/>
      <c r="O1073" s="53"/>
      <c r="P1073" s="53"/>
      <c r="Q1073" s="53"/>
      <c r="R1073" s="53"/>
      <c r="S1073" s="53"/>
      <c r="T1073" s="53"/>
      <c r="U1073" s="53"/>
      <c r="V1073" s="53"/>
      <c r="W1073" s="53"/>
      <c r="X1073" s="53"/>
      <c r="Y1073" s="53"/>
      <c r="Z1073" s="53"/>
    </row>
    <row r="1074" spans="1:26" ht="15.75" customHeight="1">
      <c r="A1074" s="103"/>
      <c r="B1074" s="103"/>
      <c r="C1074" s="104" t="e">
        <v>#REF!</v>
      </c>
      <c r="D1074" s="103"/>
      <c r="E1074" s="53"/>
      <c r="F1074" s="53"/>
      <c r="G1074" s="53"/>
      <c r="H1074" s="53"/>
      <c r="I1074" s="53"/>
      <c r="J1074" s="53"/>
      <c r="K1074" s="53"/>
      <c r="L1074" s="53"/>
      <c r="M1074" s="53"/>
      <c r="N1074" s="53"/>
      <c r="O1074" s="53"/>
      <c r="P1074" s="53"/>
      <c r="Q1074" s="53"/>
      <c r="R1074" s="53"/>
      <c r="S1074" s="53"/>
      <c r="T1074" s="53"/>
      <c r="U1074" s="53"/>
      <c r="V1074" s="53"/>
      <c r="W1074" s="53"/>
      <c r="X1074" s="53"/>
      <c r="Y1074" s="53"/>
      <c r="Z1074" s="53"/>
    </row>
    <row r="1075" spans="1:26" ht="15.75" customHeight="1">
      <c r="A1075" s="103"/>
      <c r="B1075" s="103"/>
      <c r="C1075" s="104" t="e">
        <v>#REF!</v>
      </c>
      <c r="D1075" s="103"/>
      <c r="E1075" s="53"/>
      <c r="F1075" s="53"/>
      <c r="G1075" s="53"/>
      <c r="H1075" s="53"/>
      <c r="I1075" s="53"/>
      <c r="J1075" s="53"/>
      <c r="K1075" s="53"/>
      <c r="L1075" s="53"/>
      <c r="M1075" s="53"/>
      <c r="N1075" s="53"/>
      <c r="O1075" s="53"/>
      <c r="P1075" s="53"/>
      <c r="Q1075" s="53"/>
      <c r="R1075" s="53"/>
      <c r="S1075" s="53"/>
      <c r="T1075" s="53"/>
      <c r="U1075" s="53"/>
      <c r="V1075" s="53"/>
      <c r="W1075" s="53"/>
      <c r="X1075" s="53"/>
      <c r="Y1075" s="53"/>
      <c r="Z1075" s="53"/>
    </row>
    <row r="1076" spans="1:26" ht="15.75" customHeight="1">
      <c r="A1076" s="103"/>
      <c r="B1076" s="103"/>
      <c r="C1076" s="104" t="e">
        <v>#REF!</v>
      </c>
      <c r="D1076" s="103"/>
      <c r="E1076" s="53"/>
      <c r="F1076" s="53"/>
      <c r="G1076" s="53"/>
      <c r="H1076" s="53"/>
      <c r="I1076" s="53"/>
      <c r="J1076" s="53"/>
      <c r="K1076" s="53"/>
      <c r="L1076" s="53"/>
      <c r="M1076" s="53"/>
      <c r="N1076" s="53"/>
      <c r="O1076" s="53"/>
      <c r="P1076" s="53"/>
      <c r="Q1076" s="53"/>
      <c r="R1076" s="53"/>
      <c r="S1076" s="53"/>
      <c r="T1076" s="53"/>
      <c r="U1076" s="53"/>
      <c r="V1076" s="53"/>
      <c r="W1076" s="53"/>
      <c r="X1076" s="53"/>
      <c r="Y1076" s="53"/>
      <c r="Z1076" s="53"/>
    </row>
    <row r="1077" spans="1:26" ht="15.75" customHeight="1">
      <c r="A1077" s="103"/>
      <c r="B1077" s="103"/>
      <c r="C1077" s="104" t="e">
        <v>#REF!</v>
      </c>
      <c r="D1077" s="103"/>
      <c r="E1077" s="53"/>
      <c r="F1077" s="53"/>
      <c r="G1077" s="53"/>
      <c r="H1077" s="53"/>
      <c r="I1077" s="53"/>
      <c r="J1077" s="53"/>
      <c r="K1077" s="53"/>
      <c r="L1077" s="53"/>
      <c r="M1077" s="53"/>
      <c r="N1077" s="53"/>
      <c r="O1077" s="53"/>
      <c r="P1077" s="53"/>
      <c r="Q1077" s="53"/>
      <c r="R1077" s="53"/>
      <c r="S1077" s="53"/>
      <c r="T1077" s="53"/>
      <c r="U1077" s="53"/>
      <c r="V1077" s="53"/>
      <c r="W1077" s="53"/>
      <c r="X1077" s="53"/>
      <c r="Y1077" s="53"/>
      <c r="Z1077" s="53"/>
    </row>
    <row r="1078" spans="1:26" ht="15.75" customHeight="1">
      <c r="A1078" s="103"/>
      <c r="B1078" s="103"/>
      <c r="C1078" s="104" t="e">
        <v>#REF!</v>
      </c>
      <c r="D1078" s="103"/>
      <c r="E1078" s="53"/>
      <c r="F1078" s="53"/>
      <c r="G1078" s="53"/>
      <c r="H1078" s="53"/>
      <c r="I1078" s="53"/>
      <c r="J1078" s="53"/>
      <c r="K1078" s="53"/>
      <c r="L1078" s="53"/>
      <c r="M1078" s="53"/>
      <c r="N1078" s="53"/>
      <c r="O1078" s="53"/>
      <c r="P1078" s="53"/>
      <c r="Q1078" s="53"/>
      <c r="R1078" s="53"/>
      <c r="S1078" s="53"/>
      <c r="T1078" s="53"/>
      <c r="U1078" s="53"/>
      <c r="V1078" s="53"/>
      <c r="W1078" s="53"/>
      <c r="X1078" s="53"/>
      <c r="Y1078" s="53"/>
      <c r="Z1078" s="53"/>
    </row>
    <row r="1079" spans="1:26" ht="15.75" customHeight="1">
      <c r="A1079" s="103"/>
      <c r="B1079" s="103"/>
      <c r="C1079" s="104" t="e">
        <v>#REF!</v>
      </c>
      <c r="D1079" s="103"/>
      <c r="E1079" s="53"/>
      <c r="F1079" s="53"/>
      <c r="G1079" s="53"/>
      <c r="H1079" s="53"/>
      <c r="I1079" s="53"/>
      <c r="J1079" s="53"/>
      <c r="K1079" s="53"/>
      <c r="L1079" s="53"/>
      <c r="M1079" s="53"/>
      <c r="N1079" s="53"/>
      <c r="O1079" s="53"/>
      <c r="P1079" s="53"/>
      <c r="Q1079" s="53"/>
      <c r="R1079" s="53"/>
      <c r="S1079" s="53"/>
      <c r="T1079" s="53"/>
      <c r="U1079" s="53"/>
      <c r="V1079" s="53"/>
      <c r="W1079" s="53"/>
      <c r="X1079" s="53"/>
      <c r="Y1079" s="53"/>
      <c r="Z1079" s="53"/>
    </row>
    <row r="1080" spans="1:26" ht="15.75" customHeight="1">
      <c r="A1080" s="103"/>
      <c r="B1080" s="103"/>
      <c r="C1080" s="104" t="e">
        <v>#REF!</v>
      </c>
      <c r="D1080" s="103"/>
      <c r="E1080" s="53"/>
      <c r="F1080" s="53"/>
      <c r="G1080" s="53"/>
      <c r="H1080" s="53"/>
      <c r="I1080" s="53"/>
      <c r="J1080" s="53"/>
      <c r="K1080" s="53"/>
      <c r="L1080" s="53"/>
      <c r="M1080" s="53"/>
      <c r="N1080" s="53"/>
      <c r="O1080" s="53"/>
      <c r="P1080" s="53"/>
      <c r="Q1080" s="53"/>
      <c r="R1080" s="53"/>
      <c r="S1080" s="53"/>
      <c r="T1080" s="53"/>
      <c r="U1080" s="53"/>
      <c r="V1080" s="53"/>
      <c r="W1080" s="53"/>
      <c r="X1080" s="53"/>
      <c r="Y1080" s="53"/>
      <c r="Z1080" s="53"/>
    </row>
    <row r="1081" spans="1:26" ht="15.75" customHeight="1">
      <c r="A1081" s="103"/>
      <c r="B1081" s="103"/>
      <c r="C1081" s="104" t="e">
        <v>#REF!</v>
      </c>
      <c r="D1081" s="103"/>
      <c r="E1081" s="53"/>
      <c r="F1081" s="53"/>
      <c r="G1081" s="53"/>
      <c r="H1081" s="53"/>
      <c r="I1081" s="53"/>
      <c r="J1081" s="53"/>
      <c r="K1081" s="53"/>
      <c r="L1081" s="53"/>
      <c r="M1081" s="53"/>
      <c r="N1081" s="53"/>
      <c r="O1081" s="53"/>
      <c r="P1081" s="53"/>
      <c r="Q1081" s="53"/>
      <c r="R1081" s="53"/>
      <c r="S1081" s="53"/>
      <c r="T1081" s="53"/>
      <c r="U1081" s="53"/>
      <c r="V1081" s="53"/>
      <c r="W1081" s="53"/>
      <c r="X1081" s="53"/>
      <c r="Y1081" s="53"/>
      <c r="Z1081" s="53"/>
    </row>
    <row r="1082" spans="1:26" ht="15.75" customHeight="1">
      <c r="A1082" s="103"/>
      <c r="B1082" s="103"/>
      <c r="C1082" s="104" t="e">
        <v>#REF!</v>
      </c>
      <c r="D1082" s="103"/>
      <c r="E1082" s="53"/>
      <c r="F1082" s="53"/>
      <c r="G1082" s="53"/>
      <c r="H1082" s="53"/>
      <c r="I1082" s="53"/>
      <c r="J1082" s="53"/>
      <c r="K1082" s="53"/>
      <c r="L1082" s="53"/>
      <c r="M1082" s="53"/>
      <c r="N1082" s="53"/>
      <c r="O1082" s="53"/>
      <c r="P1082" s="53"/>
      <c r="Q1082" s="53"/>
      <c r="R1082" s="53"/>
      <c r="S1082" s="53"/>
      <c r="T1082" s="53"/>
      <c r="U1082" s="53"/>
      <c r="V1082" s="53"/>
      <c r="W1082" s="53"/>
      <c r="X1082" s="53"/>
      <c r="Y1082" s="53"/>
      <c r="Z1082" s="53"/>
    </row>
    <row r="1083" spans="1:26" ht="15.75" customHeight="1">
      <c r="A1083" s="103"/>
      <c r="B1083" s="103"/>
      <c r="C1083" s="104" t="e">
        <v>#REF!</v>
      </c>
      <c r="D1083" s="103"/>
      <c r="E1083" s="53"/>
      <c r="F1083" s="53"/>
      <c r="G1083" s="53"/>
      <c r="H1083" s="53"/>
      <c r="I1083" s="53"/>
      <c r="J1083" s="53"/>
      <c r="K1083" s="53"/>
      <c r="L1083" s="53"/>
      <c r="M1083" s="53"/>
      <c r="N1083" s="53"/>
      <c r="O1083" s="53"/>
      <c r="P1083" s="53"/>
      <c r="Q1083" s="53"/>
      <c r="R1083" s="53"/>
      <c r="S1083" s="53"/>
      <c r="T1083" s="53"/>
      <c r="U1083" s="53"/>
      <c r="V1083" s="53"/>
      <c r="W1083" s="53"/>
      <c r="X1083" s="53"/>
      <c r="Y1083" s="53"/>
      <c r="Z1083" s="53"/>
    </row>
    <row r="1084" spans="1:26" ht="15.75" customHeight="1">
      <c r="A1084" s="103"/>
      <c r="B1084" s="103"/>
      <c r="C1084" s="104" t="e">
        <v>#REF!</v>
      </c>
      <c r="D1084" s="103"/>
      <c r="E1084" s="53"/>
      <c r="F1084" s="53"/>
      <c r="G1084" s="53"/>
      <c r="H1084" s="53"/>
      <c r="I1084" s="53"/>
      <c r="J1084" s="53"/>
      <c r="K1084" s="53"/>
      <c r="L1084" s="53"/>
      <c r="M1084" s="53"/>
      <c r="N1084" s="53"/>
      <c r="O1084" s="53"/>
      <c r="P1084" s="53"/>
      <c r="Q1084" s="53"/>
      <c r="R1084" s="53"/>
      <c r="S1084" s="53"/>
      <c r="T1084" s="53"/>
      <c r="U1084" s="53"/>
      <c r="V1084" s="53"/>
      <c r="W1084" s="53"/>
      <c r="X1084" s="53"/>
      <c r="Y1084" s="53"/>
      <c r="Z1084" s="53"/>
    </row>
    <row r="1085" spans="1:26" ht="15.75" customHeight="1">
      <c r="A1085" s="103"/>
      <c r="B1085" s="103"/>
      <c r="C1085" s="104" t="e">
        <v>#REF!</v>
      </c>
      <c r="D1085" s="103"/>
      <c r="E1085" s="53"/>
      <c r="F1085" s="53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3"/>
      <c r="X1085" s="53"/>
      <c r="Y1085" s="53"/>
      <c r="Z1085" s="53"/>
    </row>
    <row r="1086" spans="1:26" ht="15.75" customHeight="1">
      <c r="A1086" s="103"/>
      <c r="B1086" s="103"/>
      <c r="C1086" s="104" t="e">
        <v>#REF!</v>
      </c>
      <c r="D1086" s="103"/>
      <c r="E1086" s="53"/>
      <c r="F1086" s="53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  <c r="W1086" s="53"/>
      <c r="X1086" s="53"/>
      <c r="Y1086" s="53"/>
      <c r="Z1086" s="53"/>
    </row>
    <row r="1087" spans="1:26" ht="15.75" customHeight="1">
      <c r="A1087" s="103"/>
      <c r="B1087" s="103"/>
      <c r="C1087" s="104" t="e">
        <v>#REF!</v>
      </c>
      <c r="D1087" s="103"/>
      <c r="E1087" s="53"/>
      <c r="F1087" s="53"/>
      <c r="G1087" s="53"/>
      <c r="H1087" s="53"/>
      <c r="I1087" s="53"/>
      <c r="J1087" s="53"/>
      <c r="K1087" s="53"/>
      <c r="L1087" s="53"/>
      <c r="M1087" s="53"/>
      <c r="N1087" s="53"/>
      <c r="O1087" s="53"/>
      <c r="P1087" s="53"/>
      <c r="Q1087" s="53"/>
      <c r="R1087" s="53"/>
      <c r="S1087" s="53"/>
      <c r="T1087" s="53"/>
      <c r="U1087" s="53"/>
      <c r="V1087" s="53"/>
      <c r="W1087" s="53"/>
      <c r="X1087" s="53"/>
      <c r="Y1087" s="53"/>
      <c r="Z1087" s="53"/>
    </row>
    <row r="1088" spans="1:26" ht="15.75" customHeight="1">
      <c r="A1088" s="103"/>
      <c r="B1088" s="103"/>
      <c r="C1088" s="104" t="e">
        <v>#REF!</v>
      </c>
      <c r="D1088" s="103"/>
      <c r="E1088" s="53"/>
      <c r="F1088" s="53"/>
      <c r="G1088" s="53"/>
      <c r="H1088" s="53"/>
      <c r="I1088" s="53"/>
      <c r="J1088" s="53"/>
      <c r="K1088" s="53"/>
      <c r="L1088" s="53"/>
      <c r="M1088" s="53"/>
      <c r="N1088" s="53"/>
      <c r="O1088" s="53"/>
      <c r="P1088" s="53"/>
      <c r="Q1088" s="53"/>
      <c r="R1088" s="53"/>
      <c r="S1088" s="53"/>
      <c r="T1088" s="53"/>
      <c r="U1088" s="53"/>
      <c r="V1088" s="53"/>
      <c r="W1088" s="53"/>
      <c r="X1088" s="53"/>
      <c r="Y1088" s="53"/>
      <c r="Z1088" s="53"/>
    </row>
    <row r="1089" spans="1:26" ht="15.75" customHeight="1">
      <c r="A1089" s="103"/>
      <c r="B1089" s="103"/>
      <c r="C1089" s="104" t="e">
        <v>#REF!</v>
      </c>
      <c r="D1089" s="103"/>
      <c r="E1089" s="53"/>
      <c r="F1089" s="53"/>
      <c r="G1089" s="53"/>
      <c r="H1089" s="53"/>
      <c r="I1089" s="53"/>
      <c r="J1089" s="53"/>
      <c r="K1089" s="53"/>
      <c r="L1089" s="53"/>
      <c r="M1089" s="53"/>
      <c r="N1089" s="53"/>
      <c r="O1089" s="53"/>
      <c r="P1089" s="53"/>
      <c r="Q1089" s="53"/>
      <c r="R1089" s="53"/>
      <c r="S1089" s="53"/>
      <c r="T1089" s="53"/>
      <c r="U1089" s="53"/>
      <c r="V1089" s="53"/>
      <c r="W1089" s="53"/>
      <c r="X1089" s="53"/>
      <c r="Y1089" s="53"/>
      <c r="Z1089" s="53"/>
    </row>
    <row r="1090" spans="1:26" ht="15.75" customHeight="1">
      <c r="A1090" s="103"/>
      <c r="B1090" s="103"/>
      <c r="C1090" s="104" t="e">
        <v>#REF!</v>
      </c>
      <c r="D1090" s="103"/>
      <c r="E1090" s="53"/>
      <c r="F1090" s="53"/>
      <c r="G1090" s="53"/>
      <c r="H1090" s="53"/>
      <c r="I1090" s="53"/>
      <c r="J1090" s="53"/>
      <c r="K1090" s="53"/>
      <c r="L1090" s="53"/>
      <c r="M1090" s="53"/>
      <c r="N1090" s="53"/>
      <c r="O1090" s="53"/>
      <c r="P1090" s="53"/>
      <c r="Q1090" s="53"/>
      <c r="R1090" s="53"/>
      <c r="S1090" s="53"/>
      <c r="T1090" s="53"/>
      <c r="U1090" s="53"/>
      <c r="V1090" s="53"/>
      <c r="W1090" s="53"/>
      <c r="X1090" s="53"/>
      <c r="Y1090" s="53"/>
      <c r="Z1090" s="53"/>
    </row>
    <row r="1091" spans="1:26" ht="15.75" customHeight="1">
      <c r="A1091" s="103"/>
      <c r="B1091" s="103"/>
      <c r="C1091" s="104" t="e">
        <v>#REF!</v>
      </c>
      <c r="D1091" s="103"/>
      <c r="E1091" s="53"/>
      <c r="F1091" s="53"/>
      <c r="G1091" s="53"/>
      <c r="H1091" s="53"/>
      <c r="I1091" s="53"/>
      <c r="J1091" s="53"/>
      <c r="K1091" s="53"/>
      <c r="L1091" s="53"/>
      <c r="M1091" s="53"/>
      <c r="N1091" s="53"/>
      <c r="O1091" s="53"/>
      <c r="P1091" s="53"/>
      <c r="Q1091" s="53"/>
      <c r="R1091" s="53"/>
      <c r="S1091" s="53"/>
      <c r="T1091" s="53"/>
      <c r="U1091" s="53"/>
      <c r="V1091" s="53"/>
      <c r="W1091" s="53"/>
      <c r="X1091" s="53"/>
      <c r="Y1091" s="53"/>
      <c r="Z1091" s="53"/>
    </row>
    <row r="1092" spans="1:26" ht="15.75" customHeight="1">
      <c r="A1092" s="103"/>
      <c r="B1092" s="103"/>
      <c r="C1092" s="104" t="e">
        <v>#REF!</v>
      </c>
      <c r="D1092" s="103"/>
      <c r="E1092" s="53"/>
      <c r="F1092" s="53"/>
      <c r="G1092" s="53"/>
      <c r="H1092" s="53"/>
      <c r="I1092" s="53"/>
      <c r="J1092" s="53"/>
      <c r="K1092" s="53"/>
      <c r="L1092" s="53"/>
      <c r="M1092" s="53"/>
      <c r="N1092" s="53"/>
      <c r="O1092" s="53"/>
      <c r="P1092" s="53"/>
      <c r="Q1092" s="53"/>
      <c r="R1092" s="53"/>
      <c r="S1092" s="53"/>
      <c r="T1092" s="53"/>
      <c r="U1092" s="53"/>
      <c r="V1092" s="53"/>
      <c r="W1092" s="53"/>
      <c r="X1092" s="53"/>
      <c r="Y1092" s="53"/>
      <c r="Z1092" s="53"/>
    </row>
    <row r="1093" spans="1:26" ht="15.75" customHeight="1">
      <c r="A1093" s="103"/>
      <c r="B1093" s="103"/>
      <c r="C1093" s="104" t="e">
        <v>#REF!</v>
      </c>
      <c r="D1093" s="103"/>
      <c r="E1093" s="53"/>
      <c r="F1093" s="53"/>
      <c r="G1093" s="53"/>
      <c r="H1093" s="53"/>
      <c r="I1093" s="53"/>
      <c r="J1093" s="53"/>
      <c r="K1093" s="53"/>
      <c r="L1093" s="53"/>
      <c r="M1093" s="53"/>
      <c r="N1093" s="53"/>
      <c r="O1093" s="53"/>
      <c r="P1093" s="53"/>
      <c r="Q1093" s="53"/>
      <c r="R1093" s="53"/>
      <c r="S1093" s="53"/>
      <c r="T1093" s="53"/>
      <c r="U1093" s="53"/>
      <c r="V1093" s="53"/>
      <c r="W1093" s="53"/>
      <c r="X1093" s="53"/>
      <c r="Y1093" s="53"/>
      <c r="Z1093" s="53"/>
    </row>
    <row r="1094" spans="1:26" ht="15.75" customHeight="1">
      <c r="A1094" s="103"/>
      <c r="B1094" s="103"/>
      <c r="C1094" s="104" t="e">
        <v>#REF!</v>
      </c>
      <c r="D1094" s="103"/>
      <c r="E1094" s="53"/>
      <c r="F1094" s="53"/>
      <c r="G1094" s="53"/>
      <c r="H1094" s="53"/>
      <c r="I1094" s="53"/>
      <c r="J1094" s="53"/>
      <c r="K1094" s="53"/>
      <c r="L1094" s="53"/>
      <c r="M1094" s="53"/>
      <c r="N1094" s="53"/>
      <c r="O1094" s="53"/>
      <c r="P1094" s="53"/>
      <c r="Q1094" s="53"/>
      <c r="R1094" s="53"/>
      <c r="S1094" s="53"/>
      <c r="T1094" s="53"/>
      <c r="U1094" s="53"/>
      <c r="V1094" s="53"/>
      <c r="W1094" s="53"/>
      <c r="X1094" s="53"/>
      <c r="Y1094" s="53"/>
      <c r="Z1094" s="53"/>
    </row>
    <row r="1095" spans="1:26" ht="15.75" customHeight="1">
      <c r="A1095" s="103"/>
      <c r="B1095" s="103"/>
      <c r="C1095" s="104" t="e">
        <v>#REF!</v>
      </c>
      <c r="D1095" s="103"/>
      <c r="E1095" s="53"/>
      <c r="F1095" s="53"/>
      <c r="G1095" s="53"/>
      <c r="H1095" s="53"/>
      <c r="I1095" s="53"/>
      <c r="J1095" s="53"/>
      <c r="K1095" s="53"/>
      <c r="L1095" s="53"/>
      <c r="M1095" s="53"/>
      <c r="N1095" s="53"/>
      <c r="O1095" s="53"/>
      <c r="P1095" s="53"/>
      <c r="Q1095" s="53"/>
      <c r="R1095" s="53"/>
      <c r="S1095" s="53"/>
      <c r="T1095" s="53"/>
      <c r="U1095" s="53"/>
      <c r="V1095" s="53"/>
      <c r="W1095" s="53"/>
      <c r="X1095" s="53"/>
      <c r="Y1095" s="53"/>
      <c r="Z1095" s="53"/>
    </row>
    <row r="1096" spans="1:26" ht="15.75" customHeight="1">
      <c r="A1096" s="103"/>
      <c r="B1096" s="103"/>
      <c r="C1096" s="104" t="e">
        <v>#REF!</v>
      </c>
      <c r="D1096" s="103"/>
      <c r="E1096" s="53"/>
      <c r="F1096" s="53"/>
      <c r="G1096" s="53"/>
      <c r="H1096" s="53"/>
      <c r="I1096" s="53"/>
      <c r="J1096" s="53"/>
      <c r="K1096" s="53"/>
      <c r="L1096" s="53"/>
      <c r="M1096" s="53"/>
      <c r="N1096" s="53"/>
      <c r="O1096" s="53"/>
      <c r="P1096" s="53"/>
      <c r="Q1096" s="53"/>
      <c r="R1096" s="53"/>
      <c r="S1096" s="53"/>
      <c r="T1096" s="53"/>
      <c r="U1096" s="53"/>
      <c r="V1096" s="53"/>
      <c r="W1096" s="53"/>
      <c r="X1096" s="53"/>
      <c r="Y1096" s="53"/>
      <c r="Z1096" s="53"/>
    </row>
    <row r="1097" spans="1:26" ht="15.75" customHeight="1">
      <c r="A1097" s="103"/>
      <c r="B1097" s="103"/>
      <c r="C1097" s="104" t="e">
        <v>#REF!</v>
      </c>
      <c r="D1097" s="103"/>
      <c r="E1097" s="53"/>
      <c r="F1097" s="53"/>
      <c r="G1097" s="53"/>
      <c r="H1097" s="53"/>
      <c r="I1097" s="53"/>
      <c r="J1097" s="53"/>
      <c r="K1097" s="53"/>
      <c r="L1097" s="53"/>
      <c r="M1097" s="53"/>
      <c r="N1097" s="53"/>
      <c r="O1097" s="53"/>
      <c r="P1097" s="53"/>
      <c r="Q1097" s="53"/>
      <c r="R1097" s="53"/>
      <c r="S1097" s="53"/>
      <c r="T1097" s="53"/>
      <c r="U1097" s="53"/>
      <c r="V1097" s="53"/>
      <c r="W1097" s="53"/>
      <c r="X1097" s="53"/>
      <c r="Y1097" s="53"/>
      <c r="Z1097" s="53"/>
    </row>
    <row r="1098" spans="1:26" ht="15.75" customHeight="1">
      <c r="A1098" s="103"/>
      <c r="B1098" s="103"/>
      <c r="C1098" s="104" t="e">
        <v>#REF!</v>
      </c>
      <c r="D1098" s="103"/>
      <c r="E1098" s="53"/>
      <c r="F1098" s="53"/>
      <c r="G1098" s="53"/>
      <c r="H1098" s="53"/>
      <c r="I1098" s="53"/>
      <c r="J1098" s="53"/>
      <c r="K1098" s="53"/>
      <c r="L1098" s="53"/>
      <c r="M1098" s="53"/>
      <c r="N1098" s="53"/>
      <c r="O1098" s="53"/>
      <c r="P1098" s="53"/>
      <c r="Q1098" s="53"/>
      <c r="R1098" s="53"/>
      <c r="S1098" s="53"/>
      <c r="T1098" s="53"/>
      <c r="U1098" s="53"/>
      <c r="V1098" s="53"/>
      <c r="W1098" s="53"/>
      <c r="X1098" s="53"/>
      <c r="Y1098" s="53"/>
      <c r="Z1098" s="53"/>
    </row>
    <row r="1099" spans="1:26" ht="15.75" customHeight="1">
      <c r="A1099" s="103"/>
      <c r="B1099" s="103"/>
      <c r="C1099" s="104" t="e">
        <v>#REF!</v>
      </c>
      <c r="D1099" s="103"/>
      <c r="E1099" s="53"/>
      <c r="F1099" s="53"/>
      <c r="G1099" s="53"/>
      <c r="H1099" s="53"/>
      <c r="I1099" s="53"/>
      <c r="J1099" s="53"/>
      <c r="K1099" s="53"/>
      <c r="L1099" s="53"/>
      <c r="M1099" s="53"/>
      <c r="N1099" s="53"/>
      <c r="O1099" s="53"/>
      <c r="P1099" s="53"/>
      <c r="Q1099" s="53"/>
      <c r="R1099" s="53"/>
      <c r="S1099" s="53"/>
      <c r="T1099" s="53"/>
      <c r="U1099" s="53"/>
      <c r="V1099" s="53"/>
      <c r="W1099" s="53"/>
      <c r="X1099" s="53"/>
      <c r="Y1099" s="53"/>
      <c r="Z1099" s="53"/>
    </row>
    <row r="1100" spans="1:26" ht="15.75" customHeight="1">
      <c r="A1100" s="103"/>
      <c r="B1100" s="103"/>
      <c r="C1100" s="104" t="e">
        <v>#REF!</v>
      </c>
      <c r="D1100" s="103"/>
      <c r="E1100" s="53"/>
      <c r="F1100" s="53"/>
      <c r="G1100" s="53"/>
      <c r="H1100" s="53"/>
      <c r="I1100" s="53"/>
      <c r="J1100" s="53"/>
      <c r="K1100" s="53"/>
      <c r="L1100" s="53"/>
      <c r="M1100" s="53"/>
      <c r="N1100" s="53"/>
      <c r="O1100" s="53"/>
      <c r="P1100" s="53"/>
      <c r="Q1100" s="53"/>
      <c r="R1100" s="53"/>
      <c r="S1100" s="53"/>
      <c r="T1100" s="53"/>
      <c r="U1100" s="53"/>
      <c r="V1100" s="53"/>
      <c r="W1100" s="53"/>
      <c r="X1100" s="53"/>
      <c r="Y1100" s="53"/>
      <c r="Z1100" s="53"/>
    </row>
    <row r="1101" spans="1:26" ht="15.75" customHeight="1">
      <c r="A1101" s="103"/>
      <c r="B1101" s="103"/>
      <c r="C1101" s="104" t="e">
        <v>#REF!</v>
      </c>
      <c r="D1101" s="103"/>
      <c r="E1101" s="53"/>
      <c r="F1101" s="53"/>
      <c r="G1101" s="53"/>
      <c r="H1101" s="53"/>
      <c r="I1101" s="53"/>
      <c r="J1101" s="53"/>
      <c r="K1101" s="53"/>
      <c r="L1101" s="53"/>
      <c r="M1101" s="53"/>
      <c r="N1101" s="53"/>
      <c r="O1101" s="53"/>
      <c r="P1101" s="53"/>
      <c r="Q1101" s="53"/>
      <c r="R1101" s="53"/>
      <c r="S1101" s="53"/>
      <c r="T1101" s="53"/>
      <c r="U1101" s="53"/>
      <c r="V1101" s="53"/>
      <c r="W1101" s="53"/>
      <c r="X1101" s="53"/>
      <c r="Y1101" s="53"/>
      <c r="Z1101" s="53"/>
    </row>
    <row r="1102" spans="1:26" ht="15.75" customHeight="1">
      <c r="A1102" s="103"/>
      <c r="B1102" s="103"/>
      <c r="C1102" s="104" t="e">
        <v>#REF!</v>
      </c>
      <c r="D1102" s="103"/>
      <c r="E1102" s="53"/>
      <c r="F1102" s="53"/>
      <c r="G1102" s="53"/>
      <c r="H1102" s="53"/>
      <c r="I1102" s="53"/>
      <c r="J1102" s="53"/>
      <c r="K1102" s="53"/>
      <c r="L1102" s="53"/>
      <c r="M1102" s="53"/>
      <c r="N1102" s="53"/>
      <c r="O1102" s="53"/>
      <c r="P1102" s="53"/>
      <c r="Q1102" s="53"/>
      <c r="R1102" s="53"/>
      <c r="S1102" s="53"/>
      <c r="T1102" s="53"/>
      <c r="U1102" s="53"/>
      <c r="V1102" s="53"/>
      <c r="W1102" s="53"/>
      <c r="X1102" s="53"/>
      <c r="Y1102" s="53"/>
      <c r="Z1102" s="53"/>
    </row>
    <row r="1103" spans="1:26" ht="15.75" customHeight="1">
      <c r="A1103" s="103"/>
      <c r="B1103" s="103"/>
      <c r="C1103" s="104" t="e">
        <v>#REF!</v>
      </c>
      <c r="D1103" s="103"/>
      <c r="E1103" s="53"/>
      <c r="F1103" s="53"/>
      <c r="G1103" s="53"/>
      <c r="H1103" s="53"/>
      <c r="I1103" s="53"/>
      <c r="J1103" s="53"/>
      <c r="K1103" s="53"/>
      <c r="L1103" s="53"/>
      <c r="M1103" s="53"/>
      <c r="N1103" s="53"/>
      <c r="O1103" s="53"/>
      <c r="P1103" s="53"/>
      <c r="Q1103" s="53"/>
      <c r="R1103" s="53"/>
      <c r="S1103" s="53"/>
      <c r="T1103" s="53"/>
      <c r="U1103" s="53"/>
      <c r="V1103" s="53"/>
      <c r="W1103" s="53"/>
      <c r="X1103" s="53"/>
      <c r="Y1103" s="53"/>
      <c r="Z1103" s="53"/>
    </row>
    <row r="1104" spans="1:26" ht="15.75" customHeight="1">
      <c r="A1104" s="103"/>
      <c r="B1104" s="103"/>
      <c r="C1104" s="104" t="e">
        <v>#REF!</v>
      </c>
      <c r="D1104" s="103"/>
      <c r="E1104" s="53"/>
      <c r="F1104" s="53"/>
      <c r="G1104" s="53"/>
      <c r="H1104" s="53"/>
      <c r="I1104" s="53"/>
      <c r="J1104" s="53"/>
      <c r="K1104" s="53"/>
      <c r="L1104" s="53"/>
      <c r="M1104" s="53"/>
      <c r="N1104" s="53"/>
      <c r="O1104" s="53"/>
      <c r="P1104" s="53"/>
      <c r="Q1104" s="53"/>
      <c r="R1104" s="53"/>
      <c r="S1104" s="53"/>
      <c r="T1104" s="53"/>
      <c r="U1104" s="53"/>
      <c r="V1104" s="53"/>
      <c r="W1104" s="53"/>
      <c r="X1104" s="53"/>
      <c r="Y1104" s="53"/>
      <c r="Z1104" s="53"/>
    </row>
    <row r="1105" spans="1:26" ht="15.75" customHeight="1">
      <c r="A1105" s="103"/>
      <c r="B1105" s="103"/>
      <c r="C1105" s="104" t="e">
        <v>#REF!</v>
      </c>
      <c r="D1105" s="103"/>
      <c r="E1105" s="53"/>
      <c r="F1105" s="53"/>
      <c r="G1105" s="53"/>
      <c r="H1105" s="53"/>
      <c r="I1105" s="53"/>
      <c r="J1105" s="53"/>
      <c r="K1105" s="53"/>
      <c r="L1105" s="53"/>
      <c r="M1105" s="53"/>
      <c r="N1105" s="53"/>
      <c r="O1105" s="53"/>
      <c r="P1105" s="53"/>
      <c r="Q1105" s="53"/>
      <c r="R1105" s="53"/>
      <c r="S1105" s="53"/>
      <c r="T1105" s="53"/>
      <c r="U1105" s="53"/>
      <c r="V1105" s="53"/>
      <c r="W1105" s="53"/>
      <c r="X1105" s="53"/>
      <c r="Y1105" s="53"/>
      <c r="Z1105" s="53"/>
    </row>
    <row r="1106" spans="1:26" ht="15.75" customHeight="1">
      <c r="A1106" s="103"/>
      <c r="B1106" s="103"/>
      <c r="C1106" s="104" t="e">
        <v>#REF!</v>
      </c>
      <c r="D1106" s="103"/>
      <c r="E1106" s="53"/>
      <c r="F1106" s="53"/>
      <c r="G1106" s="53"/>
      <c r="H1106" s="53"/>
      <c r="I1106" s="53"/>
      <c r="J1106" s="53"/>
      <c r="K1106" s="53"/>
      <c r="L1106" s="53"/>
      <c r="M1106" s="53"/>
      <c r="N1106" s="53"/>
      <c r="O1106" s="53"/>
      <c r="P1106" s="53"/>
      <c r="Q1106" s="53"/>
      <c r="R1106" s="53"/>
      <c r="S1106" s="53"/>
      <c r="T1106" s="53"/>
      <c r="U1106" s="53"/>
      <c r="V1106" s="53"/>
      <c r="W1106" s="53"/>
      <c r="X1106" s="53"/>
      <c r="Y1106" s="53"/>
      <c r="Z1106" s="53"/>
    </row>
    <row r="1107" spans="1:26" ht="15.75" customHeight="1">
      <c r="A1107" s="103"/>
      <c r="B1107" s="103"/>
      <c r="C1107" s="104" t="e">
        <v>#REF!</v>
      </c>
      <c r="D1107" s="103"/>
      <c r="E1107" s="53"/>
      <c r="F1107" s="53"/>
      <c r="G1107" s="53"/>
      <c r="H1107" s="53"/>
      <c r="I1107" s="53"/>
      <c r="J1107" s="53"/>
      <c r="K1107" s="53"/>
      <c r="L1107" s="53"/>
      <c r="M1107" s="53"/>
      <c r="N1107" s="53"/>
      <c r="O1107" s="53"/>
      <c r="P1107" s="53"/>
      <c r="Q1107" s="53"/>
      <c r="R1107" s="53"/>
      <c r="S1107" s="53"/>
      <c r="T1107" s="53"/>
      <c r="U1107" s="53"/>
      <c r="V1107" s="53"/>
      <c r="W1107" s="53"/>
      <c r="X1107" s="53"/>
      <c r="Y1107" s="53"/>
      <c r="Z1107" s="53"/>
    </row>
    <row r="1108" spans="1:26" ht="15.75" customHeight="1">
      <c r="A1108" s="103"/>
      <c r="B1108" s="103"/>
      <c r="C1108" s="104" t="e">
        <v>#REF!</v>
      </c>
      <c r="D1108" s="103"/>
      <c r="E1108" s="53"/>
      <c r="F1108" s="53"/>
      <c r="G1108" s="53"/>
      <c r="H1108" s="53"/>
      <c r="I1108" s="53"/>
      <c r="J1108" s="53"/>
      <c r="K1108" s="53"/>
      <c r="L1108" s="53"/>
      <c r="M1108" s="53"/>
      <c r="N1108" s="53"/>
      <c r="O1108" s="53"/>
      <c r="P1108" s="53"/>
      <c r="Q1108" s="53"/>
      <c r="R1108" s="53"/>
      <c r="S1108" s="53"/>
      <c r="T1108" s="53"/>
      <c r="U1108" s="53"/>
      <c r="V1108" s="53"/>
      <c r="W1108" s="53"/>
      <c r="X1108" s="53"/>
      <c r="Y1108" s="53"/>
      <c r="Z1108" s="53"/>
    </row>
    <row r="1109" spans="1:26" ht="15.75" customHeight="1">
      <c r="A1109" s="103"/>
      <c r="B1109" s="103"/>
      <c r="C1109" s="104" t="e">
        <v>#REF!</v>
      </c>
      <c r="D1109" s="103"/>
      <c r="E1109" s="53"/>
      <c r="F1109" s="53"/>
      <c r="G1109" s="53"/>
      <c r="H1109" s="53"/>
      <c r="I1109" s="53"/>
      <c r="J1109" s="53"/>
      <c r="K1109" s="53"/>
      <c r="L1109" s="53"/>
      <c r="M1109" s="53"/>
      <c r="N1109" s="53"/>
      <c r="O1109" s="53"/>
      <c r="P1109" s="53"/>
      <c r="Q1109" s="53"/>
      <c r="R1109" s="53"/>
      <c r="S1109" s="53"/>
      <c r="T1109" s="53"/>
      <c r="U1109" s="53"/>
      <c r="V1109" s="53"/>
      <c r="W1109" s="53"/>
      <c r="X1109" s="53"/>
      <c r="Y1109" s="53"/>
      <c r="Z1109" s="53"/>
    </row>
    <row r="1110" spans="1:26" ht="15.75" customHeight="1">
      <c r="A1110" s="103"/>
      <c r="B1110" s="103"/>
      <c r="C1110" s="104" t="e">
        <v>#REF!</v>
      </c>
      <c r="D1110" s="103"/>
      <c r="E1110" s="53"/>
      <c r="F1110" s="53"/>
      <c r="G1110" s="53"/>
      <c r="H1110" s="53"/>
      <c r="I1110" s="53"/>
      <c r="J1110" s="53"/>
      <c r="K1110" s="53"/>
      <c r="L1110" s="53"/>
      <c r="M1110" s="53"/>
      <c r="N1110" s="53"/>
      <c r="O1110" s="53"/>
      <c r="P1110" s="53"/>
      <c r="Q1110" s="53"/>
      <c r="R1110" s="53"/>
      <c r="S1110" s="53"/>
      <c r="T1110" s="53"/>
      <c r="U1110" s="53"/>
      <c r="V1110" s="53"/>
      <c r="W1110" s="53"/>
      <c r="X1110" s="53"/>
      <c r="Y1110" s="53"/>
      <c r="Z1110" s="53"/>
    </row>
    <row r="1111" spans="1:26" ht="15.75" customHeight="1">
      <c r="A1111" s="103"/>
      <c r="B1111" s="103"/>
      <c r="C1111" s="104" t="e">
        <v>#REF!</v>
      </c>
      <c r="D1111" s="103"/>
      <c r="E1111" s="53"/>
      <c r="F1111" s="53"/>
      <c r="G1111" s="53"/>
      <c r="H1111" s="53"/>
      <c r="I1111" s="53"/>
      <c r="J1111" s="53"/>
      <c r="K1111" s="53"/>
      <c r="L1111" s="53"/>
      <c r="M1111" s="53"/>
      <c r="N1111" s="53"/>
      <c r="O1111" s="53"/>
      <c r="P1111" s="53"/>
      <c r="Q1111" s="53"/>
      <c r="R1111" s="53"/>
      <c r="S1111" s="53"/>
      <c r="T1111" s="53"/>
      <c r="U1111" s="53"/>
      <c r="V1111" s="53"/>
      <c r="W1111" s="53"/>
      <c r="X1111" s="53"/>
      <c r="Y1111" s="53"/>
      <c r="Z1111" s="53"/>
    </row>
    <row r="1112" spans="1:26" ht="15.75" customHeight="1">
      <c r="A1112" s="103"/>
      <c r="B1112" s="103"/>
      <c r="C1112" s="104" t="e">
        <v>#REF!</v>
      </c>
      <c r="D1112" s="103"/>
      <c r="E1112" s="53"/>
      <c r="F1112" s="53"/>
      <c r="G1112" s="53"/>
      <c r="H1112" s="53"/>
      <c r="I1112" s="53"/>
      <c r="J1112" s="53"/>
      <c r="K1112" s="53"/>
      <c r="L1112" s="53"/>
      <c r="M1112" s="53"/>
      <c r="N1112" s="53"/>
      <c r="O1112" s="53"/>
      <c r="P1112" s="53"/>
      <c r="Q1112" s="53"/>
      <c r="R1112" s="53"/>
      <c r="S1112" s="53"/>
      <c r="T1112" s="53"/>
      <c r="U1112" s="53"/>
      <c r="V1112" s="53"/>
      <c r="W1112" s="53"/>
      <c r="X1112" s="53"/>
      <c r="Y1112" s="53"/>
      <c r="Z1112" s="53"/>
    </row>
    <row r="1113" spans="1:26" ht="15.75" customHeight="1">
      <c r="A1113" s="103"/>
      <c r="B1113" s="103"/>
      <c r="C1113" s="104" t="e">
        <v>#REF!</v>
      </c>
      <c r="D1113" s="103"/>
      <c r="E1113" s="53"/>
      <c r="F1113" s="53"/>
      <c r="G1113" s="53"/>
      <c r="H1113" s="53"/>
      <c r="I1113" s="53"/>
      <c r="J1113" s="53"/>
      <c r="K1113" s="53"/>
      <c r="L1113" s="53"/>
      <c r="M1113" s="53"/>
      <c r="N1113" s="53"/>
      <c r="O1113" s="53"/>
      <c r="P1113" s="53"/>
      <c r="Q1113" s="53"/>
      <c r="R1113" s="53"/>
      <c r="S1113" s="53"/>
      <c r="T1113" s="53"/>
      <c r="U1113" s="53"/>
      <c r="V1113" s="53"/>
      <c r="W1113" s="53"/>
      <c r="X1113" s="53"/>
      <c r="Y1113" s="53"/>
      <c r="Z1113" s="53"/>
    </row>
    <row r="1114" spans="1:26" ht="15.75" customHeight="1">
      <c r="A1114" s="103"/>
      <c r="B1114" s="103"/>
      <c r="C1114" s="104" t="e">
        <v>#REF!</v>
      </c>
      <c r="D1114" s="103"/>
      <c r="E1114" s="53"/>
      <c r="F1114" s="53"/>
      <c r="G1114" s="53"/>
      <c r="H1114" s="53"/>
      <c r="I1114" s="53"/>
      <c r="J1114" s="53"/>
      <c r="K1114" s="53"/>
      <c r="L1114" s="53"/>
      <c r="M1114" s="53"/>
      <c r="N1114" s="53"/>
      <c r="O1114" s="53"/>
      <c r="P1114" s="53"/>
      <c r="Q1114" s="53"/>
      <c r="R1114" s="53"/>
      <c r="S1114" s="53"/>
      <c r="T1114" s="53"/>
      <c r="U1114" s="53"/>
      <c r="V1114" s="53"/>
      <c r="W1114" s="53"/>
      <c r="X1114" s="53"/>
      <c r="Y1114" s="53"/>
      <c r="Z1114" s="53"/>
    </row>
    <row r="1115" spans="1:26" ht="15.75" customHeight="1">
      <c r="A1115" s="103"/>
      <c r="B1115" s="103"/>
      <c r="C1115" s="104" t="e">
        <v>#REF!</v>
      </c>
      <c r="D1115" s="103"/>
      <c r="E1115" s="53"/>
      <c r="F1115" s="53"/>
      <c r="G1115" s="53"/>
      <c r="H1115" s="53"/>
      <c r="I1115" s="53"/>
      <c r="J1115" s="53"/>
      <c r="K1115" s="53"/>
      <c r="L1115" s="53"/>
      <c r="M1115" s="53"/>
      <c r="N1115" s="53"/>
      <c r="O1115" s="53"/>
      <c r="P1115" s="53"/>
      <c r="Q1115" s="53"/>
      <c r="R1115" s="53"/>
      <c r="S1115" s="53"/>
      <c r="T1115" s="53"/>
      <c r="U1115" s="53"/>
      <c r="V1115" s="53"/>
      <c r="W1115" s="53"/>
      <c r="X1115" s="53"/>
      <c r="Y1115" s="53"/>
      <c r="Z1115" s="53"/>
    </row>
    <row r="1116" spans="1:26" ht="15.75" customHeight="1">
      <c r="A1116" s="103"/>
      <c r="B1116" s="103"/>
      <c r="C1116" s="104" t="e">
        <v>#REF!</v>
      </c>
      <c r="D1116" s="103"/>
      <c r="E1116" s="53"/>
      <c r="F1116" s="53"/>
      <c r="G1116" s="53"/>
      <c r="H1116" s="53"/>
      <c r="I1116" s="53"/>
      <c r="J1116" s="53"/>
      <c r="K1116" s="53"/>
      <c r="L1116" s="53"/>
      <c r="M1116" s="53"/>
      <c r="N1116" s="53"/>
      <c r="O1116" s="53"/>
      <c r="P1116" s="53"/>
      <c r="Q1116" s="53"/>
      <c r="R1116" s="53"/>
      <c r="S1116" s="53"/>
      <c r="T1116" s="53"/>
      <c r="U1116" s="53"/>
      <c r="V1116" s="53"/>
      <c r="W1116" s="53"/>
      <c r="X1116" s="53"/>
      <c r="Y1116" s="53"/>
      <c r="Z1116" s="53"/>
    </row>
    <row r="1117" spans="1:26" ht="15.75" customHeight="1">
      <c r="A1117" s="103"/>
      <c r="B1117" s="103"/>
      <c r="C1117" s="104" t="e">
        <v>#REF!</v>
      </c>
      <c r="D1117" s="103"/>
      <c r="E1117" s="53"/>
      <c r="F1117" s="53"/>
      <c r="G1117" s="53"/>
      <c r="H1117" s="53"/>
      <c r="I1117" s="53"/>
      <c r="J1117" s="53"/>
      <c r="K1117" s="53"/>
      <c r="L1117" s="53"/>
      <c r="M1117" s="53"/>
      <c r="N1117" s="53"/>
      <c r="O1117" s="53"/>
      <c r="P1117" s="53"/>
      <c r="Q1117" s="53"/>
      <c r="R1117" s="53"/>
      <c r="S1117" s="53"/>
      <c r="T1117" s="53"/>
      <c r="U1117" s="53"/>
      <c r="V1117" s="53"/>
      <c r="W1117" s="53"/>
      <c r="X1117" s="53"/>
      <c r="Y1117" s="53"/>
      <c r="Z1117" s="53"/>
    </row>
    <row r="1118" spans="1:26" ht="15.75" customHeight="1">
      <c r="A1118" s="103"/>
      <c r="B1118" s="103"/>
      <c r="C1118" s="104" t="e">
        <v>#REF!</v>
      </c>
      <c r="D1118" s="103"/>
      <c r="E1118" s="53"/>
      <c r="F1118" s="53"/>
      <c r="G1118" s="53"/>
      <c r="H1118" s="53"/>
      <c r="I1118" s="53"/>
      <c r="J1118" s="53"/>
      <c r="K1118" s="53"/>
      <c r="L1118" s="53"/>
      <c r="M1118" s="53"/>
      <c r="N1118" s="53"/>
      <c r="O1118" s="53"/>
      <c r="P1118" s="53"/>
      <c r="Q1118" s="53"/>
      <c r="R1118" s="53"/>
      <c r="S1118" s="53"/>
      <c r="T1118" s="53"/>
      <c r="U1118" s="53"/>
      <c r="V1118" s="53"/>
      <c r="W1118" s="53"/>
      <c r="X1118" s="53"/>
      <c r="Y1118" s="53"/>
      <c r="Z1118" s="53"/>
    </row>
    <row r="1119" spans="1:26" ht="15.75" customHeight="1">
      <c r="A1119" s="103"/>
      <c r="B1119" s="103"/>
      <c r="C1119" s="104" t="e">
        <v>#REF!</v>
      </c>
      <c r="D1119" s="103"/>
      <c r="E1119" s="53"/>
      <c r="F1119" s="53"/>
      <c r="G1119" s="53"/>
      <c r="H1119" s="53"/>
      <c r="I1119" s="53"/>
      <c r="J1119" s="53"/>
      <c r="K1119" s="53"/>
      <c r="L1119" s="53"/>
      <c r="M1119" s="53"/>
      <c r="N1119" s="53"/>
      <c r="O1119" s="53"/>
      <c r="P1119" s="53"/>
      <c r="Q1119" s="53"/>
      <c r="R1119" s="53"/>
      <c r="S1119" s="53"/>
      <c r="T1119" s="53"/>
      <c r="U1119" s="53"/>
      <c r="V1119" s="53"/>
      <c r="W1119" s="53"/>
      <c r="X1119" s="53"/>
      <c r="Y1119" s="53"/>
      <c r="Z1119" s="53"/>
    </row>
    <row r="1120" spans="1:26" ht="15.75" customHeight="1">
      <c r="A1120" s="103"/>
      <c r="B1120" s="103"/>
      <c r="C1120" s="104" t="e">
        <v>#REF!</v>
      </c>
      <c r="D1120" s="103"/>
      <c r="E1120" s="53"/>
      <c r="F1120" s="53"/>
      <c r="G1120" s="53"/>
      <c r="H1120" s="53"/>
      <c r="I1120" s="53"/>
      <c r="J1120" s="53"/>
      <c r="K1120" s="53"/>
      <c r="L1120" s="53"/>
      <c r="M1120" s="53"/>
      <c r="N1120" s="53"/>
      <c r="O1120" s="53"/>
      <c r="P1120" s="53"/>
      <c r="Q1120" s="53"/>
      <c r="R1120" s="53"/>
      <c r="S1120" s="53"/>
      <c r="T1120" s="53"/>
      <c r="U1120" s="53"/>
      <c r="V1120" s="53"/>
      <c r="W1120" s="53"/>
      <c r="X1120" s="53"/>
      <c r="Y1120" s="53"/>
      <c r="Z1120" s="53"/>
    </row>
    <row r="1121" spans="1:26" ht="15.75" customHeight="1">
      <c r="A1121" s="103"/>
      <c r="B1121" s="103"/>
      <c r="C1121" s="104" t="e">
        <v>#REF!</v>
      </c>
      <c r="D1121" s="103"/>
      <c r="E1121" s="53"/>
      <c r="F1121" s="53"/>
      <c r="G1121" s="53"/>
      <c r="H1121" s="53"/>
      <c r="I1121" s="53"/>
      <c r="J1121" s="53"/>
      <c r="K1121" s="53"/>
      <c r="L1121" s="53"/>
      <c r="M1121" s="53"/>
      <c r="N1121" s="53"/>
      <c r="O1121" s="53"/>
      <c r="P1121" s="53"/>
      <c r="Q1121" s="53"/>
      <c r="R1121" s="53"/>
      <c r="S1121" s="53"/>
      <c r="T1121" s="53"/>
      <c r="U1121" s="53"/>
      <c r="V1121" s="53"/>
      <c r="W1121" s="53"/>
      <c r="X1121" s="53"/>
      <c r="Y1121" s="53"/>
      <c r="Z1121" s="53"/>
    </row>
    <row r="1122" spans="1:26" ht="15.75" customHeight="1">
      <c r="A1122" s="103"/>
      <c r="B1122" s="103"/>
      <c r="C1122" s="104" t="e">
        <v>#REF!</v>
      </c>
      <c r="D1122" s="103"/>
      <c r="E1122" s="53"/>
      <c r="F1122" s="53"/>
      <c r="G1122" s="53"/>
      <c r="H1122" s="53"/>
      <c r="I1122" s="53"/>
      <c r="J1122" s="53"/>
      <c r="K1122" s="53"/>
      <c r="L1122" s="53"/>
      <c r="M1122" s="53"/>
      <c r="N1122" s="53"/>
      <c r="O1122" s="53"/>
      <c r="P1122" s="53"/>
      <c r="Q1122" s="53"/>
      <c r="R1122" s="53"/>
      <c r="S1122" s="53"/>
      <c r="T1122" s="53"/>
      <c r="U1122" s="53"/>
      <c r="V1122" s="53"/>
      <c r="W1122" s="53"/>
      <c r="X1122" s="53"/>
      <c r="Y1122" s="53"/>
      <c r="Z1122" s="53"/>
    </row>
    <row r="1123" spans="1:26" ht="15.75" customHeight="1">
      <c r="A1123" s="103"/>
      <c r="B1123" s="103"/>
      <c r="C1123" s="104" t="e">
        <v>#REF!</v>
      </c>
      <c r="D1123" s="103"/>
      <c r="E1123" s="53"/>
      <c r="F1123" s="53"/>
      <c r="G1123" s="53"/>
      <c r="H1123" s="53"/>
      <c r="I1123" s="53"/>
      <c r="J1123" s="53"/>
      <c r="K1123" s="53"/>
      <c r="L1123" s="53"/>
      <c r="M1123" s="53"/>
      <c r="N1123" s="53"/>
      <c r="O1123" s="53"/>
      <c r="P1123" s="53"/>
      <c r="Q1123" s="53"/>
      <c r="R1123" s="53"/>
      <c r="S1123" s="53"/>
      <c r="T1123" s="53"/>
      <c r="U1123" s="53"/>
      <c r="V1123" s="53"/>
      <c r="W1123" s="53"/>
      <c r="X1123" s="53"/>
      <c r="Y1123" s="53"/>
      <c r="Z1123" s="53"/>
    </row>
    <row r="1124" spans="1:26" ht="15.75" customHeight="1">
      <c r="A1124" s="103"/>
      <c r="B1124" s="103"/>
      <c r="C1124" s="104" t="e">
        <v>#REF!</v>
      </c>
      <c r="D1124" s="103"/>
      <c r="E1124" s="53"/>
      <c r="F1124" s="53"/>
      <c r="G1124" s="53"/>
      <c r="H1124" s="53"/>
      <c r="I1124" s="53"/>
      <c r="J1124" s="53"/>
      <c r="K1124" s="53"/>
      <c r="L1124" s="53"/>
      <c r="M1124" s="53"/>
      <c r="N1124" s="53"/>
      <c r="O1124" s="53"/>
      <c r="P1124" s="53"/>
      <c r="Q1124" s="53"/>
      <c r="R1124" s="53"/>
      <c r="S1124" s="53"/>
      <c r="T1124" s="53"/>
      <c r="U1124" s="53"/>
      <c r="V1124" s="53"/>
      <c r="W1124" s="53"/>
      <c r="X1124" s="53"/>
      <c r="Y1124" s="53"/>
      <c r="Z1124" s="53"/>
    </row>
    <row r="1125" spans="1:26" ht="15.75" customHeight="1">
      <c r="A1125" s="103"/>
      <c r="B1125" s="103"/>
      <c r="C1125" s="104" t="e">
        <v>#REF!</v>
      </c>
      <c r="D1125" s="103"/>
      <c r="E1125" s="53"/>
      <c r="F1125" s="53"/>
      <c r="G1125" s="53"/>
      <c r="H1125" s="53"/>
      <c r="I1125" s="53"/>
      <c r="J1125" s="53"/>
      <c r="K1125" s="53"/>
      <c r="L1125" s="53"/>
      <c r="M1125" s="53"/>
      <c r="N1125" s="53"/>
      <c r="O1125" s="53"/>
      <c r="P1125" s="53"/>
      <c r="Q1125" s="53"/>
      <c r="R1125" s="53"/>
      <c r="S1125" s="53"/>
      <c r="T1125" s="53"/>
      <c r="U1125" s="53"/>
      <c r="V1125" s="53"/>
      <c r="W1125" s="53"/>
      <c r="X1125" s="53"/>
      <c r="Y1125" s="53"/>
      <c r="Z1125" s="53"/>
    </row>
    <row r="1126" spans="1:26" ht="15.75" customHeight="1">
      <c r="A1126" s="103"/>
      <c r="B1126" s="103"/>
      <c r="C1126" s="104" t="e">
        <v>#REF!</v>
      </c>
      <c r="D1126" s="103"/>
      <c r="E1126" s="53"/>
      <c r="F1126" s="53"/>
      <c r="G1126" s="53"/>
      <c r="H1126" s="53"/>
      <c r="I1126" s="53"/>
      <c r="J1126" s="53"/>
      <c r="K1126" s="53"/>
      <c r="L1126" s="53"/>
      <c r="M1126" s="53"/>
      <c r="N1126" s="53"/>
      <c r="O1126" s="53"/>
      <c r="P1126" s="53"/>
      <c r="Q1126" s="53"/>
      <c r="R1126" s="53"/>
      <c r="S1126" s="53"/>
      <c r="T1126" s="53"/>
      <c r="U1126" s="53"/>
      <c r="V1126" s="53"/>
      <c r="W1126" s="53"/>
      <c r="X1126" s="53"/>
      <c r="Y1126" s="53"/>
      <c r="Z1126" s="53"/>
    </row>
    <row r="1127" spans="1:26" ht="15.75" customHeight="1">
      <c r="A1127" s="103"/>
      <c r="B1127" s="103"/>
      <c r="C1127" s="104" t="e">
        <v>#REF!</v>
      </c>
      <c r="D1127" s="103"/>
      <c r="E1127" s="53"/>
      <c r="F1127" s="53"/>
      <c r="G1127" s="53"/>
      <c r="H1127" s="53"/>
      <c r="I1127" s="53"/>
      <c r="J1127" s="53"/>
      <c r="K1127" s="53"/>
      <c r="L1127" s="53"/>
      <c r="M1127" s="53"/>
      <c r="N1127" s="53"/>
      <c r="O1127" s="53"/>
      <c r="P1127" s="53"/>
      <c r="Q1127" s="53"/>
      <c r="R1127" s="53"/>
      <c r="S1127" s="53"/>
      <c r="T1127" s="53"/>
      <c r="U1127" s="53"/>
      <c r="V1127" s="53"/>
      <c r="W1127" s="53"/>
      <c r="X1127" s="53"/>
      <c r="Y1127" s="53"/>
      <c r="Z1127" s="53"/>
    </row>
    <row r="1128" spans="1:26" ht="15.75" customHeight="1">
      <c r="A1128" s="103"/>
      <c r="B1128" s="103"/>
      <c r="C1128" s="104" t="e">
        <v>#REF!</v>
      </c>
      <c r="D1128" s="103"/>
      <c r="E1128" s="53"/>
      <c r="F1128" s="53"/>
      <c r="G1128" s="53"/>
      <c r="H1128" s="53"/>
      <c r="I1128" s="53"/>
      <c r="J1128" s="53"/>
      <c r="K1128" s="53"/>
      <c r="L1128" s="53"/>
      <c r="M1128" s="53"/>
      <c r="N1128" s="53"/>
      <c r="O1128" s="53"/>
      <c r="P1128" s="53"/>
      <c r="Q1128" s="53"/>
      <c r="R1128" s="53"/>
      <c r="S1128" s="53"/>
      <c r="T1128" s="53"/>
      <c r="U1128" s="53"/>
      <c r="V1128" s="53"/>
      <c r="W1128" s="53"/>
      <c r="X1128" s="53"/>
      <c r="Y1128" s="53"/>
      <c r="Z1128" s="53"/>
    </row>
    <row r="1129" spans="1:26" ht="15.75" customHeight="1">
      <c r="A1129" s="103"/>
      <c r="B1129" s="103"/>
      <c r="C1129" s="104" t="e">
        <v>#REF!</v>
      </c>
      <c r="D1129" s="103"/>
      <c r="E1129" s="53"/>
      <c r="F1129" s="53"/>
      <c r="G1129" s="53"/>
      <c r="H1129" s="53"/>
      <c r="I1129" s="53"/>
      <c r="J1129" s="53"/>
      <c r="K1129" s="53"/>
      <c r="L1129" s="53"/>
      <c r="M1129" s="53"/>
      <c r="N1129" s="53"/>
      <c r="O1129" s="53"/>
      <c r="P1129" s="53"/>
      <c r="Q1129" s="53"/>
      <c r="R1129" s="53"/>
      <c r="S1129" s="53"/>
      <c r="T1129" s="53"/>
      <c r="U1129" s="53"/>
      <c r="V1129" s="53"/>
      <c r="W1129" s="53"/>
      <c r="X1129" s="53"/>
      <c r="Y1129" s="53"/>
      <c r="Z1129" s="53"/>
    </row>
    <row r="1130" spans="1:26" ht="15.75" customHeight="1">
      <c r="A1130" s="103"/>
      <c r="B1130" s="103"/>
      <c r="C1130" s="104" t="e">
        <v>#REF!</v>
      </c>
      <c r="D1130" s="103"/>
      <c r="E1130" s="53"/>
      <c r="F1130" s="53"/>
      <c r="G1130" s="53"/>
      <c r="H1130" s="53"/>
      <c r="I1130" s="53"/>
      <c r="J1130" s="53"/>
      <c r="K1130" s="53"/>
      <c r="L1130" s="53"/>
      <c r="M1130" s="53"/>
      <c r="N1130" s="53"/>
      <c r="O1130" s="53"/>
      <c r="P1130" s="53"/>
      <c r="Q1130" s="53"/>
      <c r="R1130" s="53"/>
      <c r="S1130" s="53"/>
      <c r="T1130" s="53"/>
      <c r="U1130" s="53"/>
      <c r="V1130" s="53"/>
      <c r="W1130" s="53"/>
      <c r="X1130" s="53"/>
      <c r="Y1130" s="53"/>
      <c r="Z1130" s="53"/>
    </row>
    <row r="1131" spans="1:26" ht="15.75" customHeight="1">
      <c r="A1131" s="103"/>
      <c r="B1131" s="103"/>
      <c r="C1131" s="104" t="e">
        <v>#REF!</v>
      </c>
      <c r="D1131" s="103"/>
      <c r="E1131" s="53"/>
      <c r="F1131" s="53"/>
      <c r="G1131" s="53"/>
      <c r="H1131" s="53"/>
      <c r="I1131" s="53"/>
      <c r="J1131" s="53"/>
      <c r="K1131" s="53"/>
      <c r="L1131" s="53"/>
      <c r="M1131" s="53"/>
      <c r="N1131" s="53"/>
      <c r="O1131" s="53"/>
      <c r="P1131" s="53"/>
      <c r="Q1131" s="53"/>
      <c r="R1131" s="53"/>
      <c r="S1131" s="53"/>
      <c r="T1131" s="53"/>
      <c r="U1131" s="53"/>
      <c r="V1131" s="53"/>
      <c r="W1131" s="53"/>
      <c r="X1131" s="53"/>
      <c r="Y1131" s="53"/>
      <c r="Z1131" s="53"/>
    </row>
    <row r="1132" spans="1:26" ht="15.75" customHeight="1">
      <c r="A1132" s="103"/>
      <c r="B1132" s="103"/>
      <c r="C1132" s="104" t="e">
        <v>#REF!</v>
      </c>
      <c r="D1132" s="103"/>
      <c r="E1132" s="53"/>
      <c r="F1132" s="53"/>
      <c r="G1132" s="53"/>
      <c r="H1132" s="53"/>
      <c r="I1132" s="53"/>
      <c r="J1132" s="53"/>
      <c r="K1132" s="53"/>
      <c r="L1132" s="53"/>
      <c r="M1132" s="53"/>
      <c r="N1132" s="53"/>
      <c r="O1132" s="53"/>
      <c r="P1132" s="53"/>
      <c r="Q1132" s="53"/>
      <c r="R1132" s="53"/>
      <c r="S1132" s="53"/>
      <c r="T1132" s="53"/>
      <c r="U1132" s="53"/>
      <c r="V1132" s="53"/>
      <c r="W1132" s="53"/>
      <c r="X1132" s="53"/>
      <c r="Y1132" s="53"/>
      <c r="Z1132" s="53"/>
    </row>
    <row r="1133" spans="1:26" ht="15.75" customHeight="1">
      <c r="A1133" s="103"/>
      <c r="B1133" s="103"/>
      <c r="C1133" s="104" t="e">
        <v>#REF!</v>
      </c>
      <c r="D1133" s="103"/>
      <c r="E1133" s="53"/>
      <c r="F1133" s="53"/>
      <c r="G1133" s="53"/>
      <c r="H1133" s="53"/>
      <c r="I1133" s="53"/>
      <c r="J1133" s="53"/>
      <c r="K1133" s="53"/>
      <c r="L1133" s="53"/>
      <c r="M1133" s="53"/>
      <c r="N1133" s="53"/>
      <c r="O1133" s="53"/>
      <c r="P1133" s="53"/>
      <c r="Q1133" s="53"/>
      <c r="R1133" s="53"/>
      <c r="S1133" s="53"/>
      <c r="T1133" s="53"/>
      <c r="U1133" s="53"/>
      <c r="V1133" s="53"/>
      <c r="W1133" s="53"/>
      <c r="X1133" s="53"/>
      <c r="Y1133" s="53"/>
      <c r="Z1133" s="53"/>
    </row>
    <row r="1134" spans="1:26" ht="15.75" customHeight="1">
      <c r="A1134" s="103"/>
      <c r="B1134" s="103"/>
      <c r="C1134" s="104" t="e">
        <v>#REF!</v>
      </c>
      <c r="D1134" s="103"/>
      <c r="E1134" s="53"/>
      <c r="F1134" s="53"/>
      <c r="G1134" s="53"/>
      <c r="H1134" s="53"/>
      <c r="I1134" s="53"/>
      <c r="J1134" s="53"/>
      <c r="K1134" s="53"/>
      <c r="L1134" s="53"/>
      <c r="M1134" s="53"/>
      <c r="N1134" s="53"/>
      <c r="O1134" s="53"/>
      <c r="P1134" s="53"/>
      <c r="Q1134" s="53"/>
      <c r="R1134" s="53"/>
      <c r="S1134" s="53"/>
      <c r="T1134" s="53"/>
      <c r="U1134" s="53"/>
      <c r="V1134" s="53"/>
      <c r="W1134" s="53"/>
      <c r="X1134" s="53"/>
      <c r="Y1134" s="53"/>
      <c r="Z1134" s="53"/>
    </row>
    <row r="1135" spans="1:26" ht="15.75" customHeight="1">
      <c r="A1135" s="103"/>
      <c r="B1135" s="103"/>
      <c r="C1135" s="104" t="e">
        <v>#REF!</v>
      </c>
      <c r="D1135" s="103"/>
      <c r="E1135" s="53"/>
      <c r="F1135" s="53"/>
      <c r="G1135" s="53"/>
      <c r="H1135" s="53"/>
      <c r="I1135" s="53"/>
      <c r="J1135" s="53"/>
      <c r="K1135" s="53"/>
      <c r="L1135" s="53"/>
      <c r="M1135" s="53"/>
      <c r="N1135" s="53"/>
      <c r="O1135" s="53"/>
      <c r="P1135" s="53"/>
      <c r="Q1135" s="53"/>
      <c r="R1135" s="53"/>
      <c r="S1135" s="53"/>
      <c r="T1135" s="53"/>
      <c r="U1135" s="53"/>
      <c r="V1135" s="53"/>
      <c r="W1135" s="53"/>
      <c r="X1135" s="53"/>
      <c r="Y1135" s="53"/>
      <c r="Z1135" s="53"/>
    </row>
    <row r="1136" spans="1:26" ht="15.75" customHeight="1">
      <c r="A1136" s="103"/>
      <c r="B1136" s="103"/>
      <c r="C1136" s="104" t="e">
        <v>#REF!</v>
      </c>
      <c r="D1136" s="103"/>
      <c r="E1136" s="53"/>
      <c r="F1136" s="53"/>
      <c r="G1136" s="53"/>
      <c r="H1136" s="53"/>
      <c r="I1136" s="53"/>
      <c r="J1136" s="53"/>
      <c r="K1136" s="53"/>
      <c r="L1136" s="53"/>
      <c r="M1136" s="53"/>
      <c r="N1136" s="53"/>
      <c r="O1136" s="53"/>
      <c r="P1136" s="53"/>
      <c r="Q1136" s="53"/>
      <c r="R1136" s="53"/>
      <c r="S1136" s="53"/>
      <c r="T1136" s="53"/>
      <c r="U1136" s="53"/>
      <c r="V1136" s="53"/>
      <c r="W1136" s="53"/>
      <c r="X1136" s="53"/>
      <c r="Y1136" s="53"/>
      <c r="Z1136" s="53"/>
    </row>
    <row r="1137" spans="1:26" ht="15.75" customHeight="1">
      <c r="A1137" s="103"/>
      <c r="B1137" s="103"/>
      <c r="C1137" s="104" t="e">
        <v>#REF!</v>
      </c>
      <c r="D1137" s="103"/>
      <c r="E1137" s="53"/>
      <c r="F1137" s="53"/>
      <c r="G1137" s="53"/>
      <c r="H1137" s="53"/>
      <c r="I1137" s="53"/>
      <c r="J1137" s="53"/>
      <c r="K1137" s="53"/>
      <c r="L1137" s="53"/>
      <c r="M1137" s="53"/>
      <c r="N1137" s="53"/>
      <c r="O1137" s="53"/>
      <c r="P1137" s="53"/>
      <c r="Q1137" s="53"/>
      <c r="R1137" s="53"/>
      <c r="S1137" s="53"/>
      <c r="T1137" s="53"/>
      <c r="U1137" s="53"/>
      <c r="V1137" s="53"/>
      <c r="W1137" s="53"/>
      <c r="X1137" s="53"/>
      <c r="Y1137" s="53"/>
      <c r="Z1137" s="53"/>
    </row>
    <row r="1138" spans="1:26" ht="15.75" customHeight="1">
      <c r="A1138" s="103"/>
      <c r="B1138" s="103"/>
      <c r="C1138" s="104" t="e">
        <v>#REF!</v>
      </c>
      <c r="D1138" s="103"/>
      <c r="E1138" s="53"/>
      <c r="F1138" s="53"/>
      <c r="G1138" s="53"/>
      <c r="H1138" s="53"/>
      <c r="I1138" s="53"/>
      <c r="J1138" s="53"/>
      <c r="K1138" s="53"/>
      <c r="L1138" s="53"/>
      <c r="M1138" s="53"/>
      <c r="N1138" s="53"/>
      <c r="O1138" s="53"/>
      <c r="P1138" s="53"/>
      <c r="Q1138" s="53"/>
      <c r="R1138" s="53"/>
      <c r="S1138" s="53"/>
      <c r="T1138" s="53"/>
      <c r="U1138" s="53"/>
      <c r="V1138" s="53"/>
      <c r="W1138" s="53"/>
      <c r="X1138" s="53"/>
      <c r="Y1138" s="53"/>
      <c r="Z1138" s="53"/>
    </row>
    <row r="1139" spans="1:26" ht="15.75" customHeight="1">
      <c r="A1139" s="103"/>
      <c r="B1139" s="103"/>
      <c r="C1139" s="104" t="e">
        <v>#REF!</v>
      </c>
      <c r="D1139" s="103"/>
      <c r="E1139" s="53"/>
      <c r="F1139" s="53"/>
      <c r="G1139" s="53"/>
      <c r="H1139" s="53"/>
      <c r="I1139" s="53"/>
      <c r="J1139" s="53"/>
      <c r="K1139" s="53"/>
      <c r="L1139" s="53"/>
      <c r="M1139" s="53"/>
      <c r="N1139" s="53"/>
      <c r="O1139" s="53"/>
      <c r="P1139" s="53"/>
      <c r="Q1139" s="53"/>
      <c r="R1139" s="53"/>
      <c r="S1139" s="53"/>
      <c r="T1139" s="53"/>
      <c r="U1139" s="53"/>
      <c r="V1139" s="53"/>
      <c r="W1139" s="53"/>
      <c r="X1139" s="53"/>
      <c r="Y1139" s="53"/>
      <c r="Z1139" s="53"/>
    </row>
    <row r="1140" spans="1:26" ht="15.75" customHeight="1">
      <c r="A1140" s="103"/>
      <c r="B1140" s="103"/>
      <c r="C1140" s="104" t="e">
        <v>#REF!</v>
      </c>
      <c r="D1140" s="103"/>
      <c r="E1140" s="53"/>
      <c r="F1140" s="53"/>
      <c r="G1140" s="53"/>
      <c r="H1140" s="53"/>
      <c r="I1140" s="53"/>
      <c r="J1140" s="53"/>
      <c r="K1140" s="53"/>
      <c r="L1140" s="53"/>
      <c r="M1140" s="53"/>
      <c r="N1140" s="53"/>
      <c r="O1140" s="53"/>
      <c r="P1140" s="53"/>
      <c r="Q1140" s="53"/>
      <c r="R1140" s="53"/>
      <c r="S1140" s="53"/>
      <c r="T1140" s="53"/>
      <c r="U1140" s="53"/>
      <c r="V1140" s="53"/>
      <c r="W1140" s="53"/>
      <c r="X1140" s="53"/>
      <c r="Y1140" s="53"/>
      <c r="Z1140" s="53"/>
    </row>
    <row r="1141" spans="1:26" ht="15.75" customHeight="1">
      <c r="A1141" s="103"/>
      <c r="B1141" s="103"/>
      <c r="C1141" s="104" t="e">
        <v>#REF!</v>
      </c>
      <c r="D1141" s="103"/>
      <c r="E1141" s="53"/>
      <c r="F1141" s="53"/>
      <c r="G1141" s="53"/>
      <c r="H1141" s="53"/>
      <c r="I1141" s="53"/>
      <c r="J1141" s="53"/>
      <c r="K1141" s="53"/>
      <c r="L1141" s="53"/>
      <c r="M1141" s="53"/>
      <c r="N1141" s="53"/>
      <c r="O1141" s="53"/>
      <c r="P1141" s="53"/>
      <c r="Q1141" s="53"/>
      <c r="R1141" s="53"/>
      <c r="S1141" s="53"/>
      <c r="T1141" s="53"/>
      <c r="U1141" s="53"/>
      <c r="V1141" s="53"/>
      <c r="W1141" s="53"/>
      <c r="X1141" s="53"/>
      <c r="Y1141" s="53"/>
      <c r="Z1141" s="53"/>
    </row>
    <row r="1142" spans="1:26" ht="15.75" customHeight="1">
      <c r="A1142" s="103"/>
      <c r="B1142" s="103"/>
      <c r="C1142" s="104" t="e">
        <v>#REF!</v>
      </c>
      <c r="D1142" s="103"/>
      <c r="E1142" s="53"/>
      <c r="F1142" s="53"/>
      <c r="G1142" s="53"/>
      <c r="H1142" s="53"/>
      <c r="I1142" s="53"/>
      <c r="J1142" s="53"/>
      <c r="K1142" s="53"/>
      <c r="L1142" s="53"/>
      <c r="M1142" s="53"/>
      <c r="N1142" s="53"/>
      <c r="O1142" s="53"/>
      <c r="P1142" s="53"/>
      <c r="Q1142" s="53"/>
      <c r="R1142" s="53"/>
      <c r="S1142" s="53"/>
      <c r="T1142" s="53"/>
      <c r="U1142" s="53"/>
      <c r="V1142" s="53"/>
      <c r="W1142" s="53"/>
      <c r="X1142" s="53"/>
      <c r="Y1142" s="53"/>
      <c r="Z1142" s="53"/>
    </row>
    <row r="1143" spans="1:26" ht="15.75" customHeight="1">
      <c r="A1143" s="103"/>
      <c r="B1143" s="103"/>
      <c r="C1143" s="104" t="e">
        <v>#REF!</v>
      </c>
      <c r="D1143" s="103"/>
      <c r="E1143" s="53"/>
      <c r="F1143" s="53"/>
      <c r="G1143" s="53"/>
      <c r="H1143" s="53"/>
      <c r="I1143" s="53"/>
      <c r="J1143" s="53"/>
      <c r="K1143" s="53"/>
      <c r="L1143" s="53"/>
      <c r="M1143" s="53"/>
      <c r="N1143" s="53"/>
      <c r="O1143" s="53"/>
      <c r="P1143" s="53"/>
      <c r="Q1143" s="53"/>
      <c r="R1143" s="53"/>
      <c r="S1143" s="53"/>
      <c r="T1143" s="53"/>
      <c r="U1143" s="53"/>
      <c r="V1143" s="53"/>
      <c r="W1143" s="53"/>
      <c r="X1143" s="53"/>
      <c r="Y1143" s="53"/>
      <c r="Z1143" s="53"/>
    </row>
    <row r="1144" spans="1:26" ht="15.75" customHeight="1">
      <c r="A1144" s="103"/>
      <c r="B1144" s="103"/>
      <c r="C1144" s="104" t="e">
        <v>#REF!</v>
      </c>
      <c r="D1144" s="103"/>
      <c r="E1144" s="53"/>
      <c r="F1144" s="53"/>
      <c r="G1144" s="53"/>
      <c r="H1144" s="53"/>
      <c r="I1144" s="53"/>
      <c r="J1144" s="53"/>
      <c r="K1144" s="53"/>
      <c r="L1144" s="53"/>
      <c r="M1144" s="53"/>
      <c r="N1144" s="53"/>
      <c r="O1144" s="53"/>
      <c r="P1144" s="53"/>
      <c r="Q1144" s="53"/>
      <c r="R1144" s="53"/>
      <c r="S1144" s="53"/>
      <c r="T1144" s="53"/>
      <c r="U1144" s="53"/>
      <c r="V1144" s="53"/>
      <c r="W1144" s="53"/>
      <c r="X1144" s="53"/>
      <c r="Y1144" s="53"/>
      <c r="Z1144" s="53"/>
    </row>
    <row r="1145" spans="1:26" ht="15.75" customHeight="1">
      <c r="A1145" s="103"/>
      <c r="B1145" s="103"/>
      <c r="C1145" s="104" t="e">
        <v>#REF!</v>
      </c>
      <c r="D1145" s="103"/>
      <c r="E1145" s="53"/>
      <c r="F1145" s="53"/>
      <c r="G1145" s="53"/>
      <c r="H1145" s="53"/>
      <c r="I1145" s="53"/>
      <c r="J1145" s="53"/>
      <c r="K1145" s="53"/>
      <c r="L1145" s="53"/>
      <c r="M1145" s="53"/>
      <c r="N1145" s="53"/>
      <c r="O1145" s="53"/>
      <c r="P1145" s="53"/>
      <c r="Q1145" s="53"/>
      <c r="R1145" s="53"/>
      <c r="S1145" s="53"/>
      <c r="T1145" s="53"/>
      <c r="U1145" s="53"/>
      <c r="V1145" s="53"/>
      <c r="W1145" s="53"/>
      <c r="X1145" s="53"/>
      <c r="Y1145" s="53"/>
      <c r="Z1145" s="53"/>
    </row>
    <row r="1146" spans="1:26" ht="15.75" customHeight="1">
      <c r="A1146" s="103"/>
      <c r="B1146" s="103"/>
      <c r="C1146" s="104" t="e">
        <v>#REF!</v>
      </c>
      <c r="D1146" s="103"/>
      <c r="E1146" s="53"/>
      <c r="F1146" s="53"/>
      <c r="G1146" s="53"/>
      <c r="H1146" s="53"/>
      <c r="I1146" s="53"/>
      <c r="J1146" s="53"/>
      <c r="K1146" s="53"/>
      <c r="L1146" s="53"/>
      <c r="M1146" s="53"/>
      <c r="N1146" s="53"/>
      <c r="O1146" s="53"/>
      <c r="P1146" s="53"/>
      <c r="Q1146" s="53"/>
      <c r="R1146" s="53"/>
      <c r="S1146" s="53"/>
      <c r="T1146" s="53"/>
      <c r="U1146" s="53"/>
      <c r="V1146" s="53"/>
      <c r="W1146" s="53"/>
      <c r="X1146" s="53"/>
      <c r="Y1146" s="53"/>
      <c r="Z1146" s="53"/>
    </row>
    <row r="1147" spans="1:26" ht="15.75" customHeight="1">
      <c r="A1147" s="103"/>
      <c r="B1147" s="103"/>
      <c r="C1147" s="104" t="e">
        <v>#REF!</v>
      </c>
      <c r="D1147" s="103"/>
      <c r="E1147" s="53"/>
      <c r="F1147" s="53"/>
      <c r="G1147" s="53"/>
      <c r="H1147" s="53"/>
      <c r="I1147" s="53"/>
      <c r="J1147" s="53"/>
      <c r="K1147" s="53"/>
      <c r="L1147" s="53"/>
      <c r="M1147" s="53"/>
      <c r="N1147" s="53"/>
      <c r="O1147" s="53"/>
      <c r="P1147" s="53"/>
      <c r="Q1147" s="53"/>
      <c r="R1147" s="53"/>
      <c r="S1147" s="53"/>
      <c r="T1147" s="53"/>
      <c r="U1147" s="53"/>
      <c r="V1147" s="53"/>
      <c r="W1147" s="53"/>
      <c r="X1147" s="53"/>
      <c r="Y1147" s="53"/>
      <c r="Z1147" s="53"/>
    </row>
    <row r="1148" spans="1:26" ht="15.75" customHeight="1">
      <c r="A1148" s="103"/>
      <c r="B1148" s="103"/>
      <c r="C1148" s="104" t="e">
        <v>#REF!</v>
      </c>
      <c r="D1148" s="103"/>
      <c r="E1148" s="53"/>
      <c r="F1148" s="53"/>
      <c r="G1148" s="53"/>
      <c r="H1148" s="53"/>
      <c r="I1148" s="53"/>
      <c r="J1148" s="53"/>
      <c r="K1148" s="53"/>
      <c r="L1148" s="53"/>
      <c r="M1148" s="53"/>
      <c r="N1148" s="53"/>
      <c r="O1148" s="53"/>
      <c r="P1148" s="53"/>
      <c r="Q1148" s="53"/>
      <c r="R1148" s="53"/>
      <c r="S1148" s="53"/>
      <c r="T1148" s="53"/>
      <c r="U1148" s="53"/>
      <c r="V1148" s="53"/>
      <c r="W1148" s="53"/>
      <c r="X1148" s="53"/>
      <c r="Y1148" s="53"/>
      <c r="Z1148" s="53"/>
    </row>
    <row r="1149" spans="1:26" ht="15.75" customHeight="1">
      <c r="A1149" s="103"/>
      <c r="B1149" s="103"/>
      <c r="C1149" s="104" t="e">
        <v>#REF!</v>
      </c>
      <c r="D1149" s="103"/>
      <c r="E1149" s="53"/>
      <c r="F1149" s="53"/>
      <c r="G1149" s="53"/>
      <c r="H1149" s="53"/>
      <c r="I1149" s="53"/>
      <c r="J1149" s="53"/>
      <c r="K1149" s="53"/>
      <c r="L1149" s="53"/>
      <c r="M1149" s="53"/>
      <c r="N1149" s="53"/>
      <c r="O1149" s="53"/>
      <c r="P1149" s="53"/>
      <c r="Q1149" s="53"/>
      <c r="R1149" s="53"/>
      <c r="S1149" s="53"/>
      <c r="T1149" s="53"/>
      <c r="U1149" s="53"/>
      <c r="V1149" s="53"/>
      <c r="W1149" s="53"/>
      <c r="X1149" s="53"/>
      <c r="Y1149" s="53"/>
      <c r="Z1149" s="53"/>
    </row>
    <row r="1150" spans="1:26" ht="15.75" customHeight="1">
      <c r="A1150" s="103"/>
      <c r="B1150" s="103"/>
      <c r="C1150" s="104" t="e">
        <v>#REF!</v>
      </c>
      <c r="D1150" s="103"/>
      <c r="E1150" s="53"/>
      <c r="F1150" s="53"/>
      <c r="G1150" s="53"/>
      <c r="H1150" s="53"/>
      <c r="I1150" s="53"/>
      <c r="J1150" s="53"/>
      <c r="K1150" s="53"/>
      <c r="L1150" s="53"/>
      <c r="M1150" s="53"/>
      <c r="N1150" s="53"/>
      <c r="O1150" s="53"/>
      <c r="P1150" s="53"/>
      <c r="Q1150" s="53"/>
      <c r="R1150" s="53"/>
      <c r="S1150" s="53"/>
      <c r="T1150" s="53"/>
      <c r="U1150" s="53"/>
      <c r="V1150" s="53"/>
      <c r="W1150" s="53"/>
      <c r="X1150" s="53"/>
      <c r="Y1150" s="53"/>
      <c r="Z1150" s="53"/>
    </row>
    <row r="1151" spans="1:26" ht="15.75" customHeight="1">
      <c r="A1151" s="103"/>
      <c r="B1151" s="103"/>
      <c r="C1151" s="104" t="e">
        <v>#REF!</v>
      </c>
      <c r="D1151" s="103"/>
      <c r="E1151" s="53"/>
      <c r="F1151" s="53"/>
      <c r="G1151" s="53"/>
      <c r="H1151" s="53"/>
      <c r="I1151" s="53"/>
      <c r="J1151" s="53"/>
      <c r="K1151" s="53"/>
      <c r="L1151" s="53"/>
      <c r="M1151" s="53"/>
      <c r="N1151" s="53"/>
      <c r="O1151" s="53"/>
      <c r="P1151" s="53"/>
      <c r="Q1151" s="53"/>
      <c r="R1151" s="53"/>
      <c r="S1151" s="53"/>
      <c r="T1151" s="53"/>
      <c r="U1151" s="53"/>
      <c r="V1151" s="53"/>
      <c r="W1151" s="53"/>
      <c r="X1151" s="53"/>
      <c r="Y1151" s="53"/>
      <c r="Z1151" s="53"/>
    </row>
    <row r="1152" spans="1:26" ht="15.75" customHeight="1">
      <c r="A1152" s="103"/>
      <c r="B1152" s="103"/>
      <c r="C1152" s="104" t="e">
        <v>#REF!</v>
      </c>
      <c r="D1152" s="103"/>
      <c r="E1152" s="53"/>
      <c r="F1152" s="53"/>
      <c r="G1152" s="53"/>
      <c r="H1152" s="53"/>
      <c r="I1152" s="53"/>
      <c r="J1152" s="53"/>
      <c r="K1152" s="53"/>
      <c r="L1152" s="53"/>
      <c r="M1152" s="53"/>
      <c r="N1152" s="53"/>
      <c r="O1152" s="53"/>
      <c r="P1152" s="53"/>
      <c r="Q1152" s="53"/>
      <c r="R1152" s="53"/>
      <c r="S1152" s="53"/>
      <c r="T1152" s="53"/>
      <c r="U1152" s="53"/>
      <c r="V1152" s="53"/>
      <c r="W1152" s="53"/>
      <c r="X1152" s="53"/>
      <c r="Y1152" s="53"/>
      <c r="Z1152" s="53"/>
    </row>
    <row r="1153" spans="1:26" ht="15.75" customHeight="1">
      <c r="A1153" s="103"/>
      <c r="B1153" s="103"/>
      <c r="C1153" s="104" t="e">
        <v>#REF!</v>
      </c>
      <c r="D1153" s="103"/>
      <c r="E1153" s="53"/>
      <c r="F1153" s="53"/>
      <c r="G1153" s="53"/>
      <c r="H1153" s="53"/>
      <c r="I1153" s="53"/>
      <c r="J1153" s="53"/>
      <c r="K1153" s="53"/>
      <c r="L1153" s="53"/>
      <c r="M1153" s="53"/>
      <c r="N1153" s="53"/>
      <c r="O1153" s="53"/>
      <c r="P1153" s="53"/>
      <c r="Q1153" s="53"/>
      <c r="R1153" s="53"/>
      <c r="S1153" s="53"/>
      <c r="T1153" s="53"/>
      <c r="U1153" s="53"/>
      <c r="V1153" s="53"/>
      <c r="W1153" s="53"/>
      <c r="X1153" s="53"/>
      <c r="Y1153" s="53"/>
      <c r="Z1153" s="53"/>
    </row>
    <row r="1154" spans="1:26" ht="15.75" customHeight="1">
      <c r="A1154" s="103"/>
      <c r="B1154" s="103"/>
      <c r="C1154" s="104" t="e">
        <v>#REF!</v>
      </c>
      <c r="D1154" s="103"/>
      <c r="E1154" s="53"/>
      <c r="F1154" s="53"/>
      <c r="G1154" s="53"/>
      <c r="H1154" s="53"/>
      <c r="I1154" s="53"/>
      <c r="J1154" s="53"/>
      <c r="K1154" s="53"/>
      <c r="L1154" s="53"/>
      <c r="M1154" s="53"/>
      <c r="N1154" s="53"/>
      <c r="O1154" s="53"/>
      <c r="P1154" s="53"/>
      <c r="Q1154" s="53"/>
      <c r="R1154" s="53"/>
      <c r="S1154" s="53"/>
      <c r="T1154" s="53"/>
      <c r="U1154" s="53"/>
      <c r="V1154" s="53"/>
      <c r="W1154" s="53"/>
      <c r="X1154" s="53"/>
      <c r="Y1154" s="53"/>
      <c r="Z1154" s="53"/>
    </row>
    <row r="1155" spans="1:26" ht="15.75" customHeight="1">
      <c r="A1155" s="103"/>
      <c r="B1155" s="103"/>
      <c r="C1155" s="104" t="e">
        <v>#REF!</v>
      </c>
      <c r="D1155" s="103"/>
      <c r="E1155" s="53"/>
      <c r="F1155" s="53"/>
      <c r="G1155" s="53"/>
      <c r="H1155" s="53"/>
      <c r="I1155" s="53"/>
      <c r="J1155" s="53"/>
      <c r="K1155" s="53"/>
      <c r="L1155" s="53"/>
      <c r="M1155" s="53"/>
      <c r="N1155" s="53"/>
      <c r="O1155" s="53"/>
      <c r="P1155" s="53"/>
      <c r="Q1155" s="53"/>
      <c r="R1155" s="53"/>
      <c r="S1155" s="53"/>
      <c r="T1155" s="53"/>
      <c r="U1155" s="53"/>
      <c r="V1155" s="53"/>
      <c r="W1155" s="53"/>
      <c r="X1155" s="53"/>
      <c r="Y1155" s="53"/>
      <c r="Z1155" s="53"/>
    </row>
    <row r="1156" spans="1:26" ht="15.75" customHeight="1">
      <c r="A1156" s="103"/>
      <c r="B1156" s="103"/>
      <c r="C1156" s="104" t="e">
        <v>#REF!</v>
      </c>
      <c r="D1156" s="103"/>
      <c r="E1156" s="53"/>
      <c r="F1156" s="53"/>
      <c r="G1156" s="53"/>
      <c r="H1156" s="53"/>
      <c r="I1156" s="53"/>
      <c r="J1156" s="53"/>
      <c r="K1156" s="53"/>
      <c r="L1156" s="53"/>
      <c r="M1156" s="53"/>
      <c r="N1156" s="53"/>
      <c r="O1156" s="53"/>
      <c r="P1156" s="53"/>
      <c r="Q1156" s="53"/>
      <c r="R1156" s="53"/>
      <c r="S1156" s="53"/>
      <c r="T1156" s="53"/>
      <c r="U1156" s="53"/>
      <c r="V1156" s="53"/>
      <c r="W1156" s="53"/>
      <c r="X1156" s="53"/>
      <c r="Y1156" s="53"/>
      <c r="Z1156" s="53"/>
    </row>
    <row r="1157" spans="1:26" ht="15.75" customHeight="1">
      <c r="A1157" s="103"/>
      <c r="B1157" s="103"/>
      <c r="C1157" s="104" t="e">
        <v>#REF!</v>
      </c>
      <c r="D1157" s="103"/>
      <c r="E1157" s="53"/>
      <c r="F1157" s="53"/>
      <c r="G1157" s="53"/>
      <c r="H1157" s="53"/>
      <c r="I1157" s="53"/>
      <c r="J1157" s="53"/>
      <c r="K1157" s="53"/>
      <c r="L1157" s="53"/>
      <c r="M1157" s="53"/>
      <c r="N1157" s="53"/>
      <c r="O1157" s="53"/>
      <c r="P1157" s="53"/>
      <c r="Q1157" s="53"/>
      <c r="R1157" s="53"/>
      <c r="S1157" s="53"/>
      <c r="T1157" s="53"/>
      <c r="U1157" s="53"/>
      <c r="V1157" s="53"/>
      <c r="W1157" s="53"/>
      <c r="X1157" s="53"/>
      <c r="Y1157" s="53"/>
      <c r="Z1157" s="53"/>
    </row>
    <row r="1158" spans="1:26" ht="15.75" customHeight="1">
      <c r="A1158" s="103"/>
      <c r="B1158" s="103"/>
      <c r="C1158" s="104" t="e">
        <v>#REF!</v>
      </c>
      <c r="D1158" s="103"/>
      <c r="E1158" s="53"/>
      <c r="F1158" s="53"/>
      <c r="G1158" s="53"/>
      <c r="H1158" s="53"/>
      <c r="I1158" s="53"/>
      <c r="J1158" s="53"/>
      <c r="K1158" s="53"/>
      <c r="L1158" s="53"/>
      <c r="M1158" s="53"/>
      <c r="N1158" s="53"/>
      <c r="O1158" s="53"/>
      <c r="P1158" s="53"/>
      <c r="Q1158" s="53"/>
      <c r="R1158" s="53"/>
      <c r="S1158" s="53"/>
      <c r="T1158" s="53"/>
      <c r="U1158" s="53"/>
      <c r="V1158" s="53"/>
      <c r="W1158" s="53"/>
      <c r="X1158" s="53"/>
      <c r="Y1158" s="53"/>
      <c r="Z1158" s="53"/>
    </row>
    <row r="1159" spans="1:26" ht="15.75" customHeight="1">
      <c r="A1159" s="103"/>
      <c r="B1159" s="103"/>
      <c r="C1159" s="104" t="e">
        <v>#REF!</v>
      </c>
      <c r="D1159" s="103"/>
      <c r="E1159" s="53"/>
      <c r="F1159" s="53"/>
      <c r="G1159" s="53"/>
      <c r="H1159" s="53"/>
      <c r="I1159" s="53"/>
      <c r="J1159" s="53"/>
      <c r="K1159" s="53"/>
      <c r="L1159" s="53"/>
      <c r="M1159" s="53"/>
      <c r="N1159" s="53"/>
      <c r="O1159" s="53"/>
      <c r="P1159" s="53"/>
      <c r="Q1159" s="53"/>
      <c r="R1159" s="53"/>
      <c r="S1159" s="53"/>
      <c r="T1159" s="53"/>
      <c r="U1159" s="53"/>
      <c r="V1159" s="53"/>
      <c r="W1159" s="53"/>
      <c r="X1159" s="53"/>
      <c r="Y1159" s="53"/>
      <c r="Z1159" s="53"/>
    </row>
    <row r="1160" spans="1:26" ht="15.75" customHeight="1">
      <c r="A1160" s="103"/>
      <c r="B1160" s="103"/>
      <c r="C1160" s="104" t="e">
        <v>#REF!</v>
      </c>
      <c r="D1160" s="103"/>
      <c r="E1160" s="53"/>
      <c r="F1160" s="53"/>
      <c r="G1160" s="53"/>
      <c r="H1160" s="53"/>
      <c r="I1160" s="53"/>
      <c r="J1160" s="53"/>
      <c r="K1160" s="53"/>
      <c r="L1160" s="53"/>
      <c r="M1160" s="53"/>
      <c r="N1160" s="53"/>
      <c r="O1160" s="53"/>
      <c r="P1160" s="53"/>
      <c r="Q1160" s="53"/>
      <c r="R1160" s="53"/>
      <c r="S1160" s="53"/>
      <c r="T1160" s="53"/>
      <c r="U1160" s="53"/>
      <c r="V1160" s="53"/>
      <c r="W1160" s="53"/>
      <c r="X1160" s="53"/>
      <c r="Y1160" s="53"/>
      <c r="Z1160" s="53"/>
    </row>
    <row r="1161" spans="1:26" ht="15.75" customHeight="1">
      <c r="A1161" s="103"/>
      <c r="B1161" s="103"/>
      <c r="C1161" s="104" t="e">
        <v>#REF!</v>
      </c>
      <c r="D1161" s="103"/>
      <c r="E1161" s="53"/>
      <c r="F1161" s="53"/>
      <c r="G1161" s="53"/>
      <c r="H1161" s="53"/>
      <c r="I1161" s="53"/>
      <c r="J1161" s="53"/>
      <c r="K1161" s="53"/>
      <c r="L1161" s="53"/>
      <c r="M1161" s="53"/>
      <c r="N1161" s="53"/>
      <c r="O1161" s="53"/>
      <c r="P1161" s="53"/>
      <c r="Q1161" s="53"/>
      <c r="R1161" s="53"/>
      <c r="S1161" s="53"/>
      <c r="T1161" s="53"/>
      <c r="U1161" s="53"/>
      <c r="V1161" s="53"/>
      <c r="W1161" s="53"/>
      <c r="X1161" s="53"/>
      <c r="Y1161" s="53"/>
      <c r="Z1161" s="53"/>
    </row>
    <row r="1162" spans="1:26" ht="15.75" customHeight="1">
      <c r="A1162" s="103"/>
      <c r="B1162" s="103"/>
      <c r="C1162" s="104" t="e">
        <v>#REF!</v>
      </c>
      <c r="D1162" s="103"/>
      <c r="E1162" s="53"/>
      <c r="F1162" s="53"/>
      <c r="G1162" s="53"/>
      <c r="H1162" s="53"/>
      <c r="I1162" s="53"/>
      <c r="J1162" s="53"/>
      <c r="K1162" s="53"/>
      <c r="L1162" s="53"/>
      <c r="M1162" s="53"/>
      <c r="N1162" s="53"/>
      <c r="O1162" s="53"/>
      <c r="P1162" s="53"/>
      <c r="Q1162" s="53"/>
      <c r="R1162" s="53"/>
      <c r="S1162" s="53"/>
      <c r="T1162" s="53"/>
      <c r="U1162" s="53"/>
      <c r="V1162" s="53"/>
      <c r="W1162" s="53"/>
      <c r="X1162" s="53"/>
      <c r="Y1162" s="53"/>
      <c r="Z1162" s="53"/>
    </row>
    <row r="1163" spans="1:26" ht="15.75" customHeight="1">
      <c r="A1163" s="103"/>
      <c r="B1163" s="103"/>
      <c r="C1163" s="104" t="e">
        <v>#REF!</v>
      </c>
      <c r="D1163" s="103"/>
      <c r="E1163" s="53"/>
      <c r="F1163" s="53"/>
      <c r="G1163" s="53"/>
      <c r="H1163" s="53"/>
      <c r="I1163" s="53"/>
      <c r="J1163" s="53"/>
      <c r="K1163" s="53"/>
      <c r="L1163" s="53"/>
      <c r="M1163" s="53"/>
      <c r="N1163" s="53"/>
      <c r="O1163" s="53"/>
      <c r="P1163" s="53"/>
      <c r="Q1163" s="53"/>
      <c r="R1163" s="53"/>
      <c r="S1163" s="53"/>
      <c r="T1163" s="53"/>
      <c r="U1163" s="53"/>
      <c r="V1163" s="53"/>
      <c r="W1163" s="53"/>
      <c r="X1163" s="53"/>
      <c r="Y1163" s="53"/>
      <c r="Z1163" s="53"/>
    </row>
    <row r="1164" spans="1:26" ht="15.75" customHeight="1">
      <c r="A1164" s="103"/>
      <c r="B1164" s="103"/>
      <c r="C1164" s="104" t="e">
        <v>#REF!</v>
      </c>
      <c r="D1164" s="103"/>
      <c r="E1164" s="53"/>
      <c r="F1164" s="53"/>
      <c r="G1164" s="53"/>
      <c r="H1164" s="53"/>
      <c r="I1164" s="53"/>
      <c r="J1164" s="53"/>
      <c r="K1164" s="53"/>
      <c r="L1164" s="53"/>
      <c r="M1164" s="53"/>
      <c r="N1164" s="53"/>
      <c r="O1164" s="53"/>
      <c r="P1164" s="53"/>
      <c r="Q1164" s="53"/>
      <c r="R1164" s="53"/>
      <c r="S1164" s="53"/>
      <c r="T1164" s="53"/>
      <c r="U1164" s="53"/>
      <c r="V1164" s="53"/>
      <c r="W1164" s="53"/>
      <c r="X1164" s="53"/>
      <c r="Y1164" s="53"/>
      <c r="Z1164" s="53"/>
    </row>
    <row r="1165" spans="1:26" ht="15.75" customHeight="1">
      <c r="A1165" s="103"/>
      <c r="B1165" s="103"/>
      <c r="C1165" s="104" t="e">
        <v>#REF!</v>
      </c>
      <c r="D1165" s="103"/>
      <c r="E1165" s="53"/>
      <c r="F1165" s="53"/>
      <c r="G1165" s="53"/>
      <c r="H1165" s="53"/>
      <c r="I1165" s="53"/>
      <c r="J1165" s="53"/>
      <c r="K1165" s="53"/>
      <c r="L1165" s="53"/>
      <c r="M1165" s="53"/>
      <c r="N1165" s="53"/>
      <c r="O1165" s="53"/>
      <c r="P1165" s="53"/>
      <c r="Q1165" s="53"/>
      <c r="R1165" s="53"/>
      <c r="S1165" s="53"/>
      <c r="T1165" s="53"/>
      <c r="U1165" s="53"/>
      <c r="V1165" s="53"/>
      <c r="W1165" s="53"/>
      <c r="X1165" s="53"/>
      <c r="Y1165" s="53"/>
      <c r="Z1165" s="53"/>
    </row>
    <row r="1166" spans="1:26" ht="15.75" customHeight="1">
      <c r="A1166" s="103"/>
      <c r="B1166" s="103"/>
      <c r="C1166" s="104" t="e">
        <v>#REF!</v>
      </c>
      <c r="D1166" s="103"/>
      <c r="E1166" s="53"/>
      <c r="F1166" s="53"/>
      <c r="G1166" s="53"/>
      <c r="H1166" s="53"/>
      <c r="I1166" s="53"/>
      <c r="J1166" s="53"/>
      <c r="K1166" s="53"/>
      <c r="L1166" s="53"/>
      <c r="M1166" s="53"/>
      <c r="N1166" s="53"/>
      <c r="O1166" s="53"/>
      <c r="P1166" s="53"/>
      <c r="Q1166" s="53"/>
      <c r="R1166" s="53"/>
      <c r="S1166" s="53"/>
      <c r="T1166" s="53"/>
      <c r="U1166" s="53"/>
      <c r="V1166" s="53"/>
      <c r="W1166" s="53"/>
      <c r="X1166" s="53"/>
      <c r="Y1166" s="53"/>
      <c r="Z1166" s="53"/>
    </row>
    <row r="1167" spans="1:26" ht="15.75" customHeight="1">
      <c r="A1167" s="103"/>
      <c r="B1167" s="103"/>
      <c r="C1167" s="104" t="e">
        <v>#REF!</v>
      </c>
      <c r="D1167" s="103"/>
      <c r="E1167" s="53"/>
      <c r="F1167" s="53"/>
      <c r="G1167" s="53"/>
      <c r="H1167" s="53"/>
      <c r="I1167" s="53"/>
      <c r="J1167" s="53"/>
      <c r="K1167" s="53"/>
      <c r="L1167" s="53"/>
      <c r="M1167" s="53"/>
      <c r="N1167" s="53"/>
      <c r="O1167" s="53"/>
      <c r="P1167" s="53"/>
      <c r="Q1167" s="53"/>
      <c r="R1167" s="53"/>
      <c r="S1167" s="53"/>
      <c r="T1167" s="53"/>
      <c r="U1167" s="53"/>
      <c r="V1167" s="53"/>
      <c r="W1167" s="53"/>
      <c r="X1167" s="53"/>
      <c r="Y1167" s="53"/>
      <c r="Z1167" s="53"/>
    </row>
    <row r="1168" spans="1:26" ht="15.75" customHeight="1">
      <c r="A1168" s="103"/>
      <c r="B1168" s="103"/>
      <c r="C1168" s="104" t="e">
        <v>#REF!</v>
      </c>
      <c r="D1168" s="103"/>
      <c r="E1168" s="53"/>
      <c r="F1168" s="53"/>
      <c r="G1168" s="53"/>
      <c r="H1168" s="53"/>
      <c r="I1168" s="53"/>
      <c r="J1168" s="53"/>
      <c r="K1168" s="53"/>
      <c r="L1168" s="53"/>
      <c r="M1168" s="53"/>
      <c r="N1168" s="53"/>
      <c r="O1168" s="53"/>
      <c r="P1168" s="53"/>
      <c r="Q1168" s="53"/>
      <c r="R1168" s="53"/>
      <c r="S1168" s="53"/>
      <c r="T1168" s="53"/>
      <c r="U1168" s="53"/>
      <c r="V1168" s="53"/>
      <c r="W1168" s="53"/>
      <c r="X1168" s="53"/>
      <c r="Y1168" s="53"/>
      <c r="Z1168" s="53"/>
    </row>
    <row r="1169" spans="1:26" ht="15.75" customHeight="1">
      <c r="A1169" s="103"/>
      <c r="B1169" s="103"/>
      <c r="C1169" s="104" t="e">
        <v>#REF!</v>
      </c>
      <c r="D1169" s="103"/>
      <c r="E1169" s="53"/>
      <c r="F1169" s="53"/>
      <c r="G1169" s="53"/>
      <c r="H1169" s="53"/>
      <c r="I1169" s="53"/>
      <c r="J1169" s="53"/>
      <c r="K1169" s="53"/>
      <c r="L1169" s="53"/>
      <c r="M1169" s="53"/>
      <c r="N1169" s="53"/>
      <c r="O1169" s="53"/>
      <c r="P1169" s="53"/>
      <c r="Q1169" s="53"/>
      <c r="R1169" s="53"/>
      <c r="S1169" s="53"/>
      <c r="T1169" s="53"/>
      <c r="U1169" s="53"/>
      <c r="V1169" s="53"/>
      <c r="W1169" s="53"/>
      <c r="X1169" s="53"/>
      <c r="Y1169" s="53"/>
      <c r="Z1169" s="53"/>
    </row>
    <row r="1170" spans="1:26" ht="15.75" customHeight="1">
      <c r="A1170" s="103"/>
      <c r="B1170" s="103"/>
      <c r="C1170" s="104" t="e">
        <v>#REF!</v>
      </c>
      <c r="D1170" s="103"/>
      <c r="E1170" s="53"/>
      <c r="F1170" s="53"/>
      <c r="G1170" s="53"/>
      <c r="H1170" s="53"/>
      <c r="I1170" s="53"/>
      <c r="J1170" s="53"/>
      <c r="K1170" s="53"/>
      <c r="L1170" s="53"/>
      <c r="M1170" s="53"/>
      <c r="N1170" s="53"/>
      <c r="O1170" s="53"/>
      <c r="P1170" s="53"/>
      <c r="Q1170" s="53"/>
      <c r="R1170" s="53"/>
      <c r="S1170" s="53"/>
      <c r="T1170" s="53"/>
      <c r="U1170" s="53"/>
      <c r="V1170" s="53"/>
      <c r="W1170" s="53"/>
      <c r="X1170" s="53"/>
      <c r="Y1170" s="53"/>
      <c r="Z1170" s="53"/>
    </row>
    <row r="1171" spans="1:26" ht="15.75" customHeight="1">
      <c r="A1171" s="103"/>
      <c r="B1171" s="103"/>
      <c r="C1171" s="104" t="e">
        <v>#REF!</v>
      </c>
      <c r="D1171" s="103"/>
      <c r="E1171" s="53"/>
      <c r="F1171" s="53"/>
      <c r="G1171" s="53"/>
      <c r="H1171" s="53"/>
      <c r="I1171" s="53"/>
      <c r="J1171" s="53"/>
      <c r="K1171" s="53"/>
      <c r="L1171" s="53"/>
      <c r="M1171" s="53"/>
      <c r="N1171" s="53"/>
      <c r="O1171" s="53"/>
      <c r="P1171" s="53"/>
      <c r="Q1171" s="53"/>
      <c r="R1171" s="53"/>
      <c r="S1171" s="53"/>
      <c r="T1171" s="53"/>
      <c r="U1171" s="53"/>
      <c r="V1171" s="53"/>
      <c r="W1171" s="53"/>
      <c r="X1171" s="53"/>
      <c r="Y1171" s="53"/>
      <c r="Z1171" s="53"/>
    </row>
    <row r="1172" spans="1:26" ht="15.75" customHeight="1">
      <c r="A1172" s="103"/>
      <c r="B1172" s="103"/>
      <c r="C1172" s="104" t="e">
        <v>#REF!</v>
      </c>
      <c r="D1172" s="103"/>
      <c r="E1172" s="53"/>
      <c r="F1172" s="53"/>
      <c r="G1172" s="53"/>
      <c r="H1172" s="53"/>
      <c r="I1172" s="53"/>
      <c r="J1172" s="53"/>
      <c r="K1172" s="53"/>
      <c r="L1172" s="53"/>
      <c r="M1172" s="53"/>
      <c r="N1172" s="53"/>
      <c r="O1172" s="53"/>
      <c r="P1172" s="53"/>
      <c r="Q1172" s="53"/>
      <c r="R1172" s="53"/>
      <c r="S1172" s="53"/>
      <c r="T1172" s="53"/>
      <c r="U1172" s="53"/>
      <c r="V1172" s="53"/>
      <c r="W1172" s="53"/>
      <c r="X1172" s="53"/>
      <c r="Y1172" s="53"/>
      <c r="Z1172" s="53"/>
    </row>
    <row r="1173" spans="1:26" ht="15.75" customHeight="1">
      <c r="A1173" s="103"/>
      <c r="B1173" s="103"/>
      <c r="C1173" s="104" t="e">
        <v>#REF!</v>
      </c>
      <c r="D1173" s="103"/>
      <c r="E1173" s="53"/>
      <c r="F1173" s="53"/>
      <c r="G1173" s="53"/>
      <c r="H1173" s="53"/>
      <c r="I1173" s="53"/>
      <c r="J1173" s="53"/>
      <c r="K1173" s="53"/>
      <c r="L1173" s="53"/>
      <c r="M1173" s="53"/>
      <c r="N1173" s="53"/>
      <c r="O1173" s="53"/>
      <c r="P1173" s="53"/>
      <c r="Q1173" s="53"/>
      <c r="R1173" s="53"/>
      <c r="S1173" s="53"/>
      <c r="T1173" s="53"/>
      <c r="U1173" s="53"/>
      <c r="V1173" s="53"/>
      <c r="W1173" s="53"/>
      <c r="X1173" s="53"/>
      <c r="Y1173" s="53"/>
      <c r="Z1173" s="53"/>
    </row>
    <row r="1174" spans="1:26" ht="15.75" customHeight="1">
      <c r="A1174" s="103"/>
      <c r="B1174" s="103"/>
      <c r="C1174" s="104" t="e">
        <v>#REF!</v>
      </c>
      <c r="D1174" s="103"/>
      <c r="E1174" s="53"/>
      <c r="F1174" s="53"/>
      <c r="G1174" s="53"/>
      <c r="H1174" s="53"/>
      <c r="I1174" s="53"/>
      <c r="J1174" s="53"/>
      <c r="K1174" s="53"/>
      <c r="L1174" s="53"/>
      <c r="M1174" s="53"/>
      <c r="N1174" s="53"/>
      <c r="O1174" s="53"/>
      <c r="P1174" s="53"/>
      <c r="Q1174" s="53"/>
      <c r="R1174" s="53"/>
      <c r="S1174" s="53"/>
      <c r="T1174" s="53"/>
      <c r="U1174" s="53"/>
      <c r="V1174" s="53"/>
      <c r="W1174" s="53"/>
      <c r="X1174" s="53"/>
      <c r="Y1174" s="53"/>
      <c r="Z1174" s="53"/>
    </row>
    <row r="1175" spans="1:26" ht="15.75" customHeight="1">
      <c r="A1175" s="103"/>
      <c r="B1175" s="103"/>
      <c r="C1175" s="104" t="e">
        <v>#REF!</v>
      </c>
      <c r="D1175" s="103"/>
      <c r="E1175" s="53"/>
      <c r="F1175" s="53"/>
      <c r="G1175" s="53"/>
      <c r="H1175" s="53"/>
      <c r="I1175" s="53"/>
      <c r="J1175" s="53"/>
      <c r="K1175" s="53"/>
      <c r="L1175" s="53"/>
      <c r="M1175" s="53"/>
      <c r="N1175" s="53"/>
      <c r="O1175" s="53"/>
      <c r="P1175" s="53"/>
      <c r="Q1175" s="53"/>
      <c r="R1175" s="53"/>
      <c r="S1175" s="53"/>
      <c r="T1175" s="53"/>
      <c r="U1175" s="53"/>
      <c r="V1175" s="53"/>
      <c r="W1175" s="53"/>
      <c r="X1175" s="53"/>
      <c r="Y1175" s="53"/>
      <c r="Z1175" s="53"/>
    </row>
    <row r="1176" spans="1:26" ht="15.75" customHeight="1">
      <c r="A1176" s="103"/>
      <c r="B1176" s="103"/>
      <c r="C1176" s="104" t="e">
        <v>#REF!</v>
      </c>
      <c r="D1176" s="103"/>
      <c r="E1176" s="53"/>
      <c r="F1176" s="53"/>
      <c r="G1176" s="53"/>
      <c r="H1176" s="53"/>
      <c r="I1176" s="53"/>
      <c r="J1176" s="53"/>
      <c r="K1176" s="53"/>
      <c r="L1176" s="53"/>
      <c r="M1176" s="53"/>
      <c r="N1176" s="53"/>
      <c r="O1176" s="53"/>
      <c r="P1176" s="53"/>
      <c r="Q1176" s="53"/>
      <c r="R1176" s="53"/>
      <c r="S1176" s="53"/>
      <c r="T1176" s="53"/>
      <c r="U1176" s="53"/>
      <c r="V1176" s="53"/>
      <c r="W1176" s="53"/>
      <c r="X1176" s="53"/>
      <c r="Y1176" s="53"/>
      <c r="Z1176" s="53"/>
    </row>
    <row r="1177" spans="1:26" ht="15.75" customHeight="1">
      <c r="A1177" s="103"/>
      <c r="B1177" s="103"/>
      <c r="C1177" s="104" t="e">
        <v>#REF!</v>
      </c>
      <c r="D1177" s="103"/>
      <c r="E1177" s="53"/>
      <c r="F1177" s="53"/>
      <c r="G1177" s="53"/>
      <c r="H1177" s="53"/>
      <c r="I1177" s="53"/>
      <c r="J1177" s="53"/>
      <c r="K1177" s="53"/>
      <c r="L1177" s="53"/>
      <c r="M1177" s="53"/>
      <c r="N1177" s="53"/>
      <c r="O1177" s="53"/>
      <c r="P1177" s="53"/>
      <c r="Q1177" s="53"/>
      <c r="R1177" s="53"/>
      <c r="S1177" s="53"/>
      <c r="T1177" s="53"/>
      <c r="U1177" s="53"/>
      <c r="V1177" s="53"/>
      <c r="W1177" s="53"/>
      <c r="X1177" s="53"/>
      <c r="Y1177" s="53"/>
      <c r="Z1177" s="53"/>
    </row>
    <row r="1178" spans="1:26" ht="15.75" customHeight="1">
      <c r="A1178" s="103"/>
      <c r="B1178" s="103"/>
      <c r="C1178" s="104" t="e">
        <v>#REF!</v>
      </c>
      <c r="D1178" s="103"/>
      <c r="E1178" s="53"/>
      <c r="F1178" s="53"/>
      <c r="G1178" s="53"/>
      <c r="H1178" s="53"/>
      <c r="I1178" s="53"/>
      <c r="J1178" s="53"/>
      <c r="K1178" s="53"/>
      <c r="L1178" s="53"/>
      <c r="M1178" s="53"/>
      <c r="N1178" s="53"/>
      <c r="O1178" s="53"/>
      <c r="P1178" s="53"/>
      <c r="Q1178" s="53"/>
      <c r="R1178" s="53"/>
      <c r="S1178" s="53"/>
      <c r="T1178" s="53"/>
      <c r="U1178" s="53"/>
      <c r="V1178" s="53"/>
      <c r="W1178" s="53"/>
      <c r="X1178" s="53"/>
      <c r="Y1178" s="53"/>
      <c r="Z1178" s="53"/>
    </row>
    <row r="1179" spans="1:26" ht="15.75" customHeight="1">
      <c r="A1179" s="103"/>
      <c r="B1179" s="103"/>
      <c r="C1179" s="104" t="e">
        <v>#REF!</v>
      </c>
      <c r="D1179" s="103"/>
      <c r="E1179" s="53"/>
      <c r="F1179" s="53"/>
      <c r="G1179" s="53"/>
      <c r="H1179" s="53"/>
      <c r="I1179" s="53"/>
      <c r="J1179" s="53"/>
      <c r="K1179" s="53"/>
      <c r="L1179" s="53"/>
      <c r="M1179" s="53"/>
      <c r="N1179" s="53"/>
      <c r="O1179" s="53"/>
      <c r="P1179" s="53"/>
      <c r="Q1179" s="53"/>
      <c r="R1179" s="53"/>
      <c r="S1179" s="53"/>
      <c r="T1179" s="53"/>
      <c r="U1179" s="53"/>
      <c r="V1179" s="53"/>
      <c r="W1179" s="53"/>
      <c r="X1179" s="53"/>
      <c r="Y1179" s="53"/>
      <c r="Z1179" s="53"/>
    </row>
    <row r="1180" spans="1:26" ht="15.75" customHeight="1">
      <c r="A1180" s="103"/>
      <c r="B1180" s="103"/>
      <c r="C1180" s="104" t="e">
        <v>#REF!</v>
      </c>
      <c r="D1180" s="103"/>
      <c r="E1180" s="53"/>
      <c r="F1180" s="53"/>
      <c r="G1180" s="53"/>
      <c r="H1180" s="53"/>
      <c r="I1180" s="53"/>
      <c r="J1180" s="53"/>
      <c r="K1180" s="53"/>
      <c r="L1180" s="53"/>
      <c r="M1180" s="53"/>
      <c r="N1180" s="53"/>
      <c r="O1180" s="53"/>
      <c r="P1180" s="53"/>
      <c r="Q1180" s="53"/>
      <c r="R1180" s="53"/>
      <c r="S1180" s="53"/>
      <c r="T1180" s="53"/>
      <c r="U1180" s="53"/>
      <c r="V1180" s="53"/>
      <c r="W1180" s="53"/>
      <c r="X1180" s="53"/>
      <c r="Y1180" s="53"/>
      <c r="Z1180" s="53"/>
    </row>
    <row r="1181" spans="1:26" ht="15.75" customHeight="1">
      <c r="A1181" s="103"/>
      <c r="B1181" s="103"/>
      <c r="C1181" s="104" t="e">
        <v>#REF!</v>
      </c>
      <c r="D1181" s="103"/>
      <c r="E1181" s="53"/>
      <c r="F1181" s="53"/>
      <c r="G1181" s="53"/>
      <c r="H1181" s="53"/>
      <c r="I1181" s="53"/>
      <c r="J1181" s="53"/>
      <c r="K1181" s="53"/>
      <c r="L1181" s="53"/>
      <c r="M1181" s="53"/>
      <c r="N1181" s="53"/>
      <c r="O1181" s="53"/>
      <c r="P1181" s="53"/>
      <c r="Q1181" s="53"/>
      <c r="R1181" s="53"/>
      <c r="S1181" s="53"/>
      <c r="T1181" s="53"/>
      <c r="U1181" s="53"/>
      <c r="V1181" s="53"/>
      <c r="W1181" s="53"/>
      <c r="X1181" s="53"/>
      <c r="Y1181" s="53"/>
      <c r="Z1181" s="53"/>
    </row>
    <row r="1182" spans="1:26" ht="15.75" customHeight="1">
      <c r="A1182" s="103"/>
      <c r="B1182" s="103"/>
      <c r="C1182" s="104" t="e">
        <v>#REF!</v>
      </c>
      <c r="D1182" s="103"/>
      <c r="E1182" s="53"/>
      <c r="F1182" s="53"/>
      <c r="G1182" s="53"/>
      <c r="H1182" s="53"/>
      <c r="I1182" s="53"/>
      <c r="J1182" s="53"/>
      <c r="K1182" s="53"/>
      <c r="L1182" s="53"/>
      <c r="M1182" s="53"/>
      <c r="N1182" s="53"/>
      <c r="O1182" s="53"/>
      <c r="P1182" s="53"/>
      <c r="Q1182" s="53"/>
      <c r="R1182" s="53"/>
      <c r="S1182" s="53"/>
      <c r="T1182" s="53"/>
      <c r="U1182" s="53"/>
      <c r="V1182" s="53"/>
      <c r="W1182" s="53"/>
      <c r="X1182" s="53"/>
      <c r="Y1182" s="53"/>
      <c r="Z1182" s="53"/>
    </row>
    <row r="1183" spans="1:26" ht="15.75" customHeight="1">
      <c r="A1183" s="103"/>
      <c r="B1183" s="103"/>
      <c r="C1183" s="104" t="e">
        <v>#REF!</v>
      </c>
      <c r="D1183" s="103"/>
      <c r="E1183" s="53"/>
      <c r="F1183" s="53"/>
      <c r="G1183" s="53"/>
      <c r="H1183" s="53"/>
      <c r="I1183" s="53"/>
      <c r="J1183" s="53"/>
      <c r="K1183" s="53"/>
      <c r="L1183" s="53"/>
      <c r="M1183" s="53"/>
      <c r="N1183" s="53"/>
      <c r="O1183" s="53"/>
      <c r="P1183" s="53"/>
      <c r="Q1183" s="53"/>
      <c r="R1183" s="53"/>
      <c r="S1183" s="53"/>
      <c r="T1183" s="53"/>
      <c r="U1183" s="53"/>
      <c r="V1183" s="53"/>
      <c r="W1183" s="53"/>
      <c r="X1183" s="53"/>
      <c r="Y1183" s="53"/>
      <c r="Z1183" s="53"/>
    </row>
    <row r="1184" spans="1:26" ht="15.75" customHeight="1">
      <c r="A1184" s="103"/>
      <c r="B1184" s="103"/>
      <c r="C1184" s="104" t="e">
        <v>#REF!</v>
      </c>
      <c r="D1184" s="103"/>
      <c r="E1184" s="53"/>
      <c r="F1184" s="53"/>
      <c r="G1184" s="53"/>
      <c r="H1184" s="53"/>
      <c r="I1184" s="53"/>
      <c r="J1184" s="53"/>
      <c r="K1184" s="53"/>
      <c r="L1184" s="53"/>
      <c r="M1184" s="53"/>
      <c r="N1184" s="53"/>
      <c r="O1184" s="53"/>
      <c r="P1184" s="53"/>
      <c r="Q1184" s="53"/>
      <c r="R1184" s="53"/>
      <c r="S1184" s="53"/>
      <c r="T1184" s="53"/>
      <c r="U1184" s="53"/>
      <c r="V1184" s="53"/>
      <c r="W1184" s="53"/>
      <c r="X1184" s="53"/>
      <c r="Y1184" s="53"/>
      <c r="Z1184" s="53"/>
    </row>
    <row r="1185" spans="1:26" ht="15.75" customHeight="1">
      <c r="A1185" s="103"/>
      <c r="B1185" s="103"/>
      <c r="C1185" s="104" t="e">
        <v>#REF!</v>
      </c>
      <c r="D1185" s="103"/>
      <c r="E1185" s="53"/>
      <c r="F1185" s="53"/>
      <c r="G1185" s="53"/>
      <c r="H1185" s="53"/>
      <c r="I1185" s="53"/>
      <c r="J1185" s="53"/>
      <c r="K1185" s="53"/>
      <c r="L1185" s="53"/>
      <c r="M1185" s="53"/>
      <c r="N1185" s="53"/>
      <c r="O1185" s="53"/>
      <c r="P1185" s="53"/>
      <c r="Q1185" s="53"/>
      <c r="R1185" s="53"/>
      <c r="S1185" s="53"/>
      <c r="T1185" s="53"/>
      <c r="U1185" s="53"/>
      <c r="V1185" s="53"/>
      <c r="W1185" s="53"/>
      <c r="X1185" s="53"/>
      <c r="Y1185" s="53"/>
      <c r="Z1185" s="53"/>
    </row>
    <row r="1186" spans="1:26" ht="15.75" customHeight="1">
      <c r="A1186" s="103"/>
      <c r="B1186" s="103"/>
      <c r="C1186" s="104" t="e">
        <v>#REF!</v>
      </c>
      <c r="D1186" s="103"/>
      <c r="E1186" s="53"/>
      <c r="F1186" s="53"/>
      <c r="G1186" s="53"/>
      <c r="H1186" s="53"/>
      <c r="I1186" s="53"/>
      <c r="J1186" s="53"/>
      <c r="K1186" s="53"/>
      <c r="L1186" s="53"/>
      <c r="M1186" s="53"/>
      <c r="N1186" s="53"/>
      <c r="O1186" s="53"/>
      <c r="P1186" s="53"/>
      <c r="Q1186" s="53"/>
      <c r="R1186" s="53"/>
      <c r="S1186" s="53"/>
      <c r="T1186" s="53"/>
      <c r="U1186" s="53"/>
      <c r="V1186" s="53"/>
      <c r="W1186" s="53"/>
      <c r="X1186" s="53"/>
      <c r="Y1186" s="53"/>
      <c r="Z1186" s="53"/>
    </row>
    <row r="1187" spans="1:26" ht="15.75" customHeight="1">
      <c r="A1187" s="103"/>
      <c r="B1187" s="103"/>
      <c r="C1187" s="104" t="e">
        <v>#REF!</v>
      </c>
      <c r="D1187" s="103"/>
      <c r="E1187" s="53"/>
      <c r="F1187" s="53"/>
      <c r="G1187" s="53"/>
      <c r="H1187" s="53"/>
      <c r="I1187" s="53"/>
      <c r="J1187" s="53"/>
      <c r="K1187" s="53"/>
      <c r="L1187" s="53"/>
      <c r="M1187" s="53"/>
      <c r="N1187" s="53"/>
      <c r="O1187" s="53"/>
      <c r="P1187" s="53"/>
      <c r="Q1187" s="53"/>
      <c r="R1187" s="53"/>
      <c r="S1187" s="53"/>
      <c r="T1187" s="53"/>
      <c r="U1187" s="53"/>
      <c r="V1187" s="53"/>
      <c r="W1187" s="53"/>
      <c r="X1187" s="53"/>
      <c r="Y1187" s="53"/>
      <c r="Z1187" s="53"/>
    </row>
    <row r="1188" spans="1:26" ht="15.75" customHeight="1">
      <c r="A1188" s="103"/>
      <c r="B1188" s="103"/>
      <c r="C1188" s="104" t="e">
        <v>#REF!</v>
      </c>
      <c r="D1188" s="103"/>
      <c r="E1188" s="53"/>
      <c r="F1188" s="53"/>
      <c r="G1188" s="53"/>
      <c r="H1188" s="53"/>
      <c r="I1188" s="53"/>
      <c r="J1188" s="53"/>
      <c r="K1188" s="53"/>
      <c r="L1188" s="53"/>
      <c r="M1188" s="53"/>
      <c r="N1188" s="53"/>
      <c r="O1188" s="53"/>
      <c r="P1188" s="53"/>
      <c r="Q1188" s="53"/>
      <c r="R1188" s="53"/>
      <c r="S1188" s="53"/>
      <c r="T1188" s="53"/>
      <c r="U1188" s="53"/>
      <c r="V1188" s="53"/>
      <c r="W1188" s="53"/>
      <c r="X1188" s="53"/>
      <c r="Y1188" s="53"/>
      <c r="Z1188" s="53"/>
    </row>
    <row r="1189" spans="1:26" ht="15.75" customHeight="1">
      <c r="A1189" s="103"/>
      <c r="B1189" s="103"/>
      <c r="C1189" s="104" t="e">
        <v>#REF!</v>
      </c>
      <c r="D1189" s="103"/>
      <c r="E1189" s="53"/>
      <c r="F1189" s="53"/>
      <c r="G1189" s="53"/>
      <c r="H1189" s="53"/>
      <c r="I1189" s="53"/>
      <c r="J1189" s="53"/>
      <c r="K1189" s="53"/>
      <c r="L1189" s="53"/>
      <c r="M1189" s="53"/>
      <c r="N1189" s="53"/>
      <c r="O1189" s="53"/>
      <c r="P1189" s="53"/>
      <c r="Q1189" s="53"/>
      <c r="R1189" s="53"/>
      <c r="S1189" s="53"/>
      <c r="T1189" s="53"/>
      <c r="U1189" s="53"/>
      <c r="V1189" s="53"/>
      <c r="W1189" s="53"/>
      <c r="X1189" s="53"/>
      <c r="Y1189" s="53"/>
      <c r="Z1189" s="53"/>
    </row>
    <row r="1190" spans="1:26" ht="15.75" customHeight="1">
      <c r="A1190" s="103"/>
      <c r="B1190" s="103"/>
      <c r="C1190" s="104" t="e">
        <v>#REF!</v>
      </c>
      <c r="D1190" s="103"/>
      <c r="E1190" s="53"/>
      <c r="F1190" s="53"/>
      <c r="G1190" s="53"/>
      <c r="H1190" s="53"/>
      <c r="I1190" s="53"/>
      <c r="J1190" s="53"/>
      <c r="K1190" s="53"/>
      <c r="L1190" s="53"/>
      <c r="M1190" s="53"/>
      <c r="N1190" s="53"/>
      <c r="O1190" s="53"/>
      <c r="P1190" s="53"/>
      <c r="Q1190" s="53"/>
      <c r="R1190" s="53"/>
      <c r="S1190" s="53"/>
      <c r="T1190" s="53"/>
      <c r="U1190" s="53"/>
      <c r="V1190" s="53"/>
      <c r="W1190" s="53"/>
      <c r="X1190" s="53"/>
      <c r="Y1190" s="53"/>
      <c r="Z1190" s="53"/>
    </row>
    <row r="1191" spans="1:26" ht="15.75" customHeight="1">
      <c r="A1191" s="103"/>
      <c r="B1191" s="103"/>
      <c r="C1191" s="104" t="e">
        <v>#REF!</v>
      </c>
      <c r="D1191" s="103"/>
      <c r="E1191" s="53"/>
      <c r="F1191" s="53"/>
      <c r="G1191" s="53"/>
      <c r="H1191" s="53"/>
      <c r="I1191" s="53"/>
      <c r="J1191" s="53"/>
      <c r="K1191" s="53"/>
      <c r="L1191" s="53"/>
      <c r="M1191" s="53"/>
      <c r="N1191" s="53"/>
      <c r="O1191" s="53"/>
      <c r="P1191" s="53"/>
      <c r="Q1191" s="53"/>
      <c r="R1191" s="53"/>
      <c r="S1191" s="53"/>
      <c r="T1191" s="53"/>
      <c r="U1191" s="53"/>
      <c r="V1191" s="53"/>
      <c r="W1191" s="53"/>
      <c r="X1191" s="53"/>
      <c r="Y1191" s="53"/>
      <c r="Z1191" s="53"/>
    </row>
    <row r="1192" spans="1:26" ht="15.75" customHeight="1">
      <c r="A1192" s="103"/>
      <c r="B1192" s="103"/>
      <c r="C1192" s="104" t="e">
        <v>#REF!</v>
      </c>
      <c r="D1192" s="103"/>
      <c r="E1192" s="53"/>
      <c r="F1192" s="53"/>
      <c r="G1192" s="53"/>
      <c r="H1192" s="53"/>
      <c r="I1192" s="53"/>
      <c r="J1192" s="53"/>
      <c r="K1192" s="53"/>
      <c r="L1192" s="53"/>
      <c r="M1192" s="53"/>
      <c r="N1192" s="53"/>
      <c r="O1192" s="53"/>
      <c r="P1192" s="53"/>
      <c r="Q1192" s="53"/>
      <c r="R1192" s="53"/>
      <c r="S1192" s="53"/>
      <c r="T1192" s="53"/>
      <c r="U1192" s="53"/>
      <c r="V1192" s="53"/>
      <c r="W1192" s="53"/>
      <c r="X1192" s="53"/>
      <c r="Y1192" s="53"/>
      <c r="Z1192" s="53"/>
    </row>
    <row r="1193" spans="1:26" ht="15.75" customHeight="1">
      <c r="A1193" s="103"/>
      <c r="B1193" s="103"/>
      <c r="C1193" s="104" t="e">
        <v>#REF!</v>
      </c>
      <c r="D1193" s="103"/>
      <c r="E1193" s="53"/>
      <c r="F1193" s="53"/>
      <c r="G1193" s="53"/>
      <c r="H1193" s="53"/>
      <c r="I1193" s="53"/>
      <c r="J1193" s="53"/>
      <c r="K1193" s="53"/>
      <c r="L1193" s="53"/>
      <c r="M1193" s="53"/>
      <c r="N1193" s="53"/>
      <c r="O1193" s="53"/>
      <c r="P1193" s="53"/>
      <c r="Q1193" s="53"/>
      <c r="R1193" s="53"/>
      <c r="S1193" s="53"/>
      <c r="T1193" s="53"/>
      <c r="U1193" s="53"/>
      <c r="V1193" s="53"/>
      <c r="W1193" s="53"/>
      <c r="X1193" s="53"/>
      <c r="Y1193" s="53"/>
      <c r="Z1193" s="53"/>
    </row>
    <row r="1194" spans="1:26" ht="15.75" customHeight="1">
      <c r="A1194" s="103"/>
      <c r="B1194" s="103"/>
      <c r="C1194" s="104" t="e">
        <v>#REF!</v>
      </c>
      <c r="D1194" s="103"/>
      <c r="E1194" s="53"/>
      <c r="F1194" s="53"/>
      <c r="G1194" s="53"/>
      <c r="H1194" s="53"/>
      <c r="I1194" s="53"/>
      <c r="J1194" s="53"/>
      <c r="K1194" s="53"/>
      <c r="L1194" s="53"/>
      <c r="M1194" s="53"/>
      <c r="N1194" s="53"/>
      <c r="O1194" s="53"/>
      <c r="P1194" s="53"/>
      <c r="Q1194" s="53"/>
      <c r="R1194" s="53"/>
      <c r="S1194" s="53"/>
      <c r="T1194" s="53"/>
      <c r="U1194" s="53"/>
      <c r="V1194" s="53"/>
      <c r="W1194" s="53"/>
      <c r="X1194" s="53"/>
      <c r="Y1194" s="53"/>
      <c r="Z1194" s="53"/>
    </row>
    <row r="1195" spans="1:26" ht="15.75" customHeight="1">
      <c r="A1195" s="103"/>
      <c r="B1195" s="103"/>
      <c r="C1195" s="104" t="e">
        <v>#REF!</v>
      </c>
      <c r="D1195" s="103"/>
      <c r="E1195" s="53"/>
      <c r="F1195" s="53"/>
      <c r="G1195" s="53"/>
      <c r="H1195" s="53"/>
      <c r="I1195" s="53"/>
      <c r="J1195" s="53"/>
      <c r="K1195" s="53"/>
      <c r="L1195" s="53"/>
      <c r="M1195" s="53"/>
      <c r="N1195" s="53"/>
      <c r="O1195" s="53"/>
      <c r="P1195" s="53"/>
      <c r="Q1195" s="53"/>
      <c r="R1195" s="53"/>
      <c r="S1195" s="53"/>
      <c r="T1195" s="53"/>
      <c r="U1195" s="53"/>
      <c r="V1195" s="53"/>
      <c r="W1195" s="53"/>
      <c r="X1195" s="53"/>
      <c r="Y1195" s="53"/>
      <c r="Z1195" s="53"/>
    </row>
    <row r="1196" spans="1:26" ht="15.75" customHeight="1">
      <c r="A1196" s="103"/>
      <c r="B1196" s="103"/>
      <c r="C1196" s="104" t="e">
        <v>#REF!</v>
      </c>
      <c r="D1196" s="103"/>
      <c r="E1196" s="53"/>
      <c r="F1196" s="53"/>
      <c r="G1196" s="53"/>
      <c r="H1196" s="53"/>
      <c r="I1196" s="53"/>
      <c r="J1196" s="53"/>
      <c r="K1196" s="53"/>
      <c r="L1196" s="53"/>
      <c r="M1196" s="53"/>
      <c r="N1196" s="53"/>
      <c r="O1196" s="53"/>
      <c r="P1196" s="53"/>
      <c r="Q1196" s="53"/>
      <c r="R1196" s="53"/>
      <c r="S1196" s="53"/>
      <c r="T1196" s="53"/>
      <c r="U1196" s="53"/>
      <c r="V1196" s="53"/>
      <c r="W1196" s="53"/>
      <c r="X1196" s="53"/>
      <c r="Y1196" s="53"/>
      <c r="Z1196" s="53"/>
    </row>
    <row r="1197" spans="1:26" ht="15.75" customHeight="1">
      <c r="A1197" s="103"/>
      <c r="B1197" s="103"/>
      <c r="C1197" s="104" t="e">
        <v>#REF!</v>
      </c>
      <c r="D1197" s="103"/>
      <c r="E1197" s="53"/>
      <c r="F1197" s="53"/>
      <c r="G1197" s="53"/>
      <c r="H1197" s="53"/>
      <c r="I1197" s="53"/>
      <c r="J1197" s="53"/>
      <c r="K1197" s="53"/>
      <c r="L1197" s="53"/>
      <c r="M1197" s="53"/>
      <c r="N1197" s="53"/>
      <c r="O1197" s="53"/>
      <c r="P1197" s="53"/>
      <c r="Q1197" s="53"/>
      <c r="R1197" s="53"/>
      <c r="S1197" s="53"/>
      <c r="T1197" s="53"/>
      <c r="U1197" s="53"/>
      <c r="V1197" s="53"/>
      <c r="W1197" s="53"/>
      <c r="X1197" s="53"/>
      <c r="Y1197" s="53"/>
      <c r="Z1197" s="53"/>
    </row>
    <row r="1198" spans="1:26" ht="15.75" customHeight="1">
      <c r="A1198" s="103"/>
      <c r="B1198" s="103"/>
      <c r="C1198" s="104" t="e">
        <v>#REF!</v>
      </c>
      <c r="D1198" s="103"/>
      <c r="E1198" s="53"/>
      <c r="F1198" s="53"/>
      <c r="G1198" s="53"/>
      <c r="H1198" s="53"/>
      <c r="I1198" s="53"/>
      <c r="J1198" s="53"/>
      <c r="K1198" s="53"/>
      <c r="L1198" s="53"/>
      <c r="M1198" s="53"/>
      <c r="N1198" s="53"/>
      <c r="O1198" s="53"/>
      <c r="P1198" s="53"/>
      <c r="Q1198" s="53"/>
      <c r="R1198" s="53"/>
      <c r="S1198" s="53"/>
      <c r="T1198" s="53"/>
      <c r="U1198" s="53"/>
      <c r="V1198" s="53"/>
      <c r="W1198" s="53"/>
      <c r="X1198" s="53"/>
      <c r="Y1198" s="53"/>
      <c r="Z1198" s="53"/>
    </row>
    <row r="1199" spans="1:26" ht="15.75" customHeight="1">
      <c r="A1199" s="103"/>
      <c r="B1199" s="103"/>
      <c r="C1199" s="104" t="e">
        <v>#REF!</v>
      </c>
      <c r="D1199" s="103"/>
      <c r="E1199" s="53"/>
      <c r="F1199" s="53"/>
      <c r="G1199" s="53"/>
      <c r="H1199" s="53"/>
      <c r="I1199" s="53"/>
      <c r="J1199" s="53"/>
      <c r="K1199" s="53"/>
      <c r="L1199" s="53"/>
      <c r="M1199" s="53"/>
      <c r="N1199" s="53"/>
      <c r="O1199" s="53"/>
      <c r="P1199" s="53"/>
      <c r="Q1199" s="53"/>
      <c r="R1199" s="53"/>
      <c r="S1199" s="53"/>
      <c r="T1199" s="53"/>
      <c r="U1199" s="53"/>
      <c r="V1199" s="53"/>
      <c r="W1199" s="53"/>
      <c r="X1199" s="53"/>
      <c r="Y1199" s="53"/>
      <c r="Z1199" s="53"/>
    </row>
    <row r="1200" spans="1:26" ht="15.75" customHeight="1">
      <c r="A1200" s="103"/>
      <c r="B1200" s="103"/>
      <c r="C1200" s="104" t="e">
        <v>#REF!</v>
      </c>
      <c r="D1200" s="103"/>
      <c r="E1200" s="53"/>
      <c r="F1200" s="53"/>
      <c r="G1200" s="53"/>
      <c r="H1200" s="53"/>
      <c r="I1200" s="53"/>
      <c r="J1200" s="53"/>
      <c r="K1200" s="53"/>
      <c r="L1200" s="53"/>
      <c r="M1200" s="53"/>
      <c r="N1200" s="53"/>
      <c r="O1200" s="53"/>
      <c r="P1200" s="53"/>
      <c r="Q1200" s="53"/>
      <c r="R1200" s="53"/>
      <c r="S1200" s="53"/>
      <c r="T1200" s="53"/>
      <c r="U1200" s="53"/>
      <c r="V1200" s="53"/>
      <c r="W1200" s="53"/>
      <c r="X1200" s="53"/>
      <c r="Y1200" s="53"/>
      <c r="Z1200" s="53"/>
    </row>
    <row r="1201" spans="1:26" ht="15.75" customHeight="1">
      <c r="A1201" s="103"/>
      <c r="B1201" s="103"/>
      <c r="C1201" s="104" t="e">
        <v>#REF!</v>
      </c>
      <c r="D1201" s="103"/>
      <c r="E1201" s="53"/>
      <c r="F1201" s="53"/>
      <c r="G1201" s="53"/>
      <c r="H1201" s="53"/>
      <c r="I1201" s="53"/>
      <c r="J1201" s="53"/>
      <c r="K1201" s="53"/>
      <c r="L1201" s="53"/>
      <c r="M1201" s="53"/>
      <c r="N1201" s="53"/>
      <c r="O1201" s="53"/>
      <c r="P1201" s="53"/>
      <c r="Q1201" s="53"/>
      <c r="R1201" s="53"/>
      <c r="S1201" s="53"/>
      <c r="T1201" s="53"/>
      <c r="U1201" s="53"/>
      <c r="V1201" s="53"/>
      <c r="W1201" s="53"/>
      <c r="X1201" s="53"/>
      <c r="Y1201" s="53"/>
      <c r="Z1201" s="53"/>
    </row>
    <row r="1202" spans="1:26" ht="15.75" customHeight="1">
      <c r="A1202" s="103"/>
      <c r="B1202" s="103"/>
      <c r="C1202" s="104" t="e">
        <v>#REF!</v>
      </c>
      <c r="D1202" s="103"/>
      <c r="E1202" s="53"/>
      <c r="F1202" s="53"/>
      <c r="G1202" s="53"/>
      <c r="H1202" s="53"/>
      <c r="I1202" s="53"/>
      <c r="J1202" s="53"/>
      <c r="K1202" s="53"/>
      <c r="L1202" s="53"/>
      <c r="M1202" s="53"/>
      <c r="N1202" s="53"/>
      <c r="O1202" s="53"/>
      <c r="P1202" s="53"/>
      <c r="Q1202" s="53"/>
      <c r="R1202" s="53"/>
      <c r="S1202" s="53"/>
      <c r="T1202" s="53"/>
      <c r="U1202" s="53"/>
      <c r="V1202" s="53"/>
      <c r="W1202" s="53"/>
      <c r="X1202" s="53"/>
      <c r="Y1202" s="53"/>
      <c r="Z1202" s="53"/>
    </row>
    <row r="1203" spans="1:26" ht="15.75" customHeight="1">
      <c r="A1203" s="103"/>
      <c r="B1203" s="103"/>
      <c r="C1203" s="104" t="e">
        <v>#REF!</v>
      </c>
      <c r="D1203" s="103"/>
      <c r="E1203" s="53"/>
      <c r="F1203" s="53"/>
      <c r="G1203" s="53"/>
      <c r="H1203" s="53"/>
      <c r="I1203" s="53"/>
      <c r="J1203" s="53"/>
      <c r="K1203" s="53"/>
      <c r="L1203" s="53"/>
      <c r="M1203" s="53"/>
      <c r="N1203" s="53"/>
      <c r="O1203" s="53"/>
      <c r="P1203" s="53"/>
      <c r="Q1203" s="53"/>
      <c r="R1203" s="53"/>
      <c r="S1203" s="53"/>
      <c r="T1203" s="53"/>
      <c r="U1203" s="53"/>
      <c r="V1203" s="53"/>
      <c r="W1203" s="53"/>
      <c r="X1203" s="53"/>
      <c r="Y1203" s="53"/>
      <c r="Z1203" s="53"/>
    </row>
    <row r="1204" spans="1:26" ht="15.75" customHeight="1">
      <c r="A1204" s="103"/>
      <c r="B1204" s="103"/>
      <c r="C1204" s="104" t="e">
        <v>#REF!</v>
      </c>
      <c r="D1204" s="103"/>
      <c r="E1204" s="53"/>
      <c r="F1204" s="53"/>
      <c r="G1204" s="53"/>
      <c r="H1204" s="53"/>
      <c r="I1204" s="53"/>
      <c r="J1204" s="53"/>
      <c r="K1204" s="53"/>
      <c r="L1204" s="53"/>
      <c r="M1204" s="53"/>
      <c r="N1204" s="53"/>
      <c r="O1204" s="53"/>
      <c r="P1204" s="53"/>
      <c r="Q1204" s="53"/>
      <c r="R1204" s="53"/>
      <c r="S1204" s="53"/>
      <c r="T1204" s="53"/>
      <c r="U1204" s="53"/>
      <c r="V1204" s="53"/>
      <c r="W1204" s="53"/>
      <c r="X1204" s="53"/>
      <c r="Y1204" s="53"/>
      <c r="Z1204" s="53"/>
    </row>
    <row r="1205" spans="1:26" ht="15.75" customHeight="1">
      <c r="A1205" s="103"/>
      <c r="B1205" s="103"/>
      <c r="C1205" s="104" t="e">
        <v>#REF!</v>
      </c>
      <c r="D1205" s="103"/>
      <c r="E1205" s="53"/>
      <c r="F1205" s="53"/>
      <c r="G1205" s="53"/>
      <c r="H1205" s="53"/>
      <c r="I1205" s="53"/>
      <c r="J1205" s="53"/>
      <c r="K1205" s="53"/>
      <c r="L1205" s="53"/>
      <c r="M1205" s="53"/>
      <c r="N1205" s="53"/>
      <c r="O1205" s="53"/>
      <c r="P1205" s="53"/>
      <c r="Q1205" s="53"/>
      <c r="R1205" s="53"/>
      <c r="S1205" s="53"/>
      <c r="T1205" s="53"/>
      <c r="U1205" s="53"/>
      <c r="V1205" s="53"/>
      <c r="W1205" s="53"/>
      <c r="X1205" s="53"/>
      <c r="Y1205" s="53"/>
      <c r="Z1205" s="53"/>
    </row>
    <row r="1206" spans="1:26" ht="15.75" customHeight="1">
      <c r="A1206" s="103"/>
      <c r="B1206" s="103"/>
      <c r="C1206" s="104" t="e">
        <v>#REF!</v>
      </c>
      <c r="D1206" s="103"/>
      <c r="E1206" s="53"/>
      <c r="F1206" s="53"/>
      <c r="G1206" s="53"/>
      <c r="H1206" s="53"/>
      <c r="I1206" s="53"/>
      <c r="J1206" s="53"/>
      <c r="K1206" s="53"/>
      <c r="L1206" s="53"/>
      <c r="M1206" s="53"/>
      <c r="N1206" s="53"/>
      <c r="O1206" s="53"/>
      <c r="P1206" s="53"/>
      <c r="Q1206" s="53"/>
      <c r="R1206" s="53"/>
      <c r="S1206" s="53"/>
      <c r="T1206" s="53"/>
      <c r="U1206" s="53"/>
      <c r="V1206" s="53"/>
      <c r="W1206" s="53"/>
      <c r="X1206" s="53"/>
      <c r="Y1206" s="53"/>
      <c r="Z1206" s="53"/>
    </row>
    <row r="1207" spans="1:26" ht="15.75" customHeight="1">
      <c r="A1207" s="103"/>
      <c r="B1207" s="103"/>
      <c r="C1207" s="104" t="e">
        <v>#REF!</v>
      </c>
      <c r="D1207" s="103"/>
      <c r="E1207" s="53"/>
      <c r="F1207" s="53"/>
      <c r="G1207" s="53"/>
      <c r="H1207" s="53"/>
      <c r="I1207" s="53"/>
      <c r="J1207" s="53"/>
      <c r="K1207" s="53"/>
      <c r="L1207" s="53"/>
      <c r="M1207" s="53"/>
      <c r="N1207" s="53"/>
      <c r="O1207" s="53"/>
      <c r="P1207" s="53"/>
      <c r="Q1207" s="53"/>
      <c r="R1207" s="53"/>
      <c r="S1207" s="53"/>
      <c r="T1207" s="53"/>
      <c r="U1207" s="53"/>
      <c r="V1207" s="53"/>
      <c r="W1207" s="53"/>
      <c r="X1207" s="53"/>
      <c r="Y1207" s="53"/>
      <c r="Z1207" s="53"/>
    </row>
    <row r="1208" spans="1:26" ht="15.75" customHeight="1">
      <c r="A1208" s="103"/>
      <c r="B1208" s="103"/>
      <c r="C1208" s="104" t="e">
        <v>#REF!</v>
      </c>
      <c r="D1208" s="103"/>
      <c r="E1208" s="53"/>
      <c r="F1208" s="53"/>
      <c r="G1208" s="53"/>
      <c r="H1208" s="53"/>
      <c r="I1208" s="53"/>
      <c r="J1208" s="53"/>
      <c r="K1208" s="53"/>
      <c r="L1208" s="53"/>
      <c r="M1208" s="53"/>
      <c r="N1208" s="53"/>
      <c r="O1208" s="53"/>
      <c r="P1208" s="53"/>
      <c r="Q1208" s="53"/>
      <c r="R1208" s="53"/>
      <c r="S1208" s="53"/>
      <c r="T1208" s="53"/>
      <c r="U1208" s="53"/>
      <c r="V1208" s="53"/>
      <c r="W1208" s="53"/>
      <c r="X1208" s="53"/>
      <c r="Y1208" s="53"/>
      <c r="Z1208" s="53"/>
    </row>
    <row r="1209" spans="1:26" ht="15.75" customHeight="1">
      <c r="A1209" s="103"/>
      <c r="B1209" s="103"/>
      <c r="C1209" s="104" t="e">
        <v>#REF!</v>
      </c>
      <c r="D1209" s="103"/>
      <c r="E1209" s="53"/>
      <c r="F1209" s="53"/>
      <c r="G1209" s="53"/>
      <c r="H1209" s="53"/>
      <c r="I1209" s="53"/>
      <c r="J1209" s="53"/>
      <c r="K1209" s="53"/>
      <c r="L1209" s="53"/>
      <c r="M1209" s="53"/>
      <c r="N1209" s="53"/>
      <c r="O1209" s="53"/>
      <c r="P1209" s="53"/>
      <c r="Q1209" s="53"/>
      <c r="R1209" s="53"/>
      <c r="S1209" s="53"/>
      <c r="T1209" s="53"/>
      <c r="U1209" s="53"/>
      <c r="V1209" s="53"/>
      <c r="W1209" s="53"/>
      <c r="X1209" s="53"/>
      <c r="Y1209" s="53"/>
      <c r="Z1209" s="53"/>
    </row>
    <row r="1210" spans="1:26" ht="15.75" customHeight="1">
      <c r="A1210" s="103"/>
      <c r="B1210" s="103"/>
      <c r="C1210" s="104" t="e">
        <v>#REF!</v>
      </c>
      <c r="D1210" s="103"/>
      <c r="E1210" s="53"/>
      <c r="F1210" s="53"/>
      <c r="G1210" s="53"/>
      <c r="H1210" s="53"/>
      <c r="I1210" s="53"/>
      <c r="J1210" s="53"/>
      <c r="K1210" s="53"/>
      <c r="L1210" s="53"/>
      <c r="M1210" s="53"/>
      <c r="N1210" s="53"/>
      <c r="O1210" s="53"/>
      <c r="P1210" s="53"/>
      <c r="Q1210" s="53"/>
      <c r="R1210" s="53"/>
      <c r="S1210" s="53"/>
      <c r="T1210" s="53"/>
      <c r="U1210" s="53"/>
      <c r="V1210" s="53"/>
      <c r="W1210" s="53"/>
      <c r="X1210" s="53"/>
      <c r="Y1210" s="53"/>
      <c r="Z1210" s="53"/>
    </row>
    <row r="1211" spans="1:26" ht="15.75" customHeight="1">
      <c r="A1211" s="103"/>
      <c r="B1211" s="103"/>
      <c r="C1211" s="104" t="e">
        <v>#REF!</v>
      </c>
      <c r="D1211" s="103"/>
      <c r="E1211" s="53"/>
      <c r="F1211" s="53"/>
      <c r="G1211" s="53"/>
      <c r="H1211" s="53"/>
      <c r="I1211" s="53"/>
      <c r="J1211" s="53"/>
      <c r="K1211" s="53"/>
      <c r="L1211" s="53"/>
      <c r="M1211" s="53"/>
      <c r="N1211" s="53"/>
      <c r="O1211" s="53"/>
      <c r="P1211" s="53"/>
      <c r="Q1211" s="53"/>
      <c r="R1211" s="53"/>
      <c r="S1211" s="53"/>
      <c r="T1211" s="53"/>
      <c r="U1211" s="53"/>
      <c r="V1211" s="53"/>
      <c r="W1211" s="53"/>
      <c r="X1211" s="53"/>
      <c r="Y1211" s="53"/>
      <c r="Z1211" s="53"/>
    </row>
    <row r="1212" spans="1:26" ht="15.75" customHeight="1">
      <c r="A1212" s="103"/>
      <c r="B1212" s="103"/>
      <c r="C1212" s="104" t="e">
        <v>#REF!</v>
      </c>
      <c r="D1212" s="103"/>
      <c r="E1212" s="53"/>
      <c r="F1212" s="53"/>
      <c r="G1212" s="53"/>
      <c r="H1212" s="53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  <c r="W1212" s="53"/>
      <c r="X1212" s="53"/>
      <c r="Y1212" s="53"/>
      <c r="Z1212" s="53"/>
    </row>
    <row r="1213" spans="1:26" ht="15.75" customHeight="1">
      <c r="A1213" s="103"/>
      <c r="B1213" s="103"/>
      <c r="C1213" s="104" t="e">
        <v>#REF!</v>
      </c>
      <c r="D1213" s="103"/>
      <c r="E1213" s="53"/>
      <c r="F1213" s="53"/>
      <c r="G1213" s="53"/>
      <c r="H1213" s="53"/>
      <c r="I1213" s="53"/>
      <c r="J1213" s="53"/>
      <c r="K1213" s="53"/>
      <c r="L1213" s="53"/>
      <c r="M1213" s="53"/>
      <c r="N1213" s="53"/>
      <c r="O1213" s="53"/>
      <c r="P1213" s="53"/>
      <c r="Q1213" s="53"/>
      <c r="R1213" s="53"/>
      <c r="S1213" s="53"/>
      <c r="T1213" s="53"/>
      <c r="U1213" s="53"/>
      <c r="V1213" s="53"/>
      <c r="W1213" s="53"/>
      <c r="X1213" s="53"/>
      <c r="Y1213" s="53"/>
      <c r="Z1213" s="53"/>
    </row>
    <row r="1214" spans="1:26" ht="15.75" customHeight="1">
      <c r="A1214" s="103"/>
      <c r="B1214" s="103"/>
      <c r="C1214" s="104" t="e">
        <v>#REF!</v>
      </c>
      <c r="D1214" s="103"/>
      <c r="E1214" s="53"/>
      <c r="F1214" s="53"/>
      <c r="G1214" s="53"/>
      <c r="H1214" s="53"/>
      <c r="I1214" s="53"/>
      <c r="J1214" s="53"/>
      <c r="K1214" s="53"/>
      <c r="L1214" s="53"/>
      <c r="M1214" s="53"/>
      <c r="N1214" s="53"/>
      <c r="O1214" s="53"/>
      <c r="P1214" s="53"/>
      <c r="Q1214" s="53"/>
      <c r="R1214" s="53"/>
      <c r="S1214" s="53"/>
      <c r="T1214" s="53"/>
      <c r="U1214" s="53"/>
      <c r="V1214" s="53"/>
      <c r="W1214" s="53"/>
      <c r="X1214" s="53"/>
      <c r="Y1214" s="53"/>
      <c r="Z1214" s="53"/>
    </row>
    <row r="1215" spans="1:26" ht="15.75" customHeight="1">
      <c r="A1215" s="103"/>
      <c r="B1215" s="103"/>
      <c r="C1215" s="104" t="e">
        <v>#REF!</v>
      </c>
      <c r="D1215" s="103"/>
      <c r="E1215" s="53"/>
      <c r="F1215" s="53"/>
      <c r="G1215" s="53"/>
      <c r="H1215" s="53"/>
      <c r="I1215" s="53"/>
      <c r="J1215" s="53"/>
      <c r="K1215" s="53"/>
      <c r="L1215" s="53"/>
      <c r="M1215" s="53"/>
      <c r="N1215" s="53"/>
      <c r="O1215" s="53"/>
      <c r="P1215" s="53"/>
      <c r="Q1215" s="53"/>
      <c r="R1215" s="53"/>
      <c r="S1215" s="53"/>
      <c r="T1215" s="53"/>
      <c r="U1215" s="53"/>
      <c r="V1215" s="53"/>
      <c r="W1215" s="53"/>
      <c r="X1215" s="53"/>
      <c r="Y1215" s="53"/>
      <c r="Z1215" s="53"/>
    </row>
    <row r="1216" spans="1:26" ht="15.75" customHeight="1">
      <c r="A1216" s="103"/>
      <c r="B1216" s="103"/>
      <c r="C1216" s="104" t="e">
        <v>#REF!</v>
      </c>
      <c r="D1216" s="103"/>
      <c r="E1216" s="53"/>
      <c r="F1216" s="53"/>
      <c r="G1216" s="53"/>
      <c r="H1216" s="53"/>
      <c r="I1216" s="53"/>
      <c r="J1216" s="53"/>
      <c r="K1216" s="53"/>
      <c r="L1216" s="53"/>
      <c r="M1216" s="53"/>
      <c r="N1216" s="53"/>
      <c r="O1216" s="53"/>
      <c r="P1216" s="53"/>
      <c r="Q1216" s="53"/>
      <c r="R1216" s="53"/>
      <c r="S1216" s="53"/>
      <c r="T1216" s="53"/>
      <c r="U1216" s="53"/>
      <c r="V1216" s="53"/>
      <c r="W1216" s="53"/>
      <c r="X1216" s="53"/>
      <c r="Y1216" s="53"/>
      <c r="Z1216" s="53"/>
    </row>
    <row r="1217" spans="1:26" ht="15.75" customHeight="1">
      <c r="A1217" s="103"/>
      <c r="B1217" s="103"/>
      <c r="C1217" s="104" t="e">
        <v>#REF!</v>
      </c>
      <c r="D1217" s="103"/>
      <c r="E1217" s="53"/>
      <c r="F1217" s="53"/>
      <c r="G1217" s="53"/>
      <c r="H1217" s="53"/>
      <c r="I1217" s="53"/>
      <c r="J1217" s="53"/>
      <c r="K1217" s="53"/>
      <c r="L1217" s="53"/>
      <c r="M1217" s="53"/>
      <c r="N1217" s="53"/>
      <c r="O1217" s="53"/>
      <c r="P1217" s="53"/>
      <c r="Q1217" s="53"/>
      <c r="R1217" s="53"/>
      <c r="S1217" s="53"/>
      <c r="T1217" s="53"/>
      <c r="U1217" s="53"/>
      <c r="V1217" s="53"/>
      <c r="W1217" s="53"/>
      <c r="X1217" s="53"/>
      <c r="Y1217" s="53"/>
      <c r="Z1217" s="53"/>
    </row>
    <row r="1218" spans="1:26" ht="15.75" customHeight="1">
      <c r="A1218" s="103"/>
      <c r="B1218" s="103"/>
      <c r="C1218" s="104" t="e">
        <v>#REF!</v>
      </c>
      <c r="D1218" s="103"/>
      <c r="E1218" s="53"/>
      <c r="F1218" s="53"/>
      <c r="G1218" s="53"/>
      <c r="H1218" s="53"/>
      <c r="I1218" s="53"/>
      <c r="J1218" s="53"/>
      <c r="K1218" s="53"/>
      <c r="L1218" s="53"/>
      <c r="M1218" s="53"/>
      <c r="N1218" s="53"/>
      <c r="O1218" s="53"/>
      <c r="P1218" s="53"/>
      <c r="Q1218" s="53"/>
      <c r="R1218" s="53"/>
      <c r="S1218" s="53"/>
      <c r="T1218" s="53"/>
      <c r="U1218" s="53"/>
      <c r="V1218" s="53"/>
      <c r="W1218" s="53"/>
      <c r="X1218" s="53"/>
      <c r="Y1218" s="53"/>
      <c r="Z1218" s="53"/>
    </row>
    <row r="1219" spans="1:26" ht="15.75" customHeight="1">
      <c r="A1219" s="103"/>
      <c r="B1219" s="103"/>
      <c r="C1219" s="104" t="e">
        <v>#REF!</v>
      </c>
      <c r="D1219" s="103"/>
      <c r="E1219" s="53"/>
      <c r="F1219" s="53"/>
      <c r="G1219" s="53"/>
      <c r="H1219" s="53"/>
      <c r="I1219" s="53"/>
      <c r="J1219" s="53"/>
      <c r="K1219" s="53"/>
      <c r="L1219" s="53"/>
      <c r="M1219" s="53"/>
      <c r="N1219" s="53"/>
      <c r="O1219" s="53"/>
      <c r="P1219" s="53"/>
      <c r="Q1219" s="53"/>
      <c r="R1219" s="53"/>
      <c r="S1219" s="53"/>
      <c r="T1219" s="53"/>
      <c r="U1219" s="53"/>
      <c r="V1219" s="53"/>
      <c r="W1219" s="53"/>
      <c r="X1219" s="53"/>
      <c r="Y1219" s="53"/>
      <c r="Z1219" s="53"/>
    </row>
    <row r="1220" spans="1:26" ht="15.75" customHeight="1">
      <c r="A1220" s="103"/>
      <c r="B1220" s="103"/>
      <c r="C1220" s="104" t="e">
        <v>#REF!</v>
      </c>
      <c r="D1220" s="103"/>
      <c r="E1220" s="53"/>
      <c r="F1220" s="53"/>
      <c r="G1220" s="53"/>
      <c r="H1220" s="53"/>
      <c r="I1220" s="53"/>
      <c r="J1220" s="53"/>
      <c r="K1220" s="53"/>
      <c r="L1220" s="53"/>
      <c r="M1220" s="53"/>
      <c r="N1220" s="53"/>
      <c r="O1220" s="53"/>
      <c r="P1220" s="53"/>
      <c r="Q1220" s="53"/>
      <c r="R1220" s="53"/>
      <c r="S1220" s="53"/>
      <c r="T1220" s="53"/>
      <c r="U1220" s="53"/>
      <c r="V1220" s="53"/>
      <c r="W1220" s="53"/>
      <c r="X1220" s="53"/>
      <c r="Y1220" s="53"/>
      <c r="Z1220" s="53"/>
    </row>
    <row r="1221" spans="1:26" ht="15.75" customHeight="1">
      <c r="A1221" s="103"/>
      <c r="B1221" s="103"/>
      <c r="C1221" s="104" t="e">
        <v>#REF!</v>
      </c>
      <c r="D1221" s="103"/>
      <c r="E1221" s="53"/>
      <c r="F1221" s="53"/>
      <c r="G1221" s="53"/>
      <c r="H1221" s="53"/>
      <c r="I1221" s="53"/>
      <c r="J1221" s="53"/>
      <c r="K1221" s="53"/>
      <c r="L1221" s="53"/>
      <c r="M1221" s="53"/>
      <c r="N1221" s="53"/>
      <c r="O1221" s="53"/>
      <c r="P1221" s="53"/>
      <c r="Q1221" s="53"/>
      <c r="R1221" s="53"/>
      <c r="S1221" s="53"/>
      <c r="T1221" s="53"/>
      <c r="U1221" s="53"/>
      <c r="V1221" s="53"/>
      <c r="W1221" s="53"/>
      <c r="X1221" s="53"/>
      <c r="Y1221" s="53"/>
      <c r="Z1221" s="53"/>
    </row>
    <row r="1222" spans="1:26" ht="15.75" customHeight="1">
      <c r="A1222" s="103"/>
      <c r="B1222" s="103"/>
      <c r="C1222" s="104" t="e">
        <v>#REF!</v>
      </c>
      <c r="D1222" s="103"/>
      <c r="E1222" s="53"/>
      <c r="F1222" s="53"/>
      <c r="G1222" s="53"/>
      <c r="H1222" s="53"/>
      <c r="I1222" s="53"/>
      <c r="J1222" s="53"/>
      <c r="K1222" s="53"/>
      <c r="L1222" s="53"/>
      <c r="M1222" s="53"/>
      <c r="N1222" s="53"/>
      <c r="O1222" s="53"/>
      <c r="P1222" s="53"/>
      <c r="Q1222" s="53"/>
      <c r="R1222" s="53"/>
      <c r="S1222" s="53"/>
      <c r="T1222" s="53"/>
      <c r="U1222" s="53"/>
      <c r="V1222" s="53"/>
      <c r="W1222" s="53"/>
      <c r="X1222" s="53"/>
      <c r="Y1222" s="53"/>
      <c r="Z1222" s="53"/>
    </row>
    <row r="1223" spans="1:26" ht="15.75" customHeight="1">
      <c r="A1223" s="103"/>
      <c r="B1223" s="103"/>
      <c r="C1223" s="104" t="e">
        <v>#REF!</v>
      </c>
      <c r="D1223" s="103"/>
      <c r="E1223" s="53"/>
      <c r="F1223" s="53"/>
      <c r="G1223" s="53"/>
      <c r="H1223" s="53"/>
      <c r="I1223" s="53"/>
      <c r="J1223" s="53"/>
      <c r="K1223" s="53"/>
      <c r="L1223" s="53"/>
      <c r="M1223" s="53"/>
      <c r="N1223" s="53"/>
      <c r="O1223" s="53"/>
      <c r="P1223" s="53"/>
      <c r="Q1223" s="53"/>
      <c r="R1223" s="53"/>
      <c r="S1223" s="53"/>
      <c r="T1223" s="53"/>
      <c r="U1223" s="53"/>
      <c r="V1223" s="53"/>
      <c r="W1223" s="53"/>
      <c r="X1223" s="53"/>
      <c r="Y1223" s="53"/>
      <c r="Z1223" s="53"/>
    </row>
    <row r="1224" spans="1:26" ht="15.75" customHeight="1">
      <c r="A1224" s="103"/>
      <c r="B1224" s="103"/>
      <c r="C1224" s="104" t="e">
        <v>#REF!</v>
      </c>
      <c r="D1224" s="103"/>
      <c r="E1224" s="53"/>
      <c r="F1224" s="53"/>
      <c r="G1224" s="53"/>
      <c r="H1224" s="53"/>
      <c r="I1224" s="53"/>
      <c r="J1224" s="53"/>
      <c r="K1224" s="53"/>
      <c r="L1224" s="53"/>
      <c r="M1224" s="53"/>
      <c r="N1224" s="53"/>
      <c r="O1224" s="53"/>
      <c r="P1224" s="53"/>
      <c r="Q1224" s="53"/>
      <c r="R1224" s="53"/>
      <c r="S1224" s="53"/>
      <c r="T1224" s="53"/>
      <c r="U1224" s="53"/>
      <c r="V1224" s="53"/>
      <c r="W1224" s="53"/>
      <c r="X1224" s="53"/>
      <c r="Y1224" s="53"/>
      <c r="Z1224" s="53"/>
    </row>
    <row r="1225" spans="1:26" ht="15.75" customHeight="1">
      <c r="A1225" s="103"/>
      <c r="B1225" s="103"/>
      <c r="C1225" s="104" t="e">
        <v>#REF!</v>
      </c>
      <c r="D1225" s="103"/>
      <c r="E1225" s="53"/>
      <c r="F1225" s="53"/>
      <c r="G1225" s="53"/>
      <c r="H1225" s="53"/>
      <c r="I1225" s="53"/>
      <c r="J1225" s="53"/>
      <c r="K1225" s="53"/>
      <c r="L1225" s="53"/>
      <c r="M1225" s="53"/>
      <c r="N1225" s="53"/>
      <c r="O1225" s="53"/>
      <c r="P1225" s="53"/>
      <c r="Q1225" s="53"/>
      <c r="R1225" s="53"/>
      <c r="S1225" s="53"/>
      <c r="T1225" s="53"/>
      <c r="U1225" s="53"/>
      <c r="V1225" s="53"/>
      <c r="W1225" s="53"/>
      <c r="X1225" s="53"/>
      <c r="Y1225" s="53"/>
      <c r="Z1225" s="53"/>
    </row>
    <row r="1226" spans="1:26" ht="15.75" customHeight="1">
      <c r="A1226" s="103"/>
      <c r="B1226" s="103"/>
      <c r="C1226" s="104" t="e">
        <v>#REF!</v>
      </c>
      <c r="D1226" s="103"/>
      <c r="E1226" s="53"/>
      <c r="F1226" s="53"/>
      <c r="G1226" s="53"/>
      <c r="H1226" s="53"/>
      <c r="I1226" s="53"/>
      <c r="J1226" s="53"/>
      <c r="K1226" s="53"/>
      <c r="L1226" s="53"/>
      <c r="M1226" s="53"/>
      <c r="N1226" s="53"/>
      <c r="O1226" s="53"/>
      <c r="P1226" s="53"/>
      <c r="Q1226" s="53"/>
      <c r="R1226" s="53"/>
      <c r="S1226" s="53"/>
      <c r="T1226" s="53"/>
      <c r="U1226" s="53"/>
      <c r="V1226" s="53"/>
      <c r="W1226" s="53"/>
      <c r="X1226" s="53"/>
      <c r="Y1226" s="53"/>
      <c r="Z1226" s="53"/>
    </row>
    <row r="1227" spans="1:26" ht="15.75" customHeight="1">
      <c r="A1227" s="103"/>
      <c r="B1227" s="103"/>
      <c r="C1227" s="104" t="e">
        <v>#REF!</v>
      </c>
      <c r="D1227" s="103"/>
      <c r="E1227" s="53"/>
      <c r="F1227" s="53"/>
      <c r="G1227" s="53"/>
      <c r="H1227" s="53"/>
      <c r="I1227" s="53"/>
      <c r="J1227" s="53"/>
      <c r="K1227" s="53"/>
      <c r="L1227" s="53"/>
      <c r="M1227" s="53"/>
      <c r="N1227" s="53"/>
      <c r="O1227" s="53"/>
      <c r="P1227" s="53"/>
      <c r="Q1227" s="53"/>
      <c r="R1227" s="53"/>
      <c r="S1227" s="53"/>
      <c r="T1227" s="53"/>
      <c r="U1227" s="53"/>
      <c r="V1227" s="53"/>
      <c r="W1227" s="53"/>
      <c r="X1227" s="53"/>
      <c r="Y1227" s="53"/>
      <c r="Z1227" s="53"/>
    </row>
    <row r="1228" spans="1:26" ht="15.75" customHeight="1">
      <c r="A1228" s="103"/>
      <c r="B1228" s="103"/>
      <c r="C1228" s="104" t="e">
        <v>#REF!</v>
      </c>
      <c r="D1228" s="103"/>
      <c r="E1228" s="53"/>
      <c r="F1228" s="53"/>
      <c r="G1228" s="53"/>
      <c r="H1228" s="53"/>
      <c r="I1228" s="53"/>
      <c r="J1228" s="53"/>
      <c r="K1228" s="53"/>
      <c r="L1228" s="53"/>
      <c r="M1228" s="53"/>
      <c r="N1228" s="53"/>
      <c r="O1228" s="53"/>
      <c r="P1228" s="53"/>
      <c r="Q1228" s="53"/>
      <c r="R1228" s="53"/>
      <c r="S1228" s="53"/>
      <c r="T1228" s="53"/>
      <c r="U1228" s="53"/>
      <c r="V1228" s="53"/>
      <c r="W1228" s="53"/>
      <c r="X1228" s="53"/>
      <c r="Y1228" s="53"/>
      <c r="Z1228" s="53"/>
    </row>
    <row r="1229" spans="1:26" ht="15.75" customHeight="1">
      <c r="A1229" s="103"/>
      <c r="B1229" s="103"/>
      <c r="C1229" s="104" t="e">
        <v>#REF!</v>
      </c>
      <c r="D1229" s="103"/>
      <c r="E1229" s="53"/>
      <c r="F1229" s="53"/>
      <c r="G1229" s="53"/>
      <c r="H1229" s="53"/>
      <c r="I1229" s="53"/>
      <c r="J1229" s="53"/>
      <c r="K1229" s="53"/>
      <c r="L1229" s="53"/>
      <c r="M1229" s="53"/>
      <c r="N1229" s="53"/>
      <c r="O1229" s="53"/>
      <c r="P1229" s="53"/>
      <c r="Q1229" s="53"/>
      <c r="R1229" s="53"/>
      <c r="S1229" s="53"/>
      <c r="T1229" s="53"/>
      <c r="U1229" s="53"/>
      <c r="V1229" s="53"/>
      <c r="W1229" s="53"/>
      <c r="X1229" s="53"/>
      <c r="Y1229" s="53"/>
      <c r="Z1229" s="53"/>
    </row>
    <row r="1230" spans="1:26" ht="15.75" customHeight="1">
      <c r="A1230" s="103"/>
      <c r="B1230" s="103"/>
      <c r="C1230" s="104" t="e">
        <v>#REF!</v>
      </c>
      <c r="D1230" s="103"/>
      <c r="E1230" s="53"/>
      <c r="F1230" s="53"/>
      <c r="G1230" s="53"/>
      <c r="H1230" s="53"/>
      <c r="I1230" s="53"/>
      <c r="J1230" s="53"/>
      <c r="K1230" s="53"/>
      <c r="L1230" s="53"/>
      <c r="M1230" s="53"/>
      <c r="N1230" s="53"/>
      <c r="O1230" s="53"/>
      <c r="P1230" s="53"/>
      <c r="Q1230" s="53"/>
      <c r="R1230" s="53"/>
      <c r="S1230" s="53"/>
      <c r="T1230" s="53"/>
      <c r="U1230" s="53"/>
      <c r="V1230" s="53"/>
      <c r="W1230" s="53"/>
      <c r="X1230" s="53"/>
      <c r="Y1230" s="53"/>
      <c r="Z1230" s="53"/>
    </row>
    <row r="1231" spans="1:26" ht="15.75" customHeight="1">
      <c r="A1231" s="103"/>
      <c r="B1231" s="103"/>
      <c r="C1231" s="104" t="e">
        <v>#REF!</v>
      </c>
      <c r="D1231" s="103"/>
      <c r="E1231" s="53"/>
      <c r="F1231" s="53"/>
      <c r="G1231" s="53"/>
      <c r="H1231" s="53"/>
      <c r="I1231" s="53"/>
      <c r="J1231" s="53"/>
      <c r="K1231" s="53"/>
      <c r="L1231" s="53"/>
      <c r="M1231" s="53"/>
      <c r="N1231" s="53"/>
      <c r="O1231" s="53"/>
      <c r="P1231" s="53"/>
      <c r="Q1231" s="53"/>
      <c r="R1231" s="53"/>
      <c r="S1231" s="53"/>
      <c r="T1231" s="53"/>
      <c r="U1231" s="53"/>
      <c r="V1231" s="53"/>
      <c r="W1231" s="53"/>
      <c r="X1231" s="53"/>
      <c r="Y1231" s="53"/>
      <c r="Z1231" s="53"/>
    </row>
    <row r="1232" spans="1:26" ht="15.75" customHeight="1">
      <c r="A1232" s="103"/>
      <c r="B1232" s="103"/>
      <c r="C1232" s="104" t="e">
        <v>#REF!</v>
      </c>
      <c r="D1232" s="103"/>
      <c r="E1232" s="53"/>
      <c r="F1232" s="53"/>
      <c r="G1232" s="53"/>
      <c r="H1232" s="53"/>
      <c r="I1232" s="53"/>
      <c r="J1232" s="53"/>
      <c r="K1232" s="53"/>
      <c r="L1232" s="53"/>
      <c r="M1232" s="53"/>
      <c r="N1232" s="53"/>
      <c r="O1232" s="53"/>
      <c r="P1232" s="53"/>
      <c r="Q1232" s="53"/>
      <c r="R1232" s="53"/>
      <c r="S1232" s="53"/>
      <c r="T1232" s="53"/>
      <c r="U1232" s="53"/>
      <c r="V1232" s="53"/>
      <c r="W1232" s="53"/>
      <c r="X1232" s="53"/>
      <c r="Y1232" s="53"/>
      <c r="Z1232" s="53"/>
    </row>
    <row r="1233" spans="1:26" ht="15.75" customHeight="1">
      <c r="A1233" s="103"/>
      <c r="B1233" s="103"/>
      <c r="C1233" s="104" t="e">
        <v>#REF!</v>
      </c>
      <c r="D1233" s="103"/>
      <c r="E1233" s="53"/>
      <c r="F1233" s="53"/>
      <c r="G1233" s="53"/>
      <c r="H1233" s="53"/>
      <c r="I1233" s="53"/>
      <c r="J1233" s="53"/>
      <c r="K1233" s="53"/>
      <c r="L1233" s="53"/>
      <c r="M1233" s="53"/>
      <c r="N1233" s="53"/>
      <c r="O1233" s="53"/>
      <c r="P1233" s="53"/>
      <c r="Q1233" s="53"/>
      <c r="R1233" s="53"/>
      <c r="S1233" s="53"/>
      <c r="T1233" s="53"/>
      <c r="U1233" s="53"/>
      <c r="V1233" s="53"/>
      <c r="W1233" s="53"/>
      <c r="X1233" s="53"/>
      <c r="Y1233" s="53"/>
      <c r="Z1233" s="53"/>
    </row>
    <row r="1234" spans="1:26" ht="15.75" customHeight="1">
      <c r="A1234" s="103"/>
      <c r="B1234" s="103"/>
      <c r="C1234" s="104" t="e">
        <v>#REF!</v>
      </c>
      <c r="D1234" s="103"/>
      <c r="E1234" s="53"/>
      <c r="F1234" s="53"/>
      <c r="G1234" s="53"/>
      <c r="H1234" s="53"/>
      <c r="I1234" s="53"/>
      <c r="J1234" s="53"/>
      <c r="K1234" s="53"/>
      <c r="L1234" s="53"/>
      <c r="M1234" s="53"/>
      <c r="N1234" s="53"/>
      <c r="O1234" s="53"/>
      <c r="P1234" s="53"/>
      <c r="Q1234" s="53"/>
      <c r="R1234" s="53"/>
      <c r="S1234" s="53"/>
      <c r="T1234" s="53"/>
      <c r="U1234" s="53"/>
      <c r="V1234" s="53"/>
      <c r="W1234" s="53"/>
      <c r="X1234" s="53"/>
      <c r="Y1234" s="53"/>
      <c r="Z1234" s="53"/>
    </row>
    <row r="1235" spans="1:26" ht="15.75" customHeight="1">
      <c r="A1235" s="103"/>
      <c r="B1235" s="103"/>
      <c r="C1235" s="104" t="e">
        <v>#REF!</v>
      </c>
      <c r="D1235" s="103"/>
      <c r="E1235" s="53"/>
      <c r="F1235" s="53"/>
      <c r="G1235" s="53"/>
      <c r="H1235" s="53"/>
      <c r="I1235" s="53"/>
      <c r="J1235" s="53"/>
      <c r="K1235" s="53"/>
      <c r="L1235" s="53"/>
      <c r="M1235" s="53"/>
      <c r="N1235" s="53"/>
      <c r="O1235" s="53"/>
      <c r="P1235" s="53"/>
      <c r="Q1235" s="53"/>
      <c r="R1235" s="53"/>
      <c r="S1235" s="53"/>
      <c r="T1235" s="53"/>
      <c r="U1235" s="53"/>
      <c r="V1235" s="53"/>
      <c r="W1235" s="53"/>
      <c r="X1235" s="53"/>
      <c r="Y1235" s="53"/>
      <c r="Z1235" s="53"/>
    </row>
    <row r="1236" spans="1:26" ht="15.75" customHeight="1">
      <c r="A1236" s="103"/>
      <c r="B1236" s="103"/>
      <c r="C1236" s="104" t="e">
        <v>#REF!</v>
      </c>
      <c r="D1236" s="103"/>
      <c r="E1236" s="53"/>
      <c r="F1236" s="53"/>
      <c r="G1236" s="53"/>
      <c r="H1236" s="53"/>
      <c r="I1236" s="53"/>
      <c r="J1236" s="53"/>
      <c r="K1236" s="53"/>
      <c r="L1236" s="53"/>
      <c r="M1236" s="53"/>
      <c r="N1236" s="53"/>
      <c r="O1236" s="53"/>
      <c r="P1236" s="53"/>
      <c r="Q1236" s="53"/>
      <c r="R1236" s="53"/>
      <c r="S1236" s="53"/>
      <c r="T1236" s="53"/>
      <c r="U1236" s="53"/>
      <c r="V1236" s="53"/>
      <c r="W1236" s="53"/>
      <c r="X1236" s="53"/>
      <c r="Y1236" s="53"/>
      <c r="Z1236" s="53"/>
    </row>
    <row r="1237" spans="1:26" ht="15.75" customHeight="1">
      <c r="A1237" s="103"/>
      <c r="B1237" s="103"/>
      <c r="C1237" s="104" t="e">
        <v>#REF!</v>
      </c>
      <c r="D1237" s="103"/>
      <c r="E1237" s="53"/>
      <c r="F1237" s="53"/>
      <c r="G1237" s="53"/>
      <c r="H1237" s="53"/>
      <c r="I1237" s="53"/>
      <c r="J1237" s="53"/>
      <c r="K1237" s="53"/>
      <c r="L1237" s="53"/>
      <c r="M1237" s="53"/>
      <c r="N1237" s="53"/>
      <c r="O1237" s="53"/>
      <c r="P1237" s="53"/>
      <c r="Q1237" s="53"/>
      <c r="R1237" s="53"/>
      <c r="S1237" s="53"/>
      <c r="T1237" s="53"/>
      <c r="U1237" s="53"/>
      <c r="V1237" s="53"/>
      <c r="W1237" s="53"/>
      <c r="X1237" s="53"/>
      <c r="Y1237" s="53"/>
      <c r="Z1237" s="53"/>
    </row>
    <row r="1238" spans="1:26" ht="15.75" customHeight="1">
      <c r="A1238" s="103"/>
      <c r="B1238" s="103"/>
      <c r="C1238" s="104" t="e">
        <v>#REF!</v>
      </c>
      <c r="D1238" s="103"/>
      <c r="E1238" s="53"/>
      <c r="F1238" s="53"/>
      <c r="G1238" s="53"/>
      <c r="H1238" s="53"/>
      <c r="I1238" s="53"/>
      <c r="J1238" s="53"/>
      <c r="K1238" s="53"/>
      <c r="L1238" s="53"/>
      <c r="M1238" s="53"/>
      <c r="N1238" s="53"/>
      <c r="O1238" s="53"/>
      <c r="P1238" s="53"/>
      <c r="Q1238" s="53"/>
      <c r="R1238" s="53"/>
      <c r="S1238" s="53"/>
      <c r="T1238" s="53"/>
      <c r="U1238" s="53"/>
      <c r="V1238" s="53"/>
      <c r="W1238" s="53"/>
      <c r="X1238" s="53"/>
      <c r="Y1238" s="53"/>
      <c r="Z1238" s="53"/>
    </row>
    <row r="1239" spans="1:26" ht="15.75" customHeight="1">
      <c r="A1239" s="103"/>
      <c r="B1239" s="103"/>
      <c r="C1239" s="104" t="e">
        <v>#REF!</v>
      </c>
      <c r="D1239" s="103"/>
      <c r="E1239" s="53"/>
      <c r="F1239" s="53"/>
      <c r="G1239" s="53"/>
      <c r="H1239" s="53"/>
      <c r="I1239" s="53"/>
      <c r="J1239" s="53"/>
      <c r="K1239" s="53"/>
      <c r="L1239" s="53"/>
      <c r="M1239" s="53"/>
      <c r="N1239" s="53"/>
      <c r="O1239" s="53"/>
      <c r="P1239" s="53"/>
      <c r="Q1239" s="53"/>
      <c r="R1239" s="53"/>
      <c r="S1239" s="53"/>
      <c r="T1239" s="53"/>
      <c r="U1239" s="53"/>
      <c r="V1239" s="53"/>
      <c r="W1239" s="53"/>
      <c r="X1239" s="53"/>
      <c r="Y1239" s="53"/>
      <c r="Z1239" s="53"/>
    </row>
    <row r="1240" spans="1:26" ht="15.75" customHeight="1">
      <c r="A1240" s="103"/>
      <c r="B1240" s="103"/>
      <c r="C1240" s="104" t="e">
        <v>#REF!</v>
      </c>
      <c r="D1240" s="103"/>
      <c r="E1240" s="53"/>
      <c r="F1240" s="53"/>
      <c r="G1240" s="53"/>
      <c r="H1240" s="53"/>
      <c r="I1240" s="53"/>
      <c r="J1240" s="53"/>
      <c r="K1240" s="53"/>
      <c r="L1240" s="53"/>
      <c r="M1240" s="53"/>
      <c r="N1240" s="53"/>
      <c r="O1240" s="53"/>
      <c r="P1240" s="53"/>
      <c r="Q1240" s="53"/>
      <c r="R1240" s="53"/>
      <c r="S1240" s="53"/>
      <c r="T1240" s="53"/>
      <c r="U1240" s="53"/>
      <c r="V1240" s="53"/>
      <c r="W1240" s="53"/>
      <c r="X1240" s="53"/>
      <c r="Y1240" s="53"/>
      <c r="Z1240" s="53"/>
    </row>
    <row r="1241" spans="1:26" ht="15.75" customHeight="1">
      <c r="A1241" s="103"/>
      <c r="B1241" s="103"/>
      <c r="C1241" s="104" t="e">
        <v>#REF!</v>
      </c>
      <c r="D1241" s="103"/>
      <c r="E1241" s="53"/>
      <c r="F1241" s="53"/>
      <c r="G1241" s="53"/>
      <c r="H1241" s="53"/>
      <c r="I1241" s="53"/>
      <c r="J1241" s="53"/>
      <c r="K1241" s="53"/>
      <c r="L1241" s="53"/>
      <c r="M1241" s="53"/>
      <c r="N1241" s="53"/>
      <c r="O1241" s="53"/>
      <c r="P1241" s="53"/>
      <c r="Q1241" s="53"/>
      <c r="R1241" s="53"/>
      <c r="S1241" s="53"/>
      <c r="T1241" s="53"/>
      <c r="U1241" s="53"/>
      <c r="V1241" s="53"/>
      <c r="W1241" s="53"/>
      <c r="X1241" s="53"/>
      <c r="Y1241" s="53"/>
      <c r="Z1241" s="53"/>
    </row>
    <row r="1242" spans="1:26" ht="15.75" customHeight="1">
      <c r="A1242" s="103"/>
      <c r="B1242" s="103"/>
      <c r="C1242" s="104" t="e">
        <v>#REF!</v>
      </c>
      <c r="D1242" s="103"/>
      <c r="E1242" s="53"/>
      <c r="F1242" s="53"/>
      <c r="G1242" s="53"/>
      <c r="H1242" s="53"/>
      <c r="I1242" s="53"/>
      <c r="J1242" s="53"/>
      <c r="K1242" s="53"/>
      <c r="L1242" s="53"/>
      <c r="M1242" s="53"/>
      <c r="N1242" s="53"/>
      <c r="O1242" s="53"/>
      <c r="P1242" s="53"/>
      <c r="Q1242" s="53"/>
      <c r="R1242" s="53"/>
      <c r="S1242" s="53"/>
      <c r="T1242" s="53"/>
      <c r="U1242" s="53"/>
      <c r="V1242" s="53"/>
      <c r="W1242" s="53"/>
      <c r="X1242" s="53"/>
      <c r="Y1242" s="53"/>
      <c r="Z1242" s="53"/>
    </row>
    <row r="1243" spans="1:26" ht="15.75" customHeight="1">
      <c r="A1243" s="103"/>
      <c r="B1243" s="103"/>
      <c r="C1243" s="104" t="e">
        <v>#REF!</v>
      </c>
      <c r="D1243" s="103"/>
      <c r="E1243" s="53"/>
      <c r="F1243" s="53"/>
      <c r="G1243" s="53"/>
      <c r="H1243" s="53"/>
      <c r="I1243" s="53"/>
      <c r="J1243" s="53"/>
      <c r="K1243" s="53"/>
      <c r="L1243" s="53"/>
      <c r="M1243" s="53"/>
      <c r="N1243" s="53"/>
      <c r="O1243" s="53"/>
      <c r="P1243" s="53"/>
      <c r="Q1243" s="53"/>
      <c r="R1243" s="53"/>
      <c r="S1243" s="53"/>
      <c r="T1243" s="53"/>
      <c r="U1243" s="53"/>
      <c r="V1243" s="53"/>
      <c r="W1243" s="53"/>
      <c r="X1243" s="53"/>
      <c r="Y1243" s="53"/>
      <c r="Z1243" s="53"/>
    </row>
    <row r="1244" spans="1:26" ht="15.75" customHeight="1">
      <c r="A1244" s="103"/>
      <c r="B1244" s="103"/>
      <c r="C1244" s="104" t="e">
        <v>#REF!</v>
      </c>
      <c r="D1244" s="103"/>
      <c r="E1244" s="53"/>
      <c r="F1244" s="53"/>
      <c r="G1244" s="53"/>
      <c r="H1244" s="53"/>
      <c r="I1244" s="53"/>
      <c r="J1244" s="53"/>
      <c r="K1244" s="53"/>
      <c r="L1244" s="53"/>
      <c r="M1244" s="53"/>
      <c r="N1244" s="53"/>
      <c r="O1244" s="53"/>
      <c r="P1244" s="53"/>
      <c r="Q1244" s="53"/>
      <c r="R1244" s="53"/>
      <c r="S1244" s="53"/>
      <c r="T1244" s="53"/>
      <c r="U1244" s="53"/>
      <c r="V1244" s="53"/>
      <c r="W1244" s="53"/>
      <c r="X1244" s="53"/>
      <c r="Y1244" s="53"/>
      <c r="Z1244" s="53"/>
    </row>
    <row r="1245" spans="1:26" ht="15.75" customHeight="1">
      <c r="A1245" s="103"/>
      <c r="B1245" s="103"/>
      <c r="C1245" s="104" t="e">
        <v>#REF!</v>
      </c>
      <c r="D1245" s="103"/>
      <c r="E1245" s="53"/>
      <c r="F1245" s="53"/>
      <c r="G1245" s="53"/>
      <c r="H1245" s="53"/>
      <c r="I1245" s="53"/>
      <c r="J1245" s="53"/>
      <c r="K1245" s="53"/>
      <c r="L1245" s="53"/>
      <c r="M1245" s="53"/>
      <c r="N1245" s="53"/>
      <c r="O1245" s="53"/>
      <c r="P1245" s="53"/>
      <c r="Q1245" s="53"/>
      <c r="R1245" s="53"/>
      <c r="S1245" s="53"/>
      <c r="T1245" s="53"/>
      <c r="U1245" s="53"/>
      <c r="V1245" s="53"/>
      <c r="W1245" s="53"/>
      <c r="X1245" s="53"/>
      <c r="Y1245" s="53"/>
      <c r="Z1245" s="53"/>
    </row>
    <row r="1246" spans="1:26" ht="15.75" customHeight="1">
      <c r="A1246" s="103"/>
      <c r="B1246" s="103"/>
      <c r="C1246" s="104" t="e">
        <v>#REF!</v>
      </c>
      <c r="D1246" s="103"/>
      <c r="E1246" s="53"/>
      <c r="F1246" s="53"/>
      <c r="G1246" s="53"/>
      <c r="H1246" s="53"/>
      <c r="I1246" s="53"/>
      <c r="J1246" s="53"/>
      <c r="K1246" s="53"/>
      <c r="L1246" s="53"/>
      <c r="M1246" s="53"/>
      <c r="N1246" s="53"/>
      <c r="O1246" s="53"/>
      <c r="P1246" s="53"/>
      <c r="Q1246" s="53"/>
      <c r="R1246" s="53"/>
      <c r="S1246" s="53"/>
      <c r="T1246" s="53"/>
      <c r="U1246" s="53"/>
      <c r="V1246" s="53"/>
      <c r="W1246" s="53"/>
      <c r="X1246" s="53"/>
      <c r="Y1246" s="53"/>
      <c r="Z1246" s="53"/>
    </row>
    <row r="1247" spans="1:26" ht="15.75" customHeight="1">
      <c r="A1247" s="103"/>
      <c r="B1247" s="103"/>
      <c r="C1247" s="104" t="e">
        <v>#REF!</v>
      </c>
      <c r="D1247" s="103"/>
      <c r="E1247" s="53"/>
      <c r="F1247" s="53"/>
      <c r="G1247" s="53"/>
      <c r="H1247" s="53"/>
      <c r="I1247" s="53"/>
      <c r="J1247" s="53"/>
      <c r="K1247" s="53"/>
      <c r="L1247" s="53"/>
      <c r="M1247" s="53"/>
      <c r="N1247" s="53"/>
      <c r="O1247" s="53"/>
      <c r="P1247" s="53"/>
      <c r="Q1247" s="53"/>
      <c r="R1247" s="53"/>
      <c r="S1247" s="53"/>
      <c r="T1247" s="53"/>
      <c r="U1247" s="53"/>
      <c r="V1247" s="53"/>
      <c r="W1247" s="53"/>
      <c r="X1247" s="53"/>
      <c r="Y1247" s="53"/>
      <c r="Z1247" s="53"/>
    </row>
    <row r="1248" spans="1:26" ht="15.75" customHeight="1">
      <c r="A1248" s="103"/>
      <c r="B1248" s="103"/>
      <c r="C1248" s="104" t="e">
        <v>#REF!</v>
      </c>
      <c r="D1248" s="103"/>
      <c r="E1248" s="53"/>
      <c r="F1248" s="53"/>
      <c r="G1248" s="53"/>
      <c r="H1248" s="53"/>
      <c r="I1248" s="53"/>
      <c r="J1248" s="53"/>
      <c r="K1248" s="53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  <c r="W1248" s="53"/>
      <c r="X1248" s="53"/>
      <c r="Y1248" s="53"/>
      <c r="Z1248" s="53"/>
    </row>
    <row r="1249" spans="1:26" ht="15.75" customHeight="1">
      <c r="A1249" s="103"/>
      <c r="B1249" s="103"/>
      <c r="C1249" s="104" t="e">
        <v>#REF!</v>
      </c>
      <c r="D1249" s="103"/>
      <c r="E1249" s="53"/>
      <c r="F1249" s="53"/>
      <c r="G1249" s="53"/>
      <c r="H1249" s="53"/>
      <c r="I1249" s="53"/>
      <c r="J1249" s="53"/>
      <c r="K1249" s="53"/>
      <c r="L1249" s="53"/>
      <c r="M1249" s="53"/>
      <c r="N1249" s="53"/>
      <c r="O1249" s="53"/>
      <c r="P1249" s="53"/>
      <c r="Q1249" s="53"/>
      <c r="R1249" s="53"/>
      <c r="S1249" s="53"/>
      <c r="T1249" s="53"/>
      <c r="U1249" s="53"/>
      <c r="V1249" s="53"/>
      <c r="W1249" s="53"/>
      <c r="X1249" s="53"/>
      <c r="Y1249" s="53"/>
      <c r="Z1249" s="53"/>
    </row>
    <row r="1250" spans="1:26" ht="15.75" customHeight="1">
      <c r="A1250" s="103"/>
      <c r="B1250" s="103"/>
      <c r="C1250" s="104" t="e">
        <v>#REF!</v>
      </c>
      <c r="D1250" s="103"/>
      <c r="E1250" s="53"/>
      <c r="F1250" s="53"/>
      <c r="G1250" s="53"/>
      <c r="H1250" s="53"/>
      <c r="I1250" s="53"/>
      <c r="J1250" s="53"/>
      <c r="K1250" s="53"/>
      <c r="L1250" s="53"/>
      <c r="M1250" s="53"/>
      <c r="N1250" s="53"/>
      <c r="O1250" s="53"/>
      <c r="P1250" s="53"/>
      <c r="Q1250" s="53"/>
      <c r="R1250" s="53"/>
      <c r="S1250" s="53"/>
      <c r="T1250" s="53"/>
      <c r="U1250" s="53"/>
      <c r="V1250" s="53"/>
      <c r="W1250" s="53"/>
      <c r="X1250" s="53"/>
      <c r="Y1250" s="53"/>
      <c r="Z1250" s="53"/>
    </row>
    <row r="1251" spans="1:26" ht="15.75" customHeight="1">
      <c r="A1251" s="103"/>
      <c r="B1251" s="103"/>
      <c r="C1251" s="104" t="e">
        <v>#REF!</v>
      </c>
      <c r="D1251" s="103"/>
      <c r="E1251" s="53"/>
      <c r="F1251" s="53"/>
      <c r="G1251" s="53"/>
      <c r="H1251" s="53"/>
      <c r="I1251" s="53"/>
      <c r="J1251" s="53"/>
      <c r="K1251" s="53"/>
      <c r="L1251" s="53"/>
      <c r="M1251" s="53"/>
      <c r="N1251" s="53"/>
      <c r="O1251" s="53"/>
      <c r="P1251" s="53"/>
      <c r="Q1251" s="53"/>
      <c r="R1251" s="53"/>
      <c r="S1251" s="53"/>
      <c r="T1251" s="53"/>
      <c r="U1251" s="53"/>
      <c r="V1251" s="53"/>
      <c r="W1251" s="53"/>
      <c r="X1251" s="53"/>
      <c r="Y1251" s="53"/>
      <c r="Z1251" s="53"/>
    </row>
    <row r="1252" spans="1:26" ht="15.75" customHeight="1">
      <c r="A1252" s="103"/>
      <c r="B1252" s="103"/>
      <c r="C1252" s="104" t="e">
        <v>#REF!</v>
      </c>
      <c r="D1252" s="103"/>
      <c r="E1252" s="53"/>
      <c r="F1252" s="53"/>
      <c r="G1252" s="53"/>
      <c r="H1252" s="53"/>
      <c r="I1252" s="53"/>
      <c r="J1252" s="53"/>
      <c r="K1252" s="53"/>
      <c r="L1252" s="53"/>
      <c r="M1252" s="53"/>
      <c r="N1252" s="53"/>
      <c r="O1252" s="53"/>
      <c r="P1252" s="53"/>
      <c r="Q1252" s="53"/>
      <c r="R1252" s="53"/>
      <c r="S1252" s="53"/>
      <c r="T1252" s="53"/>
      <c r="U1252" s="53"/>
      <c r="V1252" s="53"/>
      <c r="W1252" s="53"/>
      <c r="X1252" s="53"/>
      <c r="Y1252" s="53"/>
      <c r="Z1252" s="53"/>
    </row>
    <row r="1253" spans="1:26" ht="15.75" customHeight="1">
      <c r="A1253" s="103"/>
      <c r="B1253" s="103"/>
      <c r="C1253" s="104" t="e">
        <v>#REF!</v>
      </c>
      <c r="D1253" s="103"/>
      <c r="E1253" s="53"/>
      <c r="F1253" s="53"/>
      <c r="G1253" s="53"/>
      <c r="H1253" s="53"/>
      <c r="I1253" s="53"/>
      <c r="J1253" s="53"/>
      <c r="K1253" s="53"/>
      <c r="L1253" s="53"/>
      <c r="M1253" s="53"/>
      <c r="N1253" s="53"/>
      <c r="O1253" s="53"/>
      <c r="P1253" s="53"/>
      <c r="Q1253" s="53"/>
      <c r="R1253" s="53"/>
      <c r="S1253" s="53"/>
      <c r="T1253" s="53"/>
      <c r="U1253" s="53"/>
      <c r="V1253" s="53"/>
      <c r="W1253" s="53"/>
      <c r="X1253" s="53"/>
      <c r="Y1253" s="53"/>
      <c r="Z1253" s="53"/>
    </row>
    <row r="1254" spans="1:26" ht="15.75" customHeight="1">
      <c r="A1254" s="103"/>
      <c r="B1254" s="103"/>
      <c r="C1254" s="104" t="e">
        <v>#REF!</v>
      </c>
      <c r="D1254" s="103"/>
      <c r="E1254" s="53"/>
      <c r="F1254" s="53"/>
      <c r="G1254" s="53"/>
      <c r="H1254" s="53"/>
      <c r="I1254" s="53"/>
      <c r="J1254" s="53"/>
      <c r="K1254" s="53"/>
      <c r="L1254" s="53"/>
      <c r="M1254" s="53"/>
      <c r="N1254" s="53"/>
      <c r="O1254" s="53"/>
      <c r="P1254" s="53"/>
      <c r="Q1254" s="53"/>
      <c r="R1254" s="53"/>
      <c r="S1254" s="53"/>
      <c r="T1254" s="53"/>
      <c r="U1254" s="53"/>
      <c r="V1254" s="53"/>
      <c r="W1254" s="53"/>
      <c r="X1254" s="53"/>
      <c r="Y1254" s="53"/>
      <c r="Z1254" s="53"/>
    </row>
    <row r="1255" spans="1:26" ht="15.75" customHeight="1">
      <c r="A1255" s="103"/>
      <c r="B1255" s="103"/>
      <c r="C1255" s="104" t="e">
        <v>#REF!</v>
      </c>
      <c r="D1255" s="103"/>
      <c r="E1255" s="53"/>
      <c r="F1255" s="53"/>
      <c r="G1255" s="53"/>
      <c r="H1255" s="53"/>
      <c r="I1255" s="53"/>
      <c r="J1255" s="53"/>
      <c r="K1255" s="53"/>
      <c r="L1255" s="53"/>
      <c r="M1255" s="53"/>
      <c r="N1255" s="53"/>
      <c r="O1255" s="53"/>
      <c r="P1255" s="53"/>
      <c r="Q1255" s="53"/>
      <c r="R1255" s="53"/>
      <c r="S1255" s="53"/>
      <c r="T1255" s="53"/>
      <c r="U1255" s="53"/>
      <c r="V1255" s="53"/>
      <c r="W1255" s="53"/>
      <c r="X1255" s="53"/>
      <c r="Y1255" s="53"/>
      <c r="Z1255" s="53"/>
    </row>
    <row r="1256" spans="1:26" ht="15.75" customHeight="1">
      <c r="A1256" s="103"/>
      <c r="B1256" s="103"/>
      <c r="C1256" s="104" t="e">
        <v>#REF!</v>
      </c>
      <c r="D1256" s="103"/>
      <c r="E1256" s="53"/>
      <c r="F1256" s="53"/>
      <c r="G1256" s="53"/>
      <c r="H1256" s="53"/>
      <c r="I1256" s="53"/>
      <c r="J1256" s="53"/>
      <c r="K1256" s="53"/>
      <c r="L1256" s="53"/>
      <c r="M1256" s="53"/>
      <c r="N1256" s="53"/>
      <c r="O1256" s="53"/>
      <c r="P1256" s="53"/>
      <c r="Q1256" s="53"/>
      <c r="R1256" s="53"/>
      <c r="S1256" s="53"/>
      <c r="T1256" s="53"/>
      <c r="U1256" s="53"/>
      <c r="V1256" s="53"/>
      <c r="W1256" s="53"/>
      <c r="X1256" s="53"/>
      <c r="Y1256" s="53"/>
      <c r="Z1256" s="53"/>
    </row>
    <row r="1257" spans="1:26" ht="15.75" customHeight="1">
      <c r="A1257" s="103"/>
      <c r="B1257" s="103"/>
      <c r="C1257" s="104" t="e">
        <v>#REF!</v>
      </c>
      <c r="D1257" s="103"/>
      <c r="E1257" s="53"/>
      <c r="F1257" s="53"/>
      <c r="G1257" s="53"/>
      <c r="H1257" s="53"/>
      <c r="I1257" s="53"/>
      <c r="J1257" s="53"/>
      <c r="K1257" s="53"/>
      <c r="L1257" s="53"/>
      <c r="M1257" s="53"/>
      <c r="N1257" s="53"/>
      <c r="O1257" s="53"/>
      <c r="P1257" s="53"/>
      <c r="Q1257" s="53"/>
      <c r="R1257" s="53"/>
      <c r="S1257" s="53"/>
      <c r="T1257" s="53"/>
      <c r="U1257" s="53"/>
      <c r="V1257" s="53"/>
      <c r="W1257" s="53"/>
      <c r="X1257" s="53"/>
      <c r="Y1257" s="53"/>
      <c r="Z1257" s="53"/>
    </row>
    <row r="1258" spans="1:26" ht="15.75" customHeight="1">
      <c r="A1258" s="103"/>
      <c r="B1258" s="103"/>
      <c r="C1258" s="104" t="e">
        <v>#REF!</v>
      </c>
      <c r="D1258" s="103"/>
      <c r="E1258" s="53"/>
      <c r="F1258" s="53"/>
      <c r="G1258" s="53"/>
      <c r="H1258" s="53"/>
      <c r="I1258" s="53"/>
      <c r="J1258" s="53"/>
      <c r="K1258" s="53"/>
      <c r="L1258" s="53"/>
      <c r="M1258" s="53"/>
      <c r="N1258" s="53"/>
      <c r="O1258" s="53"/>
      <c r="P1258" s="53"/>
      <c r="Q1258" s="53"/>
      <c r="R1258" s="53"/>
      <c r="S1258" s="53"/>
      <c r="T1258" s="53"/>
      <c r="U1258" s="53"/>
      <c r="V1258" s="53"/>
      <c r="W1258" s="53"/>
      <c r="X1258" s="53"/>
      <c r="Y1258" s="53"/>
      <c r="Z1258" s="53"/>
    </row>
    <row r="1259" spans="1:26" ht="15.75" customHeight="1">
      <c r="A1259" s="103"/>
      <c r="B1259" s="103"/>
      <c r="C1259" s="104" t="e">
        <v>#REF!</v>
      </c>
      <c r="D1259" s="103"/>
      <c r="E1259" s="53"/>
      <c r="F1259" s="53"/>
      <c r="G1259" s="53"/>
      <c r="H1259" s="53"/>
      <c r="I1259" s="53"/>
      <c r="J1259" s="53"/>
      <c r="K1259" s="53"/>
      <c r="L1259" s="53"/>
      <c r="M1259" s="53"/>
      <c r="N1259" s="53"/>
      <c r="O1259" s="53"/>
      <c r="P1259" s="53"/>
      <c r="Q1259" s="53"/>
      <c r="R1259" s="53"/>
      <c r="S1259" s="53"/>
      <c r="T1259" s="53"/>
      <c r="U1259" s="53"/>
      <c r="V1259" s="53"/>
      <c r="W1259" s="53"/>
      <c r="X1259" s="53"/>
      <c r="Y1259" s="53"/>
      <c r="Z1259" s="53"/>
    </row>
    <row r="1260" spans="1:26" ht="15.75" customHeight="1">
      <c r="A1260" s="103"/>
      <c r="B1260" s="103"/>
      <c r="C1260" s="104" t="e">
        <v>#REF!</v>
      </c>
      <c r="D1260" s="103"/>
      <c r="E1260" s="53"/>
      <c r="F1260" s="53"/>
      <c r="G1260" s="53"/>
      <c r="H1260" s="53"/>
      <c r="I1260" s="53"/>
      <c r="J1260" s="53"/>
      <c r="K1260" s="53"/>
      <c r="L1260" s="53"/>
      <c r="M1260" s="53"/>
      <c r="N1260" s="53"/>
      <c r="O1260" s="53"/>
      <c r="P1260" s="53"/>
      <c r="Q1260" s="53"/>
      <c r="R1260" s="53"/>
      <c r="S1260" s="53"/>
      <c r="T1260" s="53"/>
      <c r="U1260" s="53"/>
      <c r="V1260" s="53"/>
      <c r="W1260" s="53"/>
      <c r="X1260" s="53"/>
      <c r="Y1260" s="53"/>
      <c r="Z1260" s="53"/>
    </row>
    <row r="1261" spans="1:26" ht="15.75" customHeight="1">
      <c r="A1261" s="103"/>
      <c r="B1261" s="103"/>
      <c r="C1261" s="104" t="e">
        <v>#REF!</v>
      </c>
      <c r="D1261" s="103"/>
      <c r="E1261" s="53"/>
      <c r="F1261" s="53"/>
      <c r="G1261" s="53"/>
      <c r="H1261" s="53"/>
      <c r="I1261" s="53"/>
      <c r="J1261" s="53"/>
      <c r="K1261" s="53"/>
      <c r="L1261" s="53"/>
      <c r="M1261" s="53"/>
      <c r="N1261" s="53"/>
      <c r="O1261" s="53"/>
      <c r="P1261" s="53"/>
      <c r="Q1261" s="53"/>
      <c r="R1261" s="53"/>
      <c r="S1261" s="53"/>
      <c r="T1261" s="53"/>
      <c r="U1261" s="53"/>
      <c r="V1261" s="53"/>
      <c r="W1261" s="53"/>
      <c r="X1261" s="53"/>
      <c r="Y1261" s="53"/>
      <c r="Z1261" s="53"/>
    </row>
    <row r="1262" spans="1:26" ht="15.75" customHeight="1">
      <c r="A1262" s="103"/>
      <c r="B1262" s="103"/>
      <c r="C1262" s="104" t="e">
        <v>#REF!</v>
      </c>
      <c r="D1262" s="103"/>
      <c r="E1262" s="53"/>
      <c r="F1262" s="53"/>
      <c r="G1262" s="53"/>
      <c r="H1262" s="53"/>
      <c r="I1262" s="53"/>
      <c r="J1262" s="53"/>
      <c r="K1262" s="53"/>
      <c r="L1262" s="53"/>
      <c r="M1262" s="53"/>
      <c r="N1262" s="53"/>
      <c r="O1262" s="53"/>
      <c r="P1262" s="53"/>
      <c r="Q1262" s="53"/>
      <c r="R1262" s="53"/>
      <c r="S1262" s="53"/>
      <c r="T1262" s="53"/>
      <c r="U1262" s="53"/>
      <c r="V1262" s="53"/>
      <c r="W1262" s="53"/>
      <c r="X1262" s="53"/>
      <c r="Y1262" s="53"/>
      <c r="Z1262" s="53"/>
    </row>
    <row r="1263" spans="1:26" ht="15.75" customHeight="1">
      <c r="A1263" s="103"/>
      <c r="B1263" s="103"/>
      <c r="C1263" s="104" t="e">
        <v>#REF!</v>
      </c>
      <c r="D1263" s="103"/>
      <c r="E1263" s="53"/>
      <c r="F1263" s="53"/>
      <c r="G1263" s="53"/>
      <c r="H1263" s="53"/>
      <c r="I1263" s="53"/>
      <c r="J1263" s="53"/>
      <c r="K1263" s="53"/>
      <c r="L1263" s="53"/>
      <c r="M1263" s="53"/>
      <c r="N1263" s="53"/>
      <c r="O1263" s="53"/>
      <c r="P1263" s="53"/>
      <c r="Q1263" s="53"/>
      <c r="R1263" s="53"/>
      <c r="S1263" s="53"/>
      <c r="T1263" s="53"/>
      <c r="U1263" s="53"/>
      <c r="V1263" s="53"/>
      <c r="W1263" s="53"/>
      <c r="X1263" s="53"/>
      <c r="Y1263" s="53"/>
      <c r="Z1263" s="53"/>
    </row>
    <row r="1264" spans="1:26" ht="15.75" customHeight="1">
      <c r="A1264" s="103"/>
      <c r="B1264" s="103"/>
      <c r="C1264" s="104" t="e">
        <v>#REF!</v>
      </c>
      <c r="D1264" s="103"/>
      <c r="E1264" s="53"/>
      <c r="F1264" s="53"/>
      <c r="G1264" s="53"/>
      <c r="H1264" s="53"/>
      <c r="I1264" s="53"/>
      <c r="J1264" s="53"/>
      <c r="K1264" s="53"/>
      <c r="L1264" s="53"/>
      <c r="M1264" s="53"/>
      <c r="N1264" s="53"/>
      <c r="O1264" s="53"/>
      <c r="P1264" s="53"/>
      <c r="Q1264" s="53"/>
      <c r="R1264" s="53"/>
      <c r="S1264" s="53"/>
      <c r="T1264" s="53"/>
      <c r="U1264" s="53"/>
      <c r="V1264" s="53"/>
      <c r="W1264" s="53"/>
      <c r="X1264" s="53"/>
      <c r="Y1264" s="53"/>
      <c r="Z1264" s="53"/>
    </row>
    <row r="1265" spans="1:26" ht="15.75" customHeight="1">
      <c r="A1265" s="103"/>
      <c r="B1265" s="103"/>
      <c r="C1265" s="104" t="e">
        <v>#REF!</v>
      </c>
      <c r="D1265" s="103"/>
      <c r="E1265" s="53"/>
      <c r="F1265" s="53"/>
      <c r="G1265" s="53"/>
      <c r="H1265" s="53"/>
      <c r="I1265" s="53"/>
      <c r="J1265" s="53"/>
      <c r="K1265" s="53"/>
      <c r="L1265" s="53"/>
      <c r="M1265" s="53"/>
      <c r="N1265" s="53"/>
      <c r="O1265" s="53"/>
      <c r="P1265" s="53"/>
      <c r="Q1265" s="53"/>
      <c r="R1265" s="53"/>
      <c r="S1265" s="53"/>
      <c r="T1265" s="53"/>
      <c r="U1265" s="53"/>
      <c r="V1265" s="53"/>
      <c r="W1265" s="53"/>
      <c r="X1265" s="53"/>
      <c r="Y1265" s="53"/>
      <c r="Z1265" s="53"/>
    </row>
    <row r="1266" spans="1:26" ht="15.75" customHeight="1">
      <c r="A1266" s="103"/>
      <c r="B1266" s="103"/>
      <c r="C1266" s="104" t="e">
        <v>#REF!</v>
      </c>
      <c r="D1266" s="103"/>
      <c r="E1266" s="53"/>
      <c r="F1266" s="53"/>
      <c r="G1266" s="53"/>
      <c r="H1266" s="53"/>
      <c r="I1266" s="53"/>
      <c r="J1266" s="53"/>
      <c r="K1266" s="53"/>
      <c r="L1266" s="53"/>
      <c r="M1266" s="53"/>
      <c r="N1266" s="53"/>
      <c r="O1266" s="53"/>
      <c r="P1266" s="53"/>
      <c r="Q1266" s="53"/>
      <c r="R1266" s="53"/>
      <c r="S1266" s="53"/>
      <c r="T1266" s="53"/>
      <c r="U1266" s="53"/>
      <c r="V1266" s="53"/>
      <c r="W1266" s="53"/>
      <c r="X1266" s="53"/>
      <c r="Y1266" s="53"/>
      <c r="Z1266" s="53"/>
    </row>
    <row r="1267" spans="1:26" ht="15.75" customHeight="1">
      <c r="A1267" s="103"/>
      <c r="B1267" s="103"/>
      <c r="C1267" s="104" t="e">
        <v>#REF!</v>
      </c>
      <c r="D1267" s="103"/>
      <c r="E1267" s="53"/>
      <c r="F1267" s="53"/>
      <c r="G1267" s="53"/>
      <c r="H1267" s="53"/>
      <c r="I1267" s="53"/>
      <c r="J1267" s="53"/>
      <c r="K1267" s="53"/>
      <c r="L1267" s="53"/>
      <c r="M1267" s="53"/>
      <c r="N1267" s="53"/>
      <c r="O1267" s="53"/>
      <c r="P1267" s="53"/>
      <c r="Q1267" s="53"/>
      <c r="R1267" s="53"/>
      <c r="S1267" s="53"/>
      <c r="T1267" s="53"/>
      <c r="U1267" s="53"/>
      <c r="V1267" s="53"/>
      <c r="W1267" s="53"/>
      <c r="X1267" s="53"/>
      <c r="Y1267" s="53"/>
      <c r="Z1267" s="53"/>
    </row>
    <row r="1268" spans="1:26" ht="15.75" customHeight="1">
      <c r="A1268" s="103"/>
      <c r="B1268" s="103"/>
      <c r="C1268" s="104" t="e">
        <v>#REF!</v>
      </c>
      <c r="D1268" s="103"/>
      <c r="E1268" s="53"/>
      <c r="F1268" s="53"/>
      <c r="G1268" s="53"/>
      <c r="H1268" s="53"/>
      <c r="I1268" s="53"/>
      <c r="J1268" s="53"/>
      <c r="K1268" s="53"/>
      <c r="L1268" s="53"/>
      <c r="M1268" s="53"/>
      <c r="N1268" s="53"/>
      <c r="O1268" s="53"/>
      <c r="P1268" s="53"/>
      <c r="Q1268" s="53"/>
      <c r="R1268" s="53"/>
      <c r="S1268" s="53"/>
      <c r="T1268" s="53"/>
      <c r="U1268" s="53"/>
      <c r="V1268" s="53"/>
      <c r="W1268" s="53"/>
      <c r="X1268" s="53"/>
      <c r="Y1268" s="53"/>
      <c r="Z1268" s="53"/>
    </row>
    <row r="1269" spans="1:26" ht="15.75" customHeight="1">
      <c r="A1269" s="103"/>
      <c r="B1269" s="103"/>
      <c r="C1269" s="104" t="e">
        <v>#REF!</v>
      </c>
      <c r="D1269" s="103"/>
      <c r="E1269" s="53"/>
      <c r="F1269" s="53"/>
      <c r="G1269" s="53"/>
      <c r="H1269" s="53"/>
      <c r="I1269" s="53"/>
      <c r="J1269" s="53"/>
      <c r="K1269" s="53"/>
      <c r="L1269" s="53"/>
      <c r="M1269" s="53"/>
      <c r="N1269" s="53"/>
      <c r="O1269" s="53"/>
      <c r="P1269" s="53"/>
      <c r="Q1269" s="53"/>
      <c r="R1269" s="53"/>
      <c r="S1269" s="53"/>
      <c r="T1269" s="53"/>
      <c r="U1269" s="53"/>
      <c r="V1269" s="53"/>
      <c r="W1269" s="53"/>
      <c r="X1269" s="53"/>
      <c r="Y1269" s="53"/>
      <c r="Z1269" s="53"/>
    </row>
    <row r="1270" spans="1:26" ht="15.75" customHeight="1">
      <c r="A1270" s="103"/>
      <c r="B1270" s="103"/>
      <c r="C1270" s="104" t="e">
        <v>#REF!</v>
      </c>
      <c r="D1270" s="103"/>
      <c r="E1270" s="53"/>
      <c r="F1270" s="53"/>
      <c r="G1270" s="53"/>
      <c r="H1270" s="53"/>
      <c r="I1270" s="53"/>
      <c r="J1270" s="53"/>
      <c r="K1270" s="53"/>
      <c r="L1270" s="53"/>
      <c r="M1270" s="53"/>
      <c r="N1270" s="53"/>
      <c r="O1270" s="53"/>
      <c r="P1270" s="53"/>
      <c r="Q1270" s="53"/>
      <c r="R1270" s="53"/>
      <c r="S1270" s="53"/>
      <c r="T1270" s="53"/>
      <c r="U1270" s="53"/>
      <c r="V1270" s="53"/>
      <c r="W1270" s="53"/>
      <c r="X1270" s="53"/>
      <c r="Y1270" s="53"/>
      <c r="Z1270" s="53"/>
    </row>
    <row r="1271" spans="1:26" ht="15.75" customHeight="1">
      <c r="A1271" s="103"/>
      <c r="B1271" s="103"/>
      <c r="C1271" s="104" t="e">
        <v>#REF!</v>
      </c>
      <c r="D1271" s="103"/>
      <c r="E1271" s="53"/>
      <c r="F1271" s="53"/>
      <c r="G1271" s="53"/>
      <c r="H1271" s="53"/>
      <c r="I1271" s="53"/>
      <c r="J1271" s="53"/>
      <c r="K1271" s="53"/>
      <c r="L1271" s="53"/>
      <c r="M1271" s="53"/>
      <c r="N1271" s="53"/>
      <c r="O1271" s="53"/>
      <c r="P1271" s="53"/>
      <c r="Q1271" s="53"/>
      <c r="R1271" s="53"/>
      <c r="S1271" s="53"/>
      <c r="T1271" s="53"/>
      <c r="U1271" s="53"/>
      <c r="V1271" s="53"/>
      <c r="W1271" s="53"/>
      <c r="X1271" s="53"/>
      <c r="Y1271" s="53"/>
      <c r="Z1271" s="53"/>
    </row>
    <row r="1272" spans="1:26" ht="15.75" customHeight="1">
      <c r="A1272" s="103"/>
      <c r="B1272" s="103"/>
      <c r="C1272" s="104" t="e">
        <v>#REF!</v>
      </c>
      <c r="D1272" s="103"/>
      <c r="E1272" s="53"/>
      <c r="F1272" s="53"/>
      <c r="G1272" s="53"/>
      <c r="H1272" s="53"/>
      <c r="I1272" s="53"/>
      <c r="J1272" s="53"/>
      <c r="K1272" s="53"/>
      <c r="L1272" s="53"/>
      <c r="M1272" s="53"/>
      <c r="N1272" s="53"/>
      <c r="O1272" s="53"/>
      <c r="P1272" s="53"/>
      <c r="Q1272" s="53"/>
      <c r="R1272" s="53"/>
      <c r="S1272" s="53"/>
      <c r="T1272" s="53"/>
      <c r="U1272" s="53"/>
      <c r="V1272" s="53"/>
      <c r="W1272" s="53"/>
      <c r="X1272" s="53"/>
      <c r="Y1272" s="53"/>
      <c r="Z1272" s="53"/>
    </row>
    <row r="1273" spans="1:26" ht="15.75" customHeight="1">
      <c r="A1273" s="103"/>
      <c r="B1273" s="103"/>
      <c r="C1273" s="104" t="e">
        <v>#REF!</v>
      </c>
      <c r="D1273" s="103"/>
      <c r="E1273" s="53"/>
      <c r="F1273" s="53"/>
      <c r="G1273" s="53"/>
      <c r="H1273" s="53"/>
      <c r="I1273" s="53"/>
      <c r="J1273" s="53"/>
      <c r="K1273" s="53"/>
      <c r="L1273" s="53"/>
      <c r="M1273" s="53"/>
      <c r="N1273" s="53"/>
      <c r="O1273" s="53"/>
      <c r="P1273" s="53"/>
      <c r="Q1273" s="53"/>
      <c r="R1273" s="53"/>
      <c r="S1273" s="53"/>
      <c r="T1273" s="53"/>
      <c r="U1273" s="53"/>
      <c r="V1273" s="53"/>
      <c r="W1273" s="53"/>
      <c r="X1273" s="53"/>
      <c r="Y1273" s="53"/>
      <c r="Z1273" s="53"/>
    </row>
    <row r="1274" spans="1:26" ht="15.75" customHeight="1">
      <c r="A1274" s="103"/>
      <c r="B1274" s="103"/>
      <c r="C1274" s="104" t="e">
        <v>#REF!</v>
      </c>
      <c r="D1274" s="103"/>
      <c r="E1274" s="53"/>
      <c r="F1274" s="53"/>
      <c r="G1274" s="53"/>
      <c r="H1274" s="53"/>
      <c r="I1274" s="53"/>
      <c r="J1274" s="53"/>
      <c r="K1274" s="53"/>
      <c r="L1274" s="53"/>
      <c r="M1274" s="53"/>
      <c r="N1274" s="53"/>
      <c r="O1274" s="53"/>
      <c r="P1274" s="53"/>
      <c r="Q1274" s="53"/>
      <c r="R1274" s="53"/>
      <c r="S1274" s="53"/>
      <c r="T1274" s="53"/>
      <c r="U1274" s="53"/>
      <c r="V1274" s="53"/>
      <c r="W1274" s="53"/>
      <c r="X1274" s="53"/>
      <c r="Y1274" s="53"/>
      <c r="Z1274" s="53"/>
    </row>
    <row r="1275" spans="1:26" ht="15.75" customHeight="1">
      <c r="A1275" s="103"/>
      <c r="B1275" s="103"/>
      <c r="C1275" s="104" t="e">
        <v>#REF!</v>
      </c>
      <c r="D1275" s="103"/>
      <c r="E1275" s="53"/>
      <c r="F1275" s="53"/>
      <c r="G1275" s="53"/>
      <c r="H1275" s="53"/>
      <c r="I1275" s="53"/>
      <c r="J1275" s="53"/>
      <c r="K1275" s="53"/>
      <c r="L1275" s="53"/>
      <c r="M1275" s="53"/>
      <c r="N1275" s="53"/>
      <c r="O1275" s="53"/>
      <c r="P1275" s="53"/>
      <c r="Q1275" s="53"/>
      <c r="R1275" s="53"/>
      <c r="S1275" s="53"/>
      <c r="T1275" s="53"/>
      <c r="U1275" s="53"/>
      <c r="V1275" s="53"/>
      <c r="W1275" s="53"/>
      <c r="X1275" s="53"/>
      <c r="Y1275" s="53"/>
      <c r="Z1275" s="53"/>
    </row>
    <row r="1276" spans="1:26" ht="15.75" customHeight="1">
      <c r="A1276" s="103"/>
      <c r="B1276" s="103"/>
      <c r="C1276" s="104" t="e">
        <v>#REF!</v>
      </c>
      <c r="D1276" s="103"/>
      <c r="E1276" s="53"/>
      <c r="F1276" s="53"/>
      <c r="G1276" s="53"/>
      <c r="H1276" s="53"/>
      <c r="I1276" s="53"/>
      <c r="J1276" s="53"/>
      <c r="K1276" s="53"/>
      <c r="L1276" s="53"/>
      <c r="M1276" s="53"/>
      <c r="N1276" s="53"/>
      <c r="O1276" s="53"/>
      <c r="P1276" s="53"/>
      <c r="Q1276" s="53"/>
      <c r="R1276" s="53"/>
      <c r="S1276" s="53"/>
      <c r="T1276" s="53"/>
      <c r="U1276" s="53"/>
      <c r="V1276" s="53"/>
      <c r="W1276" s="53"/>
      <c r="X1276" s="53"/>
      <c r="Y1276" s="53"/>
      <c r="Z1276" s="53"/>
    </row>
    <row r="1277" spans="1:26" ht="15.75" customHeight="1">
      <c r="A1277" s="103"/>
      <c r="B1277" s="103"/>
      <c r="C1277" s="104" t="e">
        <v>#REF!</v>
      </c>
      <c r="D1277" s="103"/>
      <c r="E1277" s="53"/>
      <c r="F1277" s="53"/>
      <c r="G1277" s="53"/>
      <c r="H1277" s="53"/>
      <c r="I1277" s="53"/>
      <c r="J1277" s="53"/>
      <c r="K1277" s="53"/>
      <c r="L1277" s="53"/>
      <c r="M1277" s="53"/>
      <c r="N1277" s="53"/>
      <c r="O1277" s="53"/>
      <c r="P1277" s="53"/>
      <c r="Q1277" s="53"/>
      <c r="R1277" s="53"/>
      <c r="S1277" s="53"/>
      <c r="T1277" s="53"/>
      <c r="U1277" s="53"/>
      <c r="V1277" s="53"/>
      <c r="W1277" s="53"/>
      <c r="X1277" s="53"/>
      <c r="Y1277" s="53"/>
      <c r="Z1277" s="53"/>
    </row>
    <row r="1278" spans="1:26" ht="15.75" customHeight="1">
      <c r="A1278" s="103"/>
      <c r="B1278" s="103"/>
      <c r="C1278" s="104" t="e">
        <v>#REF!</v>
      </c>
      <c r="D1278" s="103"/>
      <c r="E1278" s="53"/>
      <c r="F1278" s="53"/>
      <c r="G1278" s="53"/>
      <c r="H1278" s="53"/>
      <c r="I1278" s="53"/>
      <c r="J1278" s="53"/>
      <c r="K1278" s="53"/>
      <c r="L1278" s="53"/>
      <c r="M1278" s="53"/>
      <c r="N1278" s="53"/>
      <c r="O1278" s="53"/>
      <c r="P1278" s="53"/>
      <c r="Q1278" s="53"/>
      <c r="R1278" s="53"/>
      <c r="S1278" s="53"/>
      <c r="T1278" s="53"/>
      <c r="U1278" s="53"/>
      <c r="V1278" s="53"/>
      <c r="W1278" s="53"/>
      <c r="X1278" s="53"/>
      <c r="Y1278" s="53"/>
      <c r="Z1278" s="53"/>
    </row>
    <row r="1279" spans="1:26" ht="15.75" customHeight="1">
      <c r="A1279" s="103"/>
      <c r="B1279" s="103"/>
      <c r="C1279" s="104" t="e">
        <v>#REF!</v>
      </c>
      <c r="D1279" s="103"/>
      <c r="E1279" s="53"/>
      <c r="F1279" s="53"/>
      <c r="G1279" s="53"/>
      <c r="H1279" s="53"/>
      <c r="I1279" s="53"/>
      <c r="J1279" s="53"/>
      <c r="K1279" s="53"/>
      <c r="L1279" s="53"/>
      <c r="M1279" s="53"/>
      <c r="N1279" s="53"/>
      <c r="O1279" s="53"/>
      <c r="P1279" s="53"/>
      <c r="Q1279" s="53"/>
      <c r="R1279" s="53"/>
      <c r="S1279" s="53"/>
      <c r="T1279" s="53"/>
      <c r="U1279" s="53"/>
      <c r="V1279" s="53"/>
      <c r="W1279" s="53"/>
      <c r="X1279" s="53"/>
      <c r="Y1279" s="53"/>
      <c r="Z1279" s="53"/>
    </row>
    <row r="1280" spans="1:26" ht="15.75" customHeight="1">
      <c r="A1280" s="103"/>
      <c r="B1280" s="103"/>
      <c r="C1280" s="104" t="e">
        <v>#REF!</v>
      </c>
      <c r="D1280" s="103"/>
      <c r="E1280" s="53"/>
      <c r="F1280" s="53"/>
      <c r="G1280" s="53"/>
      <c r="H1280" s="53"/>
      <c r="I1280" s="53"/>
      <c r="J1280" s="53"/>
      <c r="K1280" s="53"/>
      <c r="L1280" s="53"/>
      <c r="M1280" s="53"/>
      <c r="N1280" s="53"/>
      <c r="O1280" s="53"/>
      <c r="P1280" s="53"/>
      <c r="Q1280" s="53"/>
      <c r="R1280" s="53"/>
      <c r="S1280" s="53"/>
      <c r="T1280" s="53"/>
      <c r="U1280" s="53"/>
      <c r="V1280" s="53"/>
      <c r="W1280" s="53"/>
      <c r="X1280" s="53"/>
      <c r="Y1280" s="53"/>
      <c r="Z1280" s="53"/>
    </row>
    <row r="1281" spans="1:26" ht="15.75" customHeight="1">
      <c r="A1281" s="103"/>
      <c r="B1281" s="103"/>
      <c r="C1281" s="104" t="e">
        <v>#REF!</v>
      </c>
      <c r="D1281" s="103"/>
      <c r="E1281" s="53"/>
      <c r="F1281" s="53"/>
      <c r="G1281" s="53"/>
      <c r="H1281" s="53"/>
      <c r="I1281" s="53"/>
      <c r="J1281" s="53"/>
      <c r="K1281" s="53"/>
      <c r="L1281" s="53"/>
      <c r="M1281" s="53"/>
      <c r="N1281" s="53"/>
      <c r="O1281" s="53"/>
      <c r="P1281" s="53"/>
      <c r="Q1281" s="53"/>
      <c r="R1281" s="53"/>
      <c r="S1281" s="53"/>
      <c r="T1281" s="53"/>
      <c r="U1281" s="53"/>
      <c r="V1281" s="53"/>
      <c r="W1281" s="53"/>
      <c r="X1281" s="53"/>
      <c r="Y1281" s="53"/>
      <c r="Z1281" s="53"/>
    </row>
    <row r="1282" spans="1:26" ht="15.75" customHeight="1">
      <c r="A1282" s="103"/>
      <c r="B1282" s="103"/>
      <c r="C1282" s="104" t="e">
        <v>#REF!</v>
      </c>
      <c r="D1282" s="103"/>
      <c r="E1282" s="53"/>
      <c r="F1282" s="53"/>
      <c r="G1282" s="53"/>
      <c r="H1282" s="53"/>
      <c r="I1282" s="53"/>
      <c r="J1282" s="53"/>
      <c r="K1282" s="53"/>
      <c r="L1282" s="53"/>
      <c r="M1282" s="53"/>
      <c r="N1282" s="53"/>
      <c r="O1282" s="53"/>
      <c r="P1282" s="53"/>
      <c r="Q1282" s="53"/>
      <c r="R1282" s="53"/>
      <c r="S1282" s="53"/>
      <c r="T1282" s="53"/>
      <c r="U1282" s="53"/>
      <c r="V1282" s="53"/>
      <c r="W1282" s="53"/>
      <c r="X1282" s="53"/>
      <c r="Y1282" s="53"/>
      <c r="Z1282" s="53"/>
    </row>
    <row r="1283" spans="1:26" ht="15.75" customHeight="1">
      <c r="A1283" s="103"/>
      <c r="B1283" s="103"/>
      <c r="C1283" s="104" t="e">
        <v>#REF!</v>
      </c>
      <c r="D1283" s="103"/>
      <c r="E1283" s="53"/>
      <c r="F1283" s="53"/>
      <c r="G1283" s="53"/>
      <c r="H1283" s="53"/>
      <c r="I1283" s="53"/>
      <c r="J1283" s="53"/>
      <c r="K1283" s="53"/>
      <c r="L1283" s="53"/>
      <c r="M1283" s="53"/>
      <c r="N1283" s="53"/>
      <c r="O1283" s="53"/>
      <c r="P1283" s="53"/>
      <c r="Q1283" s="53"/>
      <c r="R1283" s="53"/>
      <c r="S1283" s="53"/>
      <c r="T1283" s="53"/>
      <c r="U1283" s="53"/>
      <c r="V1283" s="53"/>
      <c r="W1283" s="53"/>
      <c r="X1283" s="53"/>
      <c r="Y1283" s="53"/>
      <c r="Z1283" s="53"/>
    </row>
    <row r="1284" spans="1:26" ht="15.75" customHeight="1">
      <c r="A1284" s="103"/>
      <c r="B1284" s="103"/>
      <c r="C1284" s="104" t="e">
        <v>#REF!</v>
      </c>
      <c r="D1284" s="103"/>
      <c r="E1284" s="53"/>
      <c r="F1284" s="53"/>
      <c r="G1284" s="53"/>
      <c r="H1284" s="53"/>
      <c r="I1284" s="53"/>
      <c r="J1284" s="53"/>
      <c r="K1284" s="53"/>
      <c r="L1284" s="53"/>
      <c r="M1284" s="53"/>
      <c r="N1284" s="53"/>
      <c r="O1284" s="53"/>
      <c r="P1284" s="53"/>
      <c r="Q1284" s="53"/>
      <c r="R1284" s="53"/>
      <c r="S1284" s="53"/>
      <c r="T1284" s="53"/>
      <c r="U1284" s="53"/>
      <c r="V1284" s="53"/>
      <c r="W1284" s="53"/>
      <c r="X1284" s="53"/>
      <c r="Y1284" s="53"/>
      <c r="Z1284" s="53"/>
    </row>
    <row r="1285" spans="1:26" ht="15.75" customHeight="1">
      <c r="A1285" s="103"/>
      <c r="B1285" s="103"/>
      <c r="C1285" s="104" t="e">
        <v>#REF!</v>
      </c>
      <c r="D1285" s="103"/>
      <c r="E1285" s="53"/>
      <c r="F1285" s="53"/>
      <c r="G1285" s="53"/>
      <c r="H1285" s="53"/>
      <c r="I1285" s="53"/>
      <c r="J1285" s="53"/>
      <c r="K1285" s="53"/>
      <c r="L1285" s="53"/>
      <c r="M1285" s="53"/>
      <c r="N1285" s="53"/>
      <c r="O1285" s="53"/>
      <c r="P1285" s="53"/>
      <c r="Q1285" s="53"/>
      <c r="R1285" s="53"/>
      <c r="S1285" s="53"/>
      <c r="T1285" s="53"/>
      <c r="U1285" s="53"/>
      <c r="V1285" s="53"/>
      <c r="W1285" s="53"/>
      <c r="X1285" s="53"/>
      <c r="Y1285" s="53"/>
      <c r="Z1285" s="53"/>
    </row>
    <row r="1286" spans="1:26" ht="15.75" customHeight="1">
      <c r="A1286" s="103"/>
      <c r="B1286" s="103"/>
      <c r="C1286" s="104" t="e">
        <v>#REF!</v>
      </c>
      <c r="D1286" s="103"/>
      <c r="E1286" s="53"/>
      <c r="F1286" s="53"/>
      <c r="G1286" s="53"/>
      <c r="H1286" s="53"/>
      <c r="I1286" s="53"/>
      <c r="J1286" s="53"/>
      <c r="K1286" s="53"/>
      <c r="L1286" s="53"/>
      <c r="M1286" s="53"/>
      <c r="N1286" s="53"/>
      <c r="O1286" s="53"/>
      <c r="P1286" s="53"/>
      <c r="Q1286" s="53"/>
      <c r="R1286" s="53"/>
      <c r="S1286" s="53"/>
      <c r="T1286" s="53"/>
      <c r="U1286" s="53"/>
      <c r="V1286" s="53"/>
      <c r="W1286" s="53"/>
      <c r="X1286" s="53"/>
      <c r="Y1286" s="53"/>
      <c r="Z1286" s="53"/>
    </row>
    <row r="1287" spans="1:26" ht="15.75" customHeight="1">
      <c r="A1287" s="103"/>
      <c r="B1287" s="103"/>
      <c r="C1287" s="104" t="e">
        <v>#REF!</v>
      </c>
      <c r="D1287" s="103"/>
      <c r="E1287" s="53"/>
      <c r="F1287" s="53"/>
      <c r="G1287" s="53"/>
      <c r="H1287" s="53"/>
      <c r="I1287" s="53"/>
      <c r="J1287" s="53"/>
      <c r="K1287" s="53"/>
      <c r="L1287" s="53"/>
      <c r="M1287" s="53"/>
      <c r="N1287" s="53"/>
      <c r="O1287" s="53"/>
      <c r="P1287" s="53"/>
      <c r="Q1287" s="53"/>
      <c r="R1287" s="53"/>
      <c r="S1287" s="53"/>
      <c r="T1287" s="53"/>
      <c r="U1287" s="53"/>
      <c r="V1287" s="53"/>
      <c r="W1287" s="53"/>
      <c r="X1287" s="53"/>
      <c r="Y1287" s="53"/>
      <c r="Z1287" s="53"/>
    </row>
    <row r="1288" spans="1:26" ht="15.75" customHeight="1">
      <c r="A1288" s="103"/>
      <c r="B1288" s="103"/>
      <c r="C1288" s="104" t="e">
        <v>#REF!</v>
      </c>
      <c r="D1288" s="103"/>
      <c r="E1288" s="53"/>
      <c r="F1288" s="53"/>
      <c r="G1288" s="53"/>
      <c r="H1288" s="53"/>
      <c r="I1288" s="53"/>
      <c r="J1288" s="53"/>
      <c r="K1288" s="53"/>
      <c r="L1288" s="53"/>
      <c r="M1288" s="53"/>
      <c r="N1288" s="53"/>
      <c r="O1288" s="53"/>
      <c r="P1288" s="53"/>
      <c r="Q1288" s="53"/>
      <c r="R1288" s="53"/>
      <c r="S1288" s="53"/>
      <c r="T1288" s="53"/>
      <c r="U1288" s="53"/>
      <c r="V1288" s="53"/>
      <c r="W1288" s="53"/>
      <c r="X1288" s="53"/>
      <c r="Y1288" s="53"/>
      <c r="Z1288" s="53"/>
    </row>
    <row r="1289" spans="1:26" ht="15.75" customHeight="1">
      <c r="A1289" s="103"/>
      <c r="B1289" s="103"/>
      <c r="C1289" s="104" t="e">
        <v>#REF!</v>
      </c>
      <c r="D1289" s="103"/>
      <c r="E1289" s="53"/>
      <c r="F1289" s="53"/>
      <c r="G1289" s="53"/>
      <c r="H1289" s="53"/>
      <c r="I1289" s="53"/>
      <c r="J1289" s="53"/>
      <c r="K1289" s="53"/>
      <c r="L1289" s="53"/>
      <c r="M1289" s="53"/>
      <c r="N1289" s="53"/>
      <c r="O1289" s="53"/>
      <c r="P1289" s="53"/>
      <c r="Q1289" s="53"/>
      <c r="R1289" s="53"/>
      <c r="S1289" s="53"/>
      <c r="T1289" s="53"/>
      <c r="U1289" s="53"/>
      <c r="V1289" s="53"/>
      <c r="W1289" s="53"/>
      <c r="X1289" s="53"/>
      <c r="Y1289" s="53"/>
      <c r="Z1289" s="53"/>
    </row>
    <row r="1290" spans="1:26" ht="15.75" customHeight="1">
      <c r="A1290" s="103"/>
      <c r="B1290" s="103"/>
      <c r="C1290" s="104" t="e">
        <v>#REF!</v>
      </c>
      <c r="D1290" s="103"/>
      <c r="E1290" s="53"/>
      <c r="F1290" s="53"/>
      <c r="G1290" s="53"/>
      <c r="H1290" s="53"/>
      <c r="I1290" s="53"/>
      <c r="J1290" s="53"/>
      <c r="K1290" s="53"/>
      <c r="L1290" s="53"/>
      <c r="M1290" s="53"/>
      <c r="N1290" s="53"/>
      <c r="O1290" s="53"/>
      <c r="P1290" s="53"/>
      <c r="Q1290" s="53"/>
      <c r="R1290" s="53"/>
      <c r="S1290" s="53"/>
      <c r="T1290" s="53"/>
      <c r="U1290" s="53"/>
      <c r="V1290" s="53"/>
      <c r="W1290" s="53"/>
      <c r="X1290" s="53"/>
      <c r="Y1290" s="53"/>
      <c r="Z1290" s="53"/>
    </row>
    <row r="1291" spans="1:26" ht="15.75" customHeight="1">
      <c r="A1291" s="103"/>
      <c r="B1291" s="103"/>
      <c r="C1291" s="104" t="e">
        <v>#REF!</v>
      </c>
      <c r="D1291" s="103"/>
      <c r="E1291" s="53"/>
      <c r="F1291" s="53"/>
      <c r="G1291" s="53"/>
      <c r="H1291" s="53"/>
      <c r="I1291" s="53"/>
      <c r="J1291" s="53"/>
      <c r="K1291" s="53"/>
      <c r="L1291" s="53"/>
      <c r="M1291" s="53"/>
      <c r="N1291" s="53"/>
      <c r="O1291" s="53"/>
      <c r="P1291" s="53"/>
      <c r="Q1291" s="53"/>
      <c r="R1291" s="53"/>
      <c r="S1291" s="53"/>
      <c r="T1291" s="53"/>
      <c r="U1291" s="53"/>
      <c r="V1291" s="53"/>
      <c r="W1291" s="53"/>
      <c r="X1291" s="53"/>
      <c r="Y1291" s="53"/>
      <c r="Z1291" s="53"/>
    </row>
    <row r="1292" spans="1:26" ht="15.75" customHeight="1">
      <c r="A1292" s="103"/>
      <c r="B1292" s="103"/>
      <c r="C1292" s="104" t="e">
        <v>#REF!</v>
      </c>
      <c r="D1292" s="103"/>
      <c r="E1292" s="53"/>
      <c r="F1292" s="53"/>
      <c r="G1292" s="53"/>
      <c r="H1292" s="53"/>
      <c r="I1292" s="53"/>
      <c r="J1292" s="53"/>
      <c r="K1292" s="53"/>
      <c r="L1292" s="53"/>
      <c r="M1292" s="53"/>
      <c r="N1292" s="53"/>
      <c r="O1292" s="53"/>
      <c r="P1292" s="53"/>
      <c r="Q1292" s="53"/>
      <c r="R1292" s="53"/>
      <c r="S1292" s="53"/>
      <c r="T1292" s="53"/>
      <c r="U1292" s="53"/>
      <c r="V1292" s="53"/>
      <c r="W1292" s="53"/>
      <c r="X1292" s="53"/>
      <c r="Y1292" s="53"/>
      <c r="Z1292" s="53"/>
    </row>
    <row r="1293" spans="1:26" ht="15.75" customHeight="1">
      <c r="A1293" s="103"/>
      <c r="B1293" s="103"/>
      <c r="C1293" s="104" t="e">
        <v>#REF!</v>
      </c>
      <c r="D1293" s="103"/>
      <c r="E1293" s="53"/>
      <c r="F1293" s="53"/>
      <c r="G1293" s="53"/>
      <c r="H1293" s="53"/>
      <c r="I1293" s="53"/>
      <c r="J1293" s="53"/>
      <c r="K1293" s="53"/>
      <c r="L1293" s="53"/>
      <c r="M1293" s="53"/>
      <c r="N1293" s="53"/>
      <c r="O1293" s="53"/>
      <c r="P1293" s="53"/>
      <c r="Q1293" s="53"/>
      <c r="R1293" s="53"/>
      <c r="S1293" s="53"/>
      <c r="T1293" s="53"/>
      <c r="U1293" s="53"/>
      <c r="V1293" s="53"/>
      <c r="W1293" s="53"/>
      <c r="X1293" s="53"/>
      <c r="Y1293" s="53"/>
      <c r="Z1293" s="53"/>
    </row>
    <row r="1294" spans="1:26" ht="15.75" customHeight="1">
      <c r="A1294" s="103"/>
      <c r="B1294" s="103"/>
      <c r="C1294" s="104" t="e">
        <v>#REF!</v>
      </c>
      <c r="D1294" s="103"/>
      <c r="E1294" s="53"/>
      <c r="F1294" s="53"/>
      <c r="G1294" s="53"/>
      <c r="H1294" s="53"/>
      <c r="I1294" s="53"/>
      <c r="J1294" s="53"/>
      <c r="K1294" s="53"/>
      <c r="L1294" s="53"/>
      <c r="M1294" s="53"/>
      <c r="N1294" s="53"/>
      <c r="O1294" s="53"/>
      <c r="P1294" s="53"/>
      <c r="Q1294" s="53"/>
      <c r="R1294" s="53"/>
      <c r="S1294" s="53"/>
      <c r="T1294" s="53"/>
      <c r="U1294" s="53"/>
      <c r="V1294" s="53"/>
      <c r="W1294" s="53"/>
      <c r="X1294" s="53"/>
      <c r="Y1294" s="53"/>
      <c r="Z1294" s="53"/>
    </row>
    <row r="1295" spans="1:26" ht="15.75" customHeight="1">
      <c r="A1295" s="103"/>
      <c r="B1295" s="103"/>
      <c r="C1295" s="104" t="e">
        <v>#REF!</v>
      </c>
      <c r="D1295" s="103"/>
      <c r="E1295" s="53"/>
      <c r="F1295" s="53"/>
      <c r="G1295" s="53"/>
      <c r="H1295" s="53"/>
      <c r="I1295" s="53"/>
      <c r="J1295" s="53"/>
      <c r="K1295" s="53"/>
      <c r="L1295" s="53"/>
      <c r="M1295" s="53"/>
      <c r="N1295" s="53"/>
      <c r="O1295" s="53"/>
      <c r="P1295" s="53"/>
      <c r="Q1295" s="53"/>
      <c r="R1295" s="53"/>
      <c r="S1295" s="53"/>
      <c r="T1295" s="53"/>
      <c r="U1295" s="53"/>
      <c r="V1295" s="53"/>
      <c r="W1295" s="53"/>
      <c r="X1295" s="53"/>
      <c r="Y1295" s="53"/>
      <c r="Z1295" s="53"/>
    </row>
    <row r="1296" spans="1:26" ht="15.75" customHeight="1">
      <c r="A1296" s="103"/>
      <c r="B1296" s="103"/>
      <c r="C1296" s="104" t="e">
        <v>#REF!</v>
      </c>
      <c r="D1296" s="103"/>
      <c r="E1296" s="53"/>
      <c r="F1296" s="53"/>
      <c r="G1296" s="53"/>
      <c r="H1296" s="53"/>
      <c r="I1296" s="53"/>
      <c r="J1296" s="53"/>
      <c r="K1296" s="53"/>
      <c r="L1296" s="53"/>
      <c r="M1296" s="53"/>
      <c r="N1296" s="53"/>
      <c r="O1296" s="53"/>
      <c r="P1296" s="53"/>
      <c r="Q1296" s="53"/>
      <c r="R1296" s="53"/>
      <c r="S1296" s="53"/>
      <c r="T1296" s="53"/>
      <c r="U1296" s="53"/>
      <c r="V1296" s="53"/>
      <c r="W1296" s="53"/>
      <c r="X1296" s="53"/>
      <c r="Y1296" s="53"/>
      <c r="Z1296" s="53"/>
    </row>
    <row r="1297" spans="1:26" ht="15.75" customHeight="1">
      <c r="A1297" s="103"/>
      <c r="B1297" s="103"/>
      <c r="C1297" s="104" t="e">
        <v>#REF!</v>
      </c>
      <c r="D1297" s="103"/>
      <c r="E1297" s="53"/>
      <c r="F1297" s="53"/>
      <c r="G1297" s="53"/>
      <c r="H1297" s="53"/>
      <c r="I1297" s="53"/>
      <c r="J1297" s="53"/>
      <c r="K1297" s="53"/>
      <c r="L1297" s="53"/>
      <c r="M1297" s="53"/>
      <c r="N1297" s="53"/>
      <c r="O1297" s="53"/>
      <c r="P1297" s="53"/>
      <c r="Q1297" s="53"/>
      <c r="R1297" s="53"/>
      <c r="S1297" s="53"/>
      <c r="T1297" s="53"/>
      <c r="U1297" s="53"/>
      <c r="V1297" s="53"/>
      <c r="W1297" s="53"/>
      <c r="X1297" s="53"/>
      <c r="Y1297" s="53"/>
      <c r="Z1297" s="53"/>
    </row>
    <row r="1298" spans="1:26" ht="15.75" customHeight="1">
      <c r="A1298" s="103"/>
      <c r="B1298" s="103"/>
      <c r="C1298" s="104" t="e">
        <v>#REF!</v>
      </c>
      <c r="D1298" s="103"/>
      <c r="E1298" s="53"/>
      <c r="F1298" s="53"/>
      <c r="G1298" s="53"/>
      <c r="H1298" s="53"/>
      <c r="I1298" s="53"/>
      <c r="J1298" s="53"/>
      <c r="K1298" s="53"/>
      <c r="L1298" s="53"/>
      <c r="M1298" s="53"/>
      <c r="N1298" s="53"/>
      <c r="O1298" s="53"/>
      <c r="P1298" s="53"/>
      <c r="Q1298" s="53"/>
      <c r="R1298" s="53"/>
      <c r="S1298" s="53"/>
      <c r="T1298" s="53"/>
      <c r="U1298" s="53"/>
      <c r="V1298" s="53"/>
      <c r="W1298" s="53"/>
      <c r="X1298" s="53"/>
      <c r="Y1298" s="53"/>
      <c r="Z1298" s="53"/>
    </row>
    <row r="1299" spans="1:26" ht="15.75" customHeight="1">
      <c r="A1299" s="103"/>
      <c r="B1299" s="103"/>
      <c r="C1299" s="104" t="e">
        <v>#REF!</v>
      </c>
      <c r="D1299" s="103"/>
      <c r="E1299" s="53"/>
      <c r="F1299" s="53"/>
      <c r="G1299" s="53"/>
      <c r="H1299" s="53"/>
      <c r="I1299" s="53"/>
      <c r="J1299" s="53"/>
      <c r="K1299" s="53"/>
      <c r="L1299" s="53"/>
      <c r="M1299" s="53"/>
      <c r="N1299" s="53"/>
      <c r="O1299" s="53"/>
      <c r="P1299" s="53"/>
      <c r="Q1299" s="53"/>
      <c r="R1299" s="53"/>
      <c r="S1299" s="53"/>
      <c r="T1299" s="53"/>
      <c r="U1299" s="53"/>
      <c r="V1299" s="53"/>
      <c r="W1299" s="53"/>
      <c r="X1299" s="53"/>
      <c r="Y1299" s="53"/>
      <c r="Z1299" s="53"/>
    </row>
    <row r="1300" spans="1:26" ht="15.75" customHeight="1">
      <c r="A1300" s="103"/>
      <c r="B1300" s="103"/>
      <c r="C1300" s="104" t="e">
        <v>#REF!</v>
      </c>
      <c r="D1300" s="103"/>
      <c r="E1300" s="53"/>
      <c r="F1300" s="53"/>
      <c r="G1300" s="53"/>
      <c r="H1300" s="53"/>
      <c r="I1300" s="53"/>
      <c r="J1300" s="53"/>
      <c r="K1300" s="53"/>
      <c r="L1300" s="53"/>
      <c r="M1300" s="53"/>
      <c r="N1300" s="53"/>
      <c r="O1300" s="53"/>
      <c r="P1300" s="53"/>
      <c r="Q1300" s="53"/>
      <c r="R1300" s="53"/>
      <c r="S1300" s="53"/>
      <c r="T1300" s="53"/>
      <c r="U1300" s="53"/>
      <c r="V1300" s="53"/>
      <c r="W1300" s="53"/>
      <c r="X1300" s="53"/>
      <c r="Y1300" s="53"/>
      <c r="Z1300" s="53"/>
    </row>
    <row r="1301" spans="1:26" ht="15.75" customHeight="1">
      <c r="A1301" s="103"/>
      <c r="B1301" s="103"/>
      <c r="C1301" s="104" t="e">
        <v>#REF!</v>
      </c>
      <c r="D1301" s="103"/>
      <c r="E1301" s="53"/>
      <c r="F1301" s="53"/>
      <c r="G1301" s="53"/>
      <c r="H1301" s="53"/>
      <c r="I1301" s="53"/>
      <c r="J1301" s="53"/>
      <c r="K1301" s="53"/>
      <c r="L1301" s="53"/>
      <c r="M1301" s="53"/>
      <c r="N1301" s="53"/>
      <c r="O1301" s="53"/>
      <c r="P1301" s="53"/>
      <c r="Q1301" s="53"/>
      <c r="R1301" s="53"/>
      <c r="S1301" s="53"/>
      <c r="T1301" s="53"/>
      <c r="U1301" s="53"/>
      <c r="V1301" s="53"/>
      <c r="W1301" s="53"/>
      <c r="X1301" s="53"/>
      <c r="Y1301" s="53"/>
      <c r="Z1301" s="53"/>
    </row>
    <row r="1302" spans="1:26" ht="15.75" customHeight="1">
      <c r="A1302" s="103"/>
      <c r="B1302" s="103"/>
      <c r="C1302" s="104" t="e">
        <v>#REF!</v>
      </c>
      <c r="D1302" s="103"/>
      <c r="E1302" s="53"/>
      <c r="F1302" s="53"/>
      <c r="G1302" s="53"/>
      <c r="H1302" s="53"/>
      <c r="I1302" s="53"/>
      <c r="J1302" s="53"/>
      <c r="K1302" s="53"/>
      <c r="L1302" s="53"/>
      <c r="M1302" s="53"/>
      <c r="N1302" s="53"/>
      <c r="O1302" s="53"/>
      <c r="P1302" s="53"/>
      <c r="Q1302" s="53"/>
      <c r="R1302" s="53"/>
      <c r="S1302" s="53"/>
      <c r="T1302" s="53"/>
      <c r="U1302" s="53"/>
      <c r="V1302" s="53"/>
      <c r="W1302" s="53"/>
      <c r="X1302" s="53"/>
      <c r="Y1302" s="53"/>
      <c r="Z1302" s="53"/>
    </row>
    <row r="1303" spans="1:26" ht="15.75" customHeight="1">
      <c r="A1303" s="103"/>
      <c r="B1303" s="103"/>
      <c r="C1303" s="104" t="e">
        <v>#REF!</v>
      </c>
      <c r="D1303" s="103"/>
      <c r="E1303" s="53"/>
      <c r="F1303" s="53"/>
      <c r="G1303" s="53"/>
      <c r="H1303" s="53"/>
      <c r="I1303" s="53"/>
      <c r="J1303" s="53"/>
      <c r="K1303" s="53"/>
      <c r="L1303" s="53"/>
      <c r="M1303" s="53"/>
      <c r="N1303" s="53"/>
      <c r="O1303" s="53"/>
      <c r="P1303" s="53"/>
      <c r="Q1303" s="53"/>
      <c r="R1303" s="53"/>
      <c r="S1303" s="53"/>
      <c r="T1303" s="53"/>
      <c r="U1303" s="53"/>
      <c r="V1303" s="53"/>
      <c r="W1303" s="53"/>
      <c r="X1303" s="53"/>
      <c r="Y1303" s="53"/>
      <c r="Z1303" s="53"/>
    </row>
    <row r="1304" spans="1:26" ht="15.75" customHeight="1">
      <c r="A1304" s="103"/>
      <c r="B1304" s="103"/>
      <c r="C1304" s="104" t="e">
        <v>#REF!</v>
      </c>
      <c r="D1304" s="103"/>
      <c r="E1304" s="53"/>
      <c r="F1304" s="53"/>
      <c r="G1304" s="53"/>
      <c r="H1304" s="53"/>
      <c r="I1304" s="53"/>
      <c r="J1304" s="53"/>
      <c r="K1304" s="53"/>
      <c r="L1304" s="53"/>
      <c r="M1304" s="53"/>
      <c r="N1304" s="53"/>
      <c r="O1304" s="53"/>
      <c r="P1304" s="53"/>
      <c r="Q1304" s="53"/>
      <c r="R1304" s="53"/>
      <c r="S1304" s="53"/>
      <c r="T1304" s="53"/>
      <c r="U1304" s="53"/>
      <c r="V1304" s="53"/>
      <c r="W1304" s="53"/>
      <c r="X1304" s="53"/>
      <c r="Y1304" s="53"/>
      <c r="Z1304" s="53"/>
    </row>
    <row r="1305" spans="1:26" ht="15.75" customHeight="1">
      <c r="A1305" s="103"/>
      <c r="B1305" s="103"/>
      <c r="C1305" s="104" t="e">
        <v>#REF!</v>
      </c>
      <c r="D1305" s="103"/>
      <c r="E1305" s="53"/>
      <c r="F1305" s="53"/>
      <c r="G1305" s="53"/>
      <c r="H1305" s="53"/>
      <c r="I1305" s="53"/>
      <c r="J1305" s="53"/>
      <c r="K1305" s="53"/>
      <c r="L1305" s="53"/>
      <c r="M1305" s="53"/>
      <c r="N1305" s="53"/>
      <c r="O1305" s="53"/>
      <c r="P1305" s="53"/>
      <c r="Q1305" s="53"/>
      <c r="R1305" s="53"/>
      <c r="S1305" s="53"/>
      <c r="T1305" s="53"/>
      <c r="U1305" s="53"/>
      <c r="V1305" s="53"/>
      <c r="W1305" s="53"/>
      <c r="X1305" s="53"/>
      <c r="Y1305" s="53"/>
      <c r="Z1305" s="53"/>
    </row>
    <row r="1306" spans="1:26" ht="15.75" customHeight="1">
      <c r="A1306" s="103"/>
      <c r="B1306" s="103"/>
      <c r="C1306" s="104" t="e">
        <v>#REF!</v>
      </c>
      <c r="D1306" s="103"/>
      <c r="E1306" s="53"/>
      <c r="F1306" s="53"/>
      <c r="G1306" s="53"/>
      <c r="H1306" s="53"/>
      <c r="I1306" s="53"/>
      <c r="J1306" s="53"/>
      <c r="K1306" s="53"/>
      <c r="L1306" s="53"/>
      <c r="M1306" s="53"/>
      <c r="N1306" s="53"/>
      <c r="O1306" s="53"/>
      <c r="P1306" s="53"/>
      <c r="Q1306" s="53"/>
      <c r="R1306" s="53"/>
      <c r="S1306" s="53"/>
      <c r="T1306" s="53"/>
      <c r="U1306" s="53"/>
      <c r="V1306" s="53"/>
      <c r="W1306" s="53"/>
      <c r="X1306" s="53"/>
      <c r="Y1306" s="53"/>
      <c r="Z1306" s="53"/>
    </row>
    <row r="1307" spans="1:26" ht="15.75" customHeight="1">
      <c r="A1307" s="103"/>
      <c r="B1307" s="103"/>
      <c r="C1307" s="104" t="e">
        <v>#REF!</v>
      </c>
      <c r="D1307" s="103"/>
      <c r="E1307" s="53"/>
      <c r="F1307" s="53"/>
      <c r="G1307" s="53"/>
      <c r="H1307" s="53"/>
      <c r="I1307" s="53"/>
      <c r="J1307" s="53"/>
      <c r="K1307" s="53"/>
      <c r="L1307" s="53"/>
      <c r="M1307" s="53"/>
      <c r="N1307" s="53"/>
      <c r="O1307" s="53"/>
      <c r="P1307" s="53"/>
      <c r="Q1307" s="53"/>
      <c r="R1307" s="53"/>
      <c r="S1307" s="53"/>
      <c r="T1307" s="53"/>
      <c r="U1307" s="53"/>
      <c r="V1307" s="53"/>
      <c r="W1307" s="53"/>
      <c r="X1307" s="53"/>
      <c r="Y1307" s="53"/>
      <c r="Z1307" s="53"/>
    </row>
    <row r="1308" spans="1:26" ht="15.75" customHeight="1">
      <c r="A1308" s="103"/>
      <c r="B1308" s="103"/>
      <c r="C1308" s="104" t="e">
        <v>#REF!</v>
      </c>
      <c r="D1308" s="103"/>
      <c r="E1308" s="53"/>
      <c r="F1308" s="53"/>
      <c r="G1308" s="53"/>
      <c r="H1308" s="53"/>
      <c r="I1308" s="53"/>
      <c r="J1308" s="53"/>
      <c r="K1308" s="53"/>
      <c r="L1308" s="53"/>
      <c r="M1308" s="53"/>
      <c r="N1308" s="53"/>
      <c r="O1308" s="53"/>
      <c r="P1308" s="53"/>
      <c r="Q1308" s="53"/>
      <c r="R1308" s="53"/>
      <c r="S1308" s="53"/>
      <c r="T1308" s="53"/>
      <c r="U1308" s="53"/>
      <c r="V1308" s="53"/>
      <c r="W1308" s="53"/>
      <c r="X1308" s="53"/>
      <c r="Y1308" s="53"/>
      <c r="Z1308" s="53"/>
    </row>
    <row r="1309" spans="1:26" ht="15.75" customHeight="1">
      <c r="A1309" s="103"/>
      <c r="B1309" s="103"/>
      <c r="C1309" s="104" t="e">
        <v>#REF!</v>
      </c>
      <c r="D1309" s="103"/>
      <c r="E1309" s="53"/>
      <c r="F1309" s="53"/>
      <c r="G1309" s="53"/>
      <c r="H1309" s="53"/>
      <c r="I1309" s="53"/>
      <c r="J1309" s="53"/>
      <c r="K1309" s="53"/>
      <c r="L1309" s="53"/>
      <c r="M1309" s="53"/>
      <c r="N1309" s="53"/>
      <c r="O1309" s="53"/>
      <c r="P1309" s="53"/>
      <c r="Q1309" s="53"/>
      <c r="R1309" s="53"/>
      <c r="S1309" s="53"/>
      <c r="T1309" s="53"/>
      <c r="U1309" s="53"/>
      <c r="V1309" s="53"/>
      <c r="W1309" s="53"/>
      <c r="X1309" s="53"/>
      <c r="Y1309" s="53"/>
      <c r="Z1309" s="53"/>
    </row>
    <row r="1310" spans="1:26" ht="15.75" customHeight="1">
      <c r="A1310" s="103"/>
      <c r="B1310" s="103"/>
      <c r="C1310" s="104" t="e">
        <v>#REF!</v>
      </c>
      <c r="D1310" s="103"/>
      <c r="E1310" s="53"/>
      <c r="F1310" s="53"/>
      <c r="G1310" s="53"/>
      <c r="H1310" s="53"/>
      <c r="I1310" s="53"/>
      <c r="J1310" s="53"/>
      <c r="K1310" s="53"/>
      <c r="L1310" s="53"/>
      <c r="M1310" s="53"/>
      <c r="N1310" s="53"/>
      <c r="O1310" s="53"/>
      <c r="P1310" s="53"/>
      <c r="Q1310" s="53"/>
      <c r="R1310" s="53"/>
      <c r="S1310" s="53"/>
      <c r="T1310" s="53"/>
      <c r="U1310" s="53"/>
      <c r="V1310" s="53"/>
      <c r="W1310" s="53"/>
      <c r="X1310" s="53"/>
      <c r="Y1310" s="53"/>
      <c r="Z1310" s="53"/>
    </row>
    <row r="1311" spans="1:26" ht="15.75" customHeight="1">
      <c r="A1311" s="103"/>
      <c r="B1311" s="103"/>
      <c r="C1311" s="104" t="e">
        <v>#REF!</v>
      </c>
      <c r="D1311" s="103"/>
      <c r="E1311" s="53"/>
      <c r="F1311" s="53"/>
      <c r="G1311" s="53"/>
      <c r="H1311" s="53"/>
      <c r="I1311" s="53"/>
      <c r="J1311" s="53"/>
      <c r="K1311" s="53"/>
      <c r="L1311" s="53"/>
      <c r="M1311" s="53"/>
      <c r="N1311" s="53"/>
      <c r="O1311" s="53"/>
      <c r="P1311" s="53"/>
      <c r="Q1311" s="53"/>
      <c r="R1311" s="53"/>
      <c r="S1311" s="53"/>
      <c r="T1311" s="53"/>
      <c r="U1311" s="53"/>
      <c r="V1311" s="53"/>
      <c r="W1311" s="53"/>
      <c r="X1311" s="53"/>
      <c r="Y1311" s="53"/>
      <c r="Z1311" s="53"/>
    </row>
    <row r="1312" spans="1:26" ht="15.75" customHeight="1">
      <c r="A1312" s="103"/>
      <c r="B1312" s="103"/>
      <c r="C1312" s="104" t="e">
        <v>#REF!</v>
      </c>
      <c r="D1312" s="103"/>
      <c r="E1312" s="53"/>
      <c r="F1312" s="53"/>
      <c r="G1312" s="53"/>
      <c r="H1312" s="53"/>
      <c r="I1312" s="53"/>
      <c r="J1312" s="53"/>
      <c r="K1312" s="53"/>
      <c r="L1312" s="53"/>
      <c r="M1312" s="53"/>
      <c r="N1312" s="53"/>
      <c r="O1312" s="53"/>
      <c r="P1312" s="53"/>
      <c r="Q1312" s="53"/>
      <c r="R1312" s="53"/>
      <c r="S1312" s="53"/>
      <c r="T1312" s="53"/>
      <c r="U1312" s="53"/>
      <c r="V1312" s="53"/>
      <c r="W1312" s="53"/>
      <c r="X1312" s="53"/>
      <c r="Y1312" s="53"/>
      <c r="Z1312" s="53"/>
    </row>
    <row r="1313" spans="1:26" ht="15.75" customHeight="1">
      <c r="A1313" s="103"/>
      <c r="B1313" s="103"/>
      <c r="C1313" s="104" t="e">
        <v>#REF!</v>
      </c>
      <c r="D1313" s="103"/>
      <c r="E1313" s="53"/>
      <c r="F1313" s="53"/>
      <c r="G1313" s="53"/>
      <c r="H1313" s="53"/>
      <c r="I1313" s="53"/>
      <c r="J1313" s="53"/>
      <c r="K1313" s="53"/>
      <c r="L1313" s="53"/>
      <c r="M1313" s="53"/>
      <c r="N1313" s="53"/>
      <c r="O1313" s="53"/>
      <c r="P1313" s="53"/>
      <c r="Q1313" s="53"/>
      <c r="R1313" s="53"/>
      <c r="S1313" s="53"/>
      <c r="T1313" s="53"/>
      <c r="U1313" s="53"/>
      <c r="V1313" s="53"/>
      <c r="W1313" s="53"/>
      <c r="X1313" s="53"/>
      <c r="Y1313" s="53"/>
      <c r="Z1313" s="53"/>
    </row>
    <row r="1314" spans="1:26" ht="15.75" customHeight="1">
      <c r="A1314" s="103"/>
      <c r="B1314" s="103"/>
      <c r="C1314" s="104" t="e">
        <v>#REF!</v>
      </c>
      <c r="D1314" s="103"/>
      <c r="E1314" s="53"/>
      <c r="F1314" s="53"/>
      <c r="G1314" s="53"/>
      <c r="H1314" s="53"/>
      <c r="I1314" s="53"/>
      <c r="J1314" s="53"/>
      <c r="K1314" s="53"/>
      <c r="L1314" s="53"/>
      <c r="M1314" s="53"/>
      <c r="N1314" s="53"/>
      <c r="O1314" s="53"/>
      <c r="P1314" s="53"/>
      <c r="Q1314" s="53"/>
      <c r="R1314" s="53"/>
      <c r="S1314" s="53"/>
      <c r="T1314" s="53"/>
      <c r="U1314" s="53"/>
      <c r="V1314" s="53"/>
      <c r="W1314" s="53"/>
      <c r="X1314" s="53"/>
      <c r="Y1314" s="53"/>
      <c r="Z1314" s="53"/>
    </row>
    <row r="1315" spans="1:26" ht="15.75" customHeight="1">
      <c r="A1315" s="103"/>
      <c r="B1315" s="103"/>
      <c r="C1315" s="104" t="e">
        <v>#REF!</v>
      </c>
      <c r="D1315" s="103"/>
      <c r="E1315" s="53"/>
      <c r="F1315" s="53"/>
      <c r="G1315" s="53"/>
      <c r="H1315" s="53"/>
      <c r="I1315" s="53"/>
      <c r="J1315" s="53"/>
      <c r="K1315" s="53"/>
      <c r="L1315" s="53"/>
      <c r="M1315" s="53"/>
      <c r="N1315" s="53"/>
      <c r="O1315" s="53"/>
      <c r="P1315" s="53"/>
      <c r="Q1315" s="53"/>
      <c r="R1315" s="53"/>
      <c r="S1315" s="53"/>
      <c r="T1315" s="53"/>
      <c r="U1315" s="53"/>
      <c r="V1315" s="53"/>
      <c r="W1315" s="53"/>
      <c r="X1315" s="53"/>
      <c r="Y1315" s="53"/>
      <c r="Z1315" s="53"/>
    </row>
    <row r="1316" spans="1:26" ht="15.75" customHeight="1">
      <c r="A1316" s="103"/>
      <c r="B1316" s="103"/>
      <c r="C1316" s="104" t="e">
        <v>#REF!</v>
      </c>
      <c r="D1316" s="103"/>
      <c r="E1316" s="53"/>
      <c r="F1316" s="53"/>
      <c r="G1316" s="53"/>
      <c r="H1316" s="53"/>
      <c r="I1316" s="53"/>
      <c r="J1316" s="53"/>
      <c r="K1316" s="53"/>
      <c r="L1316" s="53"/>
      <c r="M1316" s="53"/>
      <c r="N1316" s="53"/>
      <c r="O1316" s="53"/>
      <c r="P1316" s="53"/>
      <c r="Q1316" s="53"/>
      <c r="R1316" s="53"/>
      <c r="S1316" s="53"/>
      <c r="T1316" s="53"/>
      <c r="U1316" s="53"/>
      <c r="V1316" s="53"/>
      <c r="W1316" s="53"/>
      <c r="X1316" s="53"/>
      <c r="Y1316" s="53"/>
      <c r="Z1316" s="53"/>
    </row>
    <row r="1317" spans="1:26" ht="15.75" customHeight="1">
      <c r="A1317" s="103"/>
      <c r="B1317" s="103"/>
      <c r="C1317" s="104" t="e">
        <v>#REF!</v>
      </c>
      <c r="D1317" s="103"/>
      <c r="E1317" s="53"/>
      <c r="F1317" s="53"/>
      <c r="G1317" s="53"/>
      <c r="H1317" s="53"/>
      <c r="I1317" s="53"/>
      <c r="J1317" s="53"/>
      <c r="K1317" s="53"/>
      <c r="L1317" s="53"/>
      <c r="M1317" s="53"/>
      <c r="N1317" s="53"/>
      <c r="O1317" s="53"/>
      <c r="P1317" s="53"/>
      <c r="Q1317" s="53"/>
      <c r="R1317" s="53"/>
      <c r="S1317" s="53"/>
      <c r="T1317" s="53"/>
      <c r="U1317" s="53"/>
      <c r="V1317" s="53"/>
      <c r="W1317" s="53"/>
      <c r="X1317" s="53"/>
      <c r="Y1317" s="53"/>
      <c r="Z1317" s="53"/>
    </row>
    <row r="1318" spans="1:26" ht="15.75" customHeight="1">
      <c r="A1318" s="103"/>
      <c r="B1318" s="103"/>
      <c r="C1318" s="104" t="e">
        <v>#REF!</v>
      </c>
      <c r="D1318" s="103"/>
      <c r="E1318" s="53"/>
      <c r="F1318" s="53"/>
      <c r="G1318" s="53"/>
      <c r="H1318" s="53"/>
      <c r="I1318" s="53"/>
      <c r="J1318" s="53"/>
      <c r="K1318" s="53"/>
      <c r="L1318" s="53"/>
      <c r="M1318" s="53"/>
      <c r="N1318" s="53"/>
      <c r="O1318" s="53"/>
      <c r="P1318" s="53"/>
      <c r="Q1318" s="53"/>
      <c r="R1318" s="53"/>
      <c r="S1318" s="53"/>
      <c r="T1318" s="53"/>
      <c r="U1318" s="53"/>
      <c r="V1318" s="53"/>
      <c r="W1318" s="53"/>
      <c r="X1318" s="53"/>
      <c r="Y1318" s="53"/>
      <c r="Z1318" s="53"/>
    </row>
    <row r="1319" spans="1:26" ht="15.75" customHeight="1">
      <c r="A1319" s="103"/>
      <c r="B1319" s="103"/>
      <c r="C1319" s="104" t="e">
        <v>#REF!</v>
      </c>
      <c r="D1319" s="103"/>
      <c r="E1319" s="53"/>
      <c r="F1319" s="53"/>
      <c r="G1319" s="53"/>
      <c r="H1319" s="53"/>
      <c r="I1319" s="53"/>
      <c r="J1319" s="53"/>
      <c r="K1319" s="53"/>
      <c r="L1319" s="53"/>
      <c r="M1319" s="53"/>
      <c r="N1319" s="53"/>
      <c r="O1319" s="53"/>
      <c r="P1319" s="53"/>
      <c r="Q1319" s="53"/>
      <c r="R1319" s="53"/>
      <c r="S1319" s="53"/>
      <c r="T1319" s="53"/>
      <c r="U1319" s="53"/>
      <c r="V1319" s="53"/>
      <c r="W1319" s="53"/>
      <c r="X1319" s="53"/>
      <c r="Y1319" s="53"/>
      <c r="Z1319" s="53"/>
    </row>
    <row r="1320" spans="1:26" ht="15.75" customHeight="1">
      <c r="A1320" s="103"/>
      <c r="B1320" s="103"/>
      <c r="C1320" s="104" t="e">
        <v>#REF!</v>
      </c>
      <c r="D1320" s="103"/>
      <c r="E1320" s="53"/>
      <c r="F1320" s="53"/>
      <c r="G1320" s="53"/>
      <c r="H1320" s="53"/>
      <c r="I1320" s="53"/>
      <c r="J1320" s="53"/>
      <c r="K1320" s="53"/>
      <c r="L1320" s="53"/>
      <c r="M1320" s="53"/>
      <c r="N1320" s="53"/>
      <c r="O1320" s="53"/>
      <c r="P1320" s="53"/>
      <c r="Q1320" s="53"/>
      <c r="R1320" s="53"/>
      <c r="S1320" s="53"/>
      <c r="T1320" s="53"/>
      <c r="U1320" s="53"/>
      <c r="V1320" s="53"/>
      <c r="W1320" s="53"/>
      <c r="X1320" s="53"/>
      <c r="Y1320" s="53"/>
      <c r="Z1320" s="53"/>
    </row>
    <row r="1321" spans="1:26" ht="15.75" customHeight="1">
      <c r="A1321" s="103"/>
      <c r="B1321" s="103"/>
      <c r="C1321" s="104" t="e">
        <v>#REF!</v>
      </c>
      <c r="D1321" s="103"/>
      <c r="E1321" s="53"/>
      <c r="F1321" s="53"/>
      <c r="G1321" s="53"/>
      <c r="H1321" s="53"/>
      <c r="I1321" s="53"/>
      <c r="J1321" s="53"/>
      <c r="K1321" s="53"/>
      <c r="L1321" s="53"/>
      <c r="M1321" s="53"/>
      <c r="N1321" s="53"/>
      <c r="O1321" s="53"/>
      <c r="P1321" s="53"/>
      <c r="Q1321" s="53"/>
      <c r="R1321" s="53"/>
      <c r="S1321" s="53"/>
      <c r="T1321" s="53"/>
      <c r="U1321" s="53"/>
      <c r="V1321" s="53"/>
      <c r="W1321" s="53"/>
      <c r="X1321" s="53"/>
      <c r="Y1321" s="53"/>
      <c r="Z1321" s="53"/>
    </row>
    <row r="1322" spans="1:26" ht="15.75" customHeight="1">
      <c r="A1322" s="103"/>
      <c r="B1322" s="103"/>
      <c r="C1322" s="104" t="e">
        <v>#REF!</v>
      </c>
      <c r="D1322" s="103"/>
      <c r="E1322" s="53"/>
      <c r="F1322" s="53"/>
      <c r="G1322" s="53"/>
      <c r="H1322" s="53"/>
      <c r="I1322" s="53"/>
      <c r="J1322" s="53"/>
      <c r="K1322" s="53"/>
      <c r="L1322" s="53"/>
      <c r="M1322" s="53"/>
      <c r="N1322" s="53"/>
      <c r="O1322" s="53"/>
      <c r="P1322" s="53"/>
      <c r="Q1322" s="53"/>
      <c r="R1322" s="53"/>
      <c r="S1322" s="53"/>
      <c r="T1322" s="53"/>
      <c r="U1322" s="53"/>
      <c r="V1322" s="53"/>
      <c r="W1322" s="53"/>
      <c r="X1322" s="53"/>
      <c r="Y1322" s="53"/>
      <c r="Z1322" s="53"/>
    </row>
    <row r="1323" spans="1:26" ht="15.75" customHeight="1">
      <c r="A1323" s="103"/>
      <c r="B1323" s="103"/>
      <c r="C1323" s="104" t="e">
        <v>#REF!</v>
      </c>
      <c r="D1323" s="103"/>
      <c r="E1323" s="53"/>
      <c r="F1323" s="53"/>
      <c r="G1323" s="53"/>
      <c r="H1323" s="53"/>
      <c r="I1323" s="53"/>
      <c r="J1323" s="53"/>
      <c r="K1323" s="53"/>
      <c r="L1323" s="53"/>
      <c r="M1323" s="53"/>
      <c r="N1323" s="53"/>
      <c r="O1323" s="53"/>
      <c r="P1323" s="53"/>
      <c r="Q1323" s="53"/>
      <c r="R1323" s="53"/>
      <c r="S1323" s="53"/>
      <c r="T1323" s="53"/>
      <c r="U1323" s="53"/>
      <c r="V1323" s="53"/>
      <c r="W1323" s="53"/>
      <c r="X1323" s="53"/>
      <c r="Y1323" s="53"/>
      <c r="Z1323" s="53"/>
    </row>
    <row r="1324" spans="1:26" ht="15.75" customHeight="1">
      <c r="A1324" s="103"/>
      <c r="B1324" s="103"/>
      <c r="C1324" s="104" t="e">
        <v>#REF!</v>
      </c>
      <c r="D1324" s="103"/>
      <c r="E1324" s="53"/>
      <c r="F1324" s="53"/>
      <c r="G1324" s="53"/>
      <c r="H1324" s="53"/>
      <c r="I1324" s="53"/>
      <c r="J1324" s="53"/>
      <c r="K1324" s="53"/>
      <c r="L1324" s="53"/>
      <c r="M1324" s="53"/>
      <c r="N1324" s="53"/>
      <c r="O1324" s="53"/>
      <c r="P1324" s="53"/>
      <c r="Q1324" s="53"/>
      <c r="R1324" s="53"/>
      <c r="S1324" s="53"/>
      <c r="T1324" s="53"/>
      <c r="U1324" s="53"/>
      <c r="V1324" s="53"/>
      <c r="W1324" s="53"/>
      <c r="X1324" s="53"/>
      <c r="Y1324" s="53"/>
      <c r="Z1324" s="53"/>
    </row>
    <row r="1325" spans="1:26" ht="15.75" customHeight="1">
      <c r="A1325" s="103"/>
      <c r="B1325" s="103"/>
      <c r="C1325" s="104" t="e">
        <v>#REF!</v>
      </c>
      <c r="D1325" s="103"/>
      <c r="E1325" s="53"/>
      <c r="F1325" s="53"/>
      <c r="G1325" s="53"/>
      <c r="H1325" s="53"/>
      <c r="I1325" s="53"/>
      <c r="J1325" s="53"/>
      <c r="K1325" s="53"/>
      <c r="L1325" s="53"/>
      <c r="M1325" s="53"/>
      <c r="N1325" s="53"/>
      <c r="O1325" s="53"/>
      <c r="P1325" s="53"/>
      <c r="Q1325" s="53"/>
      <c r="R1325" s="53"/>
      <c r="S1325" s="53"/>
      <c r="T1325" s="53"/>
      <c r="U1325" s="53"/>
      <c r="V1325" s="53"/>
      <c r="W1325" s="53"/>
      <c r="X1325" s="53"/>
      <c r="Y1325" s="53"/>
      <c r="Z1325" s="53"/>
    </row>
    <row r="1326" spans="1:26" ht="15.75" customHeight="1">
      <c r="A1326" s="103"/>
      <c r="B1326" s="103"/>
      <c r="C1326" s="104" t="e">
        <v>#REF!</v>
      </c>
      <c r="D1326" s="103"/>
      <c r="E1326" s="53"/>
      <c r="F1326" s="53"/>
      <c r="G1326" s="53"/>
      <c r="H1326" s="53"/>
      <c r="I1326" s="53"/>
      <c r="J1326" s="53"/>
      <c r="K1326" s="53"/>
      <c r="L1326" s="53"/>
      <c r="M1326" s="53"/>
      <c r="N1326" s="53"/>
      <c r="O1326" s="53"/>
      <c r="P1326" s="53"/>
      <c r="Q1326" s="53"/>
      <c r="R1326" s="53"/>
      <c r="S1326" s="53"/>
      <c r="T1326" s="53"/>
      <c r="U1326" s="53"/>
      <c r="V1326" s="53"/>
      <c r="W1326" s="53"/>
      <c r="X1326" s="53"/>
      <c r="Y1326" s="53"/>
      <c r="Z1326" s="53"/>
    </row>
    <row r="1327" spans="1:26" ht="15.75" customHeight="1">
      <c r="A1327" s="103"/>
      <c r="B1327" s="103"/>
      <c r="C1327" s="104" t="e">
        <v>#REF!</v>
      </c>
      <c r="D1327" s="103"/>
      <c r="E1327" s="53"/>
      <c r="F1327" s="53"/>
      <c r="G1327" s="53"/>
      <c r="H1327" s="53"/>
      <c r="I1327" s="53"/>
      <c r="J1327" s="53"/>
      <c r="K1327" s="53"/>
      <c r="L1327" s="53"/>
      <c r="M1327" s="53"/>
      <c r="N1327" s="53"/>
      <c r="O1327" s="53"/>
      <c r="P1327" s="53"/>
      <c r="Q1327" s="53"/>
      <c r="R1327" s="53"/>
      <c r="S1327" s="53"/>
      <c r="T1327" s="53"/>
      <c r="U1327" s="53"/>
      <c r="V1327" s="53"/>
      <c r="W1327" s="53"/>
      <c r="X1327" s="53"/>
      <c r="Y1327" s="53"/>
      <c r="Z1327" s="53"/>
    </row>
    <row r="1328" spans="1:26" ht="15.75" customHeight="1">
      <c r="A1328" s="103"/>
      <c r="B1328" s="103"/>
      <c r="C1328" s="104" t="e">
        <v>#REF!</v>
      </c>
      <c r="D1328" s="103"/>
      <c r="E1328" s="53"/>
      <c r="F1328" s="53"/>
      <c r="G1328" s="53"/>
      <c r="H1328" s="53"/>
      <c r="I1328" s="53"/>
      <c r="J1328" s="53"/>
      <c r="K1328" s="53"/>
      <c r="L1328" s="53"/>
      <c r="M1328" s="53"/>
      <c r="N1328" s="53"/>
      <c r="O1328" s="53"/>
      <c r="P1328" s="53"/>
      <c r="Q1328" s="53"/>
      <c r="R1328" s="53"/>
      <c r="S1328" s="53"/>
      <c r="T1328" s="53"/>
      <c r="U1328" s="53"/>
      <c r="V1328" s="53"/>
      <c r="W1328" s="53"/>
      <c r="X1328" s="53"/>
      <c r="Y1328" s="53"/>
      <c r="Z1328" s="53"/>
    </row>
    <row r="1329" spans="1:26" ht="15.75" customHeight="1">
      <c r="A1329" s="103"/>
      <c r="B1329" s="103"/>
      <c r="C1329" s="104" t="e">
        <v>#REF!</v>
      </c>
      <c r="D1329" s="103"/>
      <c r="E1329" s="53"/>
      <c r="F1329" s="53"/>
      <c r="G1329" s="53"/>
      <c r="H1329" s="53"/>
      <c r="I1329" s="53"/>
      <c r="J1329" s="53"/>
      <c r="K1329" s="53"/>
      <c r="L1329" s="53"/>
      <c r="M1329" s="53"/>
      <c r="N1329" s="53"/>
      <c r="O1329" s="53"/>
      <c r="P1329" s="53"/>
      <c r="Q1329" s="53"/>
      <c r="R1329" s="53"/>
      <c r="S1329" s="53"/>
      <c r="T1329" s="53"/>
      <c r="U1329" s="53"/>
      <c r="V1329" s="53"/>
      <c r="W1329" s="53"/>
      <c r="X1329" s="53"/>
      <c r="Y1329" s="53"/>
      <c r="Z1329" s="53"/>
    </row>
    <row r="1330" spans="1:26" ht="15.75" customHeight="1">
      <c r="A1330" s="103"/>
      <c r="B1330" s="103"/>
      <c r="C1330" s="104" t="e">
        <v>#REF!</v>
      </c>
      <c r="D1330" s="103"/>
      <c r="E1330" s="53"/>
      <c r="F1330" s="53"/>
      <c r="G1330" s="53"/>
      <c r="H1330" s="53"/>
      <c r="I1330" s="53"/>
      <c r="J1330" s="53"/>
      <c r="K1330" s="53"/>
      <c r="L1330" s="53"/>
      <c r="M1330" s="53"/>
      <c r="N1330" s="53"/>
      <c r="O1330" s="53"/>
      <c r="P1330" s="53"/>
      <c r="Q1330" s="53"/>
      <c r="R1330" s="53"/>
      <c r="S1330" s="53"/>
      <c r="T1330" s="53"/>
      <c r="U1330" s="53"/>
      <c r="V1330" s="53"/>
      <c r="W1330" s="53"/>
      <c r="X1330" s="53"/>
      <c r="Y1330" s="53"/>
      <c r="Z1330" s="53"/>
    </row>
    <row r="1331" spans="1:26" ht="15.75" customHeight="1">
      <c r="A1331" s="103"/>
      <c r="B1331" s="103"/>
      <c r="C1331" s="104" t="e">
        <v>#REF!</v>
      </c>
      <c r="D1331" s="103"/>
      <c r="E1331" s="53"/>
      <c r="F1331" s="53"/>
      <c r="G1331" s="53"/>
      <c r="H1331" s="53"/>
      <c r="I1331" s="53"/>
      <c r="J1331" s="53"/>
      <c r="K1331" s="53"/>
      <c r="L1331" s="53"/>
      <c r="M1331" s="53"/>
      <c r="N1331" s="53"/>
      <c r="O1331" s="53"/>
      <c r="P1331" s="53"/>
      <c r="Q1331" s="53"/>
      <c r="R1331" s="53"/>
      <c r="S1331" s="53"/>
      <c r="T1331" s="53"/>
      <c r="U1331" s="53"/>
      <c r="V1331" s="53"/>
      <c r="W1331" s="53"/>
      <c r="X1331" s="53"/>
      <c r="Y1331" s="53"/>
      <c r="Z1331" s="53"/>
    </row>
    <row r="1332" spans="1:26" ht="15.75" customHeight="1">
      <c r="A1332" s="103"/>
      <c r="B1332" s="103"/>
      <c r="C1332" s="104" t="e">
        <v>#REF!</v>
      </c>
      <c r="D1332" s="103"/>
      <c r="E1332" s="53"/>
      <c r="F1332" s="53"/>
      <c r="G1332" s="53"/>
      <c r="H1332" s="53"/>
      <c r="I1332" s="53"/>
      <c r="J1332" s="53"/>
      <c r="K1332" s="53"/>
      <c r="L1332" s="53"/>
      <c r="M1332" s="53"/>
      <c r="N1332" s="53"/>
      <c r="O1332" s="53"/>
      <c r="P1332" s="53"/>
      <c r="Q1332" s="53"/>
      <c r="R1332" s="53"/>
      <c r="S1332" s="53"/>
      <c r="T1332" s="53"/>
      <c r="U1332" s="53"/>
      <c r="V1332" s="53"/>
      <c r="W1332" s="53"/>
      <c r="X1332" s="53"/>
      <c r="Y1332" s="53"/>
      <c r="Z1332" s="53"/>
    </row>
    <row r="1333" spans="1:26" ht="15.75" customHeight="1">
      <c r="A1333" s="103"/>
      <c r="B1333" s="103"/>
      <c r="C1333" s="104" t="e">
        <v>#REF!</v>
      </c>
      <c r="D1333" s="103"/>
      <c r="E1333" s="53"/>
      <c r="F1333" s="53"/>
      <c r="G1333" s="53"/>
      <c r="H1333" s="53"/>
      <c r="I1333" s="53"/>
      <c r="J1333" s="53"/>
      <c r="K1333" s="53"/>
      <c r="L1333" s="53"/>
      <c r="M1333" s="53"/>
      <c r="N1333" s="53"/>
      <c r="O1333" s="53"/>
      <c r="P1333" s="53"/>
      <c r="Q1333" s="53"/>
      <c r="R1333" s="53"/>
      <c r="S1333" s="53"/>
      <c r="T1333" s="53"/>
      <c r="U1333" s="53"/>
      <c r="V1333" s="53"/>
      <c r="W1333" s="53"/>
      <c r="X1333" s="53"/>
      <c r="Y1333" s="53"/>
      <c r="Z1333" s="53"/>
    </row>
    <row r="1334" spans="1:26" ht="15.75" customHeight="1">
      <c r="A1334" s="103"/>
      <c r="B1334" s="103"/>
      <c r="C1334" s="104" t="e">
        <v>#REF!</v>
      </c>
      <c r="D1334" s="103"/>
      <c r="E1334" s="53"/>
      <c r="F1334" s="53"/>
      <c r="G1334" s="53"/>
      <c r="H1334" s="53"/>
      <c r="I1334" s="53"/>
      <c r="J1334" s="53"/>
      <c r="K1334" s="53"/>
      <c r="L1334" s="53"/>
      <c r="M1334" s="53"/>
      <c r="N1334" s="53"/>
      <c r="O1334" s="53"/>
      <c r="P1334" s="53"/>
      <c r="Q1334" s="53"/>
      <c r="R1334" s="53"/>
      <c r="S1334" s="53"/>
      <c r="T1334" s="53"/>
      <c r="U1334" s="53"/>
      <c r="V1334" s="53"/>
      <c r="W1334" s="53"/>
      <c r="X1334" s="53"/>
      <c r="Y1334" s="53"/>
      <c r="Z1334" s="53"/>
    </row>
    <row r="1335" spans="1:26" ht="15.75" customHeight="1">
      <c r="A1335" s="103"/>
      <c r="B1335" s="103"/>
      <c r="C1335" s="104" t="e">
        <v>#REF!</v>
      </c>
      <c r="D1335" s="103"/>
      <c r="E1335" s="53"/>
      <c r="F1335" s="53"/>
      <c r="G1335" s="53"/>
      <c r="H1335" s="53"/>
      <c r="I1335" s="53"/>
      <c r="J1335" s="53"/>
      <c r="K1335" s="53"/>
      <c r="L1335" s="53"/>
      <c r="M1335" s="53"/>
      <c r="N1335" s="53"/>
      <c r="O1335" s="53"/>
      <c r="P1335" s="53"/>
      <c r="Q1335" s="53"/>
      <c r="R1335" s="53"/>
      <c r="S1335" s="53"/>
      <c r="T1335" s="53"/>
      <c r="U1335" s="53"/>
      <c r="V1335" s="53"/>
      <c r="W1335" s="53"/>
      <c r="X1335" s="53"/>
      <c r="Y1335" s="53"/>
      <c r="Z1335" s="53"/>
    </row>
    <row r="1336" spans="1:26" ht="15.75" customHeight="1">
      <c r="A1336" s="103"/>
      <c r="B1336" s="103"/>
      <c r="C1336" s="104" t="e">
        <v>#REF!</v>
      </c>
      <c r="D1336" s="103"/>
      <c r="E1336" s="53"/>
      <c r="F1336" s="53"/>
      <c r="G1336" s="53"/>
      <c r="H1336" s="53"/>
      <c r="I1336" s="53"/>
      <c r="J1336" s="53"/>
      <c r="K1336" s="53"/>
      <c r="L1336" s="53"/>
      <c r="M1336" s="53"/>
      <c r="N1336" s="53"/>
      <c r="O1336" s="53"/>
      <c r="P1336" s="53"/>
      <c r="Q1336" s="53"/>
      <c r="R1336" s="53"/>
      <c r="S1336" s="53"/>
      <c r="T1336" s="53"/>
      <c r="U1336" s="53"/>
      <c r="V1336" s="53"/>
      <c r="W1336" s="53"/>
      <c r="X1336" s="53"/>
      <c r="Y1336" s="53"/>
      <c r="Z1336" s="53"/>
    </row>
    <row r="1337" spans="1:26" ht="15.75" customHeight="1">
      <c r="A1337" s="103"/>
      <c r="B1337" s="103"/>
      <c r="C1337" s="104" t="e">
        <v>#REF!</v>
      </c>
      <c r="D1337" s="103"/>
      <c r="E1337" s="53"/>
      <c r="F1337" s="53"/>
      <c r="G1337" s="53"/>
      <c r="H1337" s="53"/>
      <c r="I1337" s="53"/>
      <c r="J1337" s="53"/>
      <c r="K1337" s="53"/>
      <c r="L1337" s="53"/>
      <c r="M1337" s="53"/>
      <c r="N1337" s="53"/>
      <c r="O1337" s="53"/>
      <c r="P1337" s="53"/>
      <c r="Q1337" s="53"/>
      <c r="R1337" s="53"/>
      <c r="S1337" s="53"/>
      <c r="T1337" s="53"/>
      <c r="U1337" s="53"/>
      <c r="V1337" s="53"/>
      <c r="W1337" s="53"/>
      <c r="X1337" s="53"/>
      <c r="Y1337" s="53"/>
      <c r="Z1337" s="53"/>
    </row>
    <row r="1338" spans="1:26" ht="15.75" customHeight="1">
      <c r="A1338" s="103"/>
      <c r="B1338" s="103"/>
      <c r="C1338" s="104" t="e">
        <v>#REF!</v>
      </c>
      <c r="D1338" s="103"/>
      <c r="E1338" s="53"/>
      <c r="F1338" s="53"/>
      <c r="G1338" s="53"/>
      <c r="H1338" s="53"/>
      <c r="I1338" s="53"/>
      <c r="J1338" s="53"/>
      <c r="K1338" s="53"/>
      <c r="L1338" s="53"/>
      <c r="M1338" s="53"/>
      <c r="N1338" s="53"/>
      <c r="O1338" s="53"/>
      <c r="P1338" s="53"/>
      <c r="Q1338" s="53"/>
      <c r="R1338" s="53"/>
      <c r="S1338" s="53"/>
      <c r="T1338" s="53"/>
      <c r="U1338" s="53"/>
      <c r="V1338" s="53"/>
      <c r="W1338" s="53"/>
      <c r="X1338" s="53"/>
      <c r="Y1338" s="53"/>
      <c r="Z1338" s="53"/>
    </row>
    <row r="1339" spans="1:26" ht="15.75" customHeight="1">
      <c r="A1339" s="103"/>
      <c r="B1339" s="103"/>
      <c r="C1339" s="104" t="e">
        <v>#REF!</v>
      </c>
      <c r="D1339" s="103"/>
      <c r="E1339" s="53"/>
      <c r="F1339" s="53"/>
      <c r="G1339" s="53"/>
      <c r="H1339" s="53"/>
      <c r="I1339" s="53"/>
      <c r="J1339" s="53"/>
      <c r="K1339" s="53"/>
      <c r="L1339" s="53"/>
      <c r="M1339" s="53"/>
      <c r="N1339" s="53"/>
      <c r="O1339" s="53"/>
      <c r="P1339" s="53"/>
      <c r="Q1339" s="53"/>
      <c r="R1339" s="53"/>
      <c r="S1339" s="53"/>
      <c r="T1339" s="53"/>
      <c r="U1339" s="53"/>
      <c r="V1339" s="53"/>
      <c r="W1339" s="53"/>
      <c r="X1339" s="53"/>
      <c r="Y1339" s="53"/>
      <c r="Z1339" s="53"/>
    </row>
    <row r="1340" spans="1:26" ht="15.75" customHeight="1">
      <c r="A1340" s="103"/>
      <c r="B1340" s="103"/>
      <c r="C1340" s="104" t="e">
        <v>#REF!</v>
      </c>
      <c r="D1340" s="103"/>
      <c r="E1340" s="53"/>
      <c r="F1340" s="53"/>
      <c r="G1340" s="53"/>
      <c r="H1340" s="53"/>
      <c r="I1340" s="53"/>
      <c r="J1340" s="53"/>
      <c r="K1340" s="53"/>
      <c r="L1340" s="53"/>
      <c r="M1340" s="53"/>
      <c r="N1340" s="53"/>
      <c r="O1340" s="53"/>
      <c r="P1340" s="53"/>
      <c r="Q1340" s="53"/>
      <c r="R1340" s="53"/>
      <c r="S1340" s="53"/>
      <c r="T1340" s="53"/>
      <c r="U1340" s="53"/>
      <c r="V1340" s="53"/>
      <c r="W1340" s="53"/>
      <c r="X1340" s="53"/>
      <c r="Y1340" s="53"/>
      <c r="Z1340" s="53"/>
    </row>
    <row r="1341" spans="1:26" ht="15.75" customHeight="1">
      <c r="A1341" s="103"/>
      <c r="B1341" s="103"/>
      <c r="C1341" s="104" t="e">
        <v>#REF!</v>
      </c>
      <c r="D1341" s="103"/>
      <c r="E1341" s="53"/>
      <c r="F1341" s="53"/>
      <c r="G1341" s="53"/>
      <c r="H1341" s="53"/>
      <c r="I1341" s="53"/>
      <c r="J1341" s="53"/>
      <c r="K1341" s="53"/>
      <c r="L1341" s="53"/>
      <c r="M1341" s="53"/>
      <c r="N1341" s="53"/>
      <c r="O1341" s="53"/>
      <c r="P1341" s="53"/>
      <c r="Q1341" s="53"/>
      <c r="R1341" s="53"/>
      <c r="S1341" s="53"/>
      <c r="T1341" s="53"/>
      <c r="U1341" s="53"/>
      <c r="V1341" s="53"/>
      <c r="W1341" s="53"/>
      <c r="X1341" s="53"/>
      <c r="Y1341" s="53"/>
      <c r="Z1341" s="53"/>
    </row>
    <row r="1342" spans="1:26" ht="15.75" customHeight="1">
      <c r="A1342" s="103"/>
      <c r="B1342" s="103"/>
      <c r="C1342" s="104" t="e">
        <v>#REF!</v>
      </c>
      <c r="D1342" s="103"/>
      <c r="E1342" s="53"/>
      <c r="F1342" s="53"/>
      <c r="G1342" s="53"/>
      <c r="H1342" s="53"/>
      <c r="I1342" s="53"/>
      <c r="J1342" s="53"/>
      <c r="K1342" s="53"/>
      <c r="L1342" s="53"/>
      <c r="M1342" s="53"/>
      <c r="N1342" s="53"/>
      <c r="O1342" s="53"/>
      <c r="P1342" s="53"/>
      <c r="Q1342" s="53"/>
      <c r="R1342" s="53"/>
      <c r="S1342" s="53"/>
      <c r="T1342" s="53"/>
      <c r="U1342" s="53"/>
      <c r="V1342" s="53"/>
      <c r="W1342" s="53"/>
      <c r="X1342" s="53"/>
      <c r="Y1342" s="53"/>
      <c r="Z1342" s="53"/>
    </row>
    <row r="1343" spans="1:26" ht="15.75" customHeight="1">
      <c r="A1343" s="103"/>
      <c r="B1343" s="103"/>
      <c r="C1343" s="104" t="e">
        <v>#REF!</v>
      </c>
      <c r="D1343" s="103"/>
      <c r="E1343" s="53"/>
      <c r="F1343" s="53"/>
      <c r="G1343" s="53"/>
      <c r="H1343" s="53"/>
      <c r="I1343" s="53"/>
      <c r="J1343" s="53"/>
      <c r="K1343" s="53"/>
      <c r="L1343" s="53"/>
      <c r="M1343" s="53"/>
      <c r="N1343" s="53"/>
      <c r="O1343" s="53"/>
      <c r="P1343" s="53"/>
      <c r="Q1343" s="53"/>
      <c r="R1343" s="53"/>
      <c r="S1343" s="53"/>
      <c r="T1343" s="53"/>
      <c r="U1343" s="53"/>
      <c r="V1343" s="53"/>
      <c r="W1343" s="53"/>
      <c r="X1343" s="53"/>
      <c r="Y1343" s="53"/>
      <c r="Z1343" s="53"/>
    </row>
    <row r="1344" spans="1:26" ht="15.75" customHeight="1">
      <c r="A1344" s="103"/>
      <c r="B1344" s="103"/>
      <c r="C1344" s="104" t="e">
        <v>#REF!</v>
      </c>
      <c r="D1344" s="103"/>
      <c r="E1344" s="53"/>
      <c r="F1344" s="53"/>
      <c r="G1344" s="53"/>
      <c r="H1344" s="53"/>
      <c r="I1344" s="53"/>
      <c r="J1344" s="53"/>
      <c r="K1344" s="53"/>
      <c r="L1344" s="53"/>
      <c r="M1344" s="53"/>
      <c r="N1344" s="53"/>
      <c r="O1344" s="53"/>
      <c r="P1344" s="53"/>
      <c r="Q1344" s="53"/>
      <c r="R1344" s="53"/>
      <c r="S1344" s="53"/>
      <c r="T1344" s="53"/>
      <c r="U1344" s="53"/>
      <c r="V1344" s="53"/>
      <c r="W1344" s="53"/>
      <c r="X1344" s="53"/>
      <c r="Y1344" s="53"/>
      <c r="Z1344" s="53"/>
    </row>
    <row r="1345" spans="1:26" ht="15.75" customHeight="1">
      <c r="A1345" s="103"/>
      <c r="B1345" s="103"/>
      <c r="C1345" s="104" t="e">
        <v>#REF!</v>
      </c>
      <c r="D1345" s="103"/>
      <c r="E1345" s="53"/>
      <c r="F1345" s="53"/>
      <c r="G1345" s="53"/>
      <c r="H1345" s="53"/>
      <c r="I1345" s="53"/>
      <c r="J1345" s="53"/>
      <c r="K1345" s="53"/>
      <c r="L1345" s="53"/>
      <c r="M1345" s="53"/>
      <c r="N1345" s="53"/>
      <c r="O1345" s="53"/>
      <c r="P1345" s="53"/>
      <c r="Q1345" s="53"/>
      <c r="R1345" s="53"/>
      <c r="S1345" s="53"/>
      <c r="T1345" s="53"/>
      <c r="U1345" s="53"/>
      <c r="V1345" s="53"/>
      <c r="W1345" s="53"/>
      <c r="X1345" s="53"/>
      <c r="Y1345" s="53"/>
      <c r="Z1345" s="53"/>
    </row>
    <row r="1346" spans="1:26" ht="15.75" customHeight="1">
      <c r="A1346" s="103"/>
      <c r="B1346" s="103"/>
      <c r="C1346" s="104" t="e">
        <v>#REF!</v>
      </c>
      <c r="D1346" s="103"/>
      <c r="E1346" s="53"/>
      <c r="F1346" s="53"/>
      <c r="G1346" s="53"/>
      <c r="H1346" s="53"/>
      <c r="I1346" s="53"/>
      <c r="J1346" s="53"/>
      <c r="K1346" s="53"/>
      <c r="L1346" s="53"/>
      <c r="M1346" s="53"/>
      <c r="N1346" s="53"/>
      <c r="O1346" s="53"/>
      <c r="P1346" s="53"/>
      <c r="Q1346" s="53"/>
      <c r="R1346" s="53"/>
      <c r="S1346" s="53"/>
      <c r="T1346" s="53"/>
      <c r="U1346" s="53"/>
      <c r="V1346" s="53"/>
      <c r="W1346" s="53"/>
      <c r="X1346" s="53"/>
      <c r="Y1346" s="53"/>
      <c r="Z1346" s="53"/>
    </row>
    <row r="1347" spans="1:26" ht="15.75" customHeight="1">
      <c r="A1347" s="103"/>
      <c r="B1347" s="103"/>
      <c r="C1347" s="104" t="e">
        <v>#REF!</v>
      </c>
      <c r="D1347" s="103"/>
      <c r="E1347" s="53"/>
      <c r="F1347" s="53"/>
      <c r="G1347" s="53"/>
      <c r="H1347" s="53"/>
      <c r="I1347" s="53"/>
      <c r="J1347" s="53"/>
      <c r="K1347" s="53"/>
      <c r="L1347" s="53"/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  <c r="W1347" s="53"/>
      <c r="X1347" s="53"/>
      <c r="Y1347" s="53"/>
      <c r="Z1347" s="53"/>
    </row>
    <row r="1348" spans="1:26" ht="15.75" customHeight="1">
      <c r="A1348" s="103"/>
      <c r="B1348" s="103"/>
      <c r="C1348" s="104" t="e">
        <v>#REF!</v>
      </c>
      <c r="D1348" s="103"/>
      <c r="E1348" s="53"/>
      <c r="F1348" s="53"/>
      <c r="G1348" s="53"/>
      <c r="H1348" s="53"/>
      <c r="I1348" s="53"/>
      <c r="J1348" s="53"/>
      <c r="K1348" s="53"/>
      <c r="L1348" s="53"/>
      <c r="M1348" s="53"/>
      <c r="N1348" s="53"/>
      <c r="O1348" s="53"/>
      <c r="P1348" s="53"/>
      <c r="Q1348" s="53"/>
      <c r="R1348" s="53"/>
      <c r="S1348" s="53"/>
      <c r="T1348" s="53"/>
      <c r="U1348" s="53"/>
      <c r="V1348" s="53"/>
      <c r="W1348" s="53"/>
      <c r="X1348" s="53"/>
      <c r="Y1348" s="53"/>
      <c r="Z1348" s="53"/>
    </row>
    <row r="1349" spans="1:26" ht="15.75" customHeight="1">
      <c r="A1349" s="103"/>
      <c r="B1349" s="103"/>
      <c r="C1349" s="104" t="e">
        <v>#REF!</v>
      </c>
      <c r="D1349" s="103"/>
      <c r="E1349" s="53"/>
      <c r="F1349" s="53"/>
      <c r="G1349" s="53"/>
      <c r="H1349" s="53"/>
      <c r="I1349" s="53"/>
      <c r="J1349" s="53"/>
      <c r="K1349" s="53"/>
      <c r="L1349" s="53"/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  <c r="W1349" s="53"/>
      <c r="X1349" s="53"/>
      <c r="Y1349" s="53"/>
      <c r="Z1349" s="53"/>
    </row>
    <row r="1350" spans="1:26" ht="15.75" customHeight="1">
      <c r="A1350" s="103"/>
      <c r="B1350" s="103"/>
      <c r="C1350" s="104" t="e">
        <v>#REF!</v>
      </c>
      <c r="D1350" s="103"/>
      <c r="E1350" s="53"/>
      <c r="F1350" s="53"/>
      <c r="G1350" s="53"/>
      <c r="H1350" s="53"/>
      <c r="I1350" s="53"/>
      <c r="J1350" s="53"/>
      <c r="K1350" s="53"/>
      <c r="L1350" s="53"/>
      <c r="M1350" s="53"/>
      <c r="N1350" s="53"/>
      <c r="O1350" s="53"/>
      <c r="P1350" s="53"/>
      <c r="Q1350" s="53"/>
      <c r="R1350" s="53"/>
      <c r="S1350" s="53"/>
      <c r="T1350" s="53"/>
      <c r="U1350" s="53"/>
      <c r="V1350" s="53"/>
      <c r="W1350" s="53"/>
      <c r="X1350" s="53"/>
      <c r="Y1350" s="53"/>
      <c r="Z1350" s="53"/>
    </row>
    <row r="1351" spans="1:26" ht="15.75" customHeight="1">
      <c r="A1351" s="103"/>
      <c r="B1351" s="103"/>
      <c r="C1351" s="104" t="e">
        <v>#REF!</v>
      </c>
      <c r="D1351" s="103"/>
      <c r="E1351" s="53"/>
      <c r="F1351" s="53"/>
      <c r="G1351" s="53"/>
      <c r="H1351" s="53"/>
      <c r="I1351" s="53"/>
      <c r="J1351" s="53"/>
      <c r="K1351" s="53"/>
      <c r="L1351" s="53"/>
      <c r="M1351" s="53"/>
      <c r="N1351" s="53"/>
      <c r="O1351" s="53"/>
      <c r="P1351" s="53"/>
      <c r="Q1351" s="53"/>
      <c r="R1351" s="53"/>
      <c r="S1351" s="53"/>
      <c r="T1351" s="53"/>
      <c r="U1351" s="53"/>
      <c r="V1351" s="53"/>
      <c r="W1351" s="53"/>
      <c r="X1351" s="53"/>
      <c r="Y1351" s="53"/>
      <c r="Z1351" s="53"/>
    </row>
    <row r="1352" spans="1:26" ht="15.75" customHeight="1">
      <c r="A1352" s="103"/>
      <c r="B1352" s="103"/>
      <c r="C1352" s="104" t="e">
        <v>#REF!</v>
      </c>
      <c r="D1352" s="103"/>
      <c r="E1352" s="53"/>
      <c r="F1352" s="53"/>
      <c r="G1352" s="53"/>
      <c r="H1352" s="53"/>
      <c r="I1352" s="53"/>
      <c r="J1352" s="53"/>
      <c r="K1352" s="53"/>
      <c r="L1352" s="53"/>
      <c r="M1352" s="53"/>
      <c r="N1352" s="53"/>
      <c r="O1352" s="53"/>
      <c r="P1352" s="53"/>
      <c r="Q1352" s="53"/>
      <c r="R1352" s="53"/>
      <c r="S1352" s="53"/>
      <c r="T1352" s="53"/>
      <c r="U1352" s="53"/>
      <c r="V1352" s="53"/>
      <c r="W1352" s="53"/>
      <c r="X1352" s="53"/>
      <c r="Y1352" s="53"/>
      <c r="Z1352" s="53"/>
    </row>
    <row r="1353" spans="1:26" ht="15.75" customHeight="1">
      <c r="A1353" s="103"/>
      <c r="B1353" s="103"/>
      <c r="C1353" s="104" t="e">
        <v>#REF!</v>
      </c>
      <c r="D1353" s="103"/>
      <c r="E1353" s="53"/>
      <c r="F1353" s="53"/>
      <c r="G1353" s="53"/>
      <c r="H1353" s="53"/>
      <c r="I1353" s="53"/>
      <c r="J1353" s="53"/>
      <c r="K1353" s="53"/>
      <c r="L1353" s="53"/>
      <c r="M1353" s="53"/>
      <c r="N1353" s="53"/>
      <c r="O1353" s="53"/>
      <c r="P1353" s="53"/>
      <c r="Q1353" s="53"/>
      <c r="R1353" s="53"/>
      <c r="S1353" s="53"/>
      <c r="T1353" s="53"/>
      <c r="U1353" s="53"/>
      <c r="V1353" s="53"/>
      <c r="W1353" s="53"/>
      <c r="X1353" s="53"/>
      <c r="Y1353" s="53"/>
      <c r="Z1353" s="53"/>
    </row>
    <row r="1354" spans="1:26" ht="15.75" customHeight="1">
      <c r="A1354" s="103"/>
      <c r="B1354" s="103"/>
      <c r="C1354" s="104" t="e">
        <v>#REF!</v>
      </c>
      <c r="D1354" s="103"/>
      <c r="E1354" s="53"/>
      <c r="F1354" s="53"/>
      <c r="G1354" s="53"/>
      <c r="H1354" s="53"/>
      <c r="I1354" s="53"/>
      <c r="J1354" s="53"/>
      <c r="K1354" s="53"/>
      <c r="L1354" s="53"/>
      <c r="M1354" s="53"/>
      <c r="N1354" s="53"/>
      <c r="O1354" s="53"/>
      <c r="P1354" s="53"/>
      <c r="Q1354" s="53"/>
      <c r="R1354" s="53"/>
      <c r="S1354" s="53"/>
      <c r="T1354" s="53"/>
      <c r="U1354" s="53"/>
      <c r="V1354" s="53"/>
      <c r="W1354" s="53"/>
      <c r="X1354" s="53"/>
      <c r="Y1354" s="53"/>
      <c r="Z1354" s="53"/>
    </row>
    <row r="1355" spans="1:26" ht="15.75" customHeight="1">
      <c r="A1355" s="103"/>
      <c r="B1355" s="103"/>
      <c r="C1355" s="104" t="e">
        <v>#REF!</v>
      </c>
      <c r="D1355" s="103"/>
      <c r="E1355" s="53"/>
      <c r="F1355" s="53"/>
      <c r="G1355" s="53"/>
      <c r="H1355" s="53"/>
      <c r="I1355" s="53"/>
      <c r="J1355" s="53"/>
      <c r="K1355" s="53"/>
      <c r="L1355" s="53"/>
      <c r="M1355" s="53"/>
      <c r="N1355" s="53"/>
      <c r="O1355" s="53"/>
      <c r="P1355" s="53"/>
      <c r="Q1355" s="53"/>
      <c r="R1355" s="53"/>
      <c r="S1355" s="53"/>
      <c r="T1355" s="53"/>
      <c r="U1355" s="53"/>
      <c r="V1355" s="53"/>
      <c r="W1355" s="53"/>
      <c r="X1355" s="53"/>
      <c r="Y1355" s="53"/>
      <c r="Z1355" s="53"/>
    </row>
    <row r="1356" spans="1:26" ht="15.75" customHeight="1">
      <c r="A1356" s="103"/>
      <c r="B1356" s="103"/>
      <c r="C1356" s="104" t="e">
        <v>#REF!</v>
      </c>
      <c r="D1356" s="103"/>
      <c r="E1356" s="53"/>
      <c r="F1356" s="53"/>
      <c r="G1356" s="53"/>
      <c r="H1356" s="53"/>
      <c r="I1356" s="53"/>
      <c r="J1356" s="53"/>
      <c r="K1356" s="53"/>
      <c r="L1356" s="53"/>
      <c r="M1356" s="53"/>
      <c r="N1356" s="53"/>
      <c r="O1356" s="53"/>
      <c r="P1356" s="53"/>
      <c r="Q1356" s="53"/>
      <c r="R1356" s="53"/>
      <c r="S1356" s="53"/>
      <c r="T1356" s="53"/>
      <c r="U1356" s="53"/>
      <c r="V1356" s="53"/>
      <c r="W1356" s="53"/>
      <c r="X1356" s="53"/>
      <c r="Y1356" s="53"/>
      <c r="Z1356" s="53"/>
    </row>
    <row r="1357" spans="1:26" ht="15.75" customHeight="1">
      <c r="A1357" s="103"/>
      <c r="B1357" s="103"/>
      <c r="C1357" s="104" t="e">
        <v>#REF!</v>
      </c>
      <c r="D1357" s="103"/>
      <c r="E1357" s="53"/>
      <c r="F1357" s="53"/>
      <c r="G1357" s="53"/>
      <c r="H1357" s="53"/>
      <c r="I1357" s="53"/>
      <c r="J1357" s="53"/>
      <c r="K1357" s="53"/>
      <c r="L1357" s="53"/>
      <c r="M1357" s="53"/>
      <c r="N1357" s="53"/>
      <c r="O1357" s="53"/>
      <c r="P1357" s="53"/>
      <c r="Q1357" s="53"/>
      <c r="R1357" s="53"/>
      <c r="S1357" s="53"/>
      <c r="T1357" s="53"/>
      <c r="U1357" s="53"/>
      <c r="V1357" s="53"/>
      <c r="W1357" s="53"/>
      <c r="X1357" s="53"/>
      <c r="Y1357" s="53"/>
      <c r="Z1357" s="53"/>
    </row>
    <row r="1358" spans="1:26" ht="15.75" customHeight="1">
      <c r="A1358" s="103"/>
      <c r="B1358" s="103"/>
      <c r="C1358" s="104" t="e">
        <v>#REF!</v>
      </c>
      <c r="D1358" s="103"/>
      <c r="E1358" s="53"/>
      <c r="F1358" s="53"/>
      <c r="G1358" s="53"/>
      <c r="H1358" s="53"/>
      <c r="I1358" s="53"/>
      <c r="J1358" s="53"/>
      <c r="K1358" s="53"/>
      <c r="L1358" s="53"/>
      <c r="M1358" s="53"/>
      <c r="N1358" s="53"/>
      <c r="O1358" s="53"/>
      <c r="P1358" s="53"/>
      <c r="Q1358" s="53"/>
      <c r="R1358" s="53"/>
      <c r="S1358" s="53"/>
      <c r="T1358" s="53"/>
      <c r="U1358" s="53"/>
      <c r="V1358" s="53"/>
      <c r="W1358" s="53"/>
      <c r="X1358" s="53"/>
      <c r="Y1358" s="53"/>
      <c r="Z1358" s="53"/>
    </row>
    <row r="1359" spans="1:26" ht="15.75" customHeight="1">
      <c r="A1359" s="103"/>
      <c r="B1359" s="103"/>
      <c r="C1359" s="104" t="e">
        <v>#REF!</v>
      </c>
      <c r="D1359" s="103"/>
      <c r="E1359" s="53"/>
      <c r="F1359" s="53"/>
      <c r="G1359" s="53"/>
      <c r="H1359" s="53"/>
      <c r="I1359" s="53"/>
      <c r="J1359" s="53"/>
      <c r="K1359" s="53"/>
      <c r="L1359" s="53"/>
      <c r="M1359" s="53"/>
      <c r="N1359" s="53"/>
      <c r="O1359" s="53"/>
      <c r="P1359" s="53"/>
      <c r="Q1359" s="53"/>
      <c r="R1359" s="53"/>
      <c r="S1359" s="53"/>
      <c r="T1359" s="53"/>
      <c r="U1359" s="53"/>
      <c r="V1359" s="53"/>
      <c r="W1359" s="53"/>
      <c r="X1359" s="53"/>
      <c r="Y1359" s="53"/>
      <c r="Z1359" s="53"/>
    </row>
    <row r="1360" spans="1:26" ht="15.75" customHeight="1">
      <c r="A1360" s="103"/>
      <c r="B1360" s="103"/>
      <c r="C1360" s="104" t="e">
        <v>#REF!</v>
      </c>
      <c r="D1360" s="103"/>
      <c r="E1360" s="53"/>
      <c r="F1360" s="53"/>
      <c r="G1360" s="53"/>
      <c r="H1360" s="53"/>
      <c r="I1360" s="53"/>
      <c r="J1360" s="53"/>
      <c r="K1360" s="53"/>
      <c r="L1360" s="53"/>
      <c r="M1360" s="53"/>
      <c r="N1360" s="53"/>
      <c r="O1360" s="53"/>
      <c r="P1360" s="53"/>
      <c r="Q1360" s="53"/>
      <c r="R1360" s="53"/>
      <c r="S1360" s="53"/>
      <c r="T1360" s="53"/>
      <c r="U1360" s="53"/>
      <c r="V1360" s="53"/>
      <c r="W1360" s="53"/>
      <c r="X1360" s="53"/>
      <c r="Y1360" s="53"/>
      <c r="Z1360" s="53"/>
    </row>
    <row r="1361" spans="1:26" ht="15.75" customHeight="1">
      <c r="A1361" s="103"/>
      <c r="B1361" s="103"/>
      <c r="C1361" s="104" t="e">
        <v>#REF!</v>
      </c>
      <c r="D1361" s="103"/>
      <c r="E1361" s="53"/>
      <c r="F1361" s="53"/>
      <c r="G1361" s="53"/>
      <c r="H1361" s="53"/>
      <c r="I1361" s="53"/>
      <c r="J1361" s="53"/>
      <c r="K1361" s="53"/>
      <c r="L1361" s="53"/>
      <c r="M1361" s="53"/>
      <c r="N1361" s="53"/>
      <c r="O1361" s="53"/>
      <c r="P1361" s="53"/>
      <c r="Q1361" s="53"/>
      <c r="R1361" s="53"/>
      <c r="S1361" s="53"/>
      <c r="T1361" s="53"/>
      <c r="U1361" s="53"/>
      <c r="V1361" s="53"/>
      <c r="W1361" s="53"/>
      <c r="X1361" s="53"/>
      <c r="Y1361" s="53"/>
      <c r="Z1361" s="53"/>
    </row>
    <row r="1362" spans="1:26" ht="15.75" customHeight="1">
      <c r="A1362" s="103"/>
      <c r="B1362" s="103"/>
      <c r="C1362" s="104" t="e">
        <v>#REF!</v>
      </c>
      <c r="D1362" s="103"/>
      <c r="E1362" s="53"/>
      <c r="F1362" s="53"/>
      <c r="G1362" s="53"/>
      <c r="H1362" s="53"/>
      <c r="I1362" s="53"/>
      <c r="J1362" s="53"/>
      <c r="K1362" s="53"/>
      <c r="L1362" s="53"/>
      <c r="M1362" s="53"/>
      <c r="N1362" s="53"/>
      <c r="O1362" s="53"/>
      <c r="P1362" s="53"/>
      <c r="Q1362" s="53"/>
      <c r="R1362" s="53"/>
      <c r="S1362" s="53"/>
      <c r="T1362" s="53"/>
      <c r="U1362" s="53"/>
      <c r="V1362" s="53"/>
      <c r="W1362" s="53"/>
      <c r="X1362" s="53"/>
      <c r="Y1362" s="53"/>
      <c r="Z1362" s="53"/>
    </row>
    <row r="1363" spans="1:26" ht="15.75" customHeight="1">
      <c r="A1363" s="103"/>
      <c r="B1363" s="103"/>
      <c r="C1363" s="104" t="e">
        <v>#REF!</v>
      </c>
      <c r="D1363" s="103"/>
      <c r="E1363" s="53"/>
      <c r="F1363" s="53"/>
      <c r="G1363" s="53"/>
      <c r="H1363" s="53"/>
      <c r="I1363" s="53"/>
      <c r="J1363" s="53"/>
      <c r="K1363" s="53"/>
      <c r="L1363" s="53"/>
      <c r="M1363" s="53"/>
      <c r="N1363" s="53"/>
      <c r="O1363" s="53"/>
      <c r="P1363" s="53"/>
      <c r="Q1363" s="53"/>
      <c r="R1363" s="53"/>
      <c r="S1363" s="53"/>
      <c r="T1363" s="53"/>
      <c r="U1363" s="53"/>
      <c r="V1363" s="53"/>
      <c r="W1363" s="53"/>
      <c r="X1363" s="53"/>
      <c r="Y1363" s="53"/>
      <c r="Z1363" s="53"/>
    </row>
    <row r="1364" spans="1:26" ht="15.75" customHeight="1">
      <c r="A1364" s="103"/>
      <c r="B1364" s="103"/>
      <c r="C1364" s="104" t="e">
        <v>#REF!</v>
      </c>
      <c r="D1364" s="103"/>
      <c r="E1364" s="53"/>
      <c r="F1364" s="53"/>
      <c r="G1364" s="53"/>
      <c r="H1364" s="53"/>
      <c r="I1364" s="53"/>
      <c r="J1364" s="53"/>
      <c r="K1364" s="53"/>
      <c r="L1364" s="53"/>
      <c r="M1364" s="53"/>
      <c r="N1364" s="53"/>
      <c r="O1364" s="53"/>
      <c r="P1364" s="53"/>
      <c r="Q1364" s="53"/>
      <c r="R1364" s="53"/>
      <c r="S1364" s="53"/>
      <c r="T1364" s="53"/>
      <c r="U1364" s="53"/>
      <c r="V1364" s="53"/>
      <c r="W1364" s="53"/>
      <c r="X1364" s="53"/>
      <c r="Y1364" s="53"/>
      <c r="Z1364" s="53"/>
    </row>
    <row r="1365" spans="1:26" ht="15.75" customHeight="1">
      <c r="A1365" s="103"/>
      <c r="B1365" s="103"/>
      <c r="C1365" s="104" t="e">
        <v>#REF!</v>
      </c>
      <c r="D1365" s="103"/>
      <c r="E1365" s="53"/>
      <c r="F1365" s="53"/>
      <c r="G1365" s="53"/>
      <c r="H1365" s="53"/>
      <c r="I1365" s="53"/>
      <c r="J1365" s="53"/>
      <c r="K1365" s="53"/>
      <c r="L1365" s="53"/>
      <c r="M1365" s="53"/>
      <c r="N1365" s="53"/>
      <c r="O1365" s="53"/>
      <c r="P1365" s="53"/>
      <c r="Q1365" s="53"/>
      <c r="R1365" s="53"/>
      <c r="S1365" s="53"/>
      <c r="T1365" s="53"/>
      <c r="U1365" s="53"/>
      <c r="V1365" s="53"/>
      <c r="W1365" s="53"/>
      <c r="X1365" s="53"/>
      <c r="Y1365" s="53"/>
      <c r="Z1365" s="53"/>
    </row>
    <row r="1366" spans="1:26" ht="15.75" customHeight="1">
      <c r="A1366" s="103"/>
      <c r="B1366" s="103"/>
      <c r="C1366" s="104" t="e">
        <v>#REF!</v>
      </c>
      <c r="D1366" s="103"/>
      <c r="E1366" s="53"/>
      <c r="F1366" s="53"/>
      <c r="G1366" s="53"/>
      <c r="H1366" s="53"/>
      <c r="I1366" s="53"/>
      <c r="J1366" s="53"/>
      <c r="K1366" s="53"/>
      <c r="L1366" s="53"/>
      <c r="M1366" s="53"/>
      <c r="N1366" s="53"/>
      <c r="O1366" s="53"/>
      <c r="P1366" s="53"/>
      <c r="Q1366" s="53"/>
      <c r="R1366" s="53"/>
      <c r="S1366" s="53"/>
      <c r="T1366" s="53"/>
      <c r="U1366" s="53"/>
      <c r="V1366" s="53"/>
      <c r="W1366" s="53"/>
      <c r="X1366" s="53"/>
      <c r="Y1366" s="53"/>
      <c r="Z1366" s="53"/>
    </row>
    <row r="1367" spans="1:26" ht="15.75" customHeight="1">
      <c r="A1367" s="103"/>
      <c r="B1367" s="103"/>
      <c r="C1367" s="104" t="e">
        <v>#REF!</v>
      </c>
      <c r="D1367" s="103"/>
      <c r="E1367" s="53"/>
      <c r="F1367" s="53"/>
      <c r="G1367" s="53"/>
      <c r="H1367" s="53"/>
      <c r="I1367" s="53"/>
      <c r="J1367" s="53"/>
      <c r="K1367" s="53"/>
      <c r="L1367" s="53"/>
      <c r="M1367" s="53"/>
      <c r="N1367" s="53"/>
      <c r="O1367" s="53"/>
      <c r="P1367" s="53"/>
      <c r="Q1367" s="53"/>
      <c r="R1367" s="53"/>
      <c r="S1367" s="53"/>
      <c r="T1367" s="53"/>
      <c r="U1367" s="53"/>
      <c r="V1367" s="53"/>
      <c r="W1367" s="53"/>
      <c r="X1367" s="53"/>
      <c r="Y1367" s="53"/>
      <c r="Z1367" s="53"/>
    </row>
    <row r="1368" spans="1:26" ht="15.75" customHeight="1">
      <c r="A1368" s="103"/>
      <c r="B1368" s="103"/>
      <c r="C1368" s="104" t="e">
        <v>#REF!</v>
      </c>
      <c r="D1368" s="103"/>
      <c r="E1368" s="53"/>
      <c r="F1368" s="53"/>
      <c r="G1368" s="53"/>
      <c r="H1368" s="53"/>
      <c r="I1368" s="53"/>
      <c r="J1368" s="53"/>
      <c r="K1368" s="53"/>
      <c r="L1368" s="53"/>
      <c r="M1368" s="53"/>
      <c r="N1368" s="53"/>
      <c r="O1368" s="53"/>
      <c r="P1368" s="53"/>
      <c r="Q1368" s="53"/>
      <c r="R1368" s="53"/>
      <c r="S1368" s="53"/>
      <c r="T1368" s="53"/>
      <c r="U1368" s="53"/>
      <c r="V1368" s="53"/>
      <c r="W1368" s="53"/>
      <c r="X1368" s="53"/>
      <c r="Y1368" s="53"/>
      <c r="Z1368" s="53"/>
    </row>
    <row r="1369" spans="1:26" ht="15.75" customHeight="1">
      <c r="A1369" s="103"/>
      <c r="B1369" s="103"/>
      <c r="C1369" s="104" t="e">
        <v>#REF!</v>
      </c>
      <c r="D1369" s="103"/>
      <c r="E1369" s="53"/>
      <c r="F1369" s="53"/>
      <c r="G1369" s="53"/>
      <c r="H1369" s="53"/>
      <c r="I1369" s="53"/>
      <c r="J1369" s="53"/>
      <c r="K1369" s="53"/>
      <c r="L1369" s="53"/>
      <c r="M1369" s="53"/>
      <c r="N1369" s="53"/>
      <c r="O1369" s="53"/>
      <c r="P1369" s="53"/>
      <c r="Q1369" s="53"/>
      <c r="R1369" s="53"/>
      <c r="S1369" s="53"/>
      <c r="T1369" s="53"/>
      <c r="U1369" s="53"/>
      <c r="V1369" s="53"/>
      <c r="W1369" s="53"/>
      <c r="X1369" s="53"/>
      <c r="Y1369" s="53"/>
      <c r="Z1369" s="53"/>
    </row>
    <row r="1370" spans="1:26" ht="15.75" customHeight="1">
      <c r="A1370" s="103"/>
      <c r="B1370" s="103"/>
      <c r="C1370" s="104" t="e">
        <v>#REF!</v>
      </c>
      <c r="D1370" s="103"/>
      <c r="E1370" s="53"/>
      <c r="F1370" s="53"/>
      <c r="G1370" s="53"/>
      <c r="H1370" s="53"/>
      <c r="I1370" s="53"/>
      <c r="J1370" s="53"/>
      <c r="K1370" s="53"/>
      <c r="L1370" s="53"/>
      <c r="M1370" s="53"/>
      <c r="N1370" s="53"/>
      <c r="O1370" s="53"/>
      <c r="P1370" s="53"/>
      <c r="Q1370" s="53"/>
      <c r="R1370" s="53"/>
      <c r="S1370" s="53"/>
      <c r="T1370" s="53"/>
      <c r="U1370" s="53"/>
      <c r="V1370" s="53"/>
      <c r="W1370" s="53"/>
      <c r="X1370" s="53"/>
      <c r="Y1370" s="53"/>
      <c r="Z1370" s="53"/>
    </row>
    <row r="1371" spans="1:26" ht="15.75" customHeight="1">
      <c r="A1371" s="103"/>
      <c r="B1371" s="103"/>
      <c r="C1371" s="104" t="e">
        <v>#REF!</v>
      </c>
      <c r="D1371" s="103"/>
      <c r="E1371" s="53"/>
      <c r="F1371" s="53"/>
      <c r="G1371" s="53"/>
      <c r="H1371" s="53"/>
      <c r="I1371" s="53"/>
      <c r="J1371" s="53"/>
      <c r="K1371" s="53"/>
      <c r="L1371" s="53"/>
      <c r="M1371" s="53"/>
      <c r="N1371" s="53"/>
      <c r="O1371" s="53"/>
      <c r="P1371" s="53"/>
      <c r="Q1371" s="53"/>
      <c r="R1371" s="53"/>
      <c r="S1371" s="53"/>
      <c r="T1371" s="53"/>
      <c r="U1371" s="53"/>
      <c r="V1371" s="53"/>
      <c r="W1371" s="53"/>
      <c r="X1371" s="53"/>
      <c r="Y1371" s="53"/>
      <c r="Z1371" s="53"/>
    </row>
    <row r="1372" spans="1:26" ht="15.75" customHeight="1">
      <c r="A1372" s="103"/>
      <c r="B1372" s="103"/>
      <c r="C1372" s="104" t="e">
        <v>#REF!</v>
      </c>
      <c r="D1372" s="103"/>
      <c r="E1372" s="53"/>
      <c r="F1372" s="53"/>
      <c r="G1372" s="53"/>
      <c r="H1372" s="53"/>
      <c r="I1372" s="53"/>
      <c r="J1372" s="53"/>
      <c r="K1372" s="53"/>
      <c r="L1372" s="53"/>
      <c r="M1372" s="53"/>
      <c r="N1372" s="53"/>
      <c r="O1372" s="53"/>
      <c r="P1372" s="53"/>
      <c r="Q1372" s="53"/>
      <c r="R1372" s="53"/>
      <c r="S1372" s="53"/>
      <c r="T1372" s="53"/>
      <c r="U1372" s="53"/>
      <c r="V1372" s="53"/>
      <c r="W1372" s="53"/>
      <c r="X1372" s="53"/>
      <c r="Y1372" s="53"/>
      <c r="Z1372" s="53"/>
    </row>
    <row r="1373" spans="1:26" ht="15.75" customHeight="1">
      <c r="A1373" s="103"/>
      <c r="B1373" s="103"/>
      <c r="C1373" s="104" t="e">
        <v>#REF!</v>
      </c>
      <c r="D1373" s="103"/>
      <c r="E1373" s="53"/>
      <c r="F1373" s="53"/>
      <c r="G1373" s="53"/>
      <c r="H1373" s="53"/>
      <c r="I1373" s="53"/>
      <c r="J1373" s="53"/>
      <c r="K1373" s="53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  <c r="W1373" s="53"/>
      <c r="X1373" s="53"/>
      <c r="Y1373" s="53"/>
      <c r="Z1373" s="53"/>
    </row>
    <row r="1374" spans="1:26" ht="15.75" customHeight="1">
      <c r="A1374" s="103"/>
      <c r="B1374" s="103"/>
      <c r="C1374" s="104" t="e">
        <v>#REF!</v>
      </c>
      <c r="D1374" s="103"/>
      <c r="E1374" s="53"/>
      <c r="F1374" s="53"/>
      <c r="G1374" s="53"/>
      <c r="H1374" s="53"/>
      <c r="I1374" s="53"/>
      <c r="J1374" s="53"/>
      <c r="K1374" s="53"/>
      <c r="L1374" s="53"/>
      <c r="M1374" s="53"/>
      <c r="N1374" s="53"/>
      <c r="O1374" s="53"/>
      <c r="P1374" s="53"/>
      <c r="Q1374" s="53"/>
      <c r="R1374" s="53"/>
      <c r="S1374" s="53"/>
      <c r="T1374" s="53"/>
      <c r="U1374" s="53"/>
      <c r="V1374" s="53"/>
      <c r="W1374" s="53"/>
      <c r="X1374" s="53"/>
      <c r="Y1374" s="53"/>
      <c r="Z1374" s="53"/>
    </row>
    <row r="1375" spans="1:26" ht="15.75" customHeight="1">
      <c r="A1375" s="103"/>
      <c r="B1375" s="103"/>
      <c r="C1375" s="104" t="e">
        <v>#REF!</v>
      </c>
      <c r="D1375" s="103"/>
      <c r="E1375" s="53"/>
      <c r="F1375" s="53"/>
      <c r="G1375" s="53"/>
      <c r="H1375" s="53"/>
      <c r="I1375" s="53"/>
      <c r="J1375" s="53"/>
      <c r="K1375" s="53"/>
      <c r="L1375" s="53"/>
      <c r="M1375" s="53"/>
      <c r="N1375" s="53"/>
      <c r="O1375" s="53"/>
      <c r="P1375" s="53"/>
      <c r="Q1375" s="53"/>
      <c r="R1375" s="53"/>
      <c r="S1375" s="53"/>
      <c r="T1375" s="53"/>
      <c r="U1375" s="53"/>
      <c r="V1375" s="53"/>
      <c r="W1375" s="53"/>
      <c r="X1375" s="53"/>
      <c r="Y1375" s="53"/>
      <c r="Z1375" s="53"/>
    </row>
    <row r="1376" spans="1:26" ht="15.75" customHeight="1">
      <c r="A1376" s="103"/>
      <c r="B1376" s="103"/>
      <c r="C1376" s="104" t="e">
        <v>#REF!</v>
      </c>
      <c r="D1376" s="103"/>
      <c r="E1376" s="53"/>
      <c r="F1376" s="53"/>
      <c r="G1376" s="53"/>
      <c r="H1376" s="53"/>
      <c r="I1376" s="53"/>
      <c r="J1376" s="53"/>
      <c r="K1376" s="53"/>
      <c r="L1376" s="53"/>
      <c r="M1376" s="53"/>
      <c r="N1376" s="53"/>
      <c r="O1376" s="53"/>
      <c r="P1376" s="53"/>
      <c r="Q1376" s="53"/>
      <c r="R1376" s="53"/>
      <c r="S1376" s="53"/>
      <c r="T1376" s="53"/>
      <c r="U1376" s="53"/>
      <c r="V1376" s="53"/>
      <c r="W1376" s="53"/>
      <c r="X1376" s="53"/>
      <c r="Y1376" s="53"/>
      <c r="Z1376" s="53"/>
    </row>
    <row r="1377" spans="1:26" ht="15.75" customHeight="1">
      <c r="A1377" s="103"/>
      <c r="B1377" s="103"/>
      <c r="C1377" s="104" t="e">
        <v>#REF!</v>
      </c>
      <c r="D1377" s="103"/>
      <c r="E1377" s="53"/>
      <c r="F1377" s="53"/>
      <c r="G1377" s="53"/>
      <c r="H1377" s="53"/>
      <c r="I1377" s="53"/>
      <c r="J1377" s="53"/>
      <c r="K1377" s="53"/>
      <c r="L1377" s="53"/>
      <c r="M1377" s="53"/>
      <c r="N1377" s="53"/>
      <c r="O1377" s="53"/>
      <c r="P1377" s="53"/>
      <c r="Q1377" s="53"/>
      <c r="R1377" s="53"/>
      <c r="S1377" s="53"/>
      <c r="T1377" s="53"/>
      <c r="U1377" s="53"/>
      <c r="V1377" s="53"/>
      <c r="W1377" s="53"/>
      <c r="X1377" s="53"/>
      <c r="Y1377" s="53"/>
      <c r="Z1377" s="53"/>
    </row>
    <row r="1378" spans="1:26" ht="15.75" customHeight="1">
      <c r="A1378" s="103"/>
      <c r="B1378" s="103"/>
      <c r="C1378" s="104" t="e">
        <v>#REF!</v>
      </c>
      <c r="D1378" s="103"/>
      <c r="E1378" s="53"/>
      <c r="F1378" s="53"/>
      <c r="G1378" s="53"/>
      <c r="H1378" s="53"/>
      <c r="I1378" s="53"/>
      <c r="J1378" s="53"/>
      <c r="K1378" s="53"/>
      <c r="L1378" s="53"/>
      <c r="M1378" s="53"/>
      <c r="N1378" s="53"/>
      <c r="O1378" s="53"/>
      <c r="P1378" s="53"/>
      <c r="Q1378" s="53"/>
      <c r="R1378" s="53"/>
      <c r="S1378" s="53"/>
      <c r="T1378" s="53"/>
      <c r="U1378" s="53"/>
      <c r="V1378" s="53"/>
      <c r="W1378" s="53"/>
      <c r="X1378" s="53"/>
      <c r="Y1378" s="53"/>
      <c r="Z1378" s="53"/>
    </row>
    <row r="1379" spans="1:26" ht="15.75" customHeight="1">
      <c r="A1379" s="103"/>
      <c r="B1379" s="103"/>
      <c r="C1379" s="104" t="e">
        <v>#REF!</v>
      </c>
      <c r="D1379" s="103"/>
      <c r="E1379" s="53"/>
      <c r="F1379" s="53"/>
      <c r="G1379" s="53"/>
      <c r="H1379" s="53"/>
      <c r="I1379" s="53"/>
      <c r="J1379" s="53"/>
      <c r="K1379" s="53"/>
      <c r="L1379" s="53"/>
      <c r="M1379" s="53"/>
      <c r="N1379" s="53"/>
      <c r="O1379" s="53"/>
      <c r="P1379" s="53"/>
      <c r="Q1379" s="53"/>
      <c r="R1379" s="53"/>
      <c r="S1379" s="53"/>
      <c r="T1379" s="53"/>
      <c r="U1379" s="53"/>
      <c r="V1379" s="53"/>
      <c r="W1379" s="53"/>
      <c r="X1379" s="53"/>
      <c r="Y1379" s="53"/>
      <c r="Z1379" s="53"/>
    </row>
    <row r="1380" spans="1:26" ht="15.75" customHeight="1">
      <c r="A1380" s="103"/>
      <c r="B1380" s="103"/>
      <c r="C1380" s="104" t="e">
        <v>#REF!</v>
      </c>
      <c r="D1380" s="103"/>
      <c r="E1380" s="53"/>
      <c r="F1380" s="53"/>
      <c r="G1380" s="53"/>
      <c r="H1380" s="53"/>
      <c r="I1380" s="53"/>
      <c r="J1380" s="53"/>
      <c r="K1380" s="53"/>
      <c r="L1380" s="53"/>
      <c r="M1380" s="53"/>
      <c r="N1380" s="53"/>
      <c r="O1380" s="53"/>
      <c r="P1380" s="53"/>
      <c r="Q1380" s="53"/>
      <c r="R1380" s="53"/>
      <c r="S1380" s="53"/>
      <c r="T1380" s="53"/>
      <c r="U1380" s="53"/>
      <c r="V1380" s="53"/>
      <c r="W1380" s="53"/>
      <c r="X1380" s="53"/>
      <c r="Y1380" s="53"/>
      <c r="Z1380" s="53"/>
    </row>
    <row r="1381" spans="1:26" ht="15.75" customHeight="1">
      <c r="A1381" s="103"/>
      <c r="B1381" s="103"/>
      <c r="C1381" s="104" t="e">
        <v>#REF!</v>
      </c>
      <c r="D1381" s="103"/>
      <c r="E1381" s="53"/>
      <c r="F1381" s="53"/>
      <c r="G1381" s="53"/>
      <c r="H1381" s="53"/>
      <c r="I1381" s="53"/>
      <c r="J1381" s="53"/>
      <c r="K1381" s="53"/>
      <c r="L1381" s="53"/>
      <c r="M1381" s="53"/>
      <c r="N1381" s="53"/>
      <c r="O1381" s="53"/>
      <c r="P1381" s="53"/>
      <c r="Q1381" s="53"/>
      <c r="R1381" s="53"/>
      <c r="S1381" s="53"/>
      <c r="T1381" s="53"/>
      <c r="U1381" s="53"/>
      <c r="V1381" s="53"/>
      <c r="W1381" s="53"/>
      <c r="X1381" s="53"/>
      <c r="Y1381" s="53"/>
      <c r="Z1381" s="53"/>
    </row>
    <row r="1382" spans="1:26" ht="15.75" customHeight="1">
      <c r="A1382" s="103"/>
      <c r="B1382" s="103"/>
      <c r="C1382" s="104" t="e">
        <v>#REF!</v>
      </c>
      <c r="D1382" s="103"/>
      <c r="E1382" s="53"/>
      <c r="F1382" s="53"/>
      <c r="G1382" s="53"/>
      <c r="H1382" s="53"/>
      <c r="I1382" s="53"/>
      <c r="J1382" s="53"/>
      <c r="K1382" s="53"/>
      <c r="L1382" s="53"/>
      <c r="M1382" s="53"/>
      <c r="N1382" s="53"/>
      <c r="O1382" s="53"/>
      <c r="P1382" s="53"/>
      <c r="Q1382" s="53"/>
      <c r="R1382" s="53"/>
      <c r="S1382" s="53"/>
      <c r="T1382" s="53"/>
      <c r="U1382" s="53"/>
      <c r="V1382" s="53"/>
      <c r="W1382" s="53"/>
      <c r="X1382" s="53"/>
      <c r="Y1382" s="53"/>
      <c r="Z1382" s="53"/>
    </row>
    <row r="1383" spans="1:26" ht="15.75" customHeight="1">
      <c r="A1383" s="103"/>
      <c r="B1383" s="103"/>
      <c r="C1383" s="104" t="e">
        <v>#REF!</v>
      </c>
      <c r="D1383" s="103"/>
      <c r="E1383" s="53"/>
      <c r="F1383" s="53"/>
      <c r="G1383" s="53"/>
      <c r="H1383" s="53"/>
      <c r="I1383" s="53"/>
      <c r="J1383" s="53"/>
      <c r="K1383" s="53"/>
      <c r="L1383" s="53"/>
      <c r="M1383" s="53"/>
      <c r="N1383" s="53"/>
      <c r="O1383" s="53"/>
      <c r="P1383" s="53"/>
      <c r="Q1383" s="53"/>
      <c r="R1383" s="53"/>
      <c r="S1383" s="53"/>
      <c r="T1383" s="53"/>
      <c r="U1383" s="53"/>
      <c r="V1383" s="53"/>
      <c r="W1383" s="53"/>
      <c r="X1383" s="53"/>
      <c r="Y1383" s="53"/>
      <c r="Z1383" s="53"/>
    </row>
    <row r="1384" spans="1:26" ht="15.75" customHeight="1">
      <c r="A1384" s="103"/>
      <c r="B1384" s="103"/>
      <c r="C1384" s="104" t="e">
        <v>#REF!</v>
      </c>
      <c r="D1384" s="103"/>
      <c r="E1384" s="53"/>
      <c r="F1384" s="53"/>
      <c r="G1384" s="53"/>
      <c r="H1384" s="53"/>
      <c r="I1384" s="53"/>
      <c r="J1384" s="53"/>
      <c r="K1384" s="53"/>
      <c r="L1384" s="53"/>
      <c r="M1384" s="53"/>
      <c r="N1384" s="53"/>
      <c r="O1384" s="53"/>
      <c r="P1384" s="53"/>
      <c r="Q1384" s="53"/>
      <c r="R1384" s="53"/>
      <c r="S1384" s="53"/>
      <c r="T1384" s="53"/>
      <c r="U1384" s="53"/>
      <c r="V1384" s="53"/>
      <c r="W1384" s="53"/>
      <c r="X1384" s="53"/>
      <c r="Y1384" s="53"/>
      <c r="Z1384" s="53"/>
    </row>
    <row r="1385" spans="1:26" ht="15.75" customHeight="1">
      <c r="A1385" s="103"/>
      <c r="B1385" s="103"/>
      <c r="C1385" s="104" t="e">
        <v>#REF!</v>
      </c>
      <c r="D1385" s="103"/>
      <c r="E1385" s="53"/>
      <c r="F1385" s="53"/>
      <c r="G1385" s="53"/>
      <c r="H1385" s="53"/>
      <c r="I1385" s="53"/>
      <c r="J1385" s="53"/>
      <c r="K1385" s="53"/>
      <c r="L1385" s="53"/>
      <c r="M1385" s="53"/>
      <c r="N1385" s="53"/>
      <c r="O1385" s="53"/>
      <c r="P1385" s="53"/>
      <c r="Q1385" s="53"/>
      <c r="R1385" s="53"/>
      <c r="S1385" s="53"/>
      <c r="T1385" s="53"/>
      <c r="U1385" s="53"/>
      <c r="V1385" s="53"/>
      <c r="W1385" s="53"/>
      <c r="X1385" s="53"/>
      <c r="Y1385" s="53"/>
      <c r="Z1385" s="53"/>
    </row>
    <row r="1386" spans="1:26" ht="15.75" customHeight="1">
      <c r="A1386" s="103"/>
      <c r="B1386" s="103"/>
      <c r="C1386" s="104" t="e">
        <v>#REF!</v>
      </c>
      <c r="D1386" s="103"/>
      <c r="E1386" s="53"/>
      <c r="F1386" s="53"/>
      <c r="G1386" s="53"/>
      <c r="H1386" s="53"/>
      <c r="I1386" s="53"/>
      <c r="J1386" s="53"/>
      <c r="K1386" s="53"/>
      <c r="L1386" s="53"/>
      <c r="M1386" s="53"/>
      <c r="N1386" s="53"/>
      <c r="O1386" s="53"/>
      <c r="P1386" s="53"/>
      <c r="Q1386" s="53"/>
      <c r="R1386" s="53"/>
      <c r="S1386" s="53"/>
      <c r="T1386" s="53"/>
      <c r="U1386" s="53"/>
      <c r="V1386" s="53"/>
      <c r="W1386" s="53"/>
      <c r="X1386" s="53"/>
      <c r="Y1386" s="53"/>
      <c r="Z1386" s="53"/>
    </row>
    <row r="1387" spans="1:26" ht="15.75" customHeight="1">
      <c r="A1387" s="103"/>
      <c r="B1387" s="103"/>
      <c r="C1387" s="104" t="e">
        <v>#REF!</v>
      </c>
      <c r="D1387" s="103"/>
      <c r="E1387" s="53"/>
      <c r="F1387" s="53"/>
      <c r="G1387" s="53"/>
      <c r="H1387" s="53"/>
      <c r="I1387" s="53"/>
      <c r="J1387" s="53"/>
      <c r="K1387" s="53"/>
      <c r="L1387" s="53"/>
      <c r="M1387" s="53"/>
      <c r="N1387" s="53"/>
      <c r="O1387" s="53"/>
      <c r="P1387" s="53"/>
      <c r="Q1387" s="53"/>
      <c r="R1387" s="53"/>
      <c r="S1387" s="53"/>
      <c r="T1387" s="53"/>
      <c r="U1387" s="53"/>
      <c r="V1387" s="53"/>
      <c r="W1387" s="53"/>
      <c r="X1387" s="53"/>
      <c r="Y1387" s="53"/>
      <c r="Z1387" s="53"/>
    </row>
    <row r="1388" spans="1:26" ht="15.75" customHeight="1">
      <c r="A1388" s="103"/>
      <c r="B1388" s="103"/>
      <c r="C1388" s="104" t="e">
        <v>#REF!</v>
      </c>
      <c r="D1388" s="103"/>
      <c r="E1388" s="53"/>
      <c r="F1388" s="53"/>
      <c r="G1388" s="53"/>
      <c r="H1388" s="53"/>
      <c r="I1388" s="53"/>
      <c r="J1388" s="53"/>
      <c r="K1388" s="53"/>
      <c r="L1388" s="53"/>
      <c r="M1388" s="53"/>
      <c r="N1388" s="53"/>
      <c r="O1388" s="53"/>
      <c r="P1388" s="53"/>
      <c r="Q1388" s="53"/>
      <c r="R1388" s="53"/>
      <c r="S1388" s="53"/>
      <c r="T1388" s="53"/>
      <c r="U1388" s="53"/>
      <c r="V1388" s="53"/>
      <c r="W1388" s="53"/>
      <c r="X1388" s="53"/>
      <c r="Y1388" s="53"/>
      <c r="Z1388" s="53"/>
    </row>
    <row r="1389" spans="1:26" ht="15.75" customHeight="1">
      <c r="A1389" s="103"/>
      <c r="B1389" s="103"/>
      <c r="C1389" s="104" t="e">
        <v>#REF!</v>
      </c>
      <c r="D1389" s="103"/>
      <c r="E1389" s="53"/>
      <c r="F1389" s="53"/>
      <c r="G1389" s="53"/>
      <c r="H1389" s="53"/>
      <c r="I1389" s="53"/>
      <c r="J1389" s="53"/>
      <c r="K1389" s="53"/>
      <c r="L1389" s="53"/>
      <c r="M1389" s="53"/>
      <c r="N1389" s="53"/>
      <c r="O1389" s="53"/>
      <c r="P1389" s="53"/>
      <c r="Q1389" s="53"/>
      <c r="R1389" s="53"/>
      <c r="S1389" s="53"/>
      <c r="T1389" s="53"/>
      <c r="U1389" s="53"/>
      <c r="V1389" s="53"/>
      <c r="W1389" s="53"/>
      <c r="X1389" s="53"/>
      <c r="Y1389" s="53"/>
      <c r="Z1389" s="53"/>
    </row>
    <row r="1390" spans="1:26" ht="15.75" customHeight="1">
      <c r="A1390" s="103"/>
      <c r="B1390" s="103"/>
      <c r="C1390" s="104" t="e">
        <v>#REF!</v>
      </c>
      <c r="D1390" s="103"/>
      <c r="E1390" s="53"/>
      <c r="F1390" s="53"/>
      <c r="G1390" s="53"/>
      <c r="H1390" s="53"/>
      <c r="I1390" s="53"/>
      <c r="J1390" s="53"/>
      <c r="K1390" s="53"/>
      <c r="L1390" s="53"/>
      <c r="M1390" s="53"/>
      <c r="N1390" s="53"/>
      <c r="O1390" s="53"/>
      <c r="P1390" s="53"/>
      <c r="Q1390" s="53"/>
      <c r="R1390" s="53"/>
      <c r="S1390" s="53"/>
      <c r="T1390" s="53"/>
      <c r="U1390" s="53"/>
      <c r="V1390" s="53"/>
      <c r="W1390" s="53"/>
      <c r="X1390" s="53"/>
      <c r="Y1390" s="53"/>
      <c r="Z1390" s="53"/>
    </row>
    <row r="1391" spans="1:26" ht="15.75" customHeight="1">
      <c r="A1391" s="103"/>
      <c r="B1391" s="103"/>
      <c r="C1391" s="104" t="e">
        <v>#REF!</v>
      </c>
      <c r="D1391" s="103"/>
      <c r="E1391" s="53"/>
      <c r="F1391" s="53"/>
      <c r="G1391" s="53"/>
      <c r="H1391" s="53"/>
      <c r="I1391" s="53"/>
      <c r="J1391" s="53"/>
      <c r="K1391" s="53"/>
      <c r="L1391" s="53"/>
      <c r="M1391" s="53"/>
      <c r="N1391" s="53"/>
      <c r="O1391" s="53"/>
      <c r="P1391" s="53"/>
      <c r="Q1391" s="53"/>
      <c r="R1391" s="53"/>
      <c r="S1391" s="53"/>
      <c r="T1391" s="53"/>
      <c r="U1391" s="53"/>
      <c r="V1391" s="53"/>
      <c r="W1391" s="53"/>
      <c r="X1391" s="53"/>
      <c r="Y1391" s="53"/>
      <c r="Z1391" s="53"/>
    </row>
    <row r="1392" spans="1:26" ht="15.75" customHeight="1">
      <c r="A1392" s="103"/>
      <c r="B1392" s="103"/>
      <c r="C1392" s="104" t="e">
        <v>#REF!</v>
      </c>
      <c r="D1392" s="103"/>
      <c r="E1392" s="53"/>
      <c r="F1392" s="53"/>
      <c r="G1392" s="53"/>
      <c r="H1392" s="53"/>
      <c r="I1392" s="53"/>
      <c r="J1392" s="53"/>
      <c r="K1392" s="53"/>
      <c r="L1392" s="53"/>
      <c r="M1392" s="53"/>
      <c r="N1392" s="53"/>
      <c r="O1392" s="53"/>
      <c r="P1392" s="53"/>
      <c r="Q1392" s="53"/>
      <c r="R1392" s="53"/>
      <c r="S1392" s="53"/>
      <c r="T1392" s="53"/>
      <c r="U1392" s="53"/>
      <c r="V1392" s="53"/>
      <c r="W1392" s="53"/>
      <c r="X1392" s="53"/>
      <c r="Y1392" s="53"/>
      <c r="Z1392" s="53"/>
    </row>
    <row r="1393" spans="1:26" ht="15.75" customHeight="1">
      <c r="A1393" s="103"/>
      <c r="B1393" s="103"/>
      <c r="C1393" s="104" t="e">
        <v>#REF!</v>
      </c>
      <c r="D1393" s="103"/>
      <c r="E1393" s="53"/>
      <c r="F1393" s="53"/>
      <c r="G1393" s="53"/>
      <c r="H1393" s="53"/>
      <c r="I1393" s="53"/>
      <c r="J1393" s="53"/>
      <c r="K1393" s="53"/>
      <c r="L1393" s="53"/>
      <c r="M1393" s="53"/>
      <c r="N1393" s="53"/>
      <c r="O1393" s="53"/>
      <c r="P1393" s="53"/>
      <c r="Q1393" s="53"/>
      <c r="R1393" s="53"/>
      <c r="S1393" s="53"/>
      <c r="T1393" s="53"/>
      <c r="U1393" s="53"/>
      <c r="V1393" s="53"/>
      <c r="W1393" s="53"/>
      <c r="X1393" s="53"/>
      <c r="Y1393" s="53"/>
      <c r="Z1393" s="53"/>
    </row>
    <row r="1394" spans="1:26" ht="15.75" customHeight="1">
      <c r="A1394" s="103"/>
      <c r="B1394" s="103"/>
      <c r="C1394" s="104" t="e">
        <v>#REF!</v>
      </c>
      <c r="D1394" s="103"/>
      <c r="E1394" s="53"/>
      <c r="F1394" s="53"/>
      <c r="G1394" s="53"/>
      <c r="H1394" s="53"/>
      <c r="I1394" s="53"/>
      <c r="J1394" s="53"/>
      <c r="K1394" s="53"/>
      <c r="L1394" s="53"/>
      <c r="M1394" s="53"/>
      <c r="N1394" s="53"/>
      <c r="O1394" s="53"/>
      <c r="P1394" s="53"/>
      <c r="Q1394" s="53"/>
      <c r="R1394" s="53"/>
      <c r="S1394" s="53"/>
      <c r="T1394" s="53"/>
      <c r="U1394" s="53"/>
      <c r="V1394" s="53"/>
      <c r="W1394" s="53"/>
      <c r="X1394" s="53"/>
      <c r="Y1394" s="53"/>
      <c r="Z1394" s="53"/>
    </row>
    <row r="1395" spans="1:26" ht="15.75" customHeight="1">
      <c r="A1395" s="103"/>
      <c r="B1395" s="103"/>
      <c r="C1395" s="104" t="e">
        <v>#REF!</v>
      </c>
      <c r="D1395" s="103"/>
      <c r="E1395" s="53"/>
      <c r="F1395" s="53"/>
      <c r="G1395" s="53"/>
      <c r="H1395" s="53"/>
      <c r="I1395" s="53"/>
      <c r="J1395" s="53"/>
      <c r="K1395" s="53"/>
      <c r="L1395" s="53"/>
      <c r="M1395" s="53"/>
      <c r="N1395" s="53"/>
      <c r="O1395" s="53"/>
      <c r="P1395" s="53"/>
      <c r="Q1395" s="53"/>
      <c r="R1395" s="53"/>
      <c r="S1395" s="53"/>
      <c r="T1395" s="53"/>
      <c r="U1395" s="53"/>
      <c r="V1395" s="53"/>
      <c r="W1395" s="53"/>
      <c r="X1395" s="53"/>
      <c r="Y1395" s="53"/>
      <c r="Z1395" s="53"/>
    </row>
    <row r="1396" spans="1:26" ht="15.75" customHeight="1">
      <c r="A1396" s="103"/>
      <c r="B1396" s="103"/>
      <c r="C1396" s="104" t="e">
        <v>#REF!</v>
      </c>
      <c r="D1396" s="103"/>
      <c r="E1396" s="53"/>
      <c r="F1396" s="53"/>
      <c r="G1396" s="53"/>
      <c r="H1396" s="53"/>
      <c r="I1396" s="53"/>
      <c r="J1396" s="53"/>
      <c r="K1396" s="53"/>
      <c r="L1396" s="53"/>
      <c r="M1396" s="53"/>
      <c r="N1396" s="53"/>
      <c r="O1396" s="53"/>
      <c r="P1396" s="53"/>
      <c r="Q1396" s="53"/>
      <c r="R1396" s="53"/>
      <c r="S1396" s="53"/>
      <c r="T1396" s="53"/>
      <c r="U1396" s="53"/>
      <c r="V1396" s="53"/>
      <c r="W1396" s="53"/>
      <c r="X1396" s="53"/>
      <c r="Y1396" s="53"/>
      <c r="Z1396" s="53"/>
    </row>
    <row r="1397" spans="1:26" ht="15.75" customHeight="1">
      <c r="A1397" s="103"/>
      <c r="B1397" s="103"/>
      <c r="C1397" s="104" t="e">
        <v>#REF!</v>
      </c>
      <c r="D1397" s="103"/>
      <c r="E1397" s="53"/>
      <c r="F1397" s="53"/>
      <c r="G1397" s="53"/>
      <c r="H1397" s="53"/>
      <c r="I1397" s="53"/>
      <c r="J1397" s="53"/>
      <c r="K1397" s="53"/>
      <c r="L1397" s="53"/>
      <c r="M1397" s="53"/>
      <c r="N1397" s="53"/>
      <c r="O1397" s="53"/>
      <c r="P1397" s="53"/>
      <c r="Q1397" s="53"/>
      <c r="R1397" s="53"/>
      <c r="S1397" s="53"/>
      <c r="T1397" s="53"/>
      <c r="U1397" s="53"/>
      <c r="V1397" s="53"/>
      <c r="W1397" s="53"/>
      <c r="X1397" s="53"/>
      <c r="Y1397" s="53"/>
      <c r="Z1397" s="53"/>
    </row>
    <row r="1398" spans="1:26" ht="15.75" customHeight="1">
      <c r="A1398" s="103"/>
      <c r="B1398" s="103"/>
      <c r="C1398" s="104" t="e">
        <v>#REF!</v>
      </c>
      <c r="D1398" s="103"/>
      <c r="E1398" s="53"/>
      <c r="F1398" s="53"/>
      <c r="G1398" s="53"/>
      <c r="H1398" s="53"/>
      <c r="I1398" s="53"/>
      <c r="J1398" s="53"/>
      <c r="K1398" s="53"/>
      <c r="L1398" s="53"/>
      <c r="M1398" s="53"/>
      <c r="N1398" s="53"/>
      <c r="O1398" s="53"/>
      <c r="P1398" s="53"/>
      <c r="Q1398" s="53"/>
      <c r="R1398" s="53"/>
      <c r="S1398" s="53"/>
      <c r="T1398" s="53"/>
      <c r="U1398" s="53"/>
      <c r="V1398" s="53"/>
      <c r="W1398" s="53"/>
      <c r="X1398" s="53"/>
      <c r="Y1398" s="53"/>
      <c r="Z1398" s="53"/>
    </row>
    <row r="1399" spans="1:26" ht="15.75" customHeight="1">
      <c r="A1399" s="103"/>
      <c r="B1399" s="103"/>
      <c r="C1399" s="104" t="e">
        <v>#REF!</v>
      </c>
      <c r="D1399" s="103"/>
      <c r="E1399" s="53"/>
      <c r="F1399" s="53"/>
      <c r="G1399" s="53"/>
      <c r="H1399" s="53"/>
      <c r="I1399" s="53"/>
      <c r="J1399" s="53"/>
      <c r="K1399" s="53"/>
      <c r="L1399" s="53"/>
      <c r="M1399" s="53"/>
      <c r="N1399" s="53"/>
      <c r="O1399" s="53"/>
      <c r="P1399" s="53"/>
      <c r="Q1399" s="53"/>
      <c r="R1399" s="53"/>
      <c r="S1399" s="53"/>
      <c r="T1399" s="53"/>
      <c r="U1399" s="53"/>
      <c r="V1399" s="53"/>
      <c r="W1399" s="53"/>
      <c r="X1399" s="53"/>
      <c r="Y1399" s="53"/>
      <c r="Z1399" s="53"/>
    </row>
    <row r="1400" spans="1:26" ht="15.75" customHeight="1">
      <c r="A1400" s="103"/>
      <c r="B1400" s="103"/>
      <c r="C1400" s="104" t="e">
        <v>#REF!</v>
      </c>
      <c r="D1400" s="103"/>
      <c r="E1400" s="53"/>
      <c r="F1400" s="53"/>
      <c r="G1400" s="53"/>
      <c r="H1400" s="53"/>
      <c r="I1400" s="53"/>
      <c r="J1400" s="53"/>
      <c r="K1400" s="53"/>
      <c r="L1400" s="53"/>
      <c r="M1400" s="53"/>
      <c r="N1400" s="53"/>
      <c r="O1400" s="53"/>
      <c r="P1400" s="53"/>
      <c r="Q1400" s="53"/>
      <c r="R1400" s="53"/>
      <c r="S1400" s="53"/>
      <c r="T1400" s="53"/>
      <c r="U1400" s="53"/>
      <c r="V1400" s="53"/>
      <c r="W1400" s="53"/>
      <c r="X1400" s="53"/>
      <c r="Y1400" s="53"/>
      <c r="Z1400" s="53"/>
    </row>
    <row r="1401" spans="1:26" ht="15.75" customHeight="1">
      <c r="A1401" s="103"/>
      <c r="B1401" s="103"/>
      <c r="C1401" s="104" t="e">
        <v>#REF!</v>
      </c>
      <c r="D1401" s="103"/>
      <c r="E1401" s="53"/>
      <c r="F1401" s="53"/>
      <c r="G1401" s="53"/>
      <c r="H1401" s="53"/>
      <c r="I1401" s="53"/>
      <c r="J1401" s="53"/>
      <c r="K1401" s="53"/>
      <c r="L1401" s="53"/>
      <c r="M1401" s="53"/>
      <c r="N1401" s="53"/>
      <c r="O1401" s="53"/>
      <c r="P1401" s="53"/>
      <c r="Q1401" s="53"/>
      <c r="R1401" s="53"/>
      <c r="S1401" s="53"/>
      <c r="T1401" s="53"/>
      <c r="U1401" s="53"/>
      <c r="V1401" s="53"/>
      <c r="W1401" s="53"/>
      <c r="X1401" s="53"/>
      <c r="Y1401" s="53"/>
      <c r="Z1401" s="53"/>
    </row>
    <row r="1402" spans="1:26" ht="15.75" customHeight="1">
      <c r="A1402" s="103"/>
      <c r="B1402" s="103"/>
      <c r="C1402" s="104" t="e">
        <v>#REF!</v>
      </c>
      <c r="D1402" s="103"/>
      <c r="E1402" s="53"/>
      <c r="F1402" s="53"/>
      <c r="G1402" s="53"/>
      <c r="H1402" s="53"/>
      <c r="I1402" s="53"/>
      <c r="J1402" s="53"/>
      <c r="K1402" s="53"/>
      <c r="L1402" s="53"/>
      <c r="M1402" s="53"/>
      <c r="N1402" s="53"/>
      <c r="O1402" s="53"/>
      <c r="P1402" s="53"/>
      <c r="Q1402" s="53"/>
      <c r="R1402" s="53"/>
      <c r="S1402" s="53"/>
      <c r="T1402" s="53"/>
      <c r="U1402" s="53"/>
      <c r="V1402" s="53"/>
      <c r="W1402" s="53"/>
      <c r="X1402" s="53"/>
      <c r="Y1402" s="53"/>
      <c r="Z1402" s="53"/>
    </row>
    <row r="1403" spans="1:26" ht="15.75" customHeight="1">
      <c r="A1403" s="103"/>
      <c r="B1403" s="103"/>
      <c r="C1403" s="104" t="e">
        <v>#REF!</v>
      </c>
      <c r="D1403" s="103"/>
      <c r="E1403" s="53"/>
      <c r="F1403" s="53"/>
      <c r="G1403" s="53"/>
      <c r="H1403" s="53"/>
      <c r="I1403" s="53"/>
      <c r="J1403" s="53"/>
      <c r="K1403" s="53"/>
      <c r="L1403" s="53"/>
      <c r="M1403" s="53"/>
      <c r="N1403" s="53"/>
      <c r="O1403" s="53"/>
      <c r="P1403" s="53"/>
      <c r="Q1403" s="53"/>
      <c r="R1403" s="53"/>
      <c r="S1403" s="53"/>
      <c r="T1403" s="53"/>
      <c r="U1403" s="53"/>
      <c r="V1403" s="53"/>
      <c r="W1403" s="53"/>
      <c r="X1403" s="53"/>
      <c r="Y1403" s="53"/>
      <c r="Z1403" s="53"/>
    </row>
    <row r="1404" spans="1:26" ht="15.75" customHeight="1">
      <c r="A1404" s="103"/>
      <c r="B1404" s="103"/>
      <c r="C1404" s="104" t="e">
        <v>#REF!</v>
      </c>
      <c r="D1404" s="103"/>
      <c r="E1404" s="53"/>
      <c r="F1404" s="53"/>
      <c r="G1404" s="53"/>
      <c r="H1404" s="53"/>
      <c r="I1404" s="53"/>
      <c r="J1404" s="53"/>
      <c r="K1404" s="53"/>
      <c r="L1404" s="53"/>
      <c r="M1404" s="53"/>
      <c r="N1404" s="53"/>
      <c r="O1404" s="53"/>
      <c r="P1404" s="53"/>
      <c r="Q1404" s="53"/>
      <c r="R1404" s="53"/>
      <c r="S1404" s="53"/>
      <c r="T1404" s="53"/>
      <c r="U1404" s="53"/>
      <c r="V1404" s="53"/>
      <c r="W1404" s="53"/>
      <c r="X1404" s="53"/>
      <c r="Y1404" s="53"/>
      <c r="Z1404" s="53"/>
    </row>
    <row r="1405" spans="1:26" ht="15.75" customHeight="1">
      <c r="A1405" s="103"/>
      <c r="B1405" s="103"/>
      <c r="C1405" s="104" t="e">
        <v>#REF!</v>
      </c>
      <c r="D1405" s="103"/>
      <c r="E1405" s="53"/>
      <c r="F1405" s="53"/>
      <c r="G1405" s="53"/>
      <c r="H1405" s="53"/>
      <c r="I1405" s="53"/>
      <c r="J1405" s="53"/>
      <c r="K1405" s="53"/>
      <c r="L1405" s="53"/>
      <c r="M1405" s="53"/>
      <c r="N1405" s="53"/>
      <c r="O1405" s="53"/>
      <c r="P1405" s="53"/>
      <c r="Q1405" s="53"/>
      <c r="R1405" s="53"/>
      <c r="S1405" s="53"/>
      <c r="T1405" s="53"/>
      <c r="U1405" s="53"/>
      <c r="V1405" s="53"/>
      <c r="W1405" s="53"/>
      <c r="X1405" s="53"/>
      <c r="Y1405" s="53"/>
      <c r="Z1405" s="53"/>
    </row>
    <row r="1406" spans="1:26" ht="15.75" customHeight="1">
      <c r="A1406" s="103"/>
      <c r="B1406" s="103"/>
      <c r="C1406" s="104" t="e">
        <v>#REF!</v>
      </c>
      <c r="D1406" s="103"/>
      <c r="E1406" s="53"/>
      <c r="F1406" s="53"/>
      <c r="G1406" s="53"/>
      <c r="H1406" s="53"/>
      <c r="I1406" s="53"/>
      <c r="J1406" s="53"/>
      <c r="K1406" s="53"/>
      <c r="L1406" s="53"/>
      <c r="M1406" s="53"/>
      <c r="N1406" s="53"/>
      <c r="O1406" s="53"/>
      <c r="P1406" s="53"/>
      <c r="Q1406" s="53"/>
      <c r="R1406" s="53"/>
      <c r="S1406" s="53"/>
      <c r="T1406" s="53"/>
      <c r="U1406" s="53"/>
      <c r="V1406" s="53"/>
      <c r="W1406" s="53"/>
      <c r="X1406" s="53"/>
      <c r="Y1406" s="53"/>
      <c r="Z1406" s="53"/>
    </row>
    <row r="1407" spans="1:26" ht="15.75" customHeight="1">
      <c r="A1407" s="103"/>
      <c r="B1407" s="103"/>
      <c r="C1407" s="104" t="e">
        <v>#REF!</v>
      </c>
      <c r="D1407" s="103"/>
      <c r="E1407" s="53"/>
      <c r="F1407" s="53"/>
      <c r="G1407" s="53"/>
      <c r="H1407" s="53"/>
      <c r="I1407" s="53"/>
      <c r="J1407" s="53"/>
      <c r="K1407" s="53"/>
      <c r="L1407" s="53"/>
      <c r="M1407" s="53"/>
      <c r="N1407" s="53"/>
      <c r="O1407" s="53"/>
      <c r="P1407" s="53"/>
      <c r="Q1407" s="53"/>
      <c r="R1407" s="53"/>
      <c r="S1407" s="53"/>
      <c r="T1407" s="53"/>
      <c r="U1407" s="53"/>
      <c r="V1407" s="53"/>
      <c r="W1407" s="53"/>
      <c r="X1407" s="53"/>
      <c r="Y1407" s="53"/>
      <c r="Z1407" s="53"/>
    </row>
    <row r="1408" spans="1:26" ht="15.75" customHeight="1">
      <c r="A1408" s="103"/>
      <c r="B1408" s="103"/>
      <c r="C1408" s="104" t="e">
        <v>#REF!</v>
      </c>
      <c r="D1408" s="103"/>
      <c r="E1408" s="53"/>
      <c r="F1408" s="53"/>
      <c r="G1408" s="53"/>
      <c r="H1408" s="53"/>
      <c r="I1408" s="53"/>
      <c r="J1408" s="53"/>
      <c r="K1408" s="53"/>
      <c r="L1408" s="53"/>
      <c r="M1408" s="53"/>
      <c r="N1408" s="53"/>
      <c r="O1408" s="53"/>
      <c r="P1408" s="53"/>
      <c r="Q1408" s="53"/>
      <c r="R1408" s="53"/>
      <c r="S1408" s="53"/>
      <c r="T1408" s="53"/>
      <c r="U1408" s="53"/>
      <c r="V1408" s="53"/>
      <c r="W1408" s="53"/>
      <c r="X1408" s="53"/>
      <c r="Y1408" s="53"/>
      <c r="Z1408" s="53"/>
    </row>
    <row r="1409" spans="1:26" ht="15.75" customHeight="1">
      <c r="A1409" s="103"/>
      <c r="B1409" s="103"/>
      <c r="C1409" s="104" t="e">
        <v>#REF!</v>
      </c>
      <c r="D1409" s="103"/>
      <c r="E1409" s="53"/>
      <c r="F1409" s="53"/>
      <c r="G1409" s="53"/>
      <c r="H1409" s="53"/>
      <c r="I1409" s="53"/>
      <c r="J1409" s="53"/>
      <c r="K1409" s="53"/>
      <c r="L1409" s="53"/>
      <c r="M1409" s="53"/>
      <c r="N1409" s="53"/>
      <c r="O1409" s="53"/>
      <c r="P1409" s="53"/>
      <c r="Q1409" s="53"/>
      <c r="R1409" s="53"/>
      <c r="S1409" s="53"/>
      <c r="T1409" s="53"/>
      <c r="U1409" s="53"/>
      <c r="V1409" s="53"/>
      <c r="W1409" s="53"/>
      <c r="X1409" s="53"/>
      <c r="Y1409" s="53"/>
      <c r="Z1409" s="53"/>
    </row>
    <row r="1410" spans="1:26" ht="15.75" customHeight="1">
      <c r="A1410" s="103"/>
      <c r="B1410" s="103"/>
      <c r="C1410" s="104" t="e">
        <v>#REF!</v>
      </c>
      <c r="D1410" s="103"/>
      <c r="E1410" s="53"/>
      <c r="F1410" s="53"/>
      <c r="G1410" s="53"/>
      <c r="H1410" s="53"/>
      <c r="I1410" s="53"/>
      <c r="J1410" s="53"/>
      <c r="K1410" s="53"/>
      <c r="L1410" s="53"/>
      <c r="M1410" s="53"/>
      <c r="N1410" s="53"/>
      <c r="O1410" s="53"/>
      <c r="P1410" s="53"/>
      <c r="Q1410" s="53"/>
      <c r="R1410" s="53"/>
      <c r="S1410" s="53"/>
      <c r="T1410" s="53"/>
      <c r="U1410" s="53"/>
      <c r="V1410" s="53"/>
      <c r="W1410" s="53"/>
      <c r="X1410" s="53"/>
      <c r="Y1410" s="53"/>
      <c r="Z1410" s="53"/>
    </row>
    <row r="1411" spans="1:26" ht="15.75" customHeight="1">
      <c r="A1411" s="103"/>
      <c r="B1411" s="103"/>
      <c r="C1411" s="104" t="e">
        <v>#REF!</v>
      </c>
      <c r="D1411" s="103"/>
      <c r="E1411" s="53"/>
      <c r="F1411" s="53"/>
      <c r="G1411" s="53"/>
      <c r="H1411" s="53"/>
      <c r="I1411" s="53"/>
      <c r="J1411" s="53"/>
      <c r="K1411" s="53"/>
      <c r="L1411" s="53"/>
      <c r="M1411" s="53"/>
      <c r="N1411" s="53"/>
      <c r="O1411" s="53"/>
      <c r="P1411" s="53"/>
      <c r="Q1411" s="53"/>
      <c r="R1411" s="53"/>
      <c r="S1411" s="53"/>
      <c r="T1411" s="53"/>
      <c r="U1411" s="53"/>
      <c r="V1411" s="53"/>
      <c r="W1411" s="53"/>
      <c r="X1411" s="53"/>
      <c r="Y1411" s="53"/>
      <c r="Z1411" s="53"/>
    </row>
    <row r="1412" spans="1:26" ht="15.75" customHeight="1">
      <c r="A1412" s="103"/>
      <c r="B1412" s="103"/>
      <c r="C1412" s="104" t="e">
        <v>#REF!</v>
      </c>
      <c r="D1412" s="103"/>
      <c r="E1412" s="53"/>
      <c r="F1412" s="53"/>
      <c r="G1412" s="53"/>
      <c r="H1412" s="53"/>
      <c r="I1412" s="53"/>
      <c r="J1412" s="53"/>
      <c r="K1412" s="53"/>
      <c r="L1412" s="53"/>
      <c r="M1412" s="53"/>
      <c r="N1412" s="53"/>
      <c r="O1412" s="53"/>
      <c r="P1412" s="53"/>
      <c r="Q1412" s="53"/>
      <c r="R1412" s="53"/>
      <c r="S1412" s="53"/>
      <c r="T1412" s="53"/>
      <c r="U1412" s="53"/>
      <c r="V1412" s="53"/>
      <c r="W1412" s="53"/>
      <c r="X1412" s="53"/>
      <c r="Y1412" s="53"/>
      <c r="Z1412" s="53"/>
    </row>
    <row r="1413" spans="1:26" ht="15.75" customHeight="1">
      <c r="A1413" s="103"/>
      <c r="B1413" s="103"/>
      <c r="C1413" s="104" t="e">
        <v>#REF!</v>
      </c>
      <c r="D1413" s="103"/>
      <c r="E1413" s="53"/>
      <c r="F1413" s="53"/>
      <c r="G1413" s="53"/>
      <c r="H1413" s="53"/>
      <c r="I1413" s="53"/>
      <c r="J1413" s="53"/>
      <c r="K1413" s="53"/>
      <c r="L1413" s="53"/>
      <c r="M1413" s="53"/>
      <c r="N1413" s="53"/>
      <c r="O1413" s="53"/>
      <c r="P1413" s="53"/>
      <c r="Q1413" s="53"/>
      <c r="R1413" s="53"/>
      <c r="S1413" s="53"/>
      <c r="T1413" s="53"/>
      <c r="U1413" s="53"/>
      <c r="V1413" s="53"/>
      <c r="W1413" s="53"/>
      <c r="X1413" s="53"/>
      <c r="Y1413" s="53"/>
      <c r="Z1413" s="53"/>
    </row>
    <row r="1414" spans="1:26" ht="15.75" customHeight="1">
      <c r="A1414" s="103"/>
      <c r="B1414" s="103"/>
      <c r="C1414" s="104" t="e">
        <v>#REF!</v>
      </c>
      <c r="D1414" s="103"/>
      <c r="E1414" s="53"/>
      <c r="F1414" s="53"/>
      <c r="G1414" s="53"/>
      <c r="H1414" s="53"/>
      <c r="I1414" s="53"/>
      <c r="J1414" s="53"/>
      <c r="K1414" s="53"/>
      <c r="L1414" s="53"/>
      <c r="M1414" s="53"/>
      <c r="N1414" s="53"/>
      <c r="O1414" s="53"/>
      <c r="P1414" s="53"/>
      <c r="Q1414" s="53"/>
      <c r="R1414" s="53"/>
      <c r="S1414" s="53"/>
      <c r="T1414" s="53"/>
      <c r="U1414" s="53"/>
      <c r="V1414" s="53"/>
      <c r="W1414" s="53"/>
      <c r="X1414" s="53"/>
      <c r="Y1414" s="53"/>
      <c r="Z1414" s="53"/>
    </row>
    <row r="1415" spans="1:26" ht="15.75" customHeight="1">
      <c r="A1415" s="103"/>
      <c r="B1415" s="103"/>
      <c r="C1415" s="104" t="e">
        <v>#REF!</v>
      </c>
      <c r="D1415" s="103"/>
      <c r="E1415" s="53"/>
      <c r="F1415" s="53"/>
      <c r="G1415" s="53"/>
      <c r="H1415" s="53"/>
      <c r="I1415" s="53"/>
      <c r="J1415" s="53"/>
      <c r="K1415" s="53"/>
      <c r="L1415" s="53"/>
      <c r="M1415" s="53"/>
      <c r="N1415" s="53"/>
      <c r="O1415" s="53"/>
      <c r="P1415" s="53"/>
      <c r="Q1415" s="53"/>
      <c r="R1415" s="53"/>
      <c r="S1415" s="53"/>
      <c r="T1415" s="53"/>
      <c r="U1415" s="53"/>
      <c r="V1415" s="53"/>
      <c r="W1415" s="53"/>
      <c r="X1415" s="53"/>
      <c r="Y1415" s="53"/>
      <c r="Z1415" s="53"/>
    </row>
    <row r="1416" spans="1:26" ht="15.75" customHeight="1">
      <c r="A1416" s="103"/>
      <c r="B1416" s="103"/>
      <c r="C1416" s="104" t="e">
        <v>#REF!</v>
      </c>
      <c r="D1416" s="103"/>
      <c r="E1416" s="53"/>
      <c r="F1416" s="53"/>
      <c r="G1416" s="53"/>
      <c r="H1416" s="53"/>
      <c r="I1416" s="53"/>
      <c r="J1416" s="53"/>
      <c r="K1416" s="53"/>
      <c r="L1416" s="53"/>
      <c r="M1416" s="53"/>
      <c r="N1416" s="53"/>
      <c r="O1416" s="53"/>
      <c r="P1416" s="53"/>
      <c r="Q1416" s="53"/>
      <c r="R1416" s="53"/>
      <c r="S1416" s="53"/>
      <c r="T1416" s="53"/>
      <c r="U1416" s="53"/>
      <c r="V1416" s="53"/>
      <c r="W1416" s="53"/>
      <c r="X1416" s="53"/>
      <c r="Y1416" s="53"/>
      <c r="Z1416" s="53"/>
    </row>
    <row r="1417" spans="1:26" ht="15.75" customHeight="1">
      <c r="A1417" s="103"/>
      <c r="B1417" s="103"/>
      <c r="C1417" s="104" t="e">
        <v>#REF!</v>
      </c>
      <c r="D1417" s="103"/>
      <c r="E1417" s="53"/>
      <c r="F1417" s="53"/>
      <c r="G1417" s="53"/>
      <c r="H1417" s="53"/>
      <c r="I1417" s="53"/>
      <c r="J1417" s="53"/>
      <c r="K1417" s="53"/>
      <c r="L1417" s="53"/>
      <c r="M1417" s="53"/>
      <c r="N1417" s="53"/>
      <c r="O1417" s="53"/>
      <c r="P1417" s="53"/>
      <c r="Q1417" s="53"/>
      <c r="R1417" s="53"/>
      <c r="S1417" s="53"/>
      <c r="T1417" s="53"/>
      <c r="U1417" s="53"/>
      <c r="V1417" s="53"/>
      <c r="W1417" s="53"/>
      <c r="X1417" s="53"/>
      <c r="Y1417" s="53"/>
      <c r="Z1417" s="53"/>
    </row>
    <row r="1418" spans="1:26" ht="15.75" customHeight="1">
      <c r="A1418" s="103"/>
      <c r="B1418" s="103"/>
      <c r="C1418" s="104" t="e">
        <v>#REF!</v>
      </c>
      <c r="D1418" s="103"/>
      <c r="E1418" s="53"/>
      <c r="F1418" s="53"/>
      <c r="G1418" s="53"/>
      <c r="H1418" s="53"/>
      <c r="I1418" s="53"/>
      <c r="J1418" s="53"/>
      <c r="K1418" s="53"/>
      <c r="L1418" s="53"/>
      <c r="M1418" s="53"/>
      <c r="N1418" s="53"/>
      <c r="O1418" s="53"/>
      <c r="P1418" s="53"/>
      <c r="Q1418" s="53"/>
      <c r="R1418" s="53"/>
      <c r="S1418" s="53"/>
      <c r="T1418" s="53"/>
      <c r="U1418" s="53"/>
      <c r="V1418" s="53"/>
      <c r="W1418" s="53"/>
      <c r="X1418" s="53"/>
      <c r="Y1418" s="53"/>
      <c r="Z1418" s="53"/>
    </row>
    <row r="1419" spans="1:26" ht="15.75" customHeight="1">
      <c r="A1419" s="103"/>
      <c r="B1419" s="103"/>
      <c r="C1419" s="104" t="e">
        <v>#REF!</v>
      </c>
      <c r="D1419" s="103"/>
      <c r="E1419" s="53"/>
      <c r="F1419" s="53"/>
      <c r="G1419" s="53"/>
      <c r="H1419" s="53"/>
      <c r="I1419" s="53"/>
      <c r="J1419" s="53"/>
      <c r="K1419" s="53"/>
      <c r="L1419" s="53"/>
      <c r="M1419" s="53"/>
      <c r="N1419" s="53"/>
      <c r="O1419" s="53"/>
      <c r="P1419" s="53"/>
      <c r="Q1419" s="53"/>
      <c r="R1419" s="53"/>
      <c r="S1419" s="53"/>
      <c r="T1419" s="53"/>
      <c r="U1419" s="53"/>
      <c r="V1419" s="53"/>
      <c r="W1419" s="53"/>
      <c r="X1419" s="53"/>
      <c r="Y1419" s="53"/>
      <c r="Z1419" s="53"/>
    </row>
    <row r="1420" spans="1:26" ht="15.75" customHeight="1">
      <c r="A1420" s="103"/>
      <c r="B1420" s="103"/>
      <c r="C1420" s="104" t="e">
        <v>#REF!</v>
      </c>
      <c r="D1420" s="103"/>
      <c r="E1420" s="53"/>
      <c r="F1420" s="53"/>
      <c r="G1420" s="53"/>
      <c r="H1420" s="53"/>
      <c r="I1420" s="53"/>
      <c r="J1420" s="53"/>
      <c r="K1420" s="53"/>
      <c r="L1420" s="53"/>
      <c r="M1420" s="53"/>
      <c r="N1420" s="53"/>
      <c r="O1420" s="53"/>
      <c r="P1420" s="53"/>
      <c r="Q1420" s="53"/>
      <c r="R1420" s="53"/>
      <c r="S1420" s="53"/>
      <c r="T1420" s="53"/>
      <c r="U1420" s="53"/>
      <c r="V1420" s="53"/>
      <c r="W1420" s="53"/>
      <c r="X1420" s="53"/>
      <c r="Y1420" s="53"/>
      <c r="Z1420" s="53"/>
    </row>
    <row r="1421" spans="1:26" ht="15.75" customHeight="1">
      <c r="A1421" s="103"/>
      <c r="B1421" s="103"/>
      <c r="C1421" s="104" t="e">
        <v>#REF!</v>
      </c>
      <c r="D1421" s="103"/>
      <c r="E1421" s="53"/>
      <c r="F1421" s="53"/>
      <c r="G1421" s="53"/>
      <c r="H1421" s="53"/>
      <c r="I1421" s="53"/>
      <c r="J1421" s="53"/>
      <c r="K1421" s="53"/>
      <c r="L1421" s="53"/>
      <c r="M1421" s="53"/>
      <c r="N1421" s="53"/>
      <c r="O1421" s="53"/>
      <c r="P1421" s="53"/>
      <c r="Q1421" s="53"/>
      <c r="R1421" s="53"/>
      <c r="S1421" s="53"/>
      <c r="T1421" s="53"/>
      <c r="U1421" s="53"/>
      <c r="V1421" s="53"/>
      <c r="W1421" s="53"/>
      <c r="X1421" s="53"/>
      <c r="Y1421" s="53"/>
      <c r="Z1421" s="53"/>
    </row>
    <row r="1422" spans="1:26" ht="15.75" customHeight="1">
      <c r="A1422" s="103"/>
      <c r="B1422" s="103"/>
      <c r="C1422" s="104" t="e">
        <v>#REF!</v>
      </c>
      <c r="D1422" s="103"/>
      <c r="E1422" s="53"/>
      <c r="F1422" s="53"/>
      <c r="G1422" s="53"/>
      <c r="H1422" s="53"/>
      <c r="I1422" s="53"/>
      <c r="J1422" s="53"/>
      <c r="K1422" s="53"/>
      <c r="L1422" s="53"/>
      <c r="M1422" s="53"/>
      <c r="N1422" s="53"/>
      <c r="O1422" s="53"/>
      <c r="P1422" s="53"/>
      <c r="Q1422" s="53"/>
      <c r="R1422" s="53"/>
      <c r="S1422" s="53"/>
      <c r="T1422" s="53"/>
      <c r="U1422" s="53"/>
      <c r="V1422" s="53"/>
      <c r="W1422" s="53"/>
      <c r="X1422" s="53"/>
      <c r="Y1422" s="53"/>
      <c r="Z1422" s="53"/>
    </row>
    <row r="1423" spans="1:26" ht="15.75" customHeight="1">
      <c r="A1423" s="103"/>
      <c r="B1423" s="103"/>
      <c r="C1423" s="104" t="e">
        <v>#REF!</v>
      </c>
      <c r="D1423" s="103"/>
      <c r="E1423" s="53"/>
      <c r="F1423" s="53"/>
      <c r="G1423" s="53"/>
      <c r="H1423" s="53"/>
      <c r="I1423" s="53"/>
      <c r="J1423" s="53"/>
      <c r="K1423" s="53"/>
      <c r="L1423" s="53"/>
      <c r="M1423" s="53"/>
      <c r="N1423" s="53"/>
      <c r="O1423" s="53"/>
      <c r="P1423" s="53"/>
      <c r="Q1423" s="53"/>
      <c r="R1423" s="53"/>
      <c r="S1423" s="53"/>
      <c r="T1423" s="53"/>
      <c r="U1423" s="53"/>
      <c r="V1423" s="53"/>
      <c r="W1423" s="53"/>
      <c r="X1423" s="53"/>
      <c r="Y1423" s="53"/>
      <c r="Z1423" s="53"/>
    </row>
    <row r="1424" spans="1:26" ht="15.75" customHeight="1">
      <c r="A1424" s="103"/>
      <c r="B1424" s="103"/>
      <c r="C1424" s="104" t="e">
        <v>#REF!</v>
      </c>
      <c r="D1424" s="103"/>
      <c r="E1424" s="53"/>
      <c r="F1424" s="53"/>
      <c r="G1424" s="53"/>
      <c r="H1424" s="53"/>
      <c r="I1424" s="53"/>
      <c r="J1424" s="53"/>
      <c r="K1424" s="53"/>
      <c r="L1424" s="53"/>
      <c r="M1424" s="53"/>
      <c r="N1424" s="53"/>
      <c r="O1424" s="53"/>
      <c r="P1424" s="53"/>
      <c r="Q1424" s="53"/>
      <c r="R1424" s="53"/>
      <c r="S1424" s="53"/>
      <c r="T1424" s="53"/>
      <c r="U1424" s="53"/>
      <c r="V1424" s="53"/>
      <c r="W1424" s="53"/>
      <c r="X1424" s="53"/>
      <c r="Y1424" s="53"/>
      <c r="Z1424" s="53"/>
    </row>
    <row r="1425" spans="1:26" ht="15.75" customHeight="1">
      <c r="A1425" s="103"/>
      <c r="B1425" s="103"/>
      <c r="C1425" s="104" t="e">
        <v>#REF!</v>
      </c>
      <c r="D1425" s="103"/>
      <c r="E1425" s="53"/>
      <c r="F1425" s="53"/>
      <c r="G1425" s="53"/>
      <c r="H1425" s="53"/>
      <c r="I1425" s="53"/>
      <c r="J1425" s="53"/>
      <c r="K1425" s="53"/>
      <c r="L1425" s="53"/>
      <c r="M1425" s="53"/>
      <c r="N1425" s="53"/>
      <c r="O1425" s="53"/>
      <c r="P1425" s="53"/>
      <c r="Q1425" s="53"/>
      <c r="R1425" s="53"/>
      <c r="S1425" s="53"/>
      <c r="T1425" s="53"/>
      <c r="U1425" s="53"/>
      <c r="V1425" s="53"/>
      <c r="W1425" s="53"/>
      <c r="X1425" s="53"/>
      <c r="Y1425" s="53"/>
      <c r="Z1425" s="53"/>
    </row>
    <row r="1426" spans="1:26" ht="15.75" customHeight="1">
      <c r="A1426" s="103"/>
      <c r="B1426" s="103"/>
      <c r="C1426" s="104" t="e">
        <v>#REF!</v>
      </c>
      <c r="D1426" s="103"/>
      <c r="E1426" s="53"/>
      <c r="F1426" s="53"/>
      <c r="G1426" s="53"/>
      <c r="H1426" s="53"/>
      <c r="I1426" s="53"/>
      <c r="J1426" s="53"/>
      <c r="K1426" s="53"/>
      <c r="L1426" s="53"/>
      <c r="M1426" s="53"/>
      <c r="N1426" s="53"/>
      <c r="O1426" s="53"/>
      <c r="P1426" s="53"/>
      <c r="Q1426" s="53"/>
      <c r="R1426" s="53"/>
      <c r="S1426" s="53"/>
      <c r="T1426" s="53"/>
      <c r="U1426" s="53"/>
      <c r="V1426" s="53"/>
      <c r="W1426" s="53"/>
      <c r="X1426" s="53"/>
      <c r="Y1426" s="53"/>
      <c r="Z1426" s="53"/>
    </row>
    <row r="1427" spans="1:26" ht="15.75" customHeight="1">
      <c r="A1427" s="103"/>
      <c r="B1427" s="103"/>
      <c r="C1427" s="104" t="e">
        <v>#REF!</v>
      </c>
      <c r="D1427" s="103"/>
      <c r="E1427" s="53"/>
      <c r="F1427" s="53"/>
      <c r="G1427" s="53"/>
      <c r="H1427" s="53"/>
      <c r="I1427" s="53"/>
      <c r="J1427" s="53"/>
      <c r="K1427" s="53"/>
      <c r="L1427" s="53"/>
      <c r="M1427" s="53"/>
      <c r="N1427" s="53"/>
      <c r="O1427" s="53"/>
      <c r="P1427" s="53"/>
      <c r="Q1427" s="53"/>
      <c r="R1427" s="53"/>
      <c r="S1427" s="53"/>
      <c r="T1427" s="53"/>
      <c r="U1427" s="53"/>
      <c r="V1427" s="53"/>
      <c r="W1427" s="53"/>
      <c r="X1427" s="53"/>
      <c r="Y1427" s="53"/>
      <c r="Z1427" s="53"/>
    </row>
    <row r="1428" spans="1:26" ht="15.75" customHeight="1">
      <c r="A1428" s="103"/>
      <c r="B1428" s="103"/>
      <c r="C1428" s="104" t="e">
        <v>#REF!</v>
      </c>
      <c r="D1428" s="103"/>
      <c r="E1428" s="53"/>
      <c r="F1428" s="53"/>
      <c r="G1428" s="53"/>
      <c r="H1428" s="53"/>
      <c r="I1428" s="53"/>
      <c r="J1428" s="53"/>
      <c r="K1428" s="53"/>
      <c r="L1428" s="53"/>
      <c r="M1428" s="53"/>
      <c r="N1428" s="53"/>
      <c r="O1428" s="53"/>
      <c r="P1428" s="53"/>
      <c r="Q1428" s="53"/>
      <c r="R1428" s="53"/>
      <c r="S1428" s="53"/>
      <c r="T1428" s="53"/>
      <c r="U1428" s="53"/>
      <c r="V1428" s="53"/>
      <c r="W1428" s="53"/>
      <c r="X1428" s="53"/>
      <c r="Y1428" s="53"/>
      <c r="Z1428" s="53"/>
    </row>
    <row r="1429" spans="1:26" ht="15.75" customHeight="1">
      <c r="A1429" s="103"/>
      <c r="B1429" s="103"/>
      <c r="C1429" s="104" t="e">
        <v>#REF!</v>
      </c>
      <c r="D1429" s="103"/>
      <c r="E1429" s="53"/>
      <c r="F1429" s="53"/>
      <c r="G1429" s="53"/>
      <c r="H1429" s="53"/>
      <c r="I1429" s="53"/>
      <c r="J1429" s="53"/>
      <c r="K1429" s="53"/>
      <c r="L1429" s="53"/>
      <c r="M1429" s="53"/>
      <c r="N1429" s="53"/>
      <c r="O1429" s="53"/>
      <c r="P1429" s="53"/>
      <c r="Q1429" s="53"/>
      <c r="R1429" s="53"/>
      <c r="S1429" s="53"/>
      <c r="T1429" s="53"/>
      <c r="U1429" s="53"/>
      <c r="V1429" s="53"/>
      <c r="W1429" s="53"/>
      <c r="X1429" s="53"/>
      <c r="Y1429" s="53"/>
      <c r="Z1429" s="53"/>
    </row>
    <row r="1430" spans="1:26" ht="15.75" customHeight="1">
      <c r="A1430" s="103"/>
      <c r="B1430" s="103"/>
      <c r="C1430" s="104" t="e">
        <v>#REF!</v>
      </c>
      <c r="D1430" s="103"/>
      <c r="E1430" s="53"/>
      <c r="F1430" s="53"/>
      <c r="G1430" s="53"/>
      <c r="H1430" s="53"/>
      <c r="I1430" s="53"/>
      <c r="J1430" s="53"/>
      <c r="K1430" s="53"/>
      <c r="L1430" s="53"/>
      <c r="M1430" s="53"/>
      <c r="N1430" s="53"/>
      <c r="O1430" s="53"/>
      <c r="P1430" s="53"/>
      <c r="Q1430" s="53"/>
      <c r="R1430" s="53"/>
      <c r="S1430" s="53"/>
      <c r="T1430" s="53"/>
      <c r="U1430" s="53"/>
      <c r="V1430" s="53"/>
      <c r="W1430" s="53"/>
      <c r="X1430" s="53"/>
      <c r="Y1430" s="53"/>
      <c r="Z1430" s="53"/>
    </row>
    <row r="1431" spans="1:26" ht="15.75" customHeight="1">
      <c r="A1431" s="103"/>
      <c r="B1431" s="103"/>
      <c r="C1431" s="104" t="e">
        <v>#REF!</v>
      </c>
      <c r="D1431" s="103"/>
      <c r="E1431" s="53"/>
      <c r="F1431" s="53"/>
      <c r="G1431" s="53"/>
      <c r="H1431" s="53"/>
      <c r="I1431" s="53"/>
      <c r="J1431" s="53"/>
      <c r="K1431" s="53"/>
      <c r="L1431" s="53"/>
      <c r="M1431" s="53"/>
      <c r="N1431" s="53"/>
      <c r="O1431" s="53"/>
      <c r="P1431" s="53"/>
      <c r="Q1431" s="53"/>
      <c r="R1431" s="53"/>
      <c r="S1431" s="53"/>
      <c r="T1431" s="53"/>
      <c r="U1431" s="53"/>
      <c r="V1431" s="53"/>
      <c r="W1431" s="53"/>
      <c r="X1431" s="53"/>
      <c r="Y1431" s="53"/>
      <c r="Z1431" s="53"/>
    </row>
    <row r="1432" spans="1:26" ht="15.75" customHeight="1">
      <c r="A1432" s="103"/>
      <c r="B1432" s="103"/>
      <c r="C1432" s="104" t="e">
        <v>#REF!</v>
      </c>
      <c r="D1432" s="103"/>
      <c r="E1432" s="53"/>
      <c r="F1432" s="53"/>
      <c r="G1432" s="53"/>
      <c r="H1432" s="53"/>
      <c r="I1432" s="53"/>
      <c r="J1432" s="53"/>
      <c r="K1432" s="53"/>
      <c r="L1432" s="53"/>
      <c r="M1432" s="53"/>
      <c r="N1432" s="53"/>
      <c r="O1432" s="53"/>
      <c r="P1432" s="53"/>
      <c r="Q1432" s="53"/>
      <c r="R1432" s="53"/>
      <c r="S1432" s="53"/>
      <c r="T1432" s="53"/>
      <c r="U1432" s="53"/>
      <c r="V1432" s="53"/>
      <c r="W1432" s="53"/>
      <c r="X1432" s="53"/>
      <c r="Y1432" s="53"/>
      <c r="Z1432" s="53"/>
    </row>
    <row r="1433" spans="1:26" ht="15.75" customHeight="1">
      <c r="A1433" s="103"/>
      <c r="B1433" s="103"/>
      <c r="C1433" s="104" t="e">
        <v>#REF!</v>
      </c>
      <c r="D1433" s="103"/>
      <c r="E1433" s="53"/>
      <c r="F1433" s="53"/>
      <c r="G1433" s="53"/>
      <c r="H1433" s="53"/>
      <c r="I1433" s="53"/>
      <c r="J1433" s="53"/>
      <c r="K1433" s="53"/>
      <c r="L1433" s="53"/>
      <c r="M1433" s="53"/>
      <c r="N1433" s="53"/>
      <c r="O1433" s="53"/>
      <c r="P1433" s="53"/>
      <c r="Q1433" s="53"/>
      <c r="R1433" s="53"/>
      <c r="S1433" s="53"/>
      <c r="T1433" s="53"/>
      <c r="U1433" s="53"/>
      <c r="V1433" s="53"/>
      <c r="W1433" s="53"/>
      <c r="X1433" s="53"/>
      <c r="Y1433" s="53"/>
      <c r="Z1433" s="53"/>
    </row>
    <row r="1434" spans="1:26" ht="15.75" customHeight="1">
      <c r="A1434" s="103"/>
      <c r="B1434" s="103"/>
      <c r="C1434" s="104" t="e">
        <v>#REF!</v>
      </c>
      <c r="D1434" s="103"/>
      <c r="E1434" s="53"/>
      <c r="F1434" s="53"/>
      <c r="G1434" s="53"/>
      <c r="H1434" s="53"/>
      <c r="I1434" s="53"/>
      <c r="J1434" s="53"/>
      <c r="K1434" s="53"/>
      <c r="L1434" s="53"/>
      <c r="M1434" s="53"/>
      <c r="N1434" s="53"/>
      <c r="O1434" s="53"/>
      <c r="P1434" s="53"/>
      <c r="Q1434" s="53"/>
      <c r="R1434" s="53"/>
      <c r="S1434" s="53"/>
      <c r="T1434" s="53"/>
      <c r="U1434" s="53"/>
      <c r="V1434" s="53"/>
      <c r="W1434" s="53"/>
      <c r="X1434" s="53"/>
      <c r="Y1434" s="53"/>
      <c r="Z1434" s="53"/>
    </row>
    <row r="1435" spans="1:26" ht="15.75" customHeight="1">
      <c r="A1435" s="103"/>
      <c r="B1435" s="103"/>
      <c r="C1435" s="104" t="e">
        <v>#REF!</v>
      </c>
      <c r="D1435" s="103"/>
      <c r="E1435" s="53"/>
      <c r="F1435" s="53"/>
      <c r="G1435" s="53"/>
      <c r="H1435" s="53"/>
      <c r="I1435" s="53"/>
      <c r="J1435" s="53"/>
      <c r="K1435" s="53"/>
      <c r="L1435" s="53"/>
      <c r="M1435" s="53"/>
      <c r="N1435" s="53"/>
      <c r="O1435" s="53"/>
      <c r="P1435" s="53"/>
      <c r="Q1435" s="53"/>
      <c r="R1435" s="53"/>
      <c r="S1435" s="53"/>
      <c r="T1435" s="53"/>
      <c r="U1435" s="53"/>
      <c r="V1435" s="53"/>
      <c r="W1435" s="53"/>
      <c r="X1435" s="53"/>
      <c r="Y1435" s="53"/>
      <c r="Z1435" s="53"/>
    </row>
    <row r="1436" spans="1:26" ht="15.75" customHeight="1">
      <c r="A1436" s="103"/>
      <c r="B1436" s="103"/>
      <c r="C1436" s="104" t="e">
        <v>#REF!</v>
      </c>
      <c r="D1436" s="103"/>
      <c r="E1436" s="53"/>
      <c r="F1436" s="53"/>
      <c r="G1436" s="53"/>
      <c r="H1436" s="53"/>
      <c r="I1436" s="53"/>
      <c r="J1436" s="53"/>
      <c r="K1436" s="53"/>
      <c r="L1436" s="53"/>
      <c r="M1436" s="53"/>
      <c r="N1436" s="53"/>
      <c r="O1436" s="53"/>
      <c r="P1436" s="53"/>
      <c r="Q1436" s="53"/>
      <c r="R1436" s="53"/>
      <c r="S1436" s="53"/>
      <c r="T1436" s="53"/>
      <c r="U1436" s="53"/>
      <c r="V1436" s="53"/>
      <c r="W1436" s="53"/>
      <c r="X1436" s="53"/>
      <c r="Y1436" s="53"/>
      <c r="Z1436" s="53"/>
    </row>
    <row r="1437" spans="1:26" ht="15.75" customHeight="1">
      <c r="A1437" s="103"/>
      <c r="B1437" s="103"/>
      <c r="C1437" s="104" t="e">
        <v>#REF!</v>
      </c>
      <c r="D1437" s="103"/>
      <c r="E1437" s="53"/>
      <c r="F1437" s="53"/>
      <c r="G1437" s="53"/>
      <c r="H1437" s="53"/>
      <c r="I1437" s="53"/>
      <c r="J1437" s="53"/>
      <c r="K1437" s="53"/>
      <c r="L1437" s="53"/>
      <c r="M1437" s="53"/>
      <c r="N1437" s="53"/>
      <c r="O1437" s="53"/>
      <c r="P1437" s="53"/>
      <c r="Q1437" s="53"/>
      <c r="R1437" s="53"/>
      <c r="S1437" s="53"/>
      <c r="T1437" s="53"/>
      <c r="U1437" s="53"/>
      <c r="V1437" s="53"/>
      <c r="W1437" s="53"/>
      <c r="X1437" s="53"/>
      <c r="Y1437" s="53"/>
      <c r="Z1437" s="53"/>
    </row>
    <row r="1438" spans="1:26" ht="15.75" customHeight="1">
      <c r="A1438" s="103"/>
      <c r="B1438" s="103"/>
      <c r="C1438" s="104" t="e">
        <v>#REF!</v>
      </c>
      <c r="D1438" s="103"/>
      <c r="E1438" s="53"/>
      <c r="F1438" s="53"/>
      <c r="G1438" s="53"/>
      <c r="H1438" s="53"/>
      <c r="I1438" s="53"/>
      <c r="J1438" s="53"/>
      <c r="K1438" s="53"/>
      <c r="L1438" s="53"/>
      <c r="M1438" s="53"/>
      <c r="N1438" s="53"/>
      <c r="O1438" s="53"/>
      <c r="P1438" s="53"/>
      <c r="Q1438" s="53"/>
      <c r="R1438" s="53"/>
      <c r="S1438" s="53"/>
      <c r="T1438" s="53"/>
      <c r="U1438" s="53"/>
      <c r="V1438" s="53"/>
      <c r="W1438" s="53"/>
      <c r="X1438" s="53"/>
      <c r="Y1438" s="53"/>
      <c r="Z1438" s="53"/>
    </row>
    <row r="1439" spans="1:26" ht="15.75" customHeight="1">
      <c r="A1439" s="103"/>
      <c r="B1439" s="103"/>
      <c r="C1439" s="104" t="e">
        <v>#REF!</v>
      </c>
      <c r="D1439" s="103"/>
      <c r="E1439" s="53"/>
      <c r="F1439" s="53"/>
      <c r="G1439" s="53"/>
      <c r="H1439" s="53"/>
      <c r="I1439" s="53"/>
      <c r="J1439" s="53"/>
      <c r="K1439" s="53"/>
      <c r="L1439" s="53"/>
      <c r="M1439" s="53"/>
      <c r="N1439" s="53"/>
      <c r="O1439" s="53"/>
      <c r="P1439" s="53"/>
      <c r="Q1439" s="53"/>
      <c r="R1439" s="53"/>
      <c r="S1439" s="53"/>
      <c r="T1439" s="53"/>
      <c r="U1439" s="53"/>
      <c r="V1439" s="53"/>
      <c r="W1439" s="53"/>
      <c r="X1439" s="53"/>
      <c r="Y1439" s="53"/>
      <c r="Z1439" s="53"/>
    </row>
    <row r="1440" spans="1:26" ht="15.75" customHeight="1">
      <c r="A1440" s="103"/>
      <c r="B1440" s="103"/>
      <c r="C1440" s="104" t="e">
        <v>#REF!</v>
      </c>
      <c r="D1440" s="103"/>
      <c r="E1440" s="53"/>
      <c r="F1440" s="53"/>
      <c r="G1440" s="53"/>
      <c r="H1440" s="53"/>
      <c r="I1440" s="53"/>
      <c r="J1440" s="53"/>
      <c r="K1440" s="53"/>
      <c r="L1440" s="53"/>
      <c r="M1440" s="53"/>
      <c r="N1440" s="53"/>
      <c r="O1440" s="53"/>
      <c r="P1440" s="53"/>
      <c r="Q1440" s="53"/>
      <c r="R1440" s="53"/>
      <c r="S1440" s="53"/>
      <c r="T1440" s="53"/>
      <c r="U1440" s="53"/>
      <c r="V1440" s="53"/>
      <c r="W1440" s="53"/>
      <c r="X1440" s="53"/>
      <c r="Y1440" s="53"/>
      <c r="Z1440" s="53"/>
    </row>
    <row r="1441" spans="1:26" ht="15.75" customHeight="1">
      <c r="A1441" s="103"/>
      <c r="B1441" s="103"/>
      <c r="C1441" s="104" t="e">
        <v>#REF!</v>
      </c>
      <c r="D1441" s="103"/>
      <c r="E1441" s="53"/>
      <c r="F1441" s="53"/>
      <c r="G1441" s="53"/>
      <c r="H1441" s="53"/>
      <c r="I1441" s="53"/>
      <c r="J1441" s="53"/>
      <c r="K1441" s="53"/>
      <c r="L1441" s="53"/>
      <c r="M1441" s="53"/>
      <c r="N1441" s="53"/>
      <c r="O1441" s="53"/>
      <c r="P1441" s="53"/>
      <c r="Q1441" s="53"/>
      <c r="R1441" s="53"/>
      <c r="S1441" s="53"/>
      <c r="T1441" s="53"/>
      <c r="U1441" s="53"/>
      <c r="V1441" s="53"/>
      <c r="W1441" s="53"/>
      <c r="X1441" s="53"/>
      <c r="Y1441" s="53"/>
      <c r="Z1441" s="53"/>
    </row>
    <row r="1442" spans="1:26" ht="15.75" customHeight="1">
      <c r="A1442" s="103"/>
      <c r="B1442" s="103"/>
      <c r="C1442" s="104" t="e">
        <v>#REF!</v>
      </c>
      <c r="D1442" s="103"/>
      <c r="E1442" s="53"/>
      <c r="F1442" s="53"/>
      <c r="G1442" s="53"/>
      <c r="H1442" s="53"/>
      <c r="I1442" s="53"/>
      <c r="J1442" s="53"/>
      <c r="K1442" s="53"/>
      <c r="L1442" s="53"/>
      <c r="M1442" s="53"/>
      <c r="N1442" s="53"/>
      <c r="O1442" s="53"/>
      <c r="P1442" s="53"/>
      <c r="Q1442" s="53"/>
      <c r="R1442" s="53"/>
      <c r="S1442" s="53"/>
      <c r="T1442" s="53"/>
      <c r="U1442" s="53"/>
      <c r="V1442" s="53"/>
      <c r="W1442" s="53"/>
      <c r="X1442" s="53"/>
      <c r="Y1442" s="53"/>
      <c r="Z1442" s="53"/>
    </row>
    <row r="1443" spans="1:26" ht="15.75" customHeight="1">
      <c r="A1443" s="103"/>
      <c r="B1443" s="103"/>
      <c r="C1443" s="104" t="e">
        <v>#REF!</v>
      </c>
      <c r="D1443" s="103"/>
      <c r="E1443" s="53"/>
      <c r="F1443" s="53"/>
      <c r="G1443" s="53"/>
      <c r="H1443" s="53"/>
      <c r="I1443" s="53"/>
      <c r="J1443" s="53"/>
      <c r="K1443" s="53"/>
      <c r="L1443" s="53"/>
      <c r="M1443" s="53"/>
      <c r="N1443" s="53"/>
      <c r="O1443" s="53"/>
      <c r="P1443" s="53"/>
      <c r="Q1443" s="53"/>
      <c r="R1443" s="53"/>
      <c r="S1443" s="53"/>
      <c r="T1443" s="53"/>
      <c r="U1443" s="53"/>
      <c r="V1443" s="53"/>
      <c r="W1443" s="53"/>
      <c r="X1443" s="53"/>
      <c r="Y1443" s="53"/>
      <c r="Z1443" s="53"/>
    </row>
    <row r="1444" spans="1:26" ht="15.75" customHeight="1">
      <c r="A1444" s="103"/>
      <c r="B1444" s="103"/>
      <c r="C1444" s="104" t="e">
        <v>#REF!</v>
      </c>
      <c r="D1444" s="103"/>
      <c r="E1444" s="53"/>
      <c r="F1444" s="53"/>
      <c r="G1444" s="53"/>
      <c r="H1444" s="53"/>
      <c r="I1444" s="53"/>
      <c r="J1444" s="53"/>
      <c r="K1444" s="53"/>
      <c r="L1444" s="53"/>
      <c r="M1444" s="53"/>
      <c r="N1444" s="53"/>
      <c r="O1444" s="53"/>
      <c r="P1444" s="53"/>
      <c r="Q1444" s="53"/>
      <c r="R1444" s="53"/>
      <c r="S1444" s="53"/>
      <c r="T1444" s="53"/>
      <c r="U1444" s="53"/>
      <c r="V1444" s="53"/>
      <c r="W1444" s="53"/>
      <c r="X1444" s="53"/>
      <c r="Y1444" s="53"/>
      <c r="Z1444" s="53"/>
    </row>
    <row r="1445" spans="1:26" ht="15.75" customHeight="1">
      <c r="A1445" s="103"/>
      <c r="B1445" s="103"/>
      <c r="C1445" s="104" t="e">
        <v>#REF!</v>
      </c>
      <c r="D1445" s="103"/>
      <c r="E1445" s="53"/>
      <c r="F1445" s="53"/>
      <c r="G1445" s="53"/>
      <c r="H1445" s="53"/>
      <c r="I1445" s="53"/>
      <c r="J1445" s="53"/>
      <c r="K1445" s="53"/>
      <c r="L1445" s="53"/>
      <c r="M1445" s="53"/>
      <c r="N1445" s="53"/>
      <c r="O1445" s="53"/>
      <c r="P1445" s="53"/>
      <c r="Q1445" s="53"/>
      <c r="R1445" s="53"/>
      <c r="S1445" s="53"/>
      <c r="T1445" s="53"/>
      <c r="U1445" s="53"/>
      <c r="V1445" s="53"/>
      <c r="W1445" s="53"/>
      <c r="X1445" s="53"/>
      <c r="Y1445" s="53"/>
      <c r="Z1445" s="53"/>
    </row>
    <row r="1446" spans="1:26" ht="15.75" customHeight="1">
      <c r="A1446" s="103"/>
      <c r="B1446" s="103"/>
      <c r="C1446" s="104" t="e">
        <v>#REF!</v>
      </c>
      <c r="D1446" s="103"/>
      <c r="E1446" s="53"/>
      <c r="F1446" s="53"/>
      <c r="G1446" s="53"/>
      <c r="H1446" s="53"/>
      <c r="I1446" s="53"/>
      <c r="J1446" s="53"/>
      <c r="K1446" s="53"/>
      <c r="L1446" s="53"/>
      <c r="M1446" s="53"/>
      <c r="N1446" s="53"/>
      <c r="O1446" s="53"/>
      <c r="P1446" s="53"/>
      <c r="Q1446" s="53"/>
      <c r="R1446" s="53"/>
      <c r="S1446" s="53"/>
      <c r="T1446" s="53"/>
      <c r="U1446" s="53"/>
      <c r="V1446" s="53"/>
      <c r="W1446" s="53"/>
      <c r="X1446" s="53"/>
      <c r="Y1446" s="53"/>
      <c r="Z1446" s="53"/>
    </row>
    <row r="1447" spans="1:26" ht="15.75" customHeight="1">
      <c r="A1447" s="103"/>
      <c r="B1447" s="103"/>
      <c r="C1447" s="104" t="e">
        <v>#REF!</v>
      </c>
      <c r="D1447" s="103"/>
      <c r="E1447" s="53"/>
      <c r="F1447" s="53"/>
      <c r="G1447" s="53"/>
      <c r="H1447" s="53"/>
      <c r="I1447" s="53"/>
      <c r="J1447" s="53"/>
      <c r="K1447" s="53"/>
      <c r="L1447" s="53"/>
      <c r="M1447" s="53"/>
      <c r="N1447" s="53"/>
      <c r="O1447" s="53"/>
      <c r="P1447" s="53"/>
      <c r="Q1447" s="53"/>
      <c r="R1447" s="53"/>
      <c r="S1447" s="53"/>
      <c r="T1447" s="53"/>
      <c r="U1447" s="53"/>
      <c r="V1447" s="53"/>
      <c r="W1447" s="53"/>
      <c r="X1447" s="53"/>
      <c r="Y1447" s="53"/>
      <c r="Z1447" s="53"/>
    </row>
    <row r="1448" spans="1:26" ht="15.75" customHeight="1">
      <c r="A1448" s="103"/>
      <c r="B1448" s="103"/>
      <c r="C1448" s="104" t="e">
        <v>#REF!</v>
      </c>
      <c r="D1448" s="103"/>
      <c r="E1448" s="53"/>
      <c r="F1448" s="53"/>
      <c r="G1448" s="53"/>
      <c r="H1448" s="53"/>
      <c r="I1448" s="53"/>
      <c r="J1448" s="53"/>
      <c r="K1448" s="53"/>
      <c r="L1448" s="53"/>
      <c r="M1448" s="53"/>
      <c r="N1448" s="53"/>
      <c r="O1448" s="53"/>
      <c r="P1448" s="53"/>
      <c r="Q1448" s="53"/>
      <c r="R1448" s="53"/>
      <c r="S1448" s="53"/>
      <c r="T1448" s="53"/>
      <c r="U1448" s="53"/>
      <c r="V1448" s="53"/>
      <c r="W1448" s="53"/>
      <c r="X1448" s="53"/>
      <c r="Y1448" s="53"/>
      <c r="Z1448" s="53"/>
    </row>
    <row r="1449" spans="1:26" ht="15.75" customHeight="1">
      <c r="A1449" s="103"/>
      <c r="B1449" s="103"/>
      <c r="C1449" s="104" t="e">
        <v>#REF!</v>
      </c>
      <c r="D1449" s="103"/>
      <c r="E1449" s="53"/>
      <c r="F1449" s="53"/>
      <c r="G1449" s="53"/>
      <c r="H1449" s="53"/>
      <c r="I1449" s="53"/>
      <c r="J1449" s="53"/>
      <c r="K1449" s="53"/>
      <c r="L1449" s="53"/>
      <c r="M1449" s="53"/>
      <c r="N1449" s="53"/>
      <c r="O1449" s="53"/>
      <c r="P1449" s="53"/>
      <c r="Q1449" s="53"/>
      <c r="R1449" s="53"/>
      <c r="S1449" s="53"/>
      <c r="T1449" s="53"/>
      <c r="U1449" s="53"/>
      <c r="V1449" s="53"/>
      <c r="W1449" s="53"/>
      <c r="X1449" s="53"/>
      <c r="Y1449" s="53"/>
      <c r="Z1449" s="53"/>
    </row>
    <row r="1450" spans="1:26" ht="15.75" customHeight="1">
      <c r="A1450" s="103"/>
      <c r="B1450" s="103"/>
      <c r="C1450" s="104" t="e">
        <v>#REF!</v>
      </c>
      <c r="D1450" s="103"/>
      <c r="E1450" s="53"/>
      <c r="F1450" s="53"/>
      <c r="G1450" s="53"/>
      <c r="H1450" s="53"/>
      <c r="I1450" s="53"/>
      <c r="J1450" s="53"/>
      <c r="K1450" s="53"/>
      <c r="L1450" s="53"/>
      <c r="M1450" s="53"/>
      <c r="N1450" s="53"/>
      <c r="O1450" s="53"/>
      <c r="P1450" s="53"/>
      <c r="Q1450" s="53"/>
      <c r="R1450" s="53"/>
      <c r="S1450" s="53"/>
      <c r="T1450" s="53"/>
      <c r="U1450" s="53"/>
      <c r="V1450" s="53"/>
      <c r="W1450" s="53"/>
      <c r="X1450" s="53"/>
      <c r="Y1450" s="53"/>
      <c r="Z1450" s="53"/>
    </row>
    <row r="1451" spans="1:26" ht="15.75" customHeight="1">
      <c r="A1451" s="103"/>
      <c r="B1451" s="103"/>
      <c r="C1451" s="104" t="e">
        <v>#REF!</v>
      </c>
      <c r="D1451" s="103"/>
      <c r="E1451" s="53"/>
      <c r="F1451" s="53"/>
      <c r="G1451" s="53"/>
      <c r="H1451" s="53"/>
      <c r="I1451" s="53"/>
      <c r="J1451" s="53"/>
      <c r="K1451" s="53"/>
      <c r="L1451" s="53"/>
      <c r="M1451" s="53"/>
      <c r="N1451" s="53"/>
      <c r="O1451" s="53"/>
      <c r="P1451" s="53"/>
      <c r="Q1451" s="53"/>
      <c r="R1451" s="53"/>
      <c r="S1451" s="53"/>
      <c r="T1451" s="53"/>
      <c r="U1451" s="53"/>
      <c r="V1451" s="53"/>
      <c r="W1451" s="53"/>
      <c r="X1451" s="53"/>
      <c r="Y1451" s="53"/>
      <c r="Z1451" s="53"/>
    </row>
    <row r="1452" spans="1:26" ht="15.75" customHeight="1">
      <c r="A1452" s="103"/>
      <c r="B1452" s="103"/>
      <c r="C1452" s="104" t="e">
        <v>#REF!</v>
      </c>
      <c r="D1452" s="103"/>
      <c r="E1452" s="53"/>
      <c r="F1452" s="53"/>
      <c r="G1452" s="53"/>
      <c r="H1452" s="53"/>
      <c r="I1452" s="53"/>
      <c r="J1452" s="53"/>
      <c r="K1452" s="53"/>
      <c r="L1452" s="53"/>
      <c r="M1452" s="53"/>
      <c r="N1452" s="53"/>
      <c r="O1452" s="53"/>
      <c r="P1452" s="53"/>
      <c r="Q1452" s="53"/>
      <c r="R1452" s="53"/>
      <c r="S1452" s="53"/>
      <c r="T1452" s="53"/>
      <c r="U1452" s="53"/>
      <c r="V1452" s="53"/>
      <c r="W1452" s="53"/>
      <c r="X1452" s="53"/>
      <c r="Y1452" s="53"/>
      <c r="Z1452" s="53"/>
    </row>
    <row r="1453" spans="1:26" ht="15.75" customHeight="1">
      <c r="A1453" s="103"/>
      <c r="B1453" s="103"/>
      <c r="C1453" s="104" t="e">
        <v>#REF!</v>
      </c>
      <c r="D1453" s="103"/>
      <c r="E1453" s="53"/>
      <c r="F1453" s="53"/>
      <c r="G1453" s="53"/>
      <c r="H1453" s="53"/>
      <c r="I1453" s="53"/>
      <c r="J1453" s="53"/>
      <c r="K1453" s="53"/>
      <c r="L1453" s="53"/>
      <c r="M1453" s="53"/>
      <c r="N1453" s="53"/>
      <c r="O1453" s="53"/>
      <c r="P1453" s="53"/>
      <c r="Q1453" s="53"/>
      <c r="R1453" s="53"/>
      <c r="S1453" s="53"/>
      <c r="T1453" s="53"/>
      <c r="U1453" s="53"/>
      <c r="V1453" s="53"/>
      <c r="W1453" s="53"/>
      <c r="X1453" s="53"/>
      <c r="Y1453" s="53"/>
      <c r="Z1453" s="53"/>
    </row>
    <row r="1454" spans="1:26" ht="15.75" customHeight="1">
      <c r="A1454" s="103"/>
      <c r="B1454" s="103"/>
      <c r="C1454" s="104" t="e">
        <v>#REF!</v>
      </c>
      <c r="D1454" s="103"/>
      <c r="E1454" s="53"/>
      <c r="F1454" s="53"/>
      <c r="G1454" s="53"/>
      <c r="H1454" s="53"/>
      <c r="I1454" s="53"/>
      <c r="J1454" s="53"/>
      <c r="K1454" s="53"/>
      <c r="L1454" s="53"/>
      <c r="M1454" s="53"/>
      <c r="N1454" s="53"/>
      <c r="O1454" s="53"/>
      <c r="P1454" s="53"/>
      <c r="Q1454" s="53"/>
      <c r="R1454" s="53"/>
      <c r="S1454" s="53"/>
      <c r="T1454" s="53"/>
      <c r="U1454" s="53"/>
      <c r="V1454" s="53"/>
      <c r="W1454" s="53"/>
      <c r="X1454" s="53"/>
      <c r="Y1454" s="53"/>
      <c r="Z1454" s="53"/>
    </row>
    <row r="1455" spans="1:26" ht="15.75" customHeight="1">
      <c r="A1455" s="103"/>
      <c r="B1455" s="103"/>
      <c r="C1455" s="104" t="e">
        <v>#REF!</v>
      </c>
      <c r="D1455" s="103"/>
      <c r="E1455" s="53"/>
      <c r="F1455" s="53"/>
      <c r="G1455" s="53"/>
      <c r="H1455" s="53"/>
      <c r="I1455" s="53"/>
      <c r="J1455" s="53"/>
      <c r="K1455" s="53"/>
      <c r="L1455" s="53"/>
      <c r="M1455" s="53"/>
      <c r="N1455" s="53"/>
      <c r="O1455" s="53"/>
      <c r="P1455" s="53"/>
      <c r="Q1455" s="53"/>
      <c r="R1455" s="53"/>
      <c r="S1455" s="53"/>
      <c r="T1455" s="53"/>
      <c r="U1455" s="53"/>
      <c r="V1455" s="53"/>
      <c r="W1455" s="53"/>
      <c r="X1455" s="53"/>
      <c r="Y1455" s="53"/>
      <c r="Z1455" s="53"/>
    </row>
    <row r="1456" spans="1:26" ht="15.75" customHeight="1">
      <c r="A1456" s="103"/>
      <c r="B1456" s="103"/>
      <c r="C1456" s="104" t="e">
        <v>#REF!</v>
      </c>
      <c r="D1456" s="103"/>
      <c r="E1456" s="53"/>
      <c r="F1456" s="53"/>
      <c r="G1456" s="53"/>
      <c r="H1456" s="53"/>
      <c r="I1456" s="53"/>
      <c r="J1456" s="53"/>
      <c r="K1456" s="53"/>
      <c r="L1456" s="53"/>
      <c r="M1456" s="53"/>
      <c r="N1456" s="53"/>
      <c r="O1456" s="53"/>
      <c r="P1456" s="53"/>
      <c r="Q1456" s="53"/>
      <c r="R1456" s="53"/>
      <c r="S1456" s="53"/>
      <c r="T1456" s="53"/>
      <c r="U1456" s="53"/>
      <c r="V1456" s="53"/>
      <c r="W1456" s="53"/>
      <c r="X1456" s="53"/>
      <c r="Y1456" s="53"/>
      <c r="Z1456" s="53"/>
    </row>
    <row r="1457" spans="1:26" ht="15.75" customHeight="1">
      <c r="A1457" s="103"/>
      <c r="B1457" s="103"/>
      <c r="C1457" s="104" t="e">
        <v>#REF!</v>
      </c>
      <c r="D1457" s="103"/>
      <c r="E1457" s="53"/>
      <c r="F1457" s="53"/>
      <c r="G1457" s="53"/>
      <c r="H1457" s="53"/>
      <c r="I1457" s="53"/>
      <c r="J1457" s="53"/>
      <c r="K1457" s="53"/>
      <c r="L1457" s="53"/>
      <c r="M1457" s="53"/>
      <c r="N1457" s="53"/>
      <c r="O1457" s="53"/>
      <c r="P1457" s="53"/>
      <c r="Q1457" s="53"/>
      <c r="R1457" s="53"/>
      <c r="S1457" s="53"/>
      <c r="T1457" s="53"/>
      <c r="U1457" s="53"/>
      <c r="V1457" s="53"/>
      <c r="W1457" s="53"/>
      <c r="X1457" s="53"/>
      <c r="Y1457" s="53"/>
      <c r="Z1457" s="53"/>
    </row>
    <row r="1458" spans="1:26" ht="15.75" customHeight="1">
      <c r="A1458" s="103"/>
      <c r="B1458" s="103"/>
      <c r="C1458" s="104" t="e">
        <v>#REF!</v>
      </c>
      <c r="D1458" s="103"/>
      <c r="E1458" s="53"/>
      <c r="F1458" s="53"/>
      <c r="G1458" s="53"/>
      <c r="H1458" s="53"/>
      <c r="I1458" s="53"/>
      <c r="J1458" s="53"/>
      <c r="K1458" s="53"/>
      <c r="L1458" s="53"/>
      <c r="M1458" s="53"/>
      <c r="N1458" s="53"/>
      <c r="O1458" s="53"/>
      <c r="P1458" s="53"/>
      <c r="Q1458" s="53"/>
      <c r="R1458" s="53"/>
      <c r="S1458" s="53"/>
      <c r="T1458" s="53"/>
      <c r="U1458" s="53"/>
      <c r="V1458" s="53"/>
      <c r="W1458" s="53"/>
      <c r="X1458" s="53"/>
      <c r="Y1458" s="53"/>
      <c r="Z1458" s="53"/>
    </row>
    <row r="1459" spans="1:26" ht="15.75" customHeight="1">
      <c r="A1459" s="103"/>
      <c r="B1459" s="103"/>
      <c r="C1459" s="104" t="e">
        <v>#REF!</v>
      </c>
      <c r="D1459" s="103"/>
      <c r="E1459" s="53"/>
      <c r="F1459" s="53"/>
      <c r="G1459" s="53"/>
      <c r="H1459" s="53"/>
      <c r="I1459" s="53"/>
      <c r="J1459" s="53"/>
      <c r="K1459" s="53"/>
      <c r="L1459" s="53"/>
      <c r="M1459" s="53"/>
      <c r="N1459" s="53"/>
      <c r="O1459" s="53"/>
      <c r="P1459" s="53"/>
      <c r="Q1459" s="53"/>
      <c r="R1459" s="53"/>
      <c r="S1459" s="53"/>
      <c r="T1459" s="53"/>
      <c r="U1459" s="53"/>
      <c r="V1459" s="53"/>
      <c r="W1459" s="53"/>
      <c r="X1459" s="53"/>
      <c r="Y1459" s="53"/>
      <c r="Z1459" s="53"/>
    </row>
    <row r="1460" spans="1:26" ht="15.75" customHeight="1">
      <c r="A1460" s="103"/>
      <c r="B1460" s="103"/>
      <c r="C1460" s="104" t="e">
        <v>#REF!</v>
      </c>
      <c r="D1460" s="103"/>
      <c r="E1460" s="53"/>
      <c r="F1460" s="53"/>
      <c r="G1460" s="53"/>
      <c r="H1460" s="53"/>
      <c r="I1460" s="53"/>
      <c r="J1460" s="53"/>
      <c r="K1460" s="53"/>
      <c r="L1460" s="53"/>
      <c r="M1460" s="53"/>
      <c r="N1460" s="53"/>
      <c r="O1460" s="53"/>
      <c r="P1460" s="53"/>
      <c r="Q1460" s="53"/>
      <c r="R1460" s="53"/>
      <c r="S1460" s="53"/>
      <c r="T1460" s="53"/>
      <c r="U1460" s="53"/>
      <c r="V1460" s="53"/>
      <c r="W1460" s="53"/>
      <c r="X1460" s="53"/>
      <c r="Y1460" s="53"/>
      <c r="Z1460" s="53"/>
    </row>
    <row r="1461" spans="1:26" ht="15.75" customHeight="1">
      <c r="A1461" s="103"/>
      <c r="B1461" s="103"/>
      <c r="C1461" s="104" t="e">
        <v>#REF!</v>
      </c>
      <c r="D1461" s="103"/>
      <c r="E1461" s="53"/>
      <c r="F1461" s="53"/>
      <c r="G1461" s="53"/>
      <c r="H1461" s="53"/>
      <c r="I1461" s="53"/>
      <c r="J1461" s="53"/>
      <c r="K1461" s="53"/>
      <c r="L1461" s="53"/>
      <c r="M1461" s="53"/>
      <c r="N1461" s="53"/>
      <c r="O1461" s="53"/>
      <c r="P1461" s="53"/>
      <c r="Q1461" s="53"/>
      <c r="R1461" s="53"/>
      <c r="S1461" s="53"/>
      <c r="T1461" s="53"/>
      <c r="U1461" s="53"/>
      <c r="V1461" s="53"/>
      <c r="W1461" s="53"/>
      <c r="X1461" s="53"/>
      <c r="Y1461" s="53"/>
      <c r="Z1461" s="53"/>
    </row>
    <row r="1462" spans="1:26" ht="15.75" customHeight="1">
      <c r="A1462" s="103"/>
      <c r="B1462" s="103"/>
      <c r="C1462" s="104" t="e">
        <v>#REF!</v>
      </c>
      <c r="D1462" s="103"/>
      <c r="E1462" s="53"/>
      <c r="F1462" s="53"/>
      <c r="G1462" s="53"/>
      <c r="H1462" s="53"/>
      <c r="I1462" s="53"/>
      <c r="J1462" s="53"/>
      <c r="K1462" s="53"/>
      <c r="L1462" s="53"/>
      <c r="M1462" s="53"/>
      <c r="N1462" s="53"/>
      <c r="O1462" s="53"/>
      <c r="P1462" s="53"/>
      <c r="Q1462" s="53"/>
      <c r="R1462" s="53"/>
      <c r="S1462" s="53"/>
      <c r="T1462" s="53"/>
      <c r="U1462" s="53"/>
      <c r="V1462" s="53"/>
      <c r="W1462" s="53"/>
      <c r="X1462" s="53"/>
      <c r="Y1462" s="53"/>
      <c r="Z1462" s="53"/>
    </row>
    <row r="1463" spans="1:26" ht="15.75" customHeight="1">
      <c r="A1463" s="103"/>
      <c r="B1463" s="103"/>
      <c r="C1463" s="104" t="e">
        <v>#REF!</v>
      </c>
      <c r="D1463" s="103"/>
      <c r="E1463" s="53"/>
      <c r="F1463" s="53"/>
      <c r="G1463" s="53"/>
      <c r="H1463" s="53"/>
      <c r="I1463" s="53"/>
      <c r="J1463" s="53"/>
      <c r="K1463" s="53"/>
      <c r="L1463" s="53"/>
      <c r="M1463" s="53"/>
      <c r="N1463" s="53"/>
      <c r="O1463" s="53"/>
      <c r="P1463" s="53"/>
      <c r="Q1463" s="53"/>
      <c r="R1463" s="53"/>
      <c r="S1463" s="53"/>
      <c r="T1463" s="53"/>
      <c r="U1463" s="53"/>
      <c r="V1463" s="53"/>
      <c r="W1463" s="53"/>
      <c r="X1463" s="53"/>
      <c r="Y1463" s="53"/>
      <c r="Z1463" s="53"/>
    </row>
    <row r="1464" spans="1:26" ht="15.75" customHeight="1">
      <c r="A1464" s="103"/>
      <c r="B1464" s="103"/>
      <c r="C1464" s="104" t="e">
        <v>#REF!</v>
      </c>
      <c r="D1464" s="103"/>
      <c r="E1464" s="53"/>
      <c r="F1464" s="53"/>
      <c r="G1464" s="53"/>
      <c r="H1464" s="53"/>
      <c r="I1464" s="53"/>
      <c r="J1464" s="53"/>
      <c r="K1464" s="53"/>
      <c r="L1464" s="53"/>
      <c r="M1464" s="53"/>
      <c r="N1464" s="53"/>
      <c r="O1464" s="53"/>
      <c r="P1464" s="53"/>
      <c r="Q1464" s="53"/>
      <c r="R1464" s="53"/>
      <c r="S1464" s="53"/>
      <c r="T1464" s="53"/>
      <c r="U1464" s="53"/>
      <c r="V1464" s="53"/>
      <c r="W1464" s="53"/>
      <c r="X1464" s="53"/>
      <c r="Y1464" s="53"/>
      <c r="Z1464" s="53"/>
    </row>
    <row r="1465" spans="1:26" ht="15.75" customHeight="1">
      <c r="A1465" s="103"/>
      <c r="B1465" s="103"/>
      <c r="C1465" s="104" t="e">
        <v>#REF!</v>
      </c>
      <c r="D1465" s="103"/>
      <c r="E1465" s="53"/>
      <c r="F1465" s="53"/>
      <c r="G1465" s="53"/>
      <c r="H1465" s="53"/>
      <c r="I1465" s="53"/>
      <c r="J1465" s="53"/>
      <c r="K1465" s="53"/>
      <c r="L1465" s="53"/>
      <c r="M1465" s="53"/>
      <c r="N1465" s="53"/>
      <c r="O1465" s="53"/>
      <c r="P1465" s="53"/>
      <c r="Q1465" s="53"/>
      <c r="R1465" s="53"/>
      <c r="S1465" s="53"/>
      <c r="T1465" s="53"/>
      <c r="U1465" s="53"/>
      <c r="V1465" s="53"/>
      <c r="W1465" s="53"/>
      <c r="X1465" s="53"/>
      <c r="Y1465" s="53"/>
      <c r="Z1465" s="53"/>
    </row>
    <row r="1466" spans="1:26" ht="15.75" customHeight="1">
      <c r="A1466" s="103"/>
      <c r="B1466" s="103"/>
      <c r="C1466" s="104" t="e">
        <v>#REF!</v>
      </c>
      <c r="D1466" s="103"/>
      <c r="E1466" s="53"/>
      <c r="F1466" s="53"/>
      <c r="G1466" s="53"/>
      <c r="H1466" s="53"/>
      <c r="I1466" s="53"/>
      <c r="J1466" s="53"/>
      <c r="K1466" s="53"/>
      <c r="L1466" s="53"/>
      <c r="M1466" s="53"/>
      <c r="N1466" s="53"/>
      <c r="O1466" s="53"/>
      <c r="P1466" s="53"/>
      <c r="Q1466" s="53"/>
      <c r="R1466" s="53"/>
      <c r="S1466" s="53"/>
      <c r="T1466" s="53"/>
      <c r="U1466" s="53"/>
      <c r="V1466" s="53"/>
      <c r="W1466" s="53"/>
      <c r="X1466" s="53"/>
      <c r="Y1466" s="53"/>
      <c r="Z1466" s="53"/>
    </row>
    <row r="1467" spans="1:26" ht="15.75" customHeight="1">
      <c r="A1467" s="103"/>
      <c r="B1467" s="103"/>
      <c r="C1467" s="104" t="e">
        <v>#REF!</v>
      </c>
      <c r="D1467" s="103"/>
      <c r="E1467" s="53"/>
      <c r="F1467" s="53"/>
      <c r="G1467" s="53"/>
      <c r="H1467" s="53"/>
      <c r="I1467" s="53"/>
      <c r="J1467" s="53"/>
      <c r="K1467" s="53"/>
      <c r="L1467" s="53"/>
      <c r="M1467" s="53"/>
      <c r="N1467" s="53"/>
      <c r="O1467" s="53"/>
      <c r="P1467" s="53"/>
      <c r="Q1467" s="53"/>
      <c r="R1467" s="53"/>
      <c r="S1467" s="53"/>
      <c r="T1467" s="53"/>
      <c r="U1467" s="53"/>
      <c r="V1467" s="53"/>
      <c r="W1467" s="53"/>
      <c r="X1467" s="53"/>
      <c r="Y1467" s="53"/>
      <c r="Z1467" s="53"/>
    </row>
    <row r="1468" spans="1:26" ht="15.75" customHeight="1">
      <c r="A1468" s="103"/>
      <c r="B1468" s="103"/>
      <c r="C1468" s="104" t="e">
        <v>#REF!</v>
      </c>
      <c r="D1468" s="103"/>
      <c r="E1468" s="53"/>
      <c r="F1468" s="53"/>
      <c r="G1468" s="53"/>
      <c r="H1468" s="53"/>
      <c r="I1468" s="53"/>
      <c r="J1468" s="53"/>
      <c r="K1468" s="53"/>
      <c r="L1468" s="53"/>
      <c r="M1468" s="53"/>
      <c r="N1468" s="53"/>
      <c r="O1468" s="53"/>
      <c r="P1468" s="53"/>
      <c r="Q1468" s="53"/>
      <c r="R1468" s="53"/>
      <c r="S1468" s="53"/>
      <c r="T1468" s="53"/>
      <c r="U1468" s="53"/>
      <c r="V1468" s="53"/>
      <c r="W1468" s="53"/>
      <c r="X1468" s="53"/>
      <c r="Y1468" s="53"/>
      <c r="Z1468" s="53"/>
    </row>
    <row r="1469" spans="1:26" ht="15.75" customHeight="1">
      <c r="A1469" s="103"/>
      <c r="B1469" s="103"/>
      <c r="C1469" s="104" t="e">
        <v>#REF!</v>
      </c>
      <c r="D1469" s="103"/>
      <c r="E1469" s="53"/>
      <c r="F1469" s="53"/>
      <c r="G1469" s="53"/>
      <c r="H1469" s="53"/>
      <c r="I1469" s="53"/>
      <c r="J1469" s="53"/>
      <c r="K1469" s="53"/>
      <c r="L1469" s="53"/>
      <c r="M1469" s="53"/>
      <c r="N1469" s="53"/>
      <c r="O1469" s="53"/>
      <c r="P1469" s="53"/>
      <c r="Q1469" s="53"/>
      <c r="R1469" s="53"/>
      <c r="S1469" s="53"/>
      <c r="T1469" s="53"/>
      <c r="U1469" s="53"/>
      <c r="V1469" s="53"/>
      <c r="W1469" s="53"/>
      <c r="X1469" s="53"/>
      <c r="Y1469" s="53"/>
      <c r="Z1469" s="53"/>
    </row>
    <row r="1470" spans="1:26" ht="15.75" customHeight="1">
      <c r="A1470" s="103"/>
      <c r="B1470" s="103"/>
      <c r="C1470" s="104" t="e">
        <v>#REF!</v>
      </c>
      <c r="D1470" s="103"/>
      <c r="E1470" s="53"/>
      <c r="F1470" s="53"/>
      <c r="G1470" s="53"/>
      <c r="H1470" s="53"/>
      <c r="I1470" s="53"/>
      <c r="J1470" s="53"/>
      <c r="K1470" s="53"/>
      <c r="L1470" s="53"/>
      <c r="M1470" s="53"/>
      <c r="N1470" s="53"/>
      <c r="O1470" s="53"/>
      <c r="P1470" s="53"/>
      <c r="Q1470" s="53"/>
      <c r="R1470" s="53"/>
      <c r="S1470" s="53"/>
      <c r="T1470" s="53"/>
      <c r="U1470" s="53"/>
      <c r="V1470" s="53"/>
      <c r="W1470" s="53"/>
      <c r="X1470" s="53"/>
      <c r="Y1470" s="53"/>
      <c r="Z1470" s="53"/>
    </row>
    <row r="1471" spans="1:26" ht="15.75" customHeight="1">
      <c r="A1471" s="103"/>
      <c r="B1471" s="103"/>
      <c r="C1471" s="104" t="e">
        <v>#REF!</v>
      </c>
      <c r="D1471" s="103"/>
      <c r="E1471" s="53"/>
      <c r="F1471" s="53"/>
      <c r="G1471" s="53"/>
      <c r="H1471" s="53"/>
      <c r="I1471" s="53"/>
      <c r="J1471" s="53"/>
      <c r="K1471" s="53"/>
      <c r="L1471" s="53"/>
      <c r="M1471" s="53"/>
      <c r="N1471" s="53"/>
      <c r="O1471" s="53"/>
      <c r="P1471" s="53"/>
      <c r="Q1471" s="53"/>
      <c r="R1471" s="53"/>
      <c r="S1471" s="53"/>
      <c r="T1471" s="53"/>
      <c r="U1471" s="53"/>
      <c r="V1471" s="53"/>
      <c r="W1471" s="53"/>
      <c r="X1471" s="53"/>
      <c r="Y1471" s="53"/>
      <c r="Z1471" s="53"/>
    </row>
    <row r="1472" spans="1:26" ht="15.75" customHeight="1">
      <c r="A1472" s="103"/>
      <c r="B1472" s="103"/>
      <c r="C1472" s="104" t="e">
        <v>#REF!</v>
      </c>
      <c r="D1472" s="103"/>
      <c r="E1472" s="53"/>
      <c r="F1472" s="53"/>
      <c r="G1472" s="53"/>
      <c r="H1472" s="53"/>
      <c r="I1472" s="53"/>
      <c r="J1472" s="53"/>
      <c r="K1472" s="53"/>
      <c r="L1472" s="53"/>
      <c r="M1472" s="53"/>
      <c r="N1472" s="53"/>
      <c r="O1472" s="53"/>
      <c r="P1472" s="53"/>
      <c r="Q1472" s="53"/>
      <c r="R1472" s="53"/>
      <c r="S1472" s="53"/>
      <c r="T1472" s="53"/>
      <c r="U1472" s="53"/>
      <c r="V1472" s="53"/>
      <c r="W1472" s="53"/>
      <c r="X1472" s="53"/>
      <c r="Y1472" s="53"/>
      <c r="Z1472" s="53"/>
    </row>
    <row r="1473" spans="1:26" ht="15.75" customHeight="1">
      <c r="A1473" s="103"/>
      <c r="B1473" s="103"/>
      <c r="C1473" s="104" t="e">
        <v>#REF!</v>
      </c>
      <c r="D1473" s="103"/>
      <c r="E1473" s="53"/>
      <c r="F1473" s="53"/>
      <c r="G1473" s="53"/>
      <c r="H1473" s="53"/>
      <c r="I1473" s="53"/>
      <c r="J1473" s="53"/>
      <c r="K1473" s="53"/>
      <c r="L1473" s="53"/>
      <c r="M1473" s="53"/>
      <c r="N1473" s="53"/>
      <c r="O1473" s="53"/>
      <c r="P1473" s="53"/>
      <c r="Q1473" s="53"/>
      <c r="R1473" s="53"/>
      <c r="S1473" s="53"/>
      <c r="T1473" s="53"/>
      <c r="U1473" s="53"/>
      <c r="V1473" s="53"/>
      <c r="W1473" s="53"/>
      <c r="X1473" s="53"/>
      <c r="Y1473" s="53"/>
      <c r="Z1473" s="53"/>
    </row>
    <row r="1474" spans="1:26" ht="15.75" customHeight="1">
      <c r="A1474" s="103"/>
      <c r="B1474" s="103"/>
      <c r="C1474" s="104" t="e">
        <v>#REF!</v>
      </c>
      <c r="D1474" s="103"/>
      <c r="E1474" s="53"/>
      <c r="F1474" s="53"/>
      <c r="G1474" s="53"/>
      <c r="H1474" s="53"/>
      <c r="I1474" s="53"/>
      <c r="J1474" s="53"/>
      <c r="K1474" s="53"/>
      <c r="L1474" s="53"/>
      <c r="M1474" s="53"/>
      <c r="N1474" s="53"/>
      <c r="O1474" s="53"/>
      <c r="P1474" s="53"/>
      <c r="Q1474" s="53"/>
      <c r="R1474" s="53"/>
      <c r="S1474" s="53"/>
      <c r="T1474" s="53"/>
      <c r="U1474" s="53"/>
      <c r="V1474" s="53"/>
      <c r="W1474" s="53"/>
      <c r="X1474" s="53"/>
      <c r="Y1474" s="53"/>
      <c r="Z1474" s="53"/>
    </row>
    <row r="1475" spans="1:26" ht="15.75" customHeight="1">
      <c r="A1475" s="103"/>
      <c r="B1475" s="103"/>
      <c r="C1475" s="104" t="e">
        <v>#REF!</v>
      </c>
      <c r="D1475" s="103"/>
      <c r="E1475" s="53"/>
      <c r="F1475" s="53"/>
      <c r="G1475" s="53"/>
      <c r="H1475" s="53"/>
      <c r="I1475" s="53"/>
      <c r="J1475" s="53"/>
      <c r="K1475" s="53"/>
      <c r="L1475" s="53"/>
      <c r="M1475" s="53"/>
      <c r="N1475" s="53"/>
      <c r="O1475" s="53"/>
      <c r="P1475" s="53"/>
      <c r="Q1475" s="53"/>
      <c r="R1475" s="53"/>
      <c r="S1475" s="53"/>
      <c r="T1475" s="53"/>
      <c r="U1475" s="53"/>
      <c r="V1475" s="53"/>
      <c r="W1475" s="53"/>
      <c r="X1475" s="53"/>
      <c r="Y1475" s="53"/>
      <c r="Z1475" s="53"/>
    </row>
    <row r="1476" spans="1:26" ht="15.75" customHeight="1">
      <c r="A1476" s="103"/>
      <c r="B1476" s="103"/>
      <c r="C1476" s="104" t="e">
        <v>#REF!</v>
      </c>
      <c r="D1476" s="103"/>
      <c r="E1476" s="53"/>
      <c r="F1476" s="53"/>
      <c r="G1476" s="53"/>
      <c r="H1476" s="53"/>
      <c r="I1476" s="53"/>
      <c r="J1476" s="53"/>
      <c r="K1476" s="53"/>
      <c r="L1476" s="53"/>
      <c r="M1476" s="53"/>
      <c r="N1476" s="53"/>
      <c r="O1476" s="53"/>
      <c r="P1476" s="53"/>
      <c r="Q1476" s="53"/>
      <c r="R1476" s="53"/>
      <c r="S1476" s="53"/>
      <c r="T1476" s="53"/>
      <c r="U1476" s="53"/>
      <c r="V1476" s="53"/>
      <c r="W1476" s="53"/>
      <c r="X1476" s="53"/>
      <c r="Y1476" s="53"/>
      <c r="Z1476" s="53"/>
    </row>
    <row r="1477" spans="1:26" ht="15.75" customHeight="1">
      <c r="A1477" s="103"/>
      <c r="B1477" s="103"/>
      <c r="C1477" s="104" t="e">
        <v>#REF!</v>
      </c>
      <c r="D1477" s="103"/>
      <c r="E1477" s="53"/>
      <c r="F1477" s="53"/>
      <c r="G1477" s="53"/>
      <c r="H1477" s="53"/>
      <c r="I1477" s="53"/>
      <c r="J1477" s="53"/>
      <c r="K1477" s="53"/>
      <c r="L1477" s="53"/>
      <c r="M1477" s="53"/>
      <c r="N1477" s="53"/>
      <c r="O1477" s="53"/>
      <c r="P1477" s="53"/>
      <c r="Q1477" s="53"/>
      <c r="R1477" s="53"/>
      <c r="S1477" s="53"/>
      <c r="T1477" s="53"/>
      <c r="U1477" s="53"/>
      <c r="V1477" s="53"/>
      <c r="W1477" s="53"/>
      <c r="X1477" s="53"/>
      <c r="Y1477" s="53"/>
      <c r="Z1477" s="53"/>
    </row>
    <row r="1478" spans="1:26" ht="15.75" customHeight="1">
      <c r="A1478" s="103"/>
      <c r="B1478" s="103"/>
      <c r="C1478" s="104" t="e">
        <v>#REF!</v>
      </c>
      <c r="D1478" s="103"/>
      <c r="E1478" s="53"/>
      <c r="F1478" s="53"/>
      <c r="G1478" s="53"/>
      <c r="H1478" s="53"/>
      <c r="I1478" s="53"/>
      <c r="J1478" s="53"/>
      <c r="K1478" s="53"/>
      <c r="L1478" s="53"/>
      <c r="M1478" s="53"/>
      <c r="N1478" s="53"/>
      <c r="O1478" s="53"/>
      <c r="P1478" s="53"/>
      <c r="Q1478" s="53"/>
      <c r="R1478" s="53"/>
      <c r="S1478" s="53"/>
      <c r="T1478" s="53"/>
      <c r="U1478" s="53"/>
      <c r="V1478" s="53"/>
      <c r="W1478" s="53"/>
      <c r="X1478" s="53"/>
      <c r="Y1478" s="53"/>
      <c r="Z1478" s="53"/>
    </row>
    <row r="1479" spans="1:26" ht="15.75" customHeight="1">
      <c r="A1479" s="103"/>
      <c r="B1479" s="103"/>
      <c r="C1479" s="104" t="e">
        <v>#REF!</v>
      </c>
      <c r="D1479" s="103"/>
      <c r="E1479" s="53"/>
      <c r="F1479" s="53"/>
      <c r="G1479" s="53"/>
      <c r="H1479" s="53"/>
      <c r="I1479" s="53"/>
      <c r="J1479" s="53"/>
      <c r="K1479" s="53"/>
      <c r="L1479" s="53"/>
      <c r="M1479" s="53"/>
      <c r="N1479" s="53"/>
      <c r="O1479" s="53"/>
      <c r="P1479" s="53"/>
      <c r="Q1479" s="53"/>
      <c r="R1479" s="53"/>
      <c r="S1479" s="53"/>
      <c r="T1479" s="53"/>
      <c r="U1479" s="53"/>
      <c r="V1479" s="53"/>
      <c r="W1479" s="53"/>
      <c r="X1479" s="53"/>
      <c r="Y1479" s="53"/>
      <c r="Z1479" s="53"/>
    </row>
    <row r="1480" spans="1:26" ht="15.75" customHeight="1">
      <c r="A1480" s="103"/>
      <c r="B1480" s="103"/>
      <c r="C1480" s="104" t="e">
        <v>#REF!</v>
      </c>
      <c r="D1480" s="103"/>
      <c r="E1480" s="53"/>
      <c r="F1480" s="53"/>
      <c r="G1480" s="53"/>
      <c r="H1480" s="53"/>
      <c r="I1480" s="53"/>
      <c r="J1480" s="53"/>
      <c r="K1480" s="53"/>
      <c r="L1480" s="53"/>
      <c r="M1480" s="53"/>
      <c r="N1480" s="53"/>
      <c r="O1480" s="53"/>
      <c r="P1480" s="53"/>
      <c r="Q1480" s="53"/>
      <c r="R1480" s="53"/>
      <c r="S1480" s="53"/>
      <c r="T1480" s="53"/>
      <c r="U1480" s="53"/>
      <c r="V1480" s="53"/>
      <c r="W1480" s="53"/>
      <c r="X1480" s="53"/>
      <c r="Y1480" s="53"/>
      <c r="Z1480" s="53"/>
    </row>
    <row r="1481" spans="1:26" ht="15.75" customHeight="1">
      <c r="A1481" s="103"/>
      <c r="B1481" s="103"/>
      <c r="C1481" s="104" t="e">
        <v>#REF!</v>
      </c>
      <c r="D1481" s="103"/>
      <c r="E1481" s="53"/>
      <c r="F1481" s="53"/>
      <c r="G1481" s="53"/>
      <c r="H1481" s="53"/>
      <c r="I1481" s="53"/>
      <c r="J1481" s="53"/>
      <c r="K1481" s="53"/>
      <c r="L1481" s="53"/>
      <c r="M1481" s="53"/>
      <c r="N1481" s="53"/>
      <c r="O1481" s="53"/>
      <c r="P1481" s="53"/>
      <c r="Q1481" s="53"/>
      <c r="R1481" s="53"/>
      <c r="S1481" s="53"/>
      <c r="T1481" s="53"/>
      <c r="U1481" s="53"/>
      <c r="V1481" s="53"/>
      <c r="W1481" s="53"/>
      <c r="X1481" s="53"/>
      <c r="Y1481" s="53"/>
      <c r="Z1481" s="53"/>
    </row>
    <row r="1482" spans="1:26" ht="15.75" customHeight="1">
      <c r="A1482" s="103"/>
      <c r="B1482" s="103"/>
      <c r="C1482" s="104" t="e">
        <v>#REF!</v>
      </c>
      <c r="D1482" s="103"/>
      <c r="E1482" s="53"/>
      <c r="F1482" s="53"/>
      <c r="G1482" s="53"/>
      <c r="H1482" s="53"/>
      <c r="I1482" s="53"/>
      <c r="J1482" s="53"/>
      <c r="K1482" s="53"/>
      <c r="L1482" s="53"/>
      <c r="M1482" s="53"/>
      <c r="N1482" s="53"/>
      <c r="O1482" s="53"/>
      <c r="P1482" s="53"/>
      <c r="Q1482" s="53"/>
      <c r="R1482" s="53"/>
      <c r="S1482" s="53"/>
      <c r="T1482" s="53"/>
      <c r="U1482" s="53"/>
      <c r="V1482" s="53"/>
      <c r="W1482" s="53"/>
      <c r="X1482" s="53"/>
      <c r="Y1482" s="53"/>
      <c r="Z1482" s="53"/>
    </row>
    <row r="1483" spans="1:26" ht="15.75" customHeight="1">
      <c r="A1483" s="103"/>
      <c r="B1483" s="103"/>
      <c r="C1483" s="104" t="e">
        <v>#REF!</v>
      </c>
      <c r="D1483" s="103"/>
      <c r="E1483" s="53"/>
      <c r="F1483" s="53"/>
      <c r="G1483" s="53"/>
      <c r="H1483" s="53"/>
      <c r="I1483" s="53"/>
      <c r="J1483" s="53"/>
      <c r="K1483" s="53"/>
      <c r="L1483" s="53"/>
      <c r="M1483" s="53"/>
      <c r="N1483" s="53"/>
      <c r="O1483" s="53"/>
      <c r="P1483" s="53"/>
      <c r="Q1483" s="53"/>
      <c r="R1483" s="53"/>
      <c r="S1483" s="53"/>
      <c r="T1483" s="53"/>
      <c r="U1483" s="53"/>
      <c r="V1483" s="53"/>
      <c r="W1483" s="53"/>
      <c r="X1483" s="53"/>
      <c r="Y1483" s="53"/>
      <c r="Z1483" s="53"/>
    </row>
    <row r="1484" spans="1:26" ht="15.75" customHeight="1">
      <c r="A1484" s="103"/>
      <c r="B1484" s="103"/>
      <c r="C1484" s="104" t="e">
        <v>#REF!</v>
      </c>
      <c r="D1484" s="103"/>
      <c r="E1484" s="53"/>
      <c r="F1484" s="53"/>
      <c r="G1484" s="53"/>
      <c r="H1484" s="53"/>
      <c r="I1484" s="53"/>
      <c r="J1484" s="53"/>
      <c r="K1484" s="53"/>
      <c r="L1484" s="53"/>
      <c r="M1484" s="53"/>
      <c r="N1484" s="53"/>
      <c r="O1484" s="53"/>
      <c r="P1484" s="53"/>
      <c r="Q1484" s="53"/>
      <c r="R1484" s="53"/>
      <c r="S1484" s="53"/>
      <c r="T1484" s="53"/>
      <c r="U1484" s="53"/>
      <c r="V1484" s="53"/>
      <c r="W1484" s="53"/>
      <c r="X1484" s="53"/>
      <c r="Y1484" s="53"/>
      <c r="Z1484" s="53"/>
    </row>
    <row r="1485" spans="1:26" ht="15.75" customHeight="1">
      <c r="A1485" s="103"/>
      <c r="B1485" s="103"/>
      <c r="C1485" s="104" t="e">
        <v>#REF!</v>
      </c>
      <c r="D1485" s="103"/>
      <c r="E1485" s="53"/>
      <c r="F1485" s="53"/>
      <c r="G1485" s="53"/>
      <c r="H1485" s="53"/>
      <c r="I1485" s="53"/>
      <c r="J1485" s="53"/>
      <c r="K1485" s="53"/>
      <c r="L1485" s="53"/>
      <c r="M1485" s="53"/>
      <c r="N1485" s="53"/>
      <c r="O1485" s="53"/>
      <c r="P1485" s="53"/>
      <c r="Q1485" s="53"/>
      <c r="R1485" s="53"/>
      <c r="S1485" s="53"/>
      <c r="T1485" s="53"/>
      <c r="U1485" s="53"/>
      <c r="V1485" s="53"/>
      <c r="W1485" s="53"/>
      <c r="X1485" s="53"/>
      <c r="Y1485" s="53"/>
      <c r="Z1485" s="53"/>
    </row>
    <row r="1486" spans="1:26" ht="15.75" customHeight="1">
      <c r="A1486" s="103"/>
      <c r="B1486" s="103"/>
      <c r="C1486" s="104" t="e">
        <v>#REF!</v>
      </c>
      <c r="D1486" s="103"/>
      <c r="E1486" s="53"/>
      <c r="F1486" s="53"/>
      <c r="G1486" s="53"/>
      <c r="H1486" s="53"/>
      <c r="I1486" s="53"/>
      <c r="J1486" s="53"/>
      <c r="K1486" s="53"/>
      <c r="L1486" s="53"/>
      <c r="M1486" s="53"/>
      <c r="N1486" s="53"/>
      <c r="O1486" s="53"/>
      <c r="P1486" s="53"/>
      <c r="Q1486" s="53"/>
      <c r="R1486" s="53"/>
      <c r="S1486" s="53"/>
      <c r="T1486" s="53"/>
      <c r="U1486" s="53"/>
      <c r="V1486" s="53"/>
      <c r="W1486" s="53"/>
      <c r="X1486" s="53"/>
      <c r="Y1486" s="53"/>
      <c r="Z1486" s="53"/>
    </row>
    <row r="1487" spans="1:26" ht="15.75" customHeight="1">
      <c r="A1487" s="103"/>
      <c r="B1487" s="103"/>
      <c r="C1487" s="104" t="e">
        <v>#REF!</v>
      </c>
      <c r="D1487" s="103"/>
      <c r="E1487" s="53"/>
      <c r="F1487" s="53"/>
      <c r="G1487" s="53"/>
      <c r="H1487" s="53"/>
      <c r="I1487" s="53"/>
      <c r="J1487" s="53"/>
      <c r="K1487" s="53"/>
      <c r="L1487" s="53"/>
      <c r="M1487" s="53"/>
      <c r="N1487" s="53"/>
      <c r="O1487" s="53"/>
      <c r="P1487" s="53"/>
      <c r="Q1487" s="53"/>
      <c r="R1487" s="53"/>
      <c r="S1487" s="53"/>
      <c r="T1487" s="53"/>
      <c r="U1487" s="53"/>
      <c r="V1487" s="53"/>
      <c r="W1487" s="53"/>
      <c r="X1487" s="53"/>
      <c r="Y1487" s="53"/>
      <c r="Z1487" s="53"/>
    </row>
    <row r="1488" spans="1:26" ht="15.75" customHeight="1">
      <c r="A1488" s="103"/>
      <c r="B1488" s="103"/>
      <c r="C1488" s="104" t="e">
        <v>#REF!</v>
      </c>
      <c r="D1488" s="103"/>
      <c r="E1488" s="53"/>
      <c r="F1488" s="53"/>
      <c r="G1488" s="53"/>
      <c r="H1488" s="53"/>
      <c r="I1488" s="53"/>
      <c r="J1488" s="53"/>
      <c r="K1488" s="53"/>
      <c r="L1488" s="53"/>
      <c r="M1488" s="53"/>
      <c r="N1488" s="53"/>
      <c r="O1488" s="53"/>
      <c r="P1488" s="53"/>
      <c r="Q1488" s="53"/>
      <c r="R1488" s="53"/>
      <c r="S1488" s="53"/>
      <c r="T1488" s="53"/>
      <c r="U1488" s="53"/>
      <c r="V1488" s="53"/>
      <c r="W1488" s="53"/>
      <c r="X1488" s="53"/>
      <c r="Y1488" s="53"/>
      <c r="Z1488" s="53"/>
    </row>
    <row r="1489" spans="1:26" ht="15.75" customHeight="1">
      <c r="A1489" s="103"/>
      <c r="B1489" s="103"/>
      <c r="C1489" s="104" t="e">
        <v>#REF!</v>
      </c>
      <c r="D1489" s="103"/>
      <c r="E1489" s="53"/>
      <c r="F1489" s="53"/>
      <c r="G1489" s="53"/>
      <c r="H1489" s="53"/>
      <c r="I1489" s="53"/>
      <c r="J1489" s="53"/>
      <c r="K1489" s="53"/>
      <c r="L1489" s="53"/>
      <c r="M1489" s="53"/>
      <c r="N1489" s="53"/>
      <c r="O1489" s="53"/>
      <c r="P1489" s="53"/>
      <c r="Q1489" s="53"/>
      <c r="R1489" s="53"/>
      <c r="S1489" s="53"/>
      <c r="T1489" s="53"/>
      <c r="U1489" s="53"/>
      <c r="V1489" s="53"/>
      <c r="W1489" s="53"/>
      <c r="X1489" s="53"/>
      <c r="Y1489" s="53"/>
      <c r="Z1489" s="53"/>
    </row>
    <row r="1490" spans="1:26" ht="15.75" customHeight="1">
      <c r="A1490" s="103"/>
      <c r="B1490" s="103"/>
      <c r="C1490" s="104" t="e">
        <v>#REF!</v>
      </c>
      <c r="D1490" s="103"/>
      <c r="E1490" s="53"/>
      <c r="F1490" s="53"/>
      <c r="G1490" s="53"/>
      <c r="H1490" s="53"/>
      <c r="I1490" s="53"/>
      <c r="J1490" s="53"/>
      <c r="K1490" s="53"/>
      <c r="L1490" s="53"/>
      <c r="M1490" s="53"/>
      <c r="N1490" s="53"/>
      <c r="O1490" s="53"/>
      <c r="P1490" s="53"/>
      <c r="Q1490" s="53"/>
      <c r="R1490" s="53"/>
      <c r="S1490" s="53"/>
      <c r="T1490" s="53"/>
      <c r="U1490" s="53"/>
      <c r="V1490" s="53"/>
      <c r="W1490" s="53"/>
      <c r="X1490" s="53"/>
      <c r="Y1490" s="53"/>
      <c r="Z1490" s="53"/>
    </row>
    <row r="1491" spans="1:26" ht="15.75" customHeight="1">
      <c r="A1491" s="103"/>
      <c r="B1491" s="103"/>
      <c r="C1491" s="104" t="e">
        <v>#REF!</v>
      </c>
      <c r="D1491" s="103"/>
      <c r="E1491" s="53"/>
      <c r="F1491" s="53"/>
      <c r="G1491" s="53"/>
      <c r="H1491" s="53"/>
      <c r="I1491" s="53"/>
      <c r="J1491" s="53"/>
      <c r="K1491" s="53"/>
      <c r="L1491" s="53"/>
      <c r="M1491" s="53"/>
      <c r="N1491" s="53"/>
      <c r="O1491" s="53"/>
      <c r="P1491" s="53"/>
      <c r="Q1491" s="53"/>
      <c r="R1491" s="53"/>
      <c r="S1491" s="53"/>
      <c r="T1491" s="53"/>
      <c r="U1491" s="53"/>
      <c r="V1491" s="53"/>
      <c r="W1491" s="53"/>
      <c r="X1491" s="53"/>
      <c r="Y1491" s="53"/>
      <c r="Z1491" s="53"/>
    </row>
    <row r="1492" spans="1:26" ht="15.75" customHeight="1">
      <c r="A1492" s="103"/>
      <c r="B1492" s="103"/>
      <c r="C1492" s="104" t="e">
        <v>#REF!</v>
      </c>
      <c r="D1492" s="103"/>
      <c r="E1492" s="53"/>
      <c r="F1492" s="53"/>
      <c r="G1492" s="53"/>
      <c r="H1492" s="53"/>
      <c r="I1492" s="53"/>
      <c r="J1492" s="53"/>
      <c r="K1492" s="53"/>
      <c r="L1492" s="53"/>
      <c r="M1492" s="53"/>
      <c r="N1492" s="53"/>
      <c r="O1492" s="53"/>
      <c r="P1492" s="53"/>
      <c r="Q1492" s="53"/>
      <c r="R1492" s="53"/>
      <c r="S1492" s="53"/>
      <c r="T1492" s="53"/>
      <c r="U1492" s="53"/>
      <c r="V1492" s="53"/>
      <c r="W1492" s="53"/>
      <c r="X1492" s="53"/>
      <c r="Y1492" s="53"/>
      <c r="Z1492" s="53"/>
    </row>
    <row r="1493" spans="1:26" ht="15.75" customHeight="1">
      <c r="A1493" s="103"/>
      <c r="B1493" s="103"/>
      <c r="C1493" s="104" t="e">
        <v>#REF!</v>
      </c>
      <c r="D1493" s="103"/>
      <c r="E1493" s="53"/>
      <c r="F1493" s="53"/>
      <c r="G1493" s="53"/>
      <c r="H1493" s="53"/>
      <c r="I1493" s="53"/>
      <c r="J1493" s="53"/>
      <c r="K1493" s="53"/>
      <c r="L1493" s="53"/>
      <c r="M1493" s="53"/>
      <c r="N1493" s="53"/>
      <c r="O1493" s="53"/>
      <c r="P1493" s="53"/>
      <c r="Q1493" s="53"/>
      <c r="R1493" s="53"/>
      <c r="S1493" s="53"/>
      <c r="T1493" s="53"/>
      <c r="U1493" s="53"/>
      <c r="V1493" s="53"/>
      <c r="W1493" s="53"/>
      <c r="X1493" s="53"/>
      <c r="Y1493" s="53"/>
      <c r="Z1493" s="53"/>
    </row>
    <row r="1494" spans="1:26" ht="15.75" customHeight="1">
      <c r="A1494" s="103"/>
      <c r="B1494" s="103"/>
      <c r="C1494" s="104" t="e">
        <v>#REF!</v>
      </c>
      <c r="D1494" s="103"/>
      <c r="E1494" s="53"/>
      <c r="F1494" s="53"/>
      <c r="G1494" s="53"/>
      <c r="H1494" s="53"/>
      <c r="I1494" s="53"/>
      <c r="J1494" s="53"/>
      <c r="K1494" s="53"/>
      <c r="L1494" s="53"/>
      <c r="M1494" s="53"/>
      <c r="N1494" s="53"/>
      <c r="O1494" s="53"/>
      <c r="P1494" s="53"/>
      <c r="Q1494" s="53"/>
      <c r="R1494" s="53"/>
      <c r="S1494" s="53"/>
      <c r="T1494" s="53"/>
      <c r="U1494" s="53"/>
      <c r="V1494" s="53"/>
      <c r="W1494" s="53"/>
      <c r="X1494" s="53"/>
      <c r="Y1494" s="53"/>
      <c r="Z1494" s="53"/>
    </row>
    <row r="1495" spans="1:26" ht="15.75" customHeight="1">
      <c r="A1495" s="103"/>
      <c r="B1495" s="103"/>
      <c r="C1495" s="104" t="e">
        <v>#REF!</v>
      </c>
      <c r="D1495" s="103"/>
      <c r="E1495" s="53"/>
      <c r="F1495" s="53"/>
      <c r="G1495" s="53"/>
      <c r="H1495" s="53"/>
      <c r="I1495" s="53"/>
      <c r="J1495" s="53"/>
      <c r="K1495" s="53"/>
      <c r="L1495" s="53"/>
      <c r="M1495" s="53"/>
      <c r="N1495" s="53"/>
      <c r="O1495" s="53"/>
      <c r="P1495" s="53"/>
      <c r="Q1495" s="53"/>
      <c r="R1495" s="53"/>
      <c r="S1495" s="53"/>
      <c r="T1495" s="53"/>
      <c r="U1495" s="53"/>
      <c r="V1495" s="53"/>
      <c r="W1495" s="53"/>
      <c r="X1495" s="53"/>
      <c r="Y1495" s="53"/>
      <c r="Z1495" s="53"/>
    </row>
    <row r="1496" spans="1:26" ht="15.75" customHeight="1">
      <c r="A1496" s="103"/>
      <c r="B1496" s="103"/>
      <c r="C1496" s="104" t="e">
        <v>#REF!</v>
      </c>
      <c r="D1496" s="103"/>
      <c r="E1496" s="53"/>
      <c r="F1496" s="53"/>
      <c r="G1496" s="53"/>
      <c r="H1496" s="53"/>
      <c r="I1496" s="53"/>
      <c r="J1496" s="53"/>
      <c r="K1496" s="53"/>
      <c r="L1496" s="53"/>
      <c r="M1496" s="53"/>
      <c r="N1496" s="53"/>
      <c r="O1496" s="53"/>
      <c r="P1496" s="53"/>
      <c r="Q1496" s="53"/>
      <c r="R1496" s="53"/>
      <c r="S1496" s="53"/>
      <c r="T1496" s="53"/>
      <c r="U1496" s="53"/>
      <c r="V1496" s="53"/>
      <c r="W1496" s="53"/>
      <c r="X1496" s="53"/>
      <c r="Y1496" s="53"/>
      <c r="Z1496" s="53"/>
    </row>
    <row r="1497" spans="1:26" ht="15.75" customHeight="1">
      <c r="A1497" s="103"/>
      <c r="B1497" s="103"/>
      <c r="C1497" s="104" t="e">
        <v>#REF!</v>
      </c>
      <c r="D1497" s="103"/>
      <c r="E1497" s="53"/>
      <c r="F1497" s="53"/>
      <c r="G1497" s="53"/>
      <c r="H1497" s="53"/>
      <c r="I1497" s="53"/>
      <c r="J1497" s="53"/>
      <c r="K1497" s="53"/>
      <c r="L1497" s="53"/>
      <c r="M1497" s="53"/>
      <c r="N1497" s="53"/>
      <c r="O1497" s="53"/>
      <c r="P1497" s="53"/>
      <c r="Q1497" s="53"/>
      <c r="R1497" s="53"/>
      <c r="S1497" s="53"/>
      <c r="T1497" s="53"/>
      <c r="U1497" s="53"/>
      <c r="V1497" s="53"/>
      <c r="W1497" s="53"/>
      <c r="X1497" s="53"/>
      <c r="Y1497" s="53"/>
      <c r="Z1497" s="53"/>
    </row>
    <row r="1498" spans="1:26" ht="15.75" customHeight="1">
      <c r="A1498" s="103"/>
      <c r="B1498" s="103"/>
      <c r="C1498" s="104" t="e">
        <v>#REF!</v>
      </c>
      <c r="D1498" s="103"/>
      <c r="E1498" s="53"/>
      <c r="F1498" s="53"/>
      <c r="G1498" s="53"/>
      <c r="H1498" s="53"/>
      <c r="I1498" s="53"/>
      <c r="J1498" s="53"/>
      <c r="K1498" s="53"/>
      <c r="L1498" s="53"/>
      <c r="M1498" s="53"/>
      <c r="N1498" s="53"/>
      <c r="O1498" s="53"/>
      <c r="P1498" s="53"/>
      <c r="Q1498" s="53"/>
      <c r="R1498" s="53"/>
      <c r="S1498" s="53"/>
      <c r="T1498" s="53"/>
      <c r="U1498" s="53"/>
      <c r="V1498" s="53"/>
      <c r="W1498" s="53"/>
      <c r="X1498" s="53"/>
      <c r="Y1498" s="53"/>
      <c r="Z1498" s="53"/>
    </row>
    <row r="1499" spans="1:26" ht="15.75" customHeight="1">
      <c r="A1499" s="103"/>
      <c r="B1499" s="103"/>
      <c r="C1499" s="104" t="e">
        <v>#REF!</v>
      </c>
      <c r="D1499" s="103"/>
      <c r="E1499" s="53"/>
      <c r="F1499" s="53"/>
      <c r="G1499" s="53"/>
      <c r="H1499" s="53"/>
      <c r="I1499" s="53"/>
      <c r="J1499" s="53"/>
      <c r="K1499" s="53"/>
      <c r="L1499" s="53"/>
      <c r="M1499" s="53"/>
      <c r="N1499" s="53"/>
      <c r="O1499" s="53"/>
      <c r="P1499" s="53"/>
      <c r="Q1499" s="53"/>
      <c r="R1499" s="53"/>
      <c r="S1499" s="53"/>
      <c r="T1499" s="53"/>
      <c r="U1499" s="53"/>
      <c r="V1499" s="53"/>
      <c r="W1499" s="53"/>
      <c r="X1499" s="53"/>
      <c r="Y1499" s="53"/>
      <c r="Z1499" s="53"/>
    </row>
    <row r="1500" spans="1:26" ht="15.75" customHeight="1">
      <c r="A1500" s="103"/>
      <c r="B1500" s="103"/>
      <c r="C1500" s="104" t="e">
        <v>#REF!</v>
      </c>
      <c r="D1500" s="103"/>
      <c r="E1500" s="53"/>
      <c r="F1500" s="53"/>
      <c r="G1500" s="53"/>
      <c r="H1500" s="53"/>
      <c r="I1500" s="53"/>
      <c r="J1500" s="53"/>
      <c r="K1500" s="53"/>
      <c r="L1500" s="53"/>
      <c r="M1500" s="53"/>
      <c r="N1500" s="53"/>
      <c r="O1500" s="53"/>
      <c r="P1500" s="53"/>
      <c r="Q1500" s="53"/>
      <c r="R1500" s="53"/>
      <c r="S1500" s="53"/>
      <c r="T1500" s="53"/>
      <c r="U1500" s="53"/>
      <c r="V1500" s="53"/>
      <c r="W1500" s="53"/>
      <c r="X1500" s="53"/>
      <c r="Y1500" s="53"/>
      <c r="Z1500" s="53"/>
    </row>
    <row r="1501" spans="1:26" ht="15.75" customHeight="1">
      <c r="A1501" s="103"/>
      <c r="B1501" s="103"/>
      <c r="C1501" s="104" t="e">
        <v>#REF!</v>
      </c>
      <c r="D1501" s="103"/>
      <c r="E1501" s="53"/>
      <c r="F1501" s="53"/>
      <c r="G1501" s="53"/>
      <c r="H1501" s="53"/>
      <c r="I1501" s="53"/>
      <c r="J1501" s="53"/>
      <c r="K1501" s="53"/>
      <c r="L1501" s="53"/>
      <c r="M1501" s="53"/>
      <c r="N1501" s="53"/>
      <c r="O1501" s="53"/>
      <c r="P1501" s="53"/>
      <c r="Q1501" s="53"/>
      <c r="R1501" s="53"/>
      <c r="S1501" s="53"/>
      <c r="T1501" s="53"/>
      <c r="U1501" s="53"/>
      <c r="V1501" s="53"/>
      <c r="W1501" s="53"/>
      <c r="X1501" s="53"/>
      <c r="Y1501" s="53"/>
      <c r="Z1501" s="53"/>
    </row>
    <row r="1502" spans="1:26" ht="15.75" customHeight="1">
      <c r="A1502" s="103"/>
      <c r="B1502" s="103"/>
      <c r="C1502" s="104" t="e">
        <v>#REF!</v>
      </c>
      <c r="D1502" s="103"/>
      <c r="E1502" s="53"/>
      <c r="F1502" s="53"/>
      <c r="G1502" s="53"/>
      <c r="H1502" s="53"/>
      <c r="I1502" s="53"/>
      <c r="J1502" s="53"/>
      <c r="K1502" s="53"/>
      <c r="L1502" s="53"/>
      <c r="M1502" s="53"/>
      <c r="N1502" s="53"/>
      <c r="O1502" s="53"/>
      <c r="P1502" s="53"/>
      <c r="Q1502" s="53"/>
      <c r="R1502" s="53"/>
      <c r="S1502" s="53"/>
      <c r="T1502" s="53"/>
      <c r="U1502" s="53"/>
      <c r="V1502" s="53"/>
      <c r="W1502" s="53"/>
      <c r="X1502" s="53"/>
      <c r="Y1502" s="53"/>
      <c r="Z1502" s="53"/>
    </row>
    <row r="1503" spans="1:26" ht="15.75" customHeight="1">
      <c r="A1503" s="103"/>
      <c r="B1503" s="103"/>
      <c r="C1503" s="104" t="e">
        <v>#REF!</v>
      </c>
      <c r="D1503" s="103"/>
      <c r="E1503" s="53"/>
      <c r="F1503" s="53"/>
      <c r="G1503" s="53"/>
      <c r="H1503" s="53"/>
      <c r="I1503" s="53"/>
      <c r="J1503" s="53"/>
      <c r="K1503" s="53"/>
      <c r="L1503" s="53"/>
      <c r="M1503" s="53"/>
      <c r="N1503" s="53"/>
      <c r="O1503" s="53"/>
      <c r="P1503" s="53"/>
      <c r="Q1503" s="53"/>
      <c r="R1503" s="53"/>
      <c r="S1503" s="53"/>
      <c r="T1503" s="53"/>
      <c r="U1503" s="53"/>
      <c r="V1503" s="53"/>
      <c r="W1503" s="53"/>
      <c r="X1503" s="53"/>
      <c r="Y1503" s="53"/>
      <c r="Z1503" s="53"/>
    </row>
    <row r="1504" spans="1:26" ht="15.75" customHeight="1">
      <c r="A1504" s="103"/>
      <c r="B1504" s="103"/>
      <c r="C1504" s="104" t="e">
        <v>#REF!</v>
      </c>
      <c r="D1504" s="103"/>
      <c r="E1504" s="53"/>
      <c r="F1504" s="53"/>
      <c r="G1504" s="53"/>
      <c r="H1504" s="53"/>
      <c r="I1504" s="53"/>
      <c r="J1504" s="53"/>
      <c r="K1504" s="53"/>
      <c r="L1504" s="53"/>
      <c r="M1504" s="53"/>
      <c r="N1504" s="53"/>
      <c r="O1504" s="53"/>
      <c r="P1504" s="53"/>
      <c r="Q1504" s="53"/>
      <c r="R1504" s="53"/>
      <c r="S1504" s="53"/>
      <c r="T1504" s="53"/>
      <c r="U1504" s="53"/>
      <c r="V1504" s="53"/>
      <c r="W1504" s="53"/>
      <c r="X1504" s="53"/>
      <c r="Y1504" s="53"/>
      <c r="Z1504" s="53"/>
    </row>
    <row r="1505" spans="1:26" ht="15.75" customHeight="1">
      <c r="A1505" s="103"/>
      <c r="B1505" s="103"/>
      <c r="C1505" s="104" t="e">
        <v>#REF!</v>
      </c>
      <c r="D1505" s="103"/>
      <c r="E1505" s="53"/>
      <c r="F1505" s="53"/>
      <c r="G1505" s="53"/>
      <c r="H1505" s="53"/>
      <c r="I1505" s="53"/>
      <c r="J1505" s="53"/>
      <c r="K1505" s="53"/>
      <c r="L1505" s="53"/>
      <c r="M1505" s="53"/>
      <c r="N1505" s="53"/>
      <c r="O1505" s="53"/>
      <c r="P1505" s="53"/>
      <c r="Q1505" s="53"/>
      <c r="R1505" s="53"/>
      <c r="S1505" s="53"/>
      <c r="T1505" s="53"/>
      <c r="U1505" s="53"/>
      <c r="V1505" s="53"/>
      <c r="W1505" s="53"/>
      <c r="X1505" s="53"/>
      <c r="Y1505" s="53"/>
      <c r="Z1505" s="53"/>
    </row>
    <row r="1506" spans="1:26" ht="15.75" customHeight="1">
      <c r="A1506" s="103"/>
      <c r="B1506" s="103"/>
      <c r="C1506" s="104" t="e">
        <v>#REF!</v>
      </c>
      <c r="D1506" s="103"/>
      <c r="E1506" s="53"/>
      <c r="F1506" s="53"/>
      <c r="G1506" s="53"/>
      <c r="H1506" s="53"/>
      <c r="I1506" s="53"/>
      <c r="J1506" s="53"/>
      <c r="K1506" s="53"/>
      <c r="L1506" s="53"/>
      <c r="M1506" s="53"/>
      <c r="N1506" s="53"/>
      <c r="O1506" s="53"/>
      <c r="P1506" s="53"/>
      <c r="Q1506" s="53"/>
      <c r="R1506" s="53"/>
      <c r="S1506" s="53"/>
      <c r="T1506" s="53"/>
      <c r="U1506" s="53"/>
      <c r="V1506" s="53"/>
      <c r="W1506" s="53"/>
      <c r="X1506" s="53"/>
      <c r="Y1506" s="53"/>
      <c r="Z1506" s="53"/>
    </row>
    <row r="1507" spans="1:26" ht="15.75" customHeight="1">
      <c r="A1507" s="103"/>
      <c r="B1507" s="103"/>
      <c r="C1507" s="104" t="e">
        <v>#REF!</v>
      </c>
      <c r="D1507" s="103"/>
      <c r="E1507" s="53"/>
      <c r="F1507" s="53"/>
      <c r="G1507" s="53"/>
      <c r="H1507" s="53"/>
      <c r="I1507" s="53"/>
      <c r="J1507" s="53"/>
      <c r="K1507" s="53"/>
      <c r="L1507" s="53"/>
      <c r="M1507" s="53"/>
      <c r="N1507" s="53"/>
      <c r="O1507" s="53"/>
      <c r="P1507" s="53"/>
      <c r="Q1507" s="53"/>
      <c r="R1507" s="53"/>
      <c r="S1507" s="53"/>
      <c r="T1507" s="53"/>
      <c r="U1507" s="53"/>
      <c r="V1507" s="53"/>
      <c r="W1507" s="53"/>
      <c r="X1507" s="53"/>
      <c r="Y1507" s="53"/>
      <c r="Z1507" s="53"/>
    </row>
    <row r="1508" spans="1:26" ht="15.75" customHeight="1">
      <c r="A1508" s="103"/>
      <c r="B1508" s="103"/>
      <c r="C1508" s="104" t="e">
        <v>#REF!</v>
      </c>
      <c r="D1508" s="103"/>
      <c r="E1508" s="53"/>
      <c r="F1508" s="53"/>
      <c r="G1508" s="53"/>
      <c r="H1508" s="53"/>
      <c r="I1508" s="53"/>
      <c r="J1508" s="53"/>
      <c r="K1508" s="53"/>
      <c r="L1508" s="53"/>
      <c r="M1508" s="53"/>
      <c r="N1508" s="53"/>
      <c r="O1508" s="53"/>
      <c r="P1508" s="53"/>
      <c r="Q1508" s="53"/>
      <c r="R1508" s="53"/>
      <c r="S1508" s="53"/>
      <c r="T1508" s="53"/>
      <c r="U1508" s="53"/>
      <c r="V1508" s="53"/>
      <c r="W1508" s="53"/>
      <c r="X1508" s="53"/>
      <c r="Y1508" s="53"/>
      <c r="Z1508" s="53"/>
    </row>
    <row r="1509" spans="1:26" ht="15.75" customHeight="1">
      <c r="A1509" s="103"/>
      <c r="B1509" s="103"/>
      <c r="C1509" s="104" t="e">
        <v>#REF!</v>
      </c>
      <c r="D1509" s="103"/>
      <c r="E1509" s="53"/>
      <c r="F1509" s="53"/>
      <c r="G1509" s="53"/>
      <c r="H1509" s="53"/>
      <c r="I1509" s="53"/>
      <c r="J1509" s="53"/>
      <c r="K1509" s="53"/>
      <c r="L1509" s="53"/>
      <c r="M1509" s="53"/>
      <c r="N1509" s="53"/>
      <c r="O1509" s="53"/>
      <c r="P1509" s="53"/>
      <c r="Q1509" s="53"/>
      <c r="R1509" s="53"/>
      <c r="S1509" s="53"/>
      <c r="T1509" s="53"/>
      <c r="U1509" s="53"/>
      <c r="V1509" s="53"/>
      <c r="W1509" s="53"/>
      <c r="X1509" s="53"/>
      <c r="Y1509" s="53"/>
      <c r="Z1509" s="53"/>
    </row>
    <row r="1510" spans="1:26" ht="15.75" customHeight="1">
      <c r="A1510" s="103"/>
      <c r="B1510" s="103"/>
      <c r="C1510" s="104" t="e">
        <v>#REF!</v>
      </c>
      <c r="D1510" s="103"/>
      <c r="E1510" s="53"/>
      <c r="F1510" s="53"/>
      <c r="G1510" s="53"/>
      <c r="H1510" s="53"/>
      <c r="I1510" s="53"/>
      <c r="J1510" s="53"/>
      <c r="K1510" s="53"/>
      <c r="L1510" s="53"/>
      <c r="M1510" s="53"/>
      <c r="N1510" s="53"/>
      <c r="O1510" s="53"/>
      <c r="P1510" s="53"/>
      <c r="Q1510" s="53"/>
      <c r="R1510" s="53"/>
      <c r="S1510" s="53"/>
      <c r="T1510" s="53"/>
      <c r="U1510" s="53"/>
      <c r="V1510" s="53"/>
      <c r="W1510" s="53"/>
      <c r="X1510" s="53"/>
      <c r="Y1510" s="53"/>
      <c r="Z1510" s="53"/>
    </row>
    <row r="1511" spans="1:26" ht="15.75" customHeight="1">
      <c r="A1511" s="103"/>
      <c r="B1511" s="103"/>
      <c r="C1511" s="104" t="e">
        <v>#REF!</v>
      </c>
      <c r="D1511" s="103"/>
      <c r="E1511" s="53"/>
      <c r="F1511" s="53"/>
      <c r="G1511" s="53"/>
      <c r="H1511" s="53"/>
      <c r="I1511" s="53"/>
      <c r="J1511" s="53"/>
      <c r="K1511" s="53"/>
      <c r="L1511" s="53"/>
      <c r="M1511" s="53"/>
      <c r="N1511" s="53"/>
      <c r="O1511" s="53"/>
      <c r="P1511" s="53"/>
      <c r="Q1511" s="53"/>
      <c r="R1511" s="53"/>
      <c r="S1511" s="53"/>
      <c r="T1511" s="53"/>
      <c r="U1511" s="53"/>
      <c r="V1511" s="53"/>
      <c r="W1511" s="53"/>
      <c r="X1511" s="53"/>
      <c r="Y1511" s="53"/>
      <c r="Z1511" s="53"/>
    </row>
    <row r="1512" spans="1:26" ht="15.75" customHeight="1">
      <c r="A1512" s="103"/>
      <c r="B1512" s="103"/>
      <c r="C1512" s="104" t="e">
        <v>#REF!</v>
      </c>
      <c r="D1512" s="103"/>
      <c r="E1512" s="53"/>
      <c r="F1512" s="53"/>
      <c r="G1512" s="53"/>
      <c r="H1512" s="53"/>
      <c r="I1512" s="53"/>
      <c r="J1512" s="53"/>
      <c r="K1512" s="53"/>
      <c r="L1512" s="53"/>
      <c r="M1512" s="53"/>
      <c r="N1512" s="53"/>
      <c r="O1512" s="53"/>
      <c r="P1512" s="53"/>
      <c r="Q1512" s="53"/>
      <c r="R1512" s="53"/>
      <c r="S1512" s="53"/>
      <c r="T1512" s="53"/>
      <c r="U1512" s="53"/>
      <c r="V1512" s="53"/>
      <c r="W1512" s="53"/>
      <c r="X1512" s="53"/>
      <c r="Y1512" s="53"/>
      <c r="Z1512" s="53"/>
    </row>
    <row r="1513" spans="1:26" ht="15.75" customHeight="1">
      <c r="A1513" s="103"/>
      <c r="B1513" s="103"/>
      <c r="C1513" s="104" t="e">
        <v>#REF!</v>
      </c>
      <c r="D1513" s="103"/>
      <c r="E1513" s="53"/>
      <c r="F1513" s="53"/>
      <c r="G1513" s="53"/>
      <c r="H1513" s="53"/>
      <c r="I1513" s="53"/>
      <c r="J1513" s="53"/>
      <c r="K1513" s="53"/>
      <c r="L1513" s="53"/>
      <c r="M1513" s="53"/>
      <c r="N1513" s="53"/>
      <c r="O1513" s="53"/>
      <c r="P1513" s="53"/>
      <c r="Q1513" s="53"/>
      <c r="R1513" s="53"/>
      <c r="S1513" s="53"/>
      <c r="T1513" s="53"/>
      <c r="U1513" s="53"/>
      <c r="V1513" s="53"/>
      <c r="W1513" s="53"/>
      <c r="X1513" s="53"/>
      <c r="Y1513" s="53"/>
      <c r="Z1513" s="53"/>
    </row>
    <row r="1514" spans="1:26" ht="15.75" customHeight="1">
      <c r="A1514" s="103"/>
      <c r="B1514" s="103"/>
      <c r="C1514" s="104" t="e">
        <v>#REF!</v>
      </c>
      <c r="D1514" s="103"/>
      <c r="E1514" s="53"/>
      <c r="F1514" s="53"/>
      <c r="G1514" s="53"/>
      <c r="H1514" s="53"/>
      <c r="I1514" s="53"/>
      <c r="J1514" s="53"/>
      <c r="K1514" s="53"/>
      <c r="L1514" s="53"/>
      <c r="M1514" s="53"/>
      <c r="N1514" s="53"/>
      <c r="O1514" s="53"/>
      <c r="P1514" s="53"/>
      <c r="Q1514" s="53"/>
      <c r="R1514" s="53"/>
      <c r="S1514" s="53"/>
      <c r="T1514" s="53"/>
      <c r="U1514" s="53"/>
      <c r="V1514" s="53"/>
      <c r="W1514" s="53"/>
      <c r="X1514" s="53"/>
      <c r="Y1514" s="53"/>
      <c r="Z1514" s="53"/>
    </row>
    <row r="1515" spans="1:26" ht="15.75" customHeight="1">
      <c r="A1515" s="103"/>
      <c r="B1515" s="103"/>
      <c r="C1515" s="104" t="e">
        <v>#REF!</v>
      </c>
      <c r="D1515" s="103"/>
      <c r="E1515" s="53"/>
      <c r="F1515" s="53"/>
      <c r="G1515" s="53"/>
      <c r="H1515" s="53"/>
      <c r="I1515" s="53"/>
      <c r="J1515" s="53"/>
      <c r="K1515" s="53"/>
      <c r="L1515" s="53"/>
      <c r="M1515" s="53"/>
      <c r="N1515" s="53"/>
      <c r="O1515" s="53"/>
      <c r="P1515" s="53"/>
      <c r="Q1515" s="53"/>
      <c r="R1515" s="53"/>
      <c r="S1515" s="53"/>
      <c r="T1515" s="53"/>
      <c r="U1515" s="53"/>
      <c r="V1515" s="53"/>
      <c r="W1515" s="53"/>
      <c r="X1515" s="53"/>
      <c r="Y1515" s="53"/>
      <c r="Z1515" s="53"/>
    </row>
    <row r="1516" spans="1:26" ht="15.75" customHeight="1">
      <c r="A1516" s="103"/>
      <c r="B1516" s="103"/>
      <c r="C1516" s="104" t="e">
        <v>#REF!</v>
      </c>
      <c r="D1516" s="103"/>
      <c r="E1516" s="53"/>
      <c r="F1516" s="53"/>
      <c r="G1516" s="53"/>
      <c r="H1516" s="53"/>
      <c r="I1516" s="53"/>
      <c r="J1516" s="53"/>
      <c r="K1516" s="53"/>
      <c r="L1516" s="53"/>
      <c r="M1516" s="53"/>
      <c r="N1516" s="53"/>
      <c r="O1516" s="53"/>
      <c r="P1516" s="53"/>
      <c r="Q1516" s="53"/>
      <c r="R1516" s="53"/>
      <c r="S1516" s="53"/>
      <c r="T1516" s="53"/>
      <c r="U1516" s="53"/>
      <c r="V1516" s="53"/>
      <c r="W1516" s="53"/>
      <c r="X1516" s="53"/>
      <c r="Y1516" s="53"/>
      <c r="Z1516" s="53"/>
    </row>
    <row r="1517" spans="1:26" ht="15.75" customHeight="1">
      <c r="A1517" s="103"/>
      <c r="B1517" s="103"/>
      <c r="C1517" s="104" t="e">
        <v>#REF!</v>
      </c>
      <c r="D1517" s="103"/>
      <c r="E1517" s="53"/>
      <c r="F1517" s="53"/>
      <c r="G1517" s="53"/>
      <c r="H1517" s="53"/>
      <c r="I1517" s="53"/>
      <c r="J1517" s="53"/>
      <c r="K1517" s="53"/>
      <c r="L1517" s="53"/>
      <c r="M1517" s="53"/>
      <c r="N1517" s="53"/>
      <c r="O1517" s="53"/>
      <c r="P1517" s="53"/>
      <c r="Q1517" s="53"/>
      <c r="R1517" s="53"/>
      <c r="S1517" s="53"/>
      <c r="T1517" s="53"/>
      <c r="U1517" s="53"/>
      <c r="V1517" s="53"/>
      <c r="W1517" s="53"/>
      <c r="X1517" s="53"/>
      <c r="Y1517" s="53"/>
      <c r="Z1517" s="53"/>
    </row>
    <row r="1518" spans="1:26" ht="15.75" customHeight="1">
      <c r="A1518" s="103"/>
      <c r="B1518" s="103"/>
      <c r="C1518" s="104" t="e">
        <v>#REF!</v>
      </c>
      <c r="D1518" s="103"/>
      <c r="E1518" s="53"/>
      <c r="F1518" s="53"/>
      <c r="G1518" s="53"/>
      <c r="H1518" s="53"/>
      <c r="I1518" s="53"/>
      <c r="J1518" s="53"/>
      <c r="K1518" s="53"/>
      <c r="L1518" s="53"/>
      <c r="M1518" s="53"/>
      <c r="N1518" s="53"/>
      <c r="O1518" s="53"/>
      <c r="P1518" s="53"/>
      <c r="Q1518" s="53"/>
      <c r="R1518" s="53"/>
      <c r="S1518" s="53"/>
      <c r="T1518" s="53"/>
      <c r="U1518" s="53"/>
      <c r="V1518" s="53"/>
      <c r="W1518" s="53"/>
      <c r="X1518" s="53"/>
      <c r="Y1518" s="53"/>
      <c r="Z1518" s="53"/>
    </row>
    <row r="1519" spans="1:26" ht="15.75" customHeight="1">
      <c r="A1519" s="103"/>
      <c r="B1519" s="103"/>
      <c r="C1519" s="104" t="e">
        <v>#REF!</v>
      </c>
      <c r="D1519" s="103"/>
      <c r="E1519" s="53"/>
      <c r="F1519" s="53"/>
      <c r="G1519" s="53"/>
      <c r="H1519" s="53"/>
      <c r="I1519" s="53"/>
      <c r="J1519" s="53"/>
      <c r="K1519" s="53"/>
      <c r="L1519" s="53"/>
      <c r="M1519" s="53"/>
      <c r="N1519" s="53"/>
      <c r="O1519" s="53"/>
      <c r="P1519" s="53"/>
      <c r="Q1519" s="53"/>
      <c r="R1519" s="53"/>
      <c r="S1519" s="53"/>
      <c r="T1519" s="53"/>
      <c r="U1519" s="53"/>
      <c r="V1519" s="53"/>
      <c r="W1519" s="53"/>
      <c r="X1519" s="53"/>
      <c r="Y1519" s="53"/>
      <c r="Z1519" s="53"/>
    </row>
    <row r="1520" spans="1:26" ht="15.75" customHeight="1">
      <c r="A1520" s="103"/>
      <c r="B1520" s="103"/>
      <c r="C1520" s="104" t="e">
        <v>#REF!</v>
      </c>
      <c r="D1520" s="103"/>
      <c r="E1520" s="53"/>
      <c r="F1520" s="53"/>
      <c r="G1520" s="53"/>
      <c r="H1520" s="53"/>
      <c r="I1520" s="53"/>
      <c r="J1520" s="53"/>
      <c r="K1520" s="53"/>
      <c r="L1520" s="53"/>
      <c r="M1520" s="53"/>
      <c r="N1520" s="53"/>
      <c r="O1520" s="53"/>
      <c r="P1520" s="53"/>
      <c r="Q1520" s="53"/>
      <c r="R1520" s="53"/>
      <c r="S1520" s="53"/>
      <c r="T1520" s="53"/>
      <c r="U1520" s="53"/>
      <c r="V1520" s="53"/>
      <c r="W1520" s="53"/>
      <c r="X1520" s="53"/>
      <c r="Y1520" s="53"/>
      <c r="Z1520" s="53"/>
    </row>
    <row r="1521" spans="1:26" ht="15.75" customHeight="1">
      <c r="A1521" s="103"/>
      <c r="B1521" s="103"/>
      <c r="C1521" s="104" t="e">
        <v>#REF!</v>
      </c>
      <c r="D1521" s="103"/>
      <c r="E1521" s="53"/>
      <c r="F1521" s="53"/>
      <c r="G1521" s="53"/>
      <c r="H1521" s="53"/>
      <c r="I1521" s="53"/>
      <c r="J1521" s="53"/>
      <c r="K1521" s="53"/>
      <c r="L1521" s="53"/>
      <c r="M1521" s="53"/>
      <c r="N1521" s="53"/>
      <c r="O1521" s="53"/>
      <c r="P1521" s="53"/>
      <c r="Q1521" s="53"/>
      <c r="R1521" s="53"/>
      <c r="S1521" s="53"/>
      <c r="T1521" s="53"/>
      <c r="U1521" s="53"/>
      <c r="V1521" s="53"/>
      <c r="W1521" s="53"/>
      <c r="X1521" s="53"/>
      <c r="Y1521" s="53"/>
      <c r="Z1521" s="53"/>
    </row>
    <row r="1522" spans="1:26" ht="15.75" customHeight="1">
      <c r="A1522" s="103"/>
      <c r="B1522" s="103"/>
      <c r="C1522" s="104" t="e">
        <v>#REF!</v>
      </c>
      <c r="D1522" s="103"/>
      <c r="E1522" s="53"/>
      <c r="F1522" s="53"/>
      <c r="G1522" s="53"/>
      <c r="H1522" s="53"/>
      <c r="I1522" s="53"/>
      <c r="J1522" s="53"/>
      <c r="K1522" s="53"/>
      <c r="L1522" s="53"/>
      <c r="M1522" s="53"/>
      <c r="N1522" s="53"/>
      <c r="O1522" s="53"/>
      <c r="P1522" s="53"/>
      <c r="Q1522" s="53"/>
      <c r="R1522" s="53"/>
      <c r="S1522" s="53"/>
      <c r="T1522" s="53"/>
      <c r="U1522" s="53"/>
      <c r="V1522" s="53"/>
      <c r="W1522" s="53"/>
      <c r="X1522" s="53"/>
      <c r="Y1522" s="53"/>
      <c r="Z1522" s="53"/>
    </row>
    <row r="1523" spans="1:26" ht="15.75" customHeight="1">
      <c r="A1523" s="103"/>
      <c r="B1523" s="103"/>
      <c r="C1523" s="104" t="e">
        <v>#REF!</v>
      </c>
      <c r="D1523" s="103"/>
      <c r="E1523" s="53"/>
      <c r="F1523" s="53"/>
      <c r="G1523" s="53"/>
      <c r="H1523" s="53"/>
      <c r="I1523" s="53"/>
      <c r="J1523" s="53"/>
      <c r="K1523" s="53"/>
      <c r="L1523" s="53"/>
      <c r="M1523" s="53"/>
      <c r="N1523" s="53"/>
      <c r="O1523" s="53"/>
      <c r="P1523" s="53"/>
      <c r="Q1523" s="53"/>
      <c r="R1523" s="53"/>
      <c r="S1523" s="53"/>
      <c r="T1523" s="53"/>
      <c r="U1523" s="53"/>
      <c r="V1523" s="53"/>
      <c r="W1523" s="53"/>
      <c r="X1523" s="53"/>
      <c r="Y1523" s="53"/>
      <c r="Z1523" s="53"/>
    </row>
    <row r="1524" spans="1:26" ht="15.75" customHeight="1">
      <c r="A1524" s="103"/>
      <c r="B1524" s="103"/>
      <c r="C1524" s="104" t="e">
        <v>#REF!</v>
      </c>
      <c r="D1524" s="103"/>
      <c r="E1524" s="53"/>
      <c r="F1524" s="53"/>
      <c r="G1524" s="53"/>
      <c r="H1524" s="53"/>
      <c r="I1524" s="53"/>
      <c r="J1524" s="53"/>
      <c r="K1524" s="53"/>
      <c r="L1524" s="53"/>
      <c r="M1524" s="53"/>
      <c r="N1524" s="53"/>
      <c r="O1524" s="53"/>
      <c r="P1524" s="53"/>
      <c r="Q1524" s="53"/>
      <c r="R1524" s="53"/>
      <c r="S1524" s="53"/>
      <c r="T1524" s="53"/>
      <c r="U1524" s="53"/>
      <c r="V1524" s="53"/>
      <c r="W1524" s="53"/>
      <c r="X1524" s="53"/>
      <c r="Y1524" s="53"/>
      <c r="Z1524" s="53"/>
    </row>
    <row r="1525" spans="1:26" ht="15.75" customHeight="1">
      <c r="A1525" s="103"/>
      <c r="B1525" s="103"/>
      <c r="C1525" s="104" t="e">
        <v>#REF!</v>
      </c>
      <c r="D1525" s="103"/>
      <c r="E1525" s="53"/>
      <c r="F1525" s="53"/>
      <c r="G1525" s="53"/>
      <c r="H1525" s="53"/>
      <c r="I1525" s="53"/>
      <c r="J1525" s="53"/>
      <c r="K1525" s="53"/>
      <c r="L1525" s="53"/>
      <c r="M1525" s="53"/>
      <c r="N1525" s="53"/>
      <c r="O1525" s="53"/>
      <c r="P1525" s="53"/>
      <c r="Q1525" s="53"/>
      <c r="R1525" s="53"/>
      <c r="S1525" s="53"/>
      <c r="T1525" s="53"/>
      <c r="U1525" s="53"/>
      <c r="V1525" s="53"/>
      <c r="W1525" s="53"/>
      <c r="X1525" s="53"/>
      <c r="Y1525" s="53"/>
      <c r="Z1525" s="53"/>
    </row>
    <row r="1526" spans="1:26" ht="15.75" customHeight="1">
      <c r="A1526" s="103"/>
      <c r="B1526" s="103"/>
      <c r="C1526" s="104" t="e">
        <v>#REF!</v>
      </c>
      <c r="D1526" s="103"/>
      <c r="E1526" s="53"/>
      <c r="F1526" s="53"/>
      <c r="G1526" s="53"/>
      <c r="H1526" s="53"/>
      <c r="I1526" s="53"/>
      <c r="J1526" s="53"/>
      <c r="K1526" s="53"/>
      <c r="L1526" s="53"/>
      <c r="M1526" s="53"/>
      <c r="N1526" s="53"/>
      <c r="O1526" s="53"/>
      <c r="P1526" s="53"/>
      <c r="Q1526" s="53"/>
      <c r="R1526" s="53"/>
      <c r="S1526" s="53"/>
      <c r="T1526" s="53"/>
      <c r="U1526" s="53"/>
      <c r="V1526" s="53"/>
      <c r="W1526" s="53"/>
      <c r="X1526" s="53"/>
      <c r="Y1526" s="53"/>
      <c r="Z1526" s="53"/>
    </row>
    <row r="1527" spans="1:26" ht="15.75" customHeight="1">
      <c r="A1527" s="103"/>
      <c r="B1527" s="103"/>
      <c r="C1527" s="104" t="e">
        <v>#REF!</v>
      </c>
      <c r="D1527" s="103"/>
      <c r="E1527" s="53"/>
      <c r="F1527" s="53"/>
      <c r="G1527" s="53"/>
      <c r="H1527" s="53"/>
      <c r="I1527" s="53"/>
      <c r="J1527" s="53"/>
      <c r="K1527" s="53"/>
      <c r="L1527" s="53"/>
      <c r="M1527" s="53"/>
      <c r="N1527" s="53"/>
      <c r="O1527" s="53"/>
      <c r="P1527" s="53"/>
      <c r="Q1527" s="53"/>
      <c r="R1527" s="53"/>
      <c r="S1527" s="53"/>
      <c r="T1527" s="53"/>
      <c r="U1527" s="53"/>
      <c r="V1527" s="53"/>
      <c r="W1527" s="53"/>
      <c r="X1527" s="53"/>
      <c r="Y1527" s="53"/>
      <c r="Z1527" s="53"/>
    </row>
    <row r="1528" spans="1:26" ht="15.75" customHeight="1">
      <c r="A1528" s="103"/>
      <c r="B1528" s="103"/>
      <c r="C1528" s="104" t="e">
        <v>#REF!</v>
      </c>
      <c r="D1528" s="103"/>
      <c r="E1528" s="53"/>
      <c r="F1528" s="53"/>
      <c r="G1528" s="53"/>
      <c r="H1528" s="53"/>
      <c r="I1528" s="53"/>
      <c r="J1528" s="53"/>
      <c r="K1528" s="53"/>
      <c r="L1528" s="53"/>
      <c r="M1528" s="53"/>
      <c r="N1528" s="53"/>
      <c r="O1528" s="53"/>
      <c r="P1528" s="53"/>
      <c r="Q1528" s="53"/>
      <c r="R1528" s="53"/>
      <c r="S1528" s="53"/>
      <c r="T1528" s="53"/>
      <c r="U1528" s="53"/>
      <c r="V1528" s="53"/>
      <c r="W1528" s="53"/>
      <c r="X1528" s="53"/>
      <c r="Y1528" s="53"/>
      <c r="Z1528" s="53"/>
    </row>
    <row r="1529" spans="1:26" ht="15.75" customHeight="1">
      <c r="A1529" s="103"/>
      <c r="B1529" s="103"/>
      <c r="C1529" s="104" t="e">
        <v>#REF!</v>
      </c>
      <c r="D1529" s="103"/>
      <c r="E1529" s="53"/>
      <c r="F1529" s="53"/>
      <c r="G1529" s="53"/>
      <c r="H1529" s="53"/>
      <c r="I1529" s="53"/>
      <c r="J1529" s="53"/>
      <c r="K1529" s="53"/>
      <c r="L1529" s="53"/>
      <c r="M1529" s="53"/>
      <c r="N1529" s="53"/>
      <c r="O1529" s="53"/>
      <c r="P1529" s="53"/>
      <c r="Q1529" s="53"/>
      <c r="R1529" s="53"/>
      <c r="S1529" s="53"/>
      <c r="T1529" s="53"/>
      <c r="U1529" s="53"/>
      <c r="V1529" s="53"/>
      <c r="W1529" s="53"/>
      <c r="X1529" s="53"/>
      <c r="Y1529" s="53"/>
      <c r="Z1529" s="53"/>
    </row>
    <row r="1530" spans="1:26" ht="15.75" customHeight="1">
      <c r="A1530" s="103"/>
      <c r="B1530" s="103"/>
      <c r="C1530" s="104" t="e">
        <v>#REF!</v>
      </c>
      <c r="D1530" s="103"/>
      <c r="E1530" s="53"/>
      <c r="F1530" s="53"/>
      <c r="G1530" s="53"/>
      <c r="H1530" s="53"/>
      <c r="I1530" s="53"/>
      <c r="J1530" s="53"/>
      <c r="K1530" s="53"/>
      <c r="L1530" s="53"/>
      <c r="M1530" s="53"/>
      <c r="N1530" s="53"/>
      <c r="O1530" s="53"/>
      <c r="P1530" s="53"/>
      <c r="Q1530" s="53"/>
      <c r="R1530" s="53"/>
      <c r="S1530" s="53"/>
      <c r="T1530" s="53"/>
      <c r="U1530" s="53"/>
      <c r="V1530" s="53"/>
      <c r="W1530" s="53"/>
      <c r="X1530" s="53"/>
      <c r="Y1530" s="53"/>
      <c r="Z1530" s="53"/>
    </row>
    <row r="1531" spans="1:26" ht="15.75" customHeight="1">
      <c r="A1531" s="103"/>
      <c r="B1531" s="103"/>
      <c r="C1531" s="104" t="e">
        <v>#REF!</v>
      </c>
      <c r="D1531" s="103"/>
      <c r="E1531" s="53"/>
      <c r="F1531" s="53"/>
      <c r="G1531" s="53"/>
      <c r="H1531" s="53"/>
      <c r="I1531" s="53"/>
      <c r="J1531" s="53"/>
      <c r="K1531" s="53"/>
      <c r="L1531" s="53"/>
      <c r="M1531" s="53"/>
      <c r="N1531" s="53"/>
      <c r="O1531" s="53"/>
      <c r="P1531" s="53"/>
      <c r="Q1531" s="53"/>
      <c r="R1531" s="53"/>
      <c r="S1531" s="53"/>
      <c r="T1531" s="53"/>
      <c r="U1531" s="53"/>
      <c r="V1531" s="53"/>
      <c r="W1531" s="53"/>
      <c r="X1531" s="53"/>
      <c r="Y1531" s="53"/>
      <c r="Z1531" s="53"/>
    </row>
    <row r="1532" spans="1:26" ht="15.75" customHeight="1">
      <c r="A1532" s="103"/>
      <c r="B1532" s="103"/>
      <c r="C1532" s="104" t="e">
        <v>#REF!</v>
      </c>
      <c r="D1532" s="103"/>
      <c r="E1532" s="53"/>
      <c r="F1532" s="53"/>
      <c r="G1532" s="53"/>
      <c r="H1532" s="53"/>
      <c r="I1532" s="53"/>
      <c r="J1532" s="53"/>
      <c r="K1532" s="53"/>
      <c r="L1532" s="53"/>
      <c r="M1532" s="53"/>
      <c r="N1532" s="53"/>
      <c r="O1532" s="53"/>
      <c r="P1532" s="53"/>
      <c r="Q1532" s="53"/>
      <c r="R1532" s="53"/>
      <c r="S1532" s="53"/>
      <c r="T1532" s="53"/>
      <c r="U1532" s="53"/>
      <c r="V1532" s="53"/>
      <c r="W1532" s="53"/>
      <c r="X1532" s="53"/>
      <c r="Y1532" s="53"/>
      <c r="Z1532" s="53"/>
    </row>
    <row r="1533" spans="1:26" ht="15.75" customHeight="1">
      <c r="A1533" s="103"/>
      <c r="B1533" s="103"/>
      <c r="C1533" s="104" t="e">
        <v>#REF!</v>
      </c>
      <c r="D1533" s="103"/>
      <c r="E1533" s="53"/>
      <c r="F1533" s="53"/>
      <c r="G1533" s="53"/>
      <c r="H1533" s="53"/>
      <c r="I1533" s="53"/>
      <c r="J1533" s="53"/>
      <c r="K1533" s="53"/>
      <c r="L1533" s="53"/>
      <c r="M1533" s="53"/>
      <c r="N1533" s="53"/>
      <c r="O1533" s="53"/>
      <c r="P1533" s="53"/>
      <c r="Q1533" s="53"/>
      <c r="R1533" s="53"/>
      <c r="S1533" s="53"/>
      <c r="T1533" s="53"/>
      <c r="U1533" s="53"/>
      <c r="V1533" s="53"/>
      <c r="W1533" s="53"/>
      <c r="X1533" s="53"/>
      <c r="Y1533" s="53"/>
      <c r="Z1533" s="53"/>
    </row>
    <row r="1534" spans="1:26" ht="15.75" customHeight="1">
      <c r="A1534" s="103"/>
      <c r="B1534" s="103"/>
      <c r="C1534" s="104" t="e">
        <v>#REF!</v>
      </c>
      <c r="D1534" s="103"/>
      <c r="E1534" s="53"/>
      <c r="F1534" s="53"/>
      <c r="G1534" s="53"/>
      <c r="H1534" s="53"/>
      <c r="I1534" s="53"/>
      <c r="J1534" s="53"/>
      <c r="K1534" s="53"/>
      <c r="L1534" s="53"/>
      <c r="M1534" s="53"/>
      <c r="N1534" s="53"/>
      <c r="O1534" s="53"/>
      <c r="P1534" s="53"/>
      <c r="Q1534" s="53"/>
      <c r="R1534" s="53"/>
      <c r="S1534" s="53"/>
      <c r="T1534" s="53"/>
      <c r="U1534" s="53"/>
      <c r="V1534" s="53"/>
      <c r="W1534" s="53"/>
      <c r="X1534" s="53"/>
      <c r="Y1534" s="53"/>
      <c r="Z1534" s="53"/>
    </row>
    <row r="1535" spans="1:26" ht="15.75" customHeight="1">
      <c r="A1535" s="103"/>
      <c r="B1535" s="103"/>
      <c r="C1535" s="104" t="e">
        <v>#REF!</v>
      </c>
      <c r="D1535" s="103"/>
      <c r="E1535" s="53"/>
      <c r="F1535" s="53"/>
      <c r="G1535" s="53"/>
      <c r="H1535" s="53"/>
      <c r="I1535" s="53"/>
      <c r="J1535" s="53"/>
      <c r="K1535" s="53"/>
      <c r="L1535" s="53"/>
      <c r="M1535" s="53"/>
      <c r="N1535" s="53"/>
      <c r="O1535" s="53"/>
      <c r="P1535" s="53"/>
      <c r="Q1535" s="53"/>
      <c r="R1535" s="53"/>
      <c r="S1535" s="53"/>
      <c r="T1535" s="53"/>
      <c r="U1535" s="53"/>
      <c r="V1535" s="53"/>
      <c r="W1535" s="53"/>
      <c r="X1535" s="53"/>
      <c r="Y1535" s="53"/>
      <c r="Z1535" s="53"/>
    </row>
    <row r="1536" spans="1:26" ht="15.75" customHeight="1">
      <c r="A1536" s="103"/>
      <c r="B1536" s="103"/>
      <c r="C1536" s="104" t="e">
        <v>#REF!</v>
      </c>
      <c r="D1536" s="103"/>
      <c r="E1536" s="53"/>
      <c r="F1536" s="53"/>
      <c r="G1536" s="53"/>
      <c r="H1536" s="53"/>
      <c r="I1536" s="53"/>
      <c r="J1536" s="53"/>
      <c r="K1536" s="53"/>
      <c r="L1536" s="53"/>
      <c r="M1536" s="53"/>
      <c r="N1536" s="53"/>
      <c r="O1536" s="53"/>
      <c r="P1536" s="53"/>
      <c r="Q1536" s="53"/>
      <c r="R1536" s="53"/>
      <c r="S1536" s="53"/>
      <c r="T1536" s="53"/>
      <c r="U1536" s="53"/>
      <c r="V1536" s="53"/>
      <c r="W1536" s="53"/>
      <c r="X1536" s="53"/>
      <c r="Y1536" s="53"/>
      <c r="Z1536" s="53"/>
    </row>
    <row r="1537" spans="1:26" ht="15.75" customHeight="1">
      <c r="A1537" s="103"/>
      <c r="B1537" s="103"/>
      <c r="C1537" s="104" t="e">
        <v>#REF!</v>
      </c>
      <c r="D1537" s="103"/>
      <c r="E1537" s="53"/>
      <c r="F1537" s="53"/>
      <c r="G1537" s="53"/>
      <c r="H1537" s="53"/>
      <c r="I1537" s="53"/>
      <c r="J1537" s="53"/>
      <c r="K1537" s="53"/>
      <c r="L1537" s="53"/>
      <c r="M1537" s="53"/>
      <c r="N1537" s="53"/>
      <c r="O1537" s="53"/>
      <c r="P1537" s="53"/>
      <c r="Q1537" s="53"/>
      <c r="R1537" s="53"/>
      <c r="S1537" s="53"/>
      <c r="T1537" s="53"/>
      <c r="U1537" s="53"/>
      <c r="V1537" s="53"/>
      <c r="W1537" s="53"/>
      <c r="X1537" s="53"/>
      <c r="Y1537" s="53"/>
      <c r="Z1537" s="53"/>
    </row>
    <row r="1538" spans="1:26" ht="15.75" customHeight="1">
      <c r="A1538" s="103"/>
      <c r="B1538" s="103"/>
      <c r="C1538" s="104" t="e">
        <v>#REF!</v>
      </c>
      <c r="D1538" s="103"/>
      <c r="E1538" s="53"/>
      <c r="F1538" s="53"/>
      <c r="G1538" s="53"/>
      <c r="H1538" s="53"/>
      <c r="I1538" s="53"/>
      <c r="J1538" s="53"/>
      <c r="K1538" s="53"/>
      <c r="L1538" s="53"/>
      <c r="M1538" s="53"/>
      <c r="N1538" s="53"/>
      <c r="O1538" s="53"/>
      <c r="P1538" s="53"/>
      <c r="Q1538" s="53"/>
      <c r="R1538" s="53"/>
      <c r="S1538" s="53"/>
      <c r="T1538" s="53"/>
      <c r="U1538" s="53"/>
      <c r="V1538" s="53"/>
      <c r="W1538" s="53"/>
      <c r="X1538" s="53"/>
      <c r="Y1538" s="53"/>
      <c r="Z1538" s="53"/>
    </row>
    <row r="1539" spans="1:26" ht="15.75" customHeight="1">
      <c r="A1539" s="103"/>
      <c r="B1539" s="103"/>
      <c r="C1539" s="104" t="e">
        <v>#REF!</v>
      </c>
      <c r="D1539" s="103"/>
      <c r="E1539" s="53"/>
      <c r="F1539" s="53"/>
      <c r="G1539" s="53"/>
      <c r="H1539" s="53"/>
      <c r="I1539" s="53"/>
      <c r="J1539" s="53"/>
      <c r="K1539" s="53"/>
      <c r="L1539" s="53"/>
      <c r="M1539" s="53"/>
      <c r="N1539" s="53"/>
      <c r="O1539" s="53"/>
      <c r="P1539" s="53"/>
      <c r="Q1539" s="53"/>
      <c r="R1539" s="53"/>
      <c r="S1539" s="53"/>
      <c r="T1539" s="53"/>
      <c r="U1539" s="53"/>
      <c r="V1539" s="53"/>
      <c r="W1539" s="53"/>
      <c r="X1539" s="53"/>
      <c r="Y1539" s="53"/>
      <c r="Z1539" s="53"/>
    </row>
    <row r="1540" spans="1:26" ht="15.75" customHeight="1">
      <c r="A1540" s="103"/>
      <c r="B1540" s="103"/>
      <c r="C1540" s="104" t="e">
        <v>#REF!</v>
      </c>
      <c r="D1540" s="103"/>
      <c r="E1540" s="53"/>
      <c r="F1540" s="53"/>
      <c r="G1540" s="53"/>
      <c r="H1540" s="53"/>
      <c r="I1540" s="53"/>
      <c r="J1540" s="53"/>
      <c r="K1540" s="53"/>
      <c r="L1540" s="53"/>
      <c r="M1540" s="53"/>
      <c r="N1540" s="53"/>
      <c r="O1540" s="53"/>
      <c r="P1540" s="53"/>
      <c r="Q1540" s="53"/>
      <c r="R1540" s="53"/>
      <c r="S1540" s="53"/>
      <c r="T1540" s="53"/>
      <c r="U1540" s="53"/>
      <c r="V1540" s="53"/>
      <c r="W1540" s="53"/>
      <c r="X1540" s="53"/>
      <c r="Y1540" s="53"/>
      <c r="Z1540" s="53"/>
    </row>
    <row r="1541" spans="1:26" ht="15.75" customHeight="1">
      <c r="A1541" s="103"/>
      <c r="B1541" s="103"/>
      <c r="C1541" s="104" t="e">
        <v>#REF!</v>
      </c>
      <c r="D1541" s="103"/>
      <c r="E1541" s="53"/>
      <c r="F1541" s="53"/>
      <c r="G1541" s="53"/>
      <c r="H1541" s="53"/>
      <c r="I1541" s="53"/>
      <c r="J1541" s="53"/>
      <c r="K1541" s="53"/>
      <c r="L1541" s="53"/>
      <c r="M1541" s="53"/>
      <c r="N1541" s="53"/>
      <c r="O1541" s="53"/>
      <c r="P1541" s="53"/>
      <c r="Q1541" s="53"/>
      <c r="R1541" s="53"/>
      <c r="S1541" s="53"/>
      <c r="T1541" s="53"/>
      <c r="U1541" s="53"/>
      <c r="V1541" s="53"/>
      <c r="W1541" s="53"/>
      <c r="X1541" s="53"/>
      <c r="Y1541" s="53"/>
      <c r="Z1541" s="53"/>
    </row>
    <row r="1542" spans="1:26" ht="15.75" customHeight="1">
      <c r="A1542" s="103"/>
      <c r="B1542" s="103"/>
      <c r="C1542" s="104" t="e">
        <v>#REF!</v>
      </c>
      <c r="D1542" s="103"/>
      <c r="E1542" s="53"/>
      <c r="F1542" s="53"/>
      <c r="G1542" s="53"/>
      <c r="H1542" s="53"/>
      <c r="I1542" s="53"/>
      <c r="J1542" s="53"/>
      <c r="K1542" s="53"/>
      <c r="L1542" s="53"/>
      <c r="M1542" s="53"/>
      <c r="N1542" s="53"/>
      <c r="O1542" s="53"/>
      <c r="P1542" s="53"/>
      <c r="Q1542" s="53"/>
      <c r="R1542" s="53"/>
      <c r="S1542" s="53"/>
      <c r="T1542" s="53"/>
      <c r="U1542" s="53"/>
      <c r="V1542" s="53"/>
      <c r="W1542" s="53"/>
      <c r="X1542" s="53"/>
      <c r="Y1542" s="53"/>
      <c r="Z1542" s="53"/>
    </row>
    <row r="1543" spans="1:26" ht="15.75" customHeight="1">
      <c r="A1543" s="103"/>
      <c r="B1543" s="103"/>
      <c r="C1543" s="104" t="e">
        <v>#REF!</v>
      </c>
      <c r="D1543" s="103"/>
      <c r="E1543" s="53"/>
      <c r="F1543" s="53"/>
      <c r="G1543" s="53"/>
      <c r="H1543" s="53"/>
      <c r="I1543" s="53"/>
      <c r="J1543" s="53"/>
      <c r="K1543" s="53"/>
      <c r="L1543" s="53"/>
      <c r="M1543" s="53"/>
      <c r="N1543" s="53"/>
      <c r="O1543" s="53"/>
      <c r="P1543" s="53"/>
      <c r="Q1543" s="53"/>
      <c r="R1543" s="53"/>
      <c r="S1543" s="53"/>
      <c r="T1543" s="53"/>
      <c r="U1543" s="53"/>
      <c r="V1543" s="53"/>
      <c r="W1543" s="53"/>
      <c r="X1543" s="53"/>
      <c r="Y1543" s="53"/>
      <c r="Z1543" s="53"/>
    </row>
    <row r="1544" spans="1:26" ht="15.75" customHeight="1">
      <c r="A1544" s="103"/>
      <c r="B1544" s="103"/>
      <c r="C1544" s="104" t="e">
        <v>#REF!</v>
      </c>
      <c r="D1544" s="103"/>
      <c r="E1544" s="53"/>
      <c r="F1544" s="53"/>
      <c r="G1544" s="53"/>
      <c r="H1544" s="53"/>
      <c r="I1544" s="53"/>
      <c r="J1544" s="53"/>
      <c r="K1544" s="53"/>
      <c r="L1544" s="53"/>
      <c r="M1544" s="53"/>
      <c r="N1544" s="53"/>
      <c r="O1544" s="53"/>
      <c r="P1544" s="53"/>
      <c r="Q1544" s="53"/>
      <c r="R1544" s="53"/>
      <c r="S1544" s="53"/>
      <c r="T1544" s="53"/>
      <c r="U1544" s="53"/>
      <c r="V1544" s="53"/>
      <c r="W1544" s="53"/>
      <c r="X1544" s="53"/>
      <c r="Y1544" s="53"/>
      <c r="Z1544" s="53"/>
    </row>
    <row r="1545" spans="1:26" ht="15.75" customHeight="1">
      <c r="A1545" s="103"/>
      <c r="B1545" s="103"/>
      <c r="C1545" s="104" t="e">
        <v>#REF!</v>
      </c>
      <c r="D1545" s="103"/>
      <c r="E1545" s="53"/>
      <c r="F1545" s="53"/>
      <c r="G1545" s="53"/>
      <c r="H1545" s="53"/>
      <c r="I1545" s="53"/>
      <c r="J1545" s="53"/>
      <c r="K1545" s="53"/>
      <c r="L1545" s="53"/>
      <c r="M1545" s="53"/>
      <c r="N1545" s="53"/>
      <c r="O1545" s="53"/>
      <c r="P1545" s="53"/>
      <c r="Q1545" s="53"/>
      <c r="R1545" s="53"/>
      <c r="S1545" s="53"/>
      <c r="T1545" s="53"/>
      <c r="U1545" s="53"/>
      <c r="V1545" s="53"/>
      <c r="W1545" s="53"/>
      <c r="X1545" s="53"/>
      <c r="Y1545" s="53"/>
      <c r="Z1545" s="53"/>
    </row>
    <row r="1546" spans="1:26" ht="15.75" customHeight="1">
      <c r="A1546" s="103"/>
      <c r="B1546" s="103"/>
      <c r="C1546" s="104" t="e">
        <v>#REF!</v>
      </c>
      <c r="D1546" s="103"/>
      <c r="E1546" s="53"/>
      <c r="F1546" s="53"/>
      <c r="G1546" s="53"/>
      <c r="H1546" s="53"/>
      <c r="I1546" s="53"/>
      <c r="J1546" s="53"/>
      <c r="K1546" s="53"/>
      <c r="L1546" s="53"/>
      <c r="M1546" s="53"/>
      <c r="N1546" s="53"/>
      <c r="O1546" s="53"/>
      <c r="P1546" s="53"/>
      <c r="Q1546" s="53"/>
      <c r="R1546" s="53"/>
      <c r="S1546" s="53"/>
      <c r="T1546" s="53"/>
      <c r="U1546" s="53"/>
      <c r="V1546" s="53"/>
      <c r="W1546" s="53"/>
      <c r="X1546" s="53"/>
      <c r="Y1546" s="53"/>
      <c r="Z1546" s="53"/>
    </row>
    <row r="1547" spans="1:26" ht="15.75" customHeight="1">
      <c r="A1547" s="103"/>
      <c r="B1547" s="103"/>
      <c r="C1547" s="104" t="e">
        <v>#REF!</v>
      </c>
      <c r="D1547" s="103"/>
      <c r="E1547" s="53"/>
      <c r="F1547" s="53"/>
      <c r="G1547" s="53"/>
      <c r="H1547" s="53"/>
      <c r="I1547" s="53"/>
      <c r="J1547" s="53"/>
      <c r="K1547" s="53"/>
      <c r="L1547" s="53"/>
      <c r="M1547" s="53"/>
      <c r="N1547" s="53"/>
      <c r="O1547" s="53"/>
      <c r="P1547" s="53"/>
      <c r="Q1547" s="53"/>
      <c r="R1547" s="53"/>
      <c r="S1547" s="53"/>
      <c r="T1547" s="53"/>
      <c r="U1547" s="53"/>
      <c r="V1547" s="53"/>
      <c r="W1547" s="53"/>
      <c r="X1547" s="53"/>
      <c r="Y1547" s="53"/>
      <c r="Z1547" s="53"/>
    </row>
    <row r="1548" spans="1:26" ht="15.75" customHeight="1">
      <c r="A1548" s="103"/>
      <c r="B1548" s="103"/>
      <c r="C1548" s="104" t="e">
        <v>#REF!</v>
      </c>
      <c r="D1548" s="103"/>
      <c r="E1548" s="53"/>
      <c r="F1548" s="53"/>
      <c r="G1548" s="53"/>
      <c r="H1548" s="53"/>
      <c r="I1548" s="53"/>
      <c r="J1548" s="53"/>
      <c r="K1548" s="53"/>
      <c r="L1548" s="53"/>
      <c r="M1548" s="53"/>
      <c r="N1548" s="53"/>
      <c r="O1548" s="53"/>
      <c r="P1548" s="53"/>
      <c r="Q1548" s="53"/>
      <c r="R1548" s="53"/>
      <c r="S1548" s="53"/>
      <c r="T1548" s="53"/>
      <c r="U1548" s="53"/>
      <c r="V1548" s="53"/>
      <c r="W1548" s="53"/>
      <c r="X1548" s="53"/>
      <c r="Y1548" s="53"/>
      <c r="Z1548" s="53"/>
    </row>
    <row r="1549" spans="1:26" ht="15.75" customHeight="1">
      <c r="A1549" s="103"/>
      <c r="B1549" s="103"/>
      <c r="C1549" s="104" t="e">
        <v>#REF!</v>
      </c>
      <c r="D1549" s="103"/>
      <c r="E1549" s="53"/>
      <c r="F1549" s="53"/>
      <c r="G1549" s="53"/>
      <c r="H1549" s="53"/>
      <c r="I1549" s="53"/>
      <c r="J1549" s="53"/>
      <c r="K1549" s="53"/>
      <c r="L1549" s="53"/>
      <c r="M1549" s="53"/>
      <c r="N1549" s="53"/>
      <c r="O1549" s="53"/>
      <c r="P1549" s="53"/>
      <c r="Q1549" s="53"/>
      <c r="R1549" s="53"/>
      <c r="S1549" s="53"/>
      <c r="T1549" s="53"/>
      <c r="U1549" s="53"/>
      <c r="V1549" s="53"/>
      <c r="W1549" s="53"/>
      <c r="X1549" s="53"/>
      <c r="Y1549" s="53"/>
      <c r="Z1549" s="53"/>
    </row>
    <row r="1550" spans="1:26" ht="15.75" customHeight="1">
      <c r="A1550" s="103"/>
      <c r="B1550" s="103"/>
      <c r="C1550" s="104" t="e">
        <v>#REF!</v>
      </c>
      <c r="D1550" s="103"/>
      <c r="E1550" s="53"/>
      <c r="F1550" s="53"/>
      <c r="G1550" s="53"/>
      <c r="H1550" s="53"/>
      <c r="I1550" s="53"/>
      <c r="J1550" s="53"/>
      <c r="K1550" s="53"/>
      <c r="L1550" s="53"/>
      <c r="M1550" s="53"/>
      <c r="N1550" s="53"/>
      <c r="O1550" s="53"/>
      <c r="P1550" s="53"/>
      <c r="Q1550" s="53"/>
      <c r="R1550" s="53"/>
      <c r="S1550" s="53"/>
      <c r="T1550" s="53"/>
      <c r="U1550" s="53"/>
      <c r="V1550" s="53"/>
      <c r="W1550" s="53"/>
      <c r="X1550" s="53"/>
      <c r="Y1550" s="53"/>
      <c r="Z1550" s="53"/>
    </row>
    <row r="1551" spans="1:26" ht="15.75" customHeight="1">
      <c r="A1551" s="103"/>
      <c r="B1551" s="103"/>
      <c r="C1551" s="104" t="e">
        <v>#REF!</v>
      </c>
      <c r="D1551" s="103"/>
      <c r="E1551" s="53"/>
      <c r="F1551" s="53"/>
      <c r="G1551" s="53"/>
      <c r="H1551" s="53"/>
      <c r="I1551" s="53"/>
      <c r="J1551" s="53"/>
      <c r="K1551" s="53"/>
      <c r="L1551" s="53"/>
      <c r="M1551" s="53"/>
      <c r="N1551" s="53"/>
      <c r="O1551" s="53"/>
      <c r="P1551" s="53"/>
      <c r="Q1551" s="53"/>
      <c r="R1551" s="53"/>
      <c r="S1551" s="53"/>
      <c r="T1551" s="53"/>
      <c r="U1551" s="53"/>
      <c r="V1551" s="53"/>
      <c r="W1551" s="53"/>
      <c r="X1551" s="53"/>
      <c r="Y1551" s="53"/>
      <c r="Z1551" s="53"/>
    </row>
    <row r="1552" spans="1:26" ht="15.75" customHeight="1">
      <c r="A1552" s="103"/>
      <c r="B1552" s="103"/>
      <c r="C1552" s="104" t="e">
        <v>#REF!</v>
      </c>
      <c r="D1552" s="103"/>
      <c r="E1552" s="53"/>
      <c r="F1552" s="53"/>
      <c r="G1552" s="53"/>
      <c r="H1552" s="53"/>
      <c r="I1552" s="53"/>
      <c r="J1552" s="53"/>
      <c r="K1552" s="53"/>
      <c r="L1552" s="53"/>
      <c r="M1552" s="53"/>
      <c r="N1552" s="53"/>
      <c r="O1552" s="53"/>
      <c r="P1552" s="53"/>
      <c r="Q1552" s="53"/>
      <c r="R1552" s="53"/>
      <c r="S1552" s="53"/>
      <c r="T1552" s="53"/>
      <c r="U1552" s="53"/>
      <c r="V1552" s="53"/>
      <c r="W1552" s="53"/>
      <c r="X1552" s="53"/>
      <c r="Y1552" s="53"/>
      <c r="Z1552" s="53"/>
    </row>
    <row r="1553" spans="1:26" ht="15.75" customHeight="1">
      <c r="A1553" s="103"/>
      <c r="B1553" s="103"/>
      <c r="C1553" s="104" t="e">
        <v>#REF!</v>
      </c>
      <c r="D1553" s="103"/>
      <c r="E1553" s="53"/>
      <c r="F1553" s="53"/>
      <c r="G1553" s="53"/>
      <c r="H1553" s="53"/>
      <c r="I1553" s="53"/>
      <c r="J1553" s="53"/>
      <c r="K1553" s="53"/>
      <c r="L1553" s="53"/>
      <c r="M1553" s="53"/>
      <c r="N1553" s="53"/>
      <c r="O1553" s="53"/>
      <c r="P1553" s="53"/>
      <c r="Q1553" s="53"/>
      <c r="R1553" s="53"/>
      <c r="S1553" s="53"/>
      <c r="T1553" s="53"/>
      <c r="U1553" s="53"/>
      <c r="V1553" s="53"/>
      <c r="W1553" s="53"/>
      <c r="X1553" s="53"/>
      <c r="Y1553" s="53"/>
      <c r="Z1553" s="53"/>
    </row>
    <row r="1554" spans="1:26" ht="15.75" customHeight="1">
      <c r="A1554" s="103"/>
      <c r="B1554" s="103"/>
      <c r="C1554" s="104" t="e">
        <v>#REF!</v>
      </c>
      <c r="D1554" s="103"/>
      <c r="E1554" s="53"/>
      <c r="F1554" s="53"/>
      <c r="G1554" s="53"/>
      <c r="H1554" s="53"/>
      <c r="I1554" s="53"/>
      <c r="J1554" s="53"/>
      <c r="K1554" s="53"/>
      <c r="L1554" s="53"/>
      <c r="M1554" s="53"/>
      <c r="N1554" s="53"/>
      <c r="O1554" s="53"/>
      <c r="P1554" s="53"/>
      <c r="Q1554" s="53"/>
      <c r="R1554" s="53"/>
      <c r="S1554" s="53"/>
      <c r="T1554" s="53"/>
      <c r="U1554" s="53"/>
      <c r="V1554" s="53"/>
      <c r="W1554" s="53"/>
      <c r="X1554" s="53"/>
      <c r="Y1554" s="53"/>
      <c r="Z1554" s="53"/>
    </row>
    <row r="1555" spans="1:26" ht="15.75" customHeight="1">
      <c r="A1555" s="103"/>
      <c r="B1555" s="103"/>
      <c r="C1555" s="104" t="e">
        <v>#REF!</v>
      </c>
      <c r="D1555" s="103"/>
      <c r="E1555" s="53"/>
      <c r="F1555" s="53"/>
      <c r="G1555" s="53"/>
      <c r="H1555" s="53"/>
      <c r="I1555" s="53"/>
      <c r="J1555" s="53"/>
      <c r="K1555" s="53"/>
      <c r="L1555" s="53"/>
      <c r="M1555" s="53"/>
      <c r="N1555" s="53"/>
      <c r="O1555" s="53"/>
      <c r="P1555" s="53"/>
      <c r="Q1555" s="53"/>
      <c r="R1555" s="53"/>
      <c r="S1555" s="53"/>
      <c r="T1555" s="53"/>
      <c r="U1555" s="53"/>
      <c r="V1555" s="53"/>
      <c r="W1555" s="53"/>
      <c r="X1555" s="53"/>
      <c r="Y1555" s="53"/>
      <c r="Z1555" s="53"/>
    </row>
    <row r="1556" spans="1:26" ht="15.75" customHeight="1">
      <c r="A1556" s="103"/>
      <c r="B1556" s="103"/>
      <c r="C1556" s="104" t="e">
        <v>#REF!</v>
      </c>
      <c r="D1556" s="103"/>
      <c r="E1556" s="53"/>
      <c r="F1556" s="53"/>
      <c r="G1556" s="53"/>
      <c r="H1556" s="53"/>
      <c r="I1556" s="53"/>
      <c r="J1556" s="53"/>
      <c r="K1556" s="53"/>
      <c r="L1556" s="53"/>
      <c r="M1556" s="53"/>
      <c r="N1556" s="53"/>
      <c r="O1556" s="53"/>
      <c r="P1556" s="53"/>
      <c r="Q1556" s="53"/>
      <c r="R1556" s="53"/>
      <c r="S1556" s="53"/>
      <c r="T1556" s="53"/>
      <c r="U1556" s="53"/>
      <c r="V1556" s="53"/>
      <c r="W1556" s="53"/>
      <c r="X1556" s="53"/>
      <c r="Y1556" s="53"/>
      <c r="Z1556" s="53"/>
    </row>
    <row r="1557" spans="1:26" ht="15.75" customHeight="1">
      <c r="A1557" s="103"/>
      <c r="B1557" s="103"/>
      <c r="C1557" s="104" t="e">
        <v>#REF!</v>
      </c>
      <c r="D1557" s="103"/>
      <c r="E1557" s="53"/>
      <c r="F1557" s="53"/>
      <c r="G1557" s="53"/>
      <c r="H1557" s="53"/>
      <c r="I1557" s="53"/>
      <c r="J1557" s="53"/>
      <c r="K1557" s="53"/>
      <c r="L1557" s="53"/>
      <c r="M1557" s="53"/>
      <c r="N1557" s="53"/>
      <c r="O1557" s="53"/>
      <c r="P1557" s="53"/>
      <c r="Q1557" s="53"/>
      <c r="R1557" s="53"/>
      <c r="S1557" s="53"/>
      <c r="T1557" s="53"/>
      <c r="U1557" s="53"/>
      <c r="V1557" s="53"/>
      <c r="W1557" s="53"/>
      <c r="X1557" s="53"/>
      <c r="Y1557" s="53"/>
      <c r="Z1557" s="53"/>
    </row>
    <row r="1558" spans="1:26" ht="15.75" customHeight="1">
      <c r="A1558" s="103"/>
      <c r="B1558" s="103"/>
      <c r="C1558" s="104" t="e">
        <v>#REF!</v>
      </c>
      <c r="D1558" s="103"/>
      <c r="E1558" s="53"/>
      <c r="F1558" s="53"/>
      <c r="G1558" s="53"/>
      <c r="H1558" s="53"/>
      <c r="I1558" s="53"/>
      <c r="J1558" s="53"/>
      <c r="K1558" s="53"/>
      <c r="L1558" s="53"/>
      <c r="M1558" s="53"/>
      <c r="N1558" s="53"/>
      <c r="O1558" s="53"/>
      <c r="P1558" s="53"/>
      <c r="Q1558" s="53"/>
      <c r="R1558" s="53"/>
      <c r="S1558" s="53"/>
      <c r="T1558" s="53"/>
      <c r="U1558" s="53"/>
      <c r="V1558" s="53"/>
      <c r="W1558" s="53"/>
      <c r="X1558" s="53"/>
      <c r="Y1558" s="53"/>
      <c r="Z1558" s="53"/>
    </row>
    <row r="1559" spans="1:26" ht="15.75" customHeight="1">
      <c r="A1559" s="103"/>
      <c r="B1559" s="103"/>
      <c r="C1559" s="104" t="e">
        <v>#REF!</v>
      </c>
      <c r="D1559" s="103"/>
      <c r="E1559" s="53"/>
      <c r="F1559" s="53"/>
      <c r="G1559" s="53"/>
      <c r="H1559" s="53"/>
      <c r="I1559" s="53"/>
      <c r="J1559" s="53"/>
      <c r="K1559" s="53"/>
      <c r="L1559" s="53"/>
      <c r="M1559" s="53"/>
      <c r="N1559" s="53"/>
      <c r="O1559" s="53"/>
      <c r="P1559" s="53"/>
      <c r="Q1559" s="53"/>
      <c r="R1559" s="53"/>
      <c r="S1559" s="53"/>
      <c r="T1559" s="53"/>
      <c r="U1559" s="53"/>
      <c r="V1559" s="53"/>
      <c r="W1559" s="53"/>
      <c r="X1559" s="53"/>
      <c r="Y1559" s="53"/>
      <c r="Z1559" s="53"/>
    </row>
    <row r="1560" spans="1:26" ht="15.75" customHeight="1">
      <c r="A1560" s="103"/>
      <c r="B1560" s="103"/>
      <c r="C1560" s="104" t="e">
        <v>#REF!</v>
      </c>
      <c r="D1560" s="103"/>
      <c r="E1560" s="53"/>
      <c r="F1560" s="53"/>
      <c r="G1560" s="53"/>
      <c r="H1560" s="53"/>
      <c r="I1560" s="53"/>
      <c r="J1560" s="53"/>
      <c r="K1560" s="53"/>
      <c r="L1560" s="53"/>
      <c r="M1560" s="53"/>
      <c r="N1560" s="53"/>
      <c r="O1560" s="53"/>
      <c r="P1560" s="53"/>
      <c r="Q1560" s="53"/>
      <c r="R1560" s="53"/>
      <c r="S1560" s="53"/>
      <c r="T1560" s="53"/>
      <c r="U1560" s="53"/>
      <c r="V1560" s="53"/>
      <c r="W1560" s="53"/>
      <c r="X1560" s="53"/>
      <c r="Y1560" s="53"/>
      <c r="Z1560" s="53"/>
    </row>
    <row r="1561" spans="1:26" ht="15.75" customHeight="1">
      <c r="A1561" s="103"/>
      <c r="B1561" s="103"/>
      <c r="C1561" s="104" t="e">
        <v>#REF!</v>
      </c>
      <c r="D1561" s="103"/>
      <c r="E1561" s="53"/>
      <c r="F1561" s="53"/>
      <c r="G1561" s="53"/>
      <c r="H1561" s="53"/>
      <c r="I1561" s="53"/>
      <c r="J1561" s="53"/>
      <c r="K1561" s="53"/>
      <c r="L1561" s="53"/>
      <c r="M1561" s="53"/>
      <c r="N1561" s="53"/>
      <c r="O1561" s="53"/>
      <c r="P1561" s="53"/>
      <c r="Q1561" s="53"/>
      <c r="R1561" s="53"/>
      <c r="S1561" s="53"/>
      <c r="T1561" s="53"/>
      <c r="U1561" s="53"/>
      <c r="V1561" s="53"/>
      <c r="W1561" s="53"/>
      <c r="X1561" s="53"/>
      <c r="Y1561" s="53"/>
      <c r="Z1561" s="53"/>
    </row>
    <row r="1562" spans="1:26" ht="15.75" customHeight="1">
      <c r="A1562" s="103"/>
      <c r="B1562" s="103"/>
      <c r="C1562" s="104" t="e">
        <v>#REF!</v>
      </c>
      <c r="D1562" s="103"/>
      <c r="E1562" s="53"/>
      <c r="F1562" s="53"/>
      <c r="G1562" s="53"/>
      <c r="H1562" s="53"/>
      <c r="I1562" s="53"/>
      <c r="J1562" s="53"/>
      <c r="K1562" s="53"/>
      <c r="L1562" s="53"/>
      <c r="M1562" s="53"/>
      <c r="N1562" s="53"/>
      <c r="O1562" s="53"/>
      <c r="P1562" s="53"/>
      <c r="Q1562" s="53"/>
      <c r="R1562" s="53"/>
      <c r="S1562" s="53"/>
      <c r="T1562" s="53"/>
      <c r="U1562" s="53"/>
      <c r="V1562" s="53"/>
      <c r="W1562" s="53"/>
      <c r="X1562" s="53"/>
      <c r="Y1562" s="53"/>
      <c r="Z1562" s="53"/>
    </row>
    <row r="1563" spans="1:26" ht="15.75" customHeight="1">
      <c r="A1563" s="103"/>
      <c r="B1563" s="103"/>
      <c r="C1563" s="104" t="e">
        <v>#REF!</v>
      </c>
      <c r="D1563" s="103"/>
      <c r="E1563" s="53"/>
      <c r="F1563" s="53"/>
      <c r="G1563" s="53"/>
      <c r="H1563" s="53"/>
      <c r="I1563" s="53"/>
      <c r="J1563" s="53"/>
      <c r="K1563" s="53"/>
      <c r="L1563" s="53"/>
      <c r="M1563" s="53"/>
      <c r="N1563" s="53"/>
      <c r="O1563" s="53"/>
      <c r="P1563" s="53"/>
      <c r="Q1563" s="53"/>
      <c r="R1563" s="53"/>
      <c r="S1563" s="53"/>
      <c r="T1563" s="53"/>
      <c r="U1563" s="53"/>
      <c r="V1563" s="53"/>
      <c r="W1563" s="53"/>
      <c r="X1563" s="53"/>
      <c r="Y1563" s="53"/>
      <c r="Z1563" s="53"/>
    </row>
    <row r="1564" spans="1:26" ht="15.75" customHeight="1">
      <c r="A1564" s="103"/>
      <c r="B1564" s="103"/>
      <c r="C1564" s="104" t="e">
        <v>#REF!</v>
      </c>
      <c r="D1564" s="103"/>
      <c r="E1564" s="53"/>
      <c r="F1564" s="53"/>
      <c r="G1564" s="53"/>
      <c r="H1564" s="53"/>
      <c r="I1564" s="53"/>
      <c r="J1564" s="53"/>
      <c r="K1564" s="53"/>
      <c r="L1564" s="53"/>
      <c r="M1564" s="53"/>
      <c r="N1564" s="53"/>
      <c r="O1564" s="53"/>
      <c r="P1564" s="53"/>
      <c r="Q1564" s="53"/>
      <c r="R1564" s="53"/>
      <c r="S1564" s="53"/>
      <c r="T1564" s="53"/>
      <c r="U1564" s="53"/>
      <c r="V1564" s="53"/>
      <c r="W1564" s="53"/>
      <c r="X1564" s="53"/>
      <c r="Y1564" s="53"/>
      <c r="Z1564" s="53"/>
    </row>
    <row r="1565" spans="1:26" ht="15.75" customHeight="1">
      <c r="A1565" s="103"/>
      <c r="B1565" s="103"/>
      <c r="C1565" s="104" t="e">
        <v>#REF!</v>
      </c>
      <c r="D1565" s="103"/>
      <c r="E1565" s="53"/>
      <c r="F1565" s="53"/>
      <c r="G1565" s="53"/>
      <c r="H1565" s="53"/>
      <c r="I1565" s="53"/>
      <c r="J1565" s="53"/>
      <c r="K1565" s="53"/>
      <c r="L1565" s="53"/>
      <c r="M1565" s="53"/>
      <c r="N1565" s="53"/>
      <c r="O1565" s="53"/>
      <c r="P1565" s="53"/>
      <c r="Q1565" s="53"/>
      <c r="R1565" s="53"/>
      <c r="S1565" s="53"/>
      <c r="T1565" s="53"/>
      <c r="U1565" s="53"/>
      <c r="V1565" s="53"/>
      <c r="W1565" s="53"/>
      <c r="X1565" s="53"/>
      <c r="Y1565" s="53"/>
      <c r="Z1565" s="53"/>
    </row>
    <row r="1566" spans="1:26" ht="15.75" customHeight="1">
      <c r="A1566" s="103"/>
      <c r="B1566" s="103"/>
      <c r="C1566" s="104" t="e">
        <v>#REF!</v>
      </c>
      <c r="D1566" s="103"/>
      <c r="E1566" s="53"/>
      <c r="F1566" s="53"/>
      <c r="G1566" s="53"/>
      <c r="H1566" s="53"/>
      <c r="I1566" s="53"/>
      <c r="J1566" s="53"/>
      <c r="K1566" s="53"/>
      <c r="L1566" s="53"/>
      <c r="M1566" s="53"/>
      <c r="N1566" s="53"/>
      <c r="O1566" s="53"/>
      <c r="P1566" s="53"/>
      <c r="Q1566" s="53"/>
      <c r="R1566" s="53"/>
      <c r="S1566" s="53"/>
      <c r="T1566" s="53"/>
      <c r="U1566" s="53"/>
      <c r="V1566" s="53"/>
      <c r="W1566" s="53"/>
      <c r="X1566" s="53"/>
      <c r="Y1566" s="53"/>
      <c r="Z1566" s="53"/>
    </row>
    <row r="1567" spans="1:26" ht="15.75" customHeight="1">
      <c r="A1567" s="103"/>
      <c r="B1567" s="103"/>
      <c r="C1567" s="104" t="e">
        <v>#REF!</v>
      </c>
      <c r="D1567" s="103"/>
      <c r="E1567" s="53"/>
      <c r="F1567" s="53"/>
      <c r="G1567" s="53"/>
      <c r="H1567" s="53"/>
      <c r="I1567" s="53"/>
      <c r="J1567" s="53"/>
      <c r="K1567" s="53"/>
      <c r="L1567" s="53"/>
      <c r="M1567" s="53"/>
      <c r="N1567" s="53"/>
      <c r="O1567" s="53"/>
      <c r="P1567" s="53"/>
      <c r="Q1567" s="53"/>
      <c r="R1567" s="53"/>
      <c r="S1567" s="53"/>
      <c r="T1567" s="53"/>
      <c r="U1567" s="53"/>
      <c r="V1567" s="53"/>
      <c r="W1567" s="53"/>
      <c r="X1567" s="53"/>
      <c r="Y1567" s="53"/>
      <c r="Z1567" s="53"/>
    </row>
    <row r="1568" spans="1:26" ht="15.75" customHeight="1">
      <c r="A1568" s="103"/>
      <c r="B1568" s="103"/>
      <c r="C1568" s="104" t="e">
        <v>#REF!</v>
      </c>
      <c r="D1568" s="103"/>
      <c r="E1568" s="53"/>
      <c r="F1568" s="53"/>
      <c r="G1568" s="53"/>
      <c r="H1568" s="53"/>
      <c r="I1568" s="53"/>
      <c r="J1568" s="53"/>
      <c r="K1568" s="53"/>
      <c r="L1568" s="53"/>
      <c r="M1568" s="53"/>
      <c r="N1568" s="53"/>
      <c r="O1568" s="53"/>
      <c r="P1568" s="53"/>
      <c r="Q1568" s="53"/>
      <c r="R1568" s="53"/>
      <c r="S1568" s="53"/>
      <c r="T1568" s="53"/>
      <c r="U1568" s="53"/>
      <c r="V1568" s="53"/>
      <c r="W1568" s="53"/>
      <c r="X1568" s="53"/>
      <c r="Y1568" s="53"/>
      <c r="Z1568" s="53"/>
    </row>
    <row r="1569" spans="1:26" ht="15.75" customHeight="1">
      <c r="A1569" s="103"/>
      <c r="B1569" s="103"/>
      <c r="C1569" s="104" t="e">
        <v>#REF!</v>
      </c>
      <c r="D1569" s="103"/>
      <c r="E1569" s="53"/>
      <c r="F1569" s="53"/>
      <c r="G1569" s="53"/>
      <c r="H1569" s="53"/>
      <c r="I1569" s="53"/>
      <c r="J1569" s="53"/>
      <c r="K1569" s="53"/>
      <c r="L1569" s="53"/>
      <c r="M1569" s="53"/>
      <c r="N1569" s="53"/>
      <c r="O1569" s="53"/>
      <c r="P1569" s="53"/>
      <c r="Q1569" s="53"/>
      <c r="R1569" s="53"/>
      <c r="S1569" s="53"/>
      <c r="T1569" s="53"/>
      <c r="U1569" s="53"/>
      <c r="V1569" s="53"/>
      <c r="W1569" s="53"/>
      <c r="X1569" s="53"/>
      <c r="Y1569" s="53"/>
      <c r="Z1569" s="53"/>
    </row>
    <row r="1570" spans="1:26" ht="15.75" customHeight="1">
      <c r="A1570" s="103"/>
      <c r="B1570" s="103"/>
      <c r="C1570" s="104" t="e">
        <v>#REF!</v>
      </c>
      <c r="D1570" s="103"/>
      <c r="E1570" s="53"/>
      <c r="F1570" s="53"/>
      <c r="G1570" s="53"/>
      <c r="H1570" s="53"/>
      <c r="I1570" s="53"/>
      <c r="J1570" s="53"/>
      <c r="K1570" s="53"/>
      <c r="L1570" s="53"/>
      <c r="M1570" s="53"/>
      <c r="N1570" s="53"/>
      <c r="O1570" s="53"/>
      <c r="P1570" s="53"/>
      <c r="Q1570" s="53"/>
      <c r="R1570" s="53"/>
      <c r="S1570" s="53"/>
      <c r="T1570" s="53"/>
      <c r="U1570" s="53"/>
      <c r="V1570" s="53"/>
      <c r="W1570" s="53"/>
      <c r="X1570" s="53"/>
      <c r="Y1570" s="53"/>
      <c r="Z1570" s="53"/>
    </row>
    <row r="1571" spans="1:26" ht="15.75" customHeight="1">
      <c r="A1571" s="103"/>
      <c r="B1571" s="103"/>
      <c r="C1571" s="104" t="e">
        <v>#REF!</v>
      </c>
      <c r="D1571" s="103"/>
      <c r="E1571" s="53"/>
      <c r="F1571" s="53"/>
      <c r="G1571" s="53"/>
      <c r="H1571" s="53"/>
      <c r="I1571" s="53"/>
      <c r="J1571" s="53"/>
      <c r="K1571" s="53"/>
      <c r="L1571" s="53"/>
      <c r="M1571" s="53"/>
      <c r="N1571" s="53"/>
      <c r="O1571" s="53"/>
      <c r="P1571" s="53"/>
      <c r="Q1571" s="53"/>
      <c r="R1571" s="53"/>
      <c r="S1571" s="53"/>
      <c r="T1571" s="53"/>
      <c r="U1571" s="53"/>
      <c r="V1571" s="53"/>
      <c r="W1571" s="53"/>
      <c r="X1571" s="53"/>
      <c r="Y1571" s="53"/>
      <c r="Z1571" s="53"/>
    </row>
    <row r="1572" spans="1:26" ht="15.75" customHeight="1">
      <c r="A1572" s="103"/>
      <c r="B1572" s="103"/>
      <c r="C1572" s="104" t="e">
        <v>#REF!</v>
      </c>
      <c r="D1572" s="103"/>
      <c r="E1572" s="53"/>
      <c r="F1572" s="53"/>
      <c r="G1572" s="53"/>
      <c r="H1572" s="53"/>
      <c r="I1572" s="53"/>
      <c r="J1572" s="53"/>
      <c r="K1572" s="53"/>
      <c r="L1572" s="53"/>
      <c r="M1572" s="53"/>
      <c r="N1572" s="53"/>
      <c r="O1572" s="53"/>
      <c r="P1572" s="53"/>
      <c r="Q1572" s="53"/>
      <c r="R1572" s="53"/>
      <c r="S1572" s="53"/>
      <c r="T1572" s="53"/>
      <c r="U1572" s="53"/>
      <c r="V1572" s="53"/>
      <c r="W1572" s="53"/>
      <c r="X1572" s="53"/>
      <c r="Y1572" s="53"/>
      <c r="Z1572" s="53"/>
    </row>
    <row r="1573" spans="1:26" ht="15.75" customHeight="1">
      <c r="A1573" s="103"/>
      <c r="B1573" s="103"/>
      <c r="C1573" s="104" t="e">
        <v>#REF!</v>
      </c>
      <c r="D1573" s="103"/>
      <c r="E1573" s="53"/>
      <c r="F1573" s="53"/>
      <c r="G1573" s="53"/>
      <c r="H1573" s="53"/>
      <c r="I1573" s="53"/>
      <c r="J1573" s="53"/>
      <c r="K1573" s="53"/>
      <c r="L1573" s="53"/>
      <c r="M1573" s="53"/>
      <c r="N1573" s="53"/>
      <c r="O1573" s="53"/>
      <c r="P1573" s="53"/>
      <c r="Q1573" s="53"/>
      <c r="R1573" s="53"/>
      <c r="S1573" s="53"/>
      <c r="T1573" s="53"/>
      <c r="U1573" s="53"/>
      <c r="V1573" s="53"/>
      <c r="W1573" s="53"/>
      <c r="X1573" s="53"/>
      <c r="Y1573" s="53"/>
      <c r="Z1573" s="53"/>
    </row>
    <row r="1574" spans="1:26" ht="15.75" customHeight="1">
      <c r="A1574" s="103"/>
      <c r="B1574" s="103"/>
      <c r="C1574" s="104" t="e">
        <v>#REF!</v>
      </c>
      <c r="D1574" s="103"/>
      <c r="E1574" s="53"/>
      <c r="F1574" s="53"/>
      <c r="G1574" s="53"/>
      <c r="H1574" s="53"/>
      <c r="I1574" s="53"/>
      <c r="J1574" s="53"/>
      <c r="K1574" s="53"/>
      <c r="L1574" s="53"/>
      <c r="M1574" s="53"/>
      <c r="N1574" s="53"/>
      <c r="O1574" s="53"/>
      <c r="P1574" s="53"/>
      <c r="Q1574" s="53"/>
      <c r="R1574" s="53"/>
      <c r="S1574" s="53"/>
      <c r="T1574" s="53"/>
      <c r="U1574" s="53"/>
      <c r="V1574" s="53"/>
      <c r="W1574" s="53"/>
      <c r="X1574" s="53"/>
      <c r="Y1574" s="53"/>
      <c r="Z1574" s="53"/>
    </row>
    <row r="1575" spans="1:26" ht="15.75" customHeight="1">
      <c r="A1575" s="103"/>
      <c r="B1575" s="103"/>
      <c r="C1575" s="104" t="e">
        <v>#REF!</v>
      </c>
      <c r="D1575" s="103"/>
      <c r="E1575" s="53"/>
      <c r="F1575" s="53"/>
      <c r="G1575" s="53"/>
      <c r="H1575" s="53"/>
      <c r="I1575" s="53"/>
      <c r="J1575" s="53"/>
      <c r="K1575" s="53"/>
      <c r="L1575" s="53"/>
      <c r="M1575" s="53"/>
      <c r="N1575" s="53"/>
      <c r="O1575" s="53"/>
      <c r="P1575" s="53"/>
      <c r="Q1575" s="53"/>
      <c r="R1575" s="53"/>
      <c r="S1575" s="53"/>
      <c r="T1575" s="53"/>
      <c r="U1575" s="53"/>
      <c r="V1575" s="53"/>
      <c r="W1575" s="53"/>
      <c r="X1575" s="53"/>
      <c r="Y1575" s="53"/>
      <c r="Z1575" s="53"/>
    </row>
    <row r="1576" spans="1:26" ht="15.75" customHeight="1">
      <c r="A1576" s="103"/>
      <c r="B1576" s="103"/>
      <c r="C1576" s="104" t="e">
        <v>#REF!</v>
      </c>
      <c r="D1576" s="103"/>
      <c r="E1576" s="53"/>
      <c r="F1576" s="53"/>
      <c r="G1576" s="53"/>
      <c r="H1576" s="53"/>
      <c r="I1576" s="53"/>
      <c r="J1576" s="53"/>
      <c r="K1576" s="53"/>
      <c r="L1576" s="53"/>
      <c r="M1576" s="53"/>
      <c r="N1576" s="53"/>
      <c r="O1576" s="53"/>
      <c r="P1576" s="53"/>
      <c r="Q1576" s="53"/>
      <c r="R1576" s="53"/>
      <c r="S1576" s="53"/>
      <c r="T1576" s="53"/>
      <c r="U1576" s="53"/>
      <c r="V1576" s="53"/>
      <c r="W1576" s="53"/>
      <c r="X1576" s="53"/>
      <c r="Y1576" s="53"/>
      <c r="Z1576" s="53"/>
    </row>
    <row r="1577" spans="1:26" ht="15.75" customHeight="1">
      <c r="A1577" s="103"/>
      <c r="B1577" s="103"/>
      <c r="C1577" s="104" t="e">
        <v>#REF!</v>
      </c>
      <c r="D1577" s="103"/>
      <c r="E1577" s="53"/>
      <c r="F1577" s="53"/>
      <c r="G1577" s="53"/>
      <c r="H1577" s="53"/>
      <c r="I1577" s="53"/>
      <c r="J1577" s="53"/>
      <c r="K1577" s="53"/>
      <c r="L1577" s="53"/>
      <c r="M1577" s="53"/>
      <c r="N1577" s="53"/>
      <c r="O1577" s="53"/>
      <c r="P1577" s="53"/>
      <c r="Q1577" s="53"/>
      <c r="R1577" s="53"/>
      <c r="S1577" s="53"/>
      <c r="T1577" s="53"/>
      <c r="U1577" s="53"/>
      <c r="V1577" s="53"/>
      <c r="W1577" s="53"/>
      <c r="X1577" s="53"/>
      <c r="Y1577" s="53"/>
      <c r="Z1577" s="53"/>
    </row>
    <row r="1578" spans="1:26" ht="15.75" customHeight="1">
      <c r="A1578" s="103"/>
      <c r="B1578" s="103"/>
      <c r="C1578" s="104" t="e">
        <v>#REF!</v>
      </c>
      <c r="D1578" s="103"/>
      <c r="E1578" s="53"/>
      <c r="F1578" s="53"/>
      <c r="G1578" s="53"/>
      <c r="H1578" s="53"/>
      <c r="I1578" s="53"/>
      <c r="J1578" s="53"/>
      <c r="K1578" s="53"/>
      <c r="L1578" s="53"/>
      <c r="M1578" s="53"/>
      <c r="N1578" s="53"/>
      <c r="O1578" s="53"/>
      <c r="P1578" s="53"/>
      <c r="Q1578" s="53"/>
      <c r="R1578" s="53"/>
      <c r="S1578" s="53"/>
      <c r="T1578" s="53"/>
      <c r="U1578" s="53"/>
      <c r="V1578" s="53"/>
      <c r="W1578" s="53"/>
      <c r="X1578" s="53"/>
      <c r="Y1578" s="53"/>
      <c r="Z1578" s="53"/>
    </row>
    <row r="1579" spans="1:26" ht="15.75" customHeight="1">
      <c r="A1579" s="103"/>
      <c r="B1579" s="103"/>
      <c r="C1579" s="104" t="e">
        <v>#REF!</v>
      </c>
      <c r="D1579" s="103"/>
      <c r="E1579" s="53"/>
      <c r="F1579" s="53"/>
      <c r="G1579" s="53"/>
      <c r="H1579" s="53"/>
      <c r="I1579" s="53"/>
      <c r="J1579" s="53"/>
      <c r="K1579" s="53"/>
      <c r="L1579" s="53"/>
      <c r="M1579" s="53"/>
      <c r="N1579" s="53"/>
      <c r="O1579" s="53"/>
      <c r="P1579" s="53"/>
      <c r="Q1579" s="53"/>
      <c r="R1579" s="53"/>
      <c r="S1579" s="53"/>
      <c r="T1579" s="53"/>
      <c r="U1579" s="53"/>
      <c r="V1579" s="53"/>
      <c r="W1579" s="53"/>
      <c r="X1579" s="53"/>
      <c r="Y1579" s="53"/>
      <c r="Z1579" s="53"/>
    </row>
    <row r="1580" spans="1:26" ht="15.75" customHeight="1">
      <c r="A1580" s="103"/>
      <c r="B1580" s="103"/>
      <c r="C1580" s="104" t="e">
        <v>#REF!</v>
      </c>
      <c r="D1580" s="103"/>
      <c r="E1580" s="53"/>
      <c r="F1580" s="53"/>
      <c r="G1580" s="53"/>
      <c r="H1580" s="53"/>
      <c r="I1580" s="53"/>
      <c r="J1580" s="53"/>
      <c r="K1580" s="53"/>
      <c r="L1580" s="53"/>
      <c r="M1580" s="53"/>
      <c r="N1580" s="53"/>
      <c r="O1580" s="53"/>
      <c r="P1580" s="53"/>
      <c r="Q1580" s="53"/>
      <c r="R1580" s="53"/>
      <c r="S1580" s="53"/>
      <c r="T1580" s="53"/>
      <c r="U1580" s="53"/>
      <c r="V1580" s="53"/>
      <c r="W1580" s="53"/>
      <c r="X1580" s="53"/>
      <c r="Y1580" s="53"/>
      <c r="Z1580" s="53"/>
    </row>
    <row r="1581" spans="1:26" ht="15.75" customHeight="1">
      <c r="A1581" s="103"/>
      <c r="B1581" s="103"/>
      <c r="C1581" s="104" t="e">
        <v>#REF!</v>
      </c>
      <c r="D1581" s="103"/>
      <c r="E1581" s="53"/>
      <c r="F1581" s="53"/>
      <c r="G1581" s="53"/>
      <c r="H1581" s="53"/>
      <c r="I1581" s="53"/>
      <c r="J1581" s="53"/>
      <c r="K1581" s="53"/>
      <c r="L1581" s="53"/>
      <c r="M1581" s="53"/>
      <c r="N1581" s="53"/>
      <c r="O1581" s="53"/>
      <c r="P1581" s="53"/>
      <c r="Q1581" s="53"/>
      <c r="R1581" s="53"/>
      <c r="S1581" s="53"/>
      <c r="T1581" s="53"/>
      <c r="U1581" s="53"/>
      <c r="V1581" s="53"/>
      <c r="W1581" s="53"/>
      <c r="X1581" s="53"/>
      <c r="Y1581" s="53"/>
      <c r="Z1581" s="53"/>
    </row>
    <row r="1582" spans="1:26" ht="15.75" customHeight="1">
      <c r="A1582" s="103"/>
      <c r="B1582" s="103"/>
      <c r="C1582" s="104" t="e">
        <v>#REF!</v>
      </c>
      <c r="D1582" s="103"/>
      <c r="E1582" s="53"/>
      <c r="F1582" s="53"/>
      <c r="G1582" s="53"/>
      <c r="H1582" s="53"/>
      <c r="I1582" s="53"/>
      <c r="J1582" s="53"/>
      <c r="K1582" s="53"/>
      <c r="L1582" s="53"/>
      <c r="M1582" s="53"/>
      <c r="N1582" s="53"/>
      <c r="O1582" s="53"/>
      <c r="P1582" s="53"/>
      <c r="Q1582" s="53"/>
      <c r="R1582" s="53"/>
      <c r="S1582" s="53"/>
      <c r="T1582" s="53"/>
      <c r="U1582" s="53"/>
      <c r="V1582" s="53"/>
      <c r="W1582" s="53"/>
      <c r="X1582" s="53"/>
      <c r="Y1582" s="53"/>
      <c r="Z1582" s="53"/>
    </row>
    <row r="1583" spans="1:26" ht="15.75" customHeight="1">
      <c r="A1583" s="103"/>
      <c r="B1583" s="103"/>
      <c r="C1583" s="104" t="e">
        <v>#REF!</v>
      </c>
      <c r="D1583" s="103"/>
      <c r="E1583" s="53"/>
      <c r="F1583" s="53"/>
      <c r="G1583" s="53"/>
      <c r="H1583" s="53"/>
      <c r="I1583" s="53"/>
      <c r="J1583" s="53"/>
      <c r="K1583" s="53"/>
      <c r="L1583" s="53"/>
      <c r="M1583" s="53"/>
      <c r="N1583" s="53"/>
      <c r="O1583" s="53"/>
      <c r="P1583" s="53"/>
      <c r="Q1583" s="53"/>
      <c r="R1583" s="53"/>
      <c r="S1583" s="53"/>
      <c r="T1583" s="53"/>
      <c r="U1583" s="53"/>
      <c r="V1583" s="53"/>
      <c r="W1583" s="53"/>
      <c r="X1583" s="53"/>
      <c r="Y1583" s="53"/>
      <c r="Z1583" s="53"/>
    </row>
    <row r="1584" spans="1:26" ht="15.75" customHeight="1">
      <c r="A1584" s="103"/>
      <c r="B1584" s="103"/>
      <c r="C1584" s="104" t="e">
        <v>#REF!</v>
      </c>
      <c r="D1584" s="103"/>
      <c r="E1584" s="53"/>
      <c r="F1584" s="53"/>
      <c r="G1584" s="53"/>
      <c r="H1584" s="53"/>
      <c r="I1584" s="53"/>
      <c r="J1584" s="53"/>
      <c r="K1584" s="53"/>
      <c r="L1584" s="53"/>
      <c r="M1584" s="53"/>
      <c r="N1584" s="53"/>
      <c r="O1584" s="53"/>
      <c r="P1584" s="53"/>
      <c r="Q1584" s="53"/>
      <c r="R1584" s="53"/>
      <c r="S1584" s="53"/>
      <c r="T1584" s="53"/>
      <c r="U1584" s="53"/>
      <c r="V1584" s="53"/>
      <c r="W1584" s="53"/>
      <c r="X1584" s="53"/>
      <c r="Y1584" s="53"/>
      <c r="Z1584" s="53"/>
    </row>
    <row r="1585" spans="1:26" ht="15.75" customHeight="1">
      <c r="A1585" s="103"/>
      <c r="B1585" s="103"/>
      <c r="C1585" s="104" t="e">
        <v>#REF!</v>
      </c>
      <c r="D1585" s="103"/>
      <c r="E1585" s="53"/>
      <c r="F1585" s="53"/>
      <c r="G1585" s="53"/>
      <c r="H1585" s="53"/>
      <c r="I1585" s="53"/>
      <c r="J1585" s="53"/>
      <c r="K1585" s="53"/>
      <c r="L1585" s="53"/>
      <c r="M1585" s="53"/>
      <c r="N1585" s="53"/>
      <c r="O1585" s="53"/>
      <c r="P1585" s="53"/>
      <c r="Q1585" s="53"/>
      <c r="R1585" s="53"/>
      <c r="S1585" s="53"/>
      <c r="T1585" s="53"/>
      <c r="U1585" s="53"/>
      <c r="V1585" s="53"/>
      <c r="W1585" s="53"/>
      <c r="X1585" s="53"/>
      <c r="Y1585" s="53"/>
      <c r="Z1585" s="53"/>
    </row>
    <row r="1586" spans="1:26" ht="15.75" customHeight="1">
      <c r="A1586" s="103"/>
      <c r="B1586" s="103"/>
      <c r="C1586" s="104" t="e">
        <v>#REF!</v>
      </c>
      <c r="D1586" s="103"/>
      <c r="E1586" s="53"/>
      <c r="F1586" s="53"/>
      <c r="G1586" s="53"/>
      <c r="H1586" s="53"/>
      <c r="I1586" s="53"/>
      <c r="J1586" s="53"/>
      <c r="K1586" s="53"/>
      <c r="L1586" s="53"/>
      <c r="M1586" s="53"/>
      <c r="N1586" s="53"/>
      <c r="O1586" s="53"/>
      <c r="P1586" s="53"/>
      <c r="Q1586" s="53"/>
      <c r="R1586" s="53"/>
      <c r="S1586" s="53"/>
      <c r="T1586" s="53"/>
      <c r="U1586" s="53"/>
      <c r="V1586" s="53"/>
      <c r="W1586" s="53"/>
      <c r="X1586" s="53"/>
      <c r="Y1586" s="53"/>
      <c r="Z1586" s="53"/>
    </row>
    <row r="1587" spans="1:26" ht="15.75" customHeight="1">
      <c r="A1587" s="103"/>
      <c r="B1587" s="103"/>
      <c r="C1587" s="104" t="e">
        <v>#REF!</v>
      </c>
      <c r="D1587" s="103"/>
      <c r="E1587" s="53"/>
      <c r="F1587" s="53"/>
      <c r="G1587" s="53"/>
      <c r="H1587" s="53"/>
      <c r="I1587" s="53"/>
      <c r="J1587" s="53"/>
      <c r="K1587" s="53"/>
      <c r="L1587" s="53"/>
      <c r="M1587" s="53"/>
      <c r="N1587" s="53"/>
      <c r="O1587" s="53"/>
      <c r="P1587" s="53"/>
      <c r="Q1587" s="53"/>
      <c r="R1587" s="53"/>
      <c r="S1587" s="53"/>
      <c r="T1587" s="53"/>
      <c r="U1587" s="53"/>
      <c r="V1587" s="53"/>
      <c r="W1587" s="53"/>
      <c r="X1587" s="53"/>
      <c r="Y1587" s="53"/>
      <c r="Z1587" s="53"/>
    </row>
    <row r="1588" spans="1:26" ht="15.75" customHeight="1">
      <c r="A1588" s="103"/>
      <c r="B1588" s="103"/>
      <c r="C1588" s="104" t="e">
        <v>#REF!</v>
      </c>
      <c r="D1588" s="103"/>
      <c r="E1588" s="53"/>
      <c r="F1588" s="53"/>
      <c r="G1588" s="53"/>
      <c r="H1588" s="53"/>
      <c r="I1588" s="53"/>
      <c r="J1588" s="53"/>
      <c r="K1588" s="53"/>
      <c r="L1588" s="53"/>
      <c r="M1588" s="53"/>
      <c r="N1588" s="53"/>
      <c r="O1588" s="53"/>
      <c r="P1588" s="53"/>
      <c r="Q1588" s="53"/>
      <c r="R1588" s="53"/>
      <c r="S1588" s="53"/>
      <c r="T1588" s="53"/>
      <c r="U1588" s="53"/>
      <c r="V1588" s="53"/>
      <c r="W1588" s="53"/>
      <c r="X1588" s="53"/>
      <c r="Y1588" s="53"/>
      <c r="Z1588" s="53"/>
    </row>
    <row r="1589" spans="1:26" ht="15.75" customHeight="1">
      <c r="A1589" s="103"/>
      <c r="B1589" s="103"/>
      <c r="C1589" s="104" t="e">
        <v>#REF!</v>
      </c>
      <c r="D1589" s="103"/>
      <c r="E1589" s="53"/>
      <c r="F1589" s="53"/>
      <c r="G1589" s="53"/>
      <c r="H1589" s="53"/>
      <c r="I1589" s="53"/>
      <c r="J1589" s="53"/>
      <c r="K1589" s="53"/>
      <c r="L1589" s="53"/>
      <c r="M1589" s="53"/>
      <c r="N1589" s="53"/>
      <c r="O1589" s="53"/>
      <c r="P1589" s="53"/>
      <c r="Q1589" s="53"/>
      <c r="R1589" s="53"/>
      <c r="S1589" s="53"/>
      <c r="T1589" s="53"/>
      <c r="U1589" s="53"/>
      <c r="V1589" s="53"/>
      <c r="W1589" s="53"/>
      <c r="X1589" s="53"/>
      <c r="Y1589" s="53"/>
      <c r="Z1589" s="53"/>
    </row>
    <row r="1590" spans="1:26" ht="15.75" customHeight="1">
      <c r="A1590" s="103"/>
      <c r="B1590" s="103"/>
      <c r="C1590" s="104" t="e">
        <v>#REF!</v>
      </c>
      <c r="D1590" s="103"/>
      <c r="E1590" s="53"/>
      <c r="F1590" s="53"/>
      <c r="G1590" s="53"/>
      <c r="H1590" s="53"/>
      <c r="I1590" s="53"/>
      <c r="J1590" s="53"/>
      <c r="K1590" s="53"/>
      <c r="L1590" s="53"/>
      <c r="M1590" s="53"/>
      <c r="N1590" s="53"/>
      <c r="O1590" s="53"/>
      <c r="P1590" s="53"/>
      <c r="Q1590" s="53"/>
      <c r="R1590" s="53"/>
      <c r="S1590" s="53"/>
      <c r="T1590" s="53"/>
      <c r="U1590" s="53"/>
      <c r="V1590" s="53"/>
      <c r="W1590" s="53"/>
      <c r="X1590" s="53"/>
      <c r="Y1590" s="53"/>
      <c r="Z1590" s="53"/>
    </row>
    <row r="1591" spans="1:26" ht="15.75" customHeight="1">
      <c r="A1591" s="103"/>
      <c r="B1591" s="103"/>
      <c r="C1591" s="104" t="e">
        <v>#REF!</v>
      </c>
      <c r="D1591" s="103"/>
      <c r="E1591" s="53"/>
      <c r="F1591" s="53"/>
      <c r="G1591" s="53"/>
      <c r="H1591" s="53"/>
      <c r="I1591" s="53"/>
      <c r="J1591" s="53"/>
      <c r="K1591" s="53"/>
      <c r="L1591" s="53"/>
      <c r="M1591" s="53"/>
      <c r="N1591" s="53"/>
      <c r="O1591" s="53"/>
      <c r="P1591" s="53"/>
      <c r="Q1591" s="53"/>
      <c r="R1591" s="53"/>
      <c r="S1591" s="53"/>
      <c r="T1591" s="53"/>
      <c r="U1591" s="53"/>
      <c r="V1591" s="53"/>
      <c r="W1591" s="53"/>
      <c r="X1591" s="53"/>
      <c r="Y1591" s="53"/>
      <c r="Z1591" s="53"/>
    </row>
    <row r="1592" spans="1:26" ht="15.75" customHeight="1">
      <c r="A1592" s="103"/>
      <c r="B1592" s="103"/>
      <c r="C1592" s="104" t="e">
        <v>#REF!</v>
      </c>
      <c r="D1592" s="103"/>
      <c r="E1592" s="53"/>
      <c r="F1592" s="53"/>
      <c r="G1592" s="53"/>
      <c r="H1592" s="53"/>
      <c r="I1592" s="53"/>
      <c r="J1592" s="53"/>
      <c r="K1592" s="53"/>
      <c r="L1592" s="53"/>
      <c r="M1592" s="53"/>
      <c r="N1592" s="53"/>
      <c r="O1592" s="53"/>
      <c r="P1592" s="53"/>
      <c r="Q1592" s="53"/>
      <c r="R1592" s="53"/>
      <c r="S1592" s="53"/>
      <c r="T1592" s="53"/>
      <c r="U1592" s="53"/>
      <c r="V1592" s="53"/>
      <c r="W1592" s="53"/>
      <c r="X1592" s="53"/>
      <c r="Y1592" s="53"/>
      <c r="Z1592" s="53"/>
    </row>
    <row r="1593" spans="1:26" ht="15.75" customHeight="1">
      <c r="A1593" s="103"/>
      <c r="B1593" s="103"/>
      <c r="C1593" s="104" t="e">
        <v>#REF!</v>
      </c>
      <c r="D1593" s="103"/>
      <c r="E1593" s="53"/>
      <c r="F1593" s="53"/>
      <c r="G1593" s="53"/>
      <c r="H1593" s="53"/>
      <c r="I1593" s="53"/>
      <c r="J1593" s="53"/>
      <c r="K1593" s="53"/>
      <c r="L1593" s="53"/>
      <c r="M1593" s="53"/>
      <c r="N1593" s="53"/>
      <c r="O1593" s="53"/>
      <c r="P1593" s="53"/>
      <c r="Q1593" s="53"/>
      <c r="R1593" s="53"/>
      <c r="S1593" s="53"/>
      <c r="T1593" s="53"/>
      <c r="U1593" s="53"/>
      <c r="V1593" s="53"/>
      <c r="W1593" s="53"/>
      <c r="X1593" s="53"/>
      <c r="Y1593" s="53"/>
      <c r="Z1593" s="53"/>
    </row>
    <row r="1594" spans="1:26" ht="15.75" customHeight="1">
      <c r="A1594" s="103"/>
      <c r="B1594" s="103"/>
      <c r="C1594" s="104" t="e">
        <v>#REF!</v>
      </c>
      <c r="D1594" s="103"/>
      <c r="E1594" s="53"/>
      <c r="F1594" s="53"/>
      <c r="G1594" s="53"/>
      <c r="H1594" s="53"/>
      <c r="I1594" s="53"/>
      <c r="J1594" s="53"/>
      <c r="K1594" s="53"/>
      <c r="L1594" s="53"/>
      <c r="M1594" s="53"/>
      <c r="N1594" s="53"/>
      <c r="O1594" s="53"/>
      <c r="P1594" s="53"/>
      <c r="Q1594" s="53"/>
      <c r="R1594" s="53"/>
      <c r="S1594" s="53"/>
      <c r="T1594" s="53"/>
      <c r="U1594" s="53"/>
      <c r="V1594" s="53"/>
      <c r="W1594" s="53"/>
      <c r="X1594" s="53"/>
      <c r="Y1594" s="53"/>
      <c r="Z1594" s="53"/>
    </row>
    <row r="1595" spans="1:26" ht="15.75" customHeight="1">
      <c r="A1595" s="103"/>
      <c r="B1595" s="103"/>
      <c r="C1595" s="104" t="e">
        <v>#REF!</v>
      </c>
      <c r="D1595" s="103"/>
      <c r="E1595" s="53"/>
      <c r="F1595" s="53"/>
      <c r="G1595" s="53"/>
      <c r="H1595" s="53"/>
      <c r="I1595" s="53"/>
      <c r="J1595" s="53"/>
      <c r="K1595" s="53"/>
      <c r="L1595" s="53"/>
      <c r="M1595" s="53"/>
      <c r="N1595" s="53"/>
      <c r="O1595" s="53"/>
      <c r="P1595" s="53"/>
      <c r="Q1595" s="53"/>
      <c r="R1595" s="53"/>
      <c r="S1595" s="53"/>
      <c r="T1595" s="53"/>
      <c r="U1595" s="53"/>
      <c r="V1595" s="53"/>
      <c r="W1595" s="53"/>
      <c r="X1595" s="53"/>
      <c r="Y1595" s="53"/>
      <c r="Z1595" s="53"/>
    </row>
    <row r="1596" spans="1:26" ht="15.75" customHeight="1">
      <c r="A1596" s="103"/>
      <c r="B1596" s="103"/>
      <c r="C1596" s="104" t="e">
        <v>#REF!</v>
      </c>
      <c r="D1596" s="103"/>
      <c r="E1596" s="53"/>
      <c r="F1596" s="53"/>
      <c r="G1596" s="53"/>
      <c r="H1596" s="53"/>
      <c r="I1596" s="53"/>
      <c r="J1596" s="53"/>
      <c r="K1596" s="53"/>
      <c r="L1596" s="53"/>
      <c r="M1596" s="53"/>
      <c r="N1596" s="53"/>
      <c r="O1596" s="53"/>
      <c r="P1596" s="53"/>
      <c r="Q1596" s="53"/>
      <c r="R1596" s="53"/>
      <c r="S1596" s="53"/>
      <c r="T1596" s="53"/>
      <c r="U1596" s="53"/>
      <c r="V1596" s="53"/>
      <c r="W1596" s="53"/>
      <c r="X1596" s="53"/>
      <c r="Y1596" s="53"/>
      <c r="Z1596" s="53"/>
    </row>
    <row r="1597" spans="1:26" ht="15.75" customHeight="1">
      <c r="A1597" s="103"/>
      <c r="B1597" s="103"/>
      <c r="C1597" s="104" t="e">
        <v>#REF!</v>
      </c>
      <c r="D1597" s="103"/>
      <c r="E1597" s="53"/>
      <c r="F1597" s="53"/>
      <c r="G1597" s="53"/>
      <c r="H1597" s="53"/>
      <c r="I1597" s="53"/>
      <c r="J1597" s="53"/>
      <c r="K1597" s="53"/>
      <c r="L1597" s="53"/>
      <c r="M1597" s="53"/>
      <c r="N1597" s="53"/>
      <c r="O1597" s="53"/>
      <c r="P1597" s="53"/>
      <c r="Q1597" s="53"/>
      <c r="R1597" s="53"/>
      <c r="S1597" s="53"/>
      <c r="T1597" s="53"/>
      <c r="U1597" s="53"/>
      <c r="V1597" s="53"/>
      <c r="W1597" s="53"/>
      <c r="X1597" s="53"/>
      <c r="Y1597" s="53"/>
      <c r="Z1597" s="53"/>
    </row>
    <row r="1598" spans="1:26" ht="15.75" customHeight="1">
      <c r="A1598" s="103"/>
      <c r="B1598" s="103"/>
      <c r="C1598" s="104" t="e">
        <v>#REF!</v>
      </c>
      <c r="D1598" s="103"/>
      <c r="E1598" s="53"/>
      <c r="F1598" s="53"/>
      <c r="G1598" s="53"/>
      <c r="H1598" s="53"/>
      <c r="I1598" s="53"/>
      <c r="J1598" s="53"/>
      <c r="K1598" s="53"/>
      <c r="L1598" s="53"/>
      <c r="M1598" s="53"/>
      <c r="N1598" s="53"/>
      <c r="O1598" s="53"/>
      <c r="P1598" s="53"/>
      <c r="Q1598" s="53"/>
      <c r="R1598" s="53"/>
      <c r="S1598" s="53"/>
      <c r="T1598" s="53"/>
      <c r="U1598" s="53"/>
      <c r="V1598" s="53"/>
      <c r="W1598" s="53"/>
      <c r="X1598" s="53"/>
      <c r="Y1598" s="53"/>
      <c r="Z1598" s="53"/>
    </row>
    <row r="1599" spans="1:26" ht="15.75" customHeight="1">
      <c r="A1599" s="103"/>
      <c r="B1599" s="103"/>
      <c r="C1599" s="104" t="e">
        <v>#REF!</v>
      </c>
      <c r="D1599" s="103"/>
      <c r="E1599" s="53"/>
      <c r="F1599" s="53"/>
      <c r="G1599" s="53"/>
      <c r="H1599" s="53"/>
      <c r="I1599" s="53"/>
      <c r="J1599" s="53"/>
      <c r="K1599" s="53"/>
      <c r="L1599" s="53"/>
      <c r="M1599" s="53"/>
      <c r="N1599" s="53"/>
      <c r="O1599" s="53"/>
      <c r="P1599" s="53"/>
      <c r="Q1599" s="53"/>
      <c r="R1599" s="53"/>
      <c r="S1599" s="53"/>
      <c r="T1599" s="53"/>
      <c r="U1599" s="53"/>
      <c r="V1599" s="53"/>
      <c r="W1599" s="53"/>
      <c r="X1599" s="53"/>
      <c r="Y1599" s="53"/>
      <c r="Z1599" s="53"/>
    </row>
    <row r="1600" spans="1:26" ht="15.75" customHeight="1">
      <c r="A1600" s="103"/>
      <c r="B1600" s="103"/>
      <c r="C1600" s="104" t="e">
        <v>#REF!</v>
      </c>
      <c r="D1600" s="103"/>
      <c r="E1600" s="53"/>
      <c r="F1600" s="53"/>
      <c r="G1600" s="53"/>
      <c r="H1600" s="53"/>
      <c r="I1600" s="53"/>
      <c r="J1600" s="53"/>
      <c r="K1600" s="53"/>
      <c r="L1600" s="53"/>
      <c r="M1600" s="53"/>
      <c r="N1600" s="53"/>
      <c r="O1600" s="53"/>
      <c r="P1600" s="53"/>
      <c r="Q1600" s="53"/>
      <c r="R1600" s="53"/>
      <c r="S1600" s="53"/>
      <c r="T1600" s="53"/>
      <c r="U1600" s="53"/>
      <c r="V1600" s="53"/>
      <c r="W1600" s="53"/>
      <c r="X1600" s="53"/>
      <c r="Y1600" s="53"/>
      <c r="Z1600" s="53"/>
    </row>
    <row r="1601" spans="1:26" ht="15.75" customHeight="1">
      <c r="A1601" s="103"/>
      <c r="B1601" s="103"/>
      <c r="C1601" s="104" t="e">
        <v>#REF!</v>
      </c>
      <c r="D1601" s="103"/>
      <c r="E1601" s="53"/>
      <c r="F1601" s="53"/>
      <c r="G1601" s="53"/>
      <c r="H1601" s="53"/>
      <c r="I1601" s="53"/>
      <c r="J1601" s="53"/>
      <c r="K1601" s="53"/>
      <c r="L1601" s="53"/>
      <c r="M1601" s="53"/>
      <c r="N1601" s="53"/>
      <c r="O1601" s="53"/>
      <c r="P1601" s="53"/>
      <c r="Q1601" s="53"/>
      <c r="R1601" s="53"/>
      <c r="S1601" s="53"/>
      <c r="T1601" s="53"/>
      <c r="U1601" s="53"/>
      <c r="V1601" s="53"/>
      <c r="W1601" s="53"/>
      <c r="X1601" s="53"/>
      <c r="Y1601" s="53"/>
      <c r="Z1601" s="53"/>
    </row>
    <row r="1602" spans="1:26" ht="15.75" customHeight="1">
      <c r="A1602" s="103"/>
      <c r="B1602" s="103"/>
      <c r="C1602" s="104" t="e">
        <v>#REF!</v>
      </c>
      <c r="D1602" s="103"/>
      <c r="E1602" s="53"/>
      <c r="F1602" s="53"/>
      <c r="G1602" s="53"/>
      <c r="H1602" s="53"/>
      <c r="I1602" s="53"/>
      <c r="J1602" s="53"/>
      <c r="K1602" s="53"/>
      <c r="L1602" s="53"/>
      <c r="M1602" s="53"/>
      <c r="N1602" s="53"/>
      <c r="O1602" s="53"/>
      <c r="P1602" s="53"/>
      <c r="Q1602" s="53"/>
      <c r="R1602" s="53"/>
      <c r="S1602" s="53"/>
      <c r="T1602" s="53"/>
      <c r="U1602" s="53"/>
      <c r="V1602" s="53"/>
      <c r="W1602" s="53"/>
      <c r="X1602" s="53"/>
      <c r="Y1602" s="53"/>
      <c r="Z1602" s="53"/>
    </row>
    <row r="1603" spans="1:26" ht="15.75" customHeight="1">
      <c r="A1603" s="103"/>
      <c r="B1603" s="103"/>
      <c r="C1603" s="104" t="e">
        <v>#REF!</v>
      </c>
      <c r="D1603" s="103"/>
      <c r="E1603" s="53"/>
      <c r="F1603" s="53"/>
      <c r="G1603" s="53"/>
      <c r="H1603" s="53"/>
      <c r="I1603" s="53"/>
      <c r="J1603" s="53"/>
      <c r="K1603" s="53"/>
      <c r="L1603" s="53"/>
      <c r="M1603" s="53"/>
      <c r="N1603" s="53"/>
      <c r="O1603" s="53"/>
      <c r="P1603" s="53"/>
      <c r="Q1603" s="53"/>
      <c r="R1603" s="53"/>
      <c r="S1603" s="53"/>
      <c r="T1603" s="53"/>
      <c r="U1603" s="53"/>
      <c r="V1603" s="53"/>
      <c r="W1603" s="53"/>
      <c r="X1603" s="53"/>
      <c r="Y1603" s="53"/>
      <c r="Z1603" s="53"/>
    </row>
    <row r="1604" spans="1:26" ht="15.75" customHeight="1">
      <c r="A1604" s="103"/>
      <c r="B1604" s="103"/>
      <c r="C1604" s="104" t="e">
        <v>#REF!</v>
      </c>
      <c r="D1604" s="103"/>
      <c r="E1604" s="53"/>
      <c r="F1604" s="53"/>
      <c r="G1604" s="53"/>
      <c r="H1604" s="53"/>
      <c r="I1604" s="53"/>
      <c r="J1604" s="53"/>
      <c r="K1604" s="53"/>
      <c r="L1604" s="53"/>
      <c r="M1604" s="53"/>
      <c r="N1604" s="53"/>
      <c r="O1604" s="53"/>
      <c r="P1604" s="53"/>
      <c r="Q1604" s="53"/>
      <c r="R1604" s="53"/>
      <c r="S1604" s="53"/>
      <c r="T1604" s="53"/>
      <c r="U1604" s="53"/>
      <c r="V1604" s="53"/>
      <c r="W1604" s="53"/>
      <c r="X1604" s="53"/>
      <c r="Y1604" s="53"/>
      <c r="Z1604" s="53"/>
    </row>
    <row r="1605" spans="1:26" ht="15.75" customHeight="1">
      <c r="A1605" s="103"/>
      <c r="B1605" s="103"/>
      <c r="C1605" s="104" t="e">
        <v>#REF!</v>
      </c>
      <c r="D1605" s="103"/>
      <c r="E1605" s="53"/>
      <c r="F1605" s="53"/>
      <c r="G1605" s="53"/>
      <c r="H1605" s="53"/>
      <c r="I1605" s="53"/>
      <c r="J1605" s="53"/>
      <c r="K1605" s="53"/>
      <c r="L1605" s="53"/>
      <c r="M1605" s="53"/>
      <c r="N1605" s="53"/>
      <c r="O1605" s="53"/>
      <c r="P1605" s="53"/>
      <c r="Q1605" s="53"/>
      <c r="R1605" s="53"/>
      <c r="S1605" s="53"/>
      <c r="T1605" s="53"/>
      <c r="U1605" s="53"/>
      <c r="V1605" s="53"/>
      <c r="W1605" s="53"/>
      <c r="X1605" s="53"/>
      <c r="Y1605" s="53"/>
      <c r="Z1605" s="53"/>
    </row>
    <row r="1606" spans="1:26" ht="15.75" customHeight="1">
      <c r="A1606" s="103"/>
      <c r="B1606" s="103"/>
      <c r="C1606" s="104" t="e">
        <v>#REF!</v>
      </c>
      <c r="D1606" s="103"/>
      <c r="E1606" s="53"/>
      <c r="F1606" s="53"/>
      <c r="G1606" s="53"/>
      <c r="H1606" s="53"/>
      <c r="I1606" s="53"/>
      <c r="J1606" s="53"/>
      <c r="K1606" s="53"/>
      <c r="L1606" s="53"/>
      <c r="M1606" s="53"/>
      <c r="N1606" s="53"/>
      <c r="O1606" s="53"/>
      <c r="P1606" s="53"/>
      <c r="Q1606" s="53"/>
      <c r="R1606" s="53"/>
      <c r="S1606" s="53"/>
      <c r="T1606" s="53"/>
      <c r="U1606" s="53"/>
      <c r="V1606" s="53"/>
      <c r="W1606" s="53"/>
      <c r="X1606" s="53"/>
      <c r="Y1606" s="53"/>
      <c r="Z1606" s="53"/>
    </row>
    <row r="1607" spans="1:26" ht="15.75" customHeight="1">
      <c r="A1607" s="103"/>
      <c r="B1607" s="103"/>
      <c r="C1607" s="104" t="e">
        <v>#REF!</v>
      </c>
      <c r="D1607" s="103"/>
      <c r="E1607" s="53"/>
      <c r="F1607" s="53"/>
      <c r="G1607" s="53"/>
      <c r="H1607" s="53"/>
      <c r="I1607" s="53"/>
      <c r="J1607" s="53"/>
      <c r="K1607" s="53"/>
      <c r="L1607" s="53"/>
      <c r="M1607" s="53"/>
      <c r="N1607" s="53"/>
      <c r="O1607" s="53"/>
      <c r="P1607" s="53"/>
      <c r="Q1607" s="53"/>
      <c r="R1607" s="53"/>
      <c r="S1607" s="53"/>
      <c r="T1607" s="53"/>
      <c r="U1607" s="53"/>
      <c r="V1607" s="53"/>
      <c r="W1607" s="53"/>
      <c r="X1607" s="53"/>
      <c r="Y1607" s="53"/>
      <c r="Z1607" s="53"/>
    </row>
    <row r="1608" spans="1:26" ht="15.75" customHeight="1">
      <c r="A1608" s="103"/>
      <c r="B1608" s="103"/>
      <c r="C1608" s="104" t="e">
        <v>#REF!</v>
      </c>
      <c r="D1608" s="103"/>
      <c r="E1608" s="53"/>
      <c r="F1608" s="53"/>
      <c r="G1608" s="53"/>
      <c r="H1608" s="53"/>
      <c r="I1608" s="53"/>
      <c r="J1608" s="53"/>
      <c r="K1608" s="53"/>
      <c r="L1608" s="53"/>
      <c r="M1608" s="53"/>
      <c r="N1608" s="53"/>
      <c r="O1608" s="53"/>
      <c r="P1608" s="53"/>
      <c r="Q1608" s="53"/>
      <c r="R1608" s="53"/>
      <c r="S1608" s="53"/>
      <c r="T1608" s="53"/>
      <c r="U1608" s="53"/>
      <c r="V1608" s="53"/>
      <c r="W1608" s="53"/>
      <c r="X1608" s="53"/>
      <c r="Y1608" s="53"/>
      <c r="Z1608" s="53"/>
    </row>
    <row r="1609" spans="1:26" ht="15.75" customHeight="1">
      <c r="A1609" s="103"/>
      <c r="B1609" s="103"/>
      <c r="C1609" s="104" t="e">
        <v>#REF!</v>
      </c>
      <c r="D1609" s="103"/>
      <c r="E1609" s="53"/>
      <c r="F1609" s="53"/>
      <c r="G1609" s="53"/>
      <c r="H1609" s="53"/>
      <c r="I1609" s="53"/>
      <c r="J1609" s="53"/>
      <c r="K1609" s="53"/>
      <c r="L1609" s="53"/>
      <c r="M1609" s="53"/>
      <c r="N1609" s="53"/>
      <c r="O1609" s="53"/>
      <c r="P1609" s="53"/>
      <c r="Q1609" s="53"/>
      <c r="R1609" s="53"/>
      <c r="S1609" s="53"/>
      <c r="T1609" s="53"/>
      <c r="U1609" s="53"/>
      <c r="V1609" s="53"/>
      <c r="W1609" s="53"/>
      <c r="X1609" s="53"/>
      <c r="Y1609" s="53"/>
      <c r="Z1609" s="53"/>
    </row>
    <row r="1610" spans="1:26" ht="15.75" customHeight="1">
      <c r="A1610" s="103"/>
      <c r="B1610" s="103"/>
      <c r="C1610" s="104" t="e">
        <v>#REF!</v>
      </c>
      <c r="D1610" s="103"/>
      <c r="E1610" s="53"/>
      <c r="F1610" s="53"/>
      <c r="G1610" s="53"/>
      <c r="H1610" s="53"/>
      <c r="I1610" s="53"/>
      <c r="J1610" s="53"/>
      <c r="K1610" s="53"/>
      <c r="L1610" s="53"/>
      <c r="M1610" s="53"/>
      <c r="N1610" s="53"/>
      <c r="O1610" s="53"/>
      <c r="P1610" s="53"/>
      <c r="Q1610" s="53"/>
      <c r="R1610" s="53"/>
      <c r="S1610" s="53"/>
      <c r="T1610" s="53"/>
      <c r="U1610" s="53"/>
      <c r="V1610" s="53"/>
      <c r="W1610" s="53"/>
      <c r="X1610" s="53"/>
      <c r="Y1610" s="53"/>
      <c r="Z1610" s="53"/>
    </row>
    <row r="1611" spans="1:26" ht="15.75" customHeight="1">
      <c r="A1611" s="103"/>
      <c r="B1611" s="103"/>
      <c r="C1611" s="104" t="e">
        <v>#REF!</v>
      </c>
      <c r="D1611" s="103"/>
      <c r="E1611" s="53"/>
      <c r="F1611" s="53"/>
      <c r="G1611" s="53"/>
      <c r="H1611" s="53"/>
      <c r="I1611" s="53"/>
      <c r="J1611" s="53"/>
      <c r="K1611" s="53"/>
      <c r="L1611" s="53"/>
      <c r="M1611" s="53"/>
      <c r="N1611" s="53"/>
      <c r="O1611" s="53"/>
      <c r="P1611" s="53"/>
      <c r="Q1611" s="53"/>
      <c r="R1611" s="53"/>
      <c r="S1611" s="53"/>
      <c r="T1611" s="53"/>
      <c r="U1611" s="53"/>
      <c r="V1611" s="53"/>
      <c r="W1611" s="53"/>
      <c r="X1611" s="53"/>
      <c r="Y1611" s="53"/>
      <c r="Z1611" s="53"/>
    </row>
    <row r="1612" spans="1:26" ht="15.75" customHeight="1">
      <c r="A1612" s="103"/>
      <c r="B1612" s="103"/>
      <c r="C1612" s="104" t="e">
        <v>#REF!</v>
      </c>
      <c r="D1612" s="103"/>
      <c r="E1612" s="53"/>
      <c r="F1612" s="53"/>
      <c r="G1612" s="53"/>
      <c r="H1612" s="53"/>
      <c r="I1612" s="53"/>
      <c r="J1612" s="53"/>
      <c r="K1612" s="53"/>
      <c r="L1612" s="53"/>
      <c r="M1612" s="53"/>
      <c r="N1612" s="53"/>
      <c r="O1612" s="53"/>
      <c r="P1612" s="53"/>
      <c r="Q1612" s="53"/>
      <c r="R1612" s="53"/>
      <c r="S1612" s="53"/>
      <c r="T1612" s="53"/>
      <c r="U1612" s="53"/>
      <c r="V1612" s="53"/>
      <c r="W1612" s="53"/>
      <c r="X1612" s="53"/>
      <c r="Y1612" s="53"/>
      <c r="Z1612" s="53"/>
    </row>
    <row r="1613" spans="1:26" ht="15.75" customHeight="1">
      <c r="A1613" s="103"/>
      <c r="B1613" s="103"/>
      <c r="C1613" s="104" t="e">
        <v>#REF!</v>
      </c>
      <c r="D1613" s="103"/>
      <c r="E1613" s="53"/>
      <c r="F1613" s="53"/>
      <c r="G1613" s="53"/>
      <c r="H1613" s="53"/>
      <c r="I1613" s="53"/>
      <c r="J1613" s="53"/>
      <c r="K1613" s="53"/>
      <c r="L1613" s="53"/>
      <c r="M1613" s="53"/>
      <c r="N1613" s="53"/>
      <c r="O1613" s="53"/>
      <c r="P1613" s="53"/>
      <c r="Q1613" s="53"/>
      <c r="R1613" s="53"/>
      <c r="S1613" s="53"/>
      <c r="T1613" s="53"/>
      <c r="U1613" s="53"/>
      <c r="V1613" s="53"/>
      <c r="W1613" s="53"/>
      <c r="X1613" s="53"/>
      <c r="Y1613" s="53"/>
      <c r="Z1613" s="53"/>
    </row>
    <row r="1614" spans="1:26" ht="15.75" customHeight="1">
      <c r="A1614" s="103"/>
      <c r="B1614" s="103"/>
      <c r="C1614" s="104" t="e">
        <v>#REF!</v>
      </c>
      <c r="D1614" s="103"/>
      <c r="E1614" s="53"/>
      <c r="F1614" s="53"/>
      <c r="G1614" s="53"/>
      <c r="H1614" s="53"/>
      <c r="I1614" s="53"/>
      <c r="J1614" s="53"/>
      <c r="K1614" s="53"/>
      <c r="L1614" s="53"/>
      <c r="M1614" s="53"/>
      <c r="N1614" s="53"/>
      <c r="O1614" s="53"/>
      <c r="P1614" s="53"/>
      <c r="Q1614" s="53"/>
      <c r="R1614" s="53"/>
      <c r="S1614" s="53"/>
      <c r="T1614" s="53"/>
      <c r="U1614" s="53"/>
      <c r="V1614" s="53"/>
      <c r="W1614" s="53"/>
      <c r="X1614" s="53"/>
      <c r="Y1614" s="53"/>
      <c r="Z1614" s="53"/>
    </row>
    <row r="1615" spans="1:26" ht="15.75" customHeight="1">
      <c r="A1615" s="103"/>
      <c r="B1615" s="103"/>
      <c r="C1615" s="104" t="e">
        <v>#REF!</v>
      </c>
      <c r="D1615" s="103"/>
      <c r="E1615" s="53"/>
      <c r="F1615" s="53"/>
      <c r="G1615" s="53"/>
      <c r="H1615" s="53"/>
      <c r="I1615" s="53"/>
      <c r="J1615" s="53"/>
      <c r="K1615" s="53"/>
      <c r="L1615" s="53"/>
      <c r="M1615" s="53"/>
      <c r="N1615" s="53"/>
      <c r="O1615" s="53"/>
      <c r="P1615" s="53"/>
      <c r="Q1615" s="53"/>
      <c r="R1615" s="53"/>
      <c r="S1615" s="53"/>
      <c r="T1615" s="53"/>
      <c r="U1615" s="53"/>
      <c r="V1615" s="53"/>
      <c r="W1615" s="53"/>
      <c r="X1615" s="53"/>
      <c r="Y1615" s="53"/>
      <c r="Z1615" s="53"/>
    </row>
    <row r="1616" spans="1:26" ht="15.75" customHeight="1">
      <c r="A1616" s="103"/>
      <c r="B1616" s="103"/>
      <c r="C1616" s="104" t="e">
        <v>#REF!</v>
      </c>
      <c r="D1616" s="103"/>
      <c r="E1616" s="53"/>
      <c r="F1616" s="53"/>
      <c r="G1616" s="53"/>
      <c r="H1616" s="53"/>
      <c r="I1616" s="53"/>
      <c r="J1616" s="53"/>
      <c r="K1616" s="53"/>
      <c r="L1616" s="53"/>
      <c r="M1616" s="53"/>
      <c r="N1616" s="53"/>
      <c r="O1616" s="53"/>
      <c r="P1616" s="53"/>
      <c r="Q1616" s="53"/>
      <c r="R1616" s="53"/>
      <c r="S1616" s="53"/>
      <c r="T1616" s="53"/>
      <c r="U1616" s="53"/>
      <c r="V1616" s="53"/>
      <c r="W1616" s="53"/>
      <c r="X1616" s="53"/>
      <c r="Y1616" s="53"/>
      <c r="Z1616" s="53"/>
    </row>
    <row r="1617" spans="1:26" ht="15.75" customHeight="1">
      <c r="A1617" s="103"/>
      <c r="B1617" s="103"/>
      <c r="C1617" s="104" t="e">
        <v>#REF!</v>
      </c>
      <c r="D1617" s="103"/>
      <c r="E1617" s="53"/>
      <c r="F1617" s="53"/>
      <c r="G1617" s="53"/>
      <c r="H1617" s="53"/>
      <c r="I1617" s="53"/>
      <c r="J1617" s="53"/>
      <c r="K1617" s="53"/>
      <c r="L1617" s="53"/>
      <c r="M1617" s="53"/>
      <c r="N1617" s="53"/>
      <c r="O1617" s="53"/>
      <c r="P1617" s="53"/>
      <c r="Q1617" s="53"/>
      <c r="R1617" s="53"/>
      <c r="S1617" s="53"/>
      <c r="T1617" s="53"/>
      <c r="U1617" s="53"/>
      <c r="V1617" s="53"/>
      <c r="W1617" s="53"/>
      <c r="X1617" s="53"/>
      <c r="Y1617" s="53"/>
      <c r="Z1617" s="53"/>
    </row>
    <row r="1618" spans="1:26" ht="15.75" customHeight="1">
      <c r="A1618" s="103"/>
      <c r="B1618" s="103"/>
      <c r="C1618" s="104" t="e">
        <v>#REF!</v>
      </c>
      <c r="D1618" s="103"/>
      <c r="E1618" s="53"/>
      <c r="F1618" s="53"/>
      <c r="G1618" s="53"/>
      <c r="H1618" s="53"/>
      <c r="I1618" s="53"/>
      <c r="J1618" s="53"/>
      <c r="K1618" s="53"/>
      <c r="L1618" s="53"/>
      <c r="M1618" s="53"/>
      <c r="N1618" s="53"/>
      <c r="O1618" s="53"/>
      <c r="P1618" s="53"/>
      <c r="Q1618" s="53"/>
      <c r="R1618" s="53"/>
      <c r="S1618" s="53"/>
      <c r="T1618" s="53"/>
      <c r="U1618" s="53"/>
      <c r="V1618" s="53"/>
      <c r="W1618" s="53"/>
      <c r="X1618" s="53"/>
      <c r="Y1618" s="53"/>
      <c r="Z1618" s="53"/>
    </row>
    <row r="1619" spans="1:26" ht="15.75" customHeight="1">
      <c r="A1619" s="103"/>
      <c r="B1619" s="103"/>
      <c r="C1619" s="104" t="e">
        <v>#REF!</v>
      </c>
      <c r="D1619" s="103"/>
      <c r="E1619" s="53"/>
      <c r="F1619" s="53"/>
      <c r="G1619" s="53"/>
      <c r="H1619" s="53"/>
      <c r="I1619" s="53"/>
      <c r="J1619" s="53"/>
      <c r="K1619" s="53"/>
      <c r="L1619" s="53"/>
      <c r="M1619" s="53"/>
      <c r="N1619" s="53"/>
      <c r="O1619" s="53"/>
      <c r="P1619" s="53"/>
      <c r="Q1619" s="53"/>
      <c r="R1619" s="53"/>
      <c r="S1619" s="53"/>
      <c r="T1619" s="53"/>
      <c r="U1619" s="53"/>
      <c r="V1619" s="53"/>
      <c r="W1619" s="53"/>
      <c r="X1619" s="53"/>
      <c r="Y1619" s="53"/>
      <c r="Z1619" s="53"/>
    </row>
    <row r="1620" spans="1:26" ht="15.75" customHeight="1">
      <c r="A1620" s="103"/>
      <c r="B1620" s="103"/>
      <c r="C1620" s="104" t="e">
        <v>#REF!</v>
      </c>
      <c r="D1620" s="103"/>
      <c r="E1620" s="53"/>
      <c r="F1620" s="53"/>
      <c r="G1620" s="53"/>
      <c r="H1620" s="53"/>
      <c r="I1620" s="53"/>
      <c r="J1620" s="53"/>
      <c r="K1620" s="53"/>
      <c r="L1620" s="53"/>
      <c r="M1620" s="53"/>
      <c r="N1620" s="53"/>
      <c r="O1620" s="53"/>
      <c r="P1620" s="53"/>
      <c r="Q1620" s="53"/>
      <c r="R1620" s="53"/>
      <c r="S1620" s="53"/>
      <c r="T1620" s="53"/>
      <c r="U1620" s="53"/>
      <c r="V1620" s="53"/>
      <c r="W1620" s="53"/>
      <c r="X1620" s="53"/>
      <c r="Y1620" s="53"/>
      <c r="Z1620" s="53"/>
    </row>
    <row r="1621" spans="1:26" ht="15.75" customHeight="1">
      <c r="A1621" s="103"/>
      <c r="B1621" s="103"/>
      <c r="C1621" s="104" t="e">
        <v>#REF!</v>
      </c>
      <c r="D1621" s="103"/>
      <c r="E1621" s="53"/>
      <c r="F1621" s="53"/>
      <c r="G1621" s="53"/>
      <c r="H1621" s="53"/>
      <c r="I1621" s="53"/>
      <c r="J1621" s="53"/>
      <c r="K1621" s="53"/>
      <c r="L1621" s="53"/>
      <c r="M1621" s="53"/>
      <c r="N1621" s="53"/>
      <c r="O1621" s="53"/>
      <c r="P1621" s="53"/>
      <c r="Q1621" s="53"/>
      <c r="R1621" s="53"/>
      <c r="S1621" s="53"/>
      <c r="T1621" s="53"/>
      <c r="U1621" s="53"/>
      <c r="V1621" s="53"/>
      <c r="W1621" s="53"/>
      <c r="X1621" s="53"/>
      <c r="Y1621" s="53"/>
      <c r="Z1621" s="53"/>
    </row>
    <row r="1622" spans="1:26" ht="15.75" customHeight="1">
      <c r="A1622" s="103"/>
      <c r="B1622" s="103"/>
      <c r="C1622" s="104" t="e">
        <v>#REF!</v>
      </c>
      <c r="D1622" s="103"/>
      <c r="E1622" s="53"/>
      <c r="F1622" s="53"/>
      <c r="G1622" s="53"/>
      <c r="H1622" s="53"/>
      <c r="I1622" s="53"/>
      <c r="J1622" s="53"/>
      <c r="K1622" s="53"/>
      <c r="L1622" s="53"/>
      <c r="M1622" s="53"/>
      <c r="N1622" s="53"/>
      <c r="O1622" s="53"/>
      <c r="P1622" s="53"/>
      <c r="Q1622" s="53"/>
      <c r="R1622" s="53"/>
      <c r="S1622" s="53"/>
      <c r="T1622" s="53"/>
      <c r="U1622" s="53"/>
      <c r="V1622" s="53"/>
      <c r="W1622" s="53"/>
      <c r="X1622" s="53"/>
      <c r="Y1622" s="53"/>
      <c r="Z1622" s="53"/>
    </row>
    <row r="1623" spans="1:26" ht="15.75" customHeight="1">
      <c r="A1623" s="103"/>
      <c r="B1623" s="103"/>
      <c r="C1623" s="104" t="e">
        <v>#REF!</v>
      </c>
      <c r="D1623" s="103"/>
      <c r="E1623" s="53"/>
      <c r="F1623" s="53"/>
      <c r="G1623" s="53"/>
      <c r="H1623" s="53"/>
      <c r="I1623" s="53"/>
      <c r="J1623" s="53"/>
      <c r="K1623" s="53"/>
      <c r="L1623" s="53"/>
      <c r="M1623" s="53"/>
      <c r="N1623" s="53"/>
      <c r="O1623" s="53"/>
      <c r="P1623" s="53"/>
      <c r="Q1623" s="53"/>
      <c r="R1623" s="53"/>
      <c r="S1623" s="53"/>
      <c r="T1623" s="53"/>
      <c r="U1623" s="53"/>
      <c r="V1623" s="53"/>
      <c r="W1623" s="53"/>
      <c r="X1623" s="53"/>
      <c r="Y1623" s="53"/>
      <c r="Z1623" s="53"/>
    </row>
    <row r="1624" spans="1:26" ht="15.75" customHeight="1">
      <c r="A1624" s="103"/>
      <c r="B1624" s="103"/>
      <c r="C1624" s="104" t="e">
        <v>#REF!</v>
      </c>
      <c r="D1624" s="103"/>
      <c r="E1624" s="53"/>
      <c r="F1624" s="53"/>
      <c r="G1624" s="53"/>
      <c r="H1624" s="53"/>
      <c r="I1624" s="53"/>
      <c r="J1624" s="53"/>
      <c r="K1624" s="53"/>
      <c r="L1624" s="53"/>
      <c r="M1624" s="53"/>
      <c r="N1624" s="53"/>
      <c r="O1624" s="53"/>
      <c r="P1624" s="53"/>
      <c r="Q1624" s="53"/>
      <c r="R1624" s="53"/>
      <c r="S1624" s="53"/>
      <c r="T1624" s="53"/>
      <c r="U1624" s="53"/>
      <c r="V1624" s="53"/>
      <c r="W1624" s="53"/>
      <c r="X1624" s="53"/>
      <c r="Y1624" s="53"/>
      <c r="Z1624" s="53"/>
    </row>
    <row r="1625" spans="1:26" ht="15.75" customHeight="1">
      <c r="A1625" s="103"/>
      <c r="B1625" s="103"/>
      <c r="C1625" s="104" t="e">
        <v>#REF!</v>
      </c>
      <c r="D1625" s="103"/>
      <c r="E1625" s="53"/>
      <c r="F1625" s="53"/>
      <c r="G1625" s="53"/>
      <c r="H1625" s="53"/>
      <c r="I1625" s="53"/>
      <c r="J1625" s="53"/>
      <c r="K1625" s="53"/>
      <c r="L1625" s="53"/>
      <c r="M1625" s="53"/>
      <c r="N1625" s="53"/>
      <c r="O1625" s="53"/>
      <c r="P1625" s="53"/>
      <c r="Q1625" s="53"/>
      <c r="R1625" s="53"/>
      <c r="S1625" s="53"/>
      <c r="T1625" s="53"/>
      <c r="U1625" s="53"/>
      <c r="V1625" s="53"/>
      <c r="W1625" s="53"/>
      <c r="X1625" s="53"/>
      <c r="Y1625" s="53"/>
      <c r="Z1625" s="53"/>
    </row>
    <row r="1626" spans="1:26" ht="15.75" customHeight="1">
      <c r="A1626" s="103"/>
      <c r="B1626" s="103"/>
      <c r="C1626" s="104" t="e">
        <v>#REF!</v>
      </c>
      <c r="D1626" s="103"/>
      <c r="E1626" s="53"/>
      <c r="F1626" s="53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3"/>
      <c r="X1626" s="53"/>
      <c r="Y1626" s="53"/>
      <c r="Z1626" s="53"/>
    </row>
    <row r="1627" spans="1:26" ht="15.75" customHeight="1">
      <c r="A1627" s="103"/>
      <c r="B1627" s="103"/>
      <c r="C1627" s="104" t="e">
        <v>#REF!</v>
      </c>
      <c r="D1627" s="103"/>
      <c r="E1627" s="53"/>
      <c r="F1627" s="53"/>
      <c r="G1627" s="53"/>
      <c r="H1627" s="53"/>
      <c r="I1627" s="53"/>
      <c r="J1627" s="53"/>
      <c r="K1627" s="53"/>
      <c r="L1627" s="53"/>
      <c r="M1627" s="53"/>
      <c r="N1627" s="53"/>
      <c r="O1627" s="53"/>
      <c r="P1627" s="53"/>
      <c r="Q1627" s="53"/>
      <c r="R1627" s="53"/>
      <c r="S1627" s="53"/>
      <c r="T1627" s="53"/>
      <c r="U1627" s="53"/>
      <c r="V1627" s="53"/>
      <c r="W1627" s="53"/>
      <c r="X1627" s="53"/>
      <c r="Y1627" s="53"/>
      <c r="Z1627" s="53"/>
    </row>
    <row r="1628" spans="1:26" ht="15.75" customHeight="1">
      <c r="A1628" s="103"/>
      <c r="B1628" s="103"/>
      <c r="C1628" s="104" t="e">
        <v>#REF!</v>
      </c>
      <c r="D1628" s="103"/>
      <c r="E1628" s="53"/>
      <c r="F1628" s="53"/>
      <c r="G1628" s="53"/>
      <c r="H1628" s="53"/>
      <c r="I1628" s="53"/>
      <c r="J1628" s="53"/>
      <c r="K1628" s="53"/>
      <c r="L1628" s="53"/>
      <c r="M1628" s="53"/>
      <c r="N1628" s="53"/>
      <c r="O1628" s="53"/>
      <c r="P1628" s="53"/>
      <c r="Q1628" s="53"/>
      <c r="R1628" s="53"/>
      <c r="S1628" s="53"/>
      <c r="T1628" s="53"/>
      <c r="U1628" s="53"/>
      <c r="V1628" s="53"/>
      <c r="W1628" s="53"/>
      <c r="X1628" s="53"/>
      <c r="Y1628" s="53"/>
      <c r="Z1628" s="53"/>
    </row>
    <row r="1629" spans="1:26" ht="15.75" customHeight="1">
      <c r="A1629" s="103"/>
      <c r="B1629" s="103"/>
      <c r="C1629" s="104" t="e">
        <v>#REF!</v>
      </c>
      <c r="D1629" s="103"/>
      <c r="E1629" s="53"/>
      <c r="F1629" s="53"/>
      <c r="G1629" s="53"/>
      <c r="H1629" s="53"/>
      <c r="I1629" s="53"/>
      <c r="J1629" s="53"/>
      <c r="K1629" s="53"/>
      <c r="L1629" s="53"/>
      <c r="M1629" s="53"/>
      <c r="N1629" s="53"/>
      <c r="O1629" s="53"/>
      <c r="P1629" s="53"/>
      <c r="Q1629" s="53"/>
      <c r="R1629" s="53"/>
      <c r="S1629" s="53"/>
      <c r="T1629" s="53"/>
      <c r="U1629" s="53"/>
      <c r="V1629" s="53"/>
      <c r="W1629" s="53"/>
      <c r="X1629" s="53"/>
      <c r="Y1629" s="53"/>
      <c r="Z1629" s="53"/>
    </row>
    <row r="1630" spans="1:26" ht="15.75" customHeight="1">
      <c r="A1630" s="103"/>
      <c r="B1630" s="103"/>
      <c r="C1630" s="104" t="e">
        <v>#REF!</v>
      </c>
      <c r="D1630" s="103"/>
      <c r="E1630" s="53"/>
      <c r="F1630" s="53"/>
      <c r="G1630" s="53"/>
      <c r="H1630" s="53"/>
      <c r="I1630" s="53"/>
      <c r="J1630" s="53"/>
      <c r="K1630" s="53"/>
      <c r="L1630" s="53"/>
      <c r="M1630" s="53"/>
      <c r="N1630" s="53"/>
      <c r="O1630" s="53"/>
      <c r="P1630" s="53"/>
      <c r="Q1630" s="53"/>
      <c r="R1630" s="53"/>
      <c r="S1630" s="53"/>
      <c r="T1630" s="53"/>
      <c r="U1630" s="53"/>
      <c r="V1630" s="53"/>
      <c r="W1630" s="53"/>
      <c r="X1630" s="53"/>
      <c r="Y1630" s="53"/>
      <c r="Z1630" s="53"/>
    </row>
    <row r="1631" spans="1:26" ht="15.75" customHeight="1">
      <c r="A1631" s="103"/>
      <c r="B1631" s="103"/>
      <c r="C1631" s="104" t="e">
        <v>#REF!</v>
      </c>
      <c r="D1631" s="103"/>
      <c r="E1631" s="53"/>
      <c r="F1631" s="53"/>
      <c r="G1631" s="53"/>
      <c r="H1631" s="53"/>
      <c r="I1631" s="53"/>
      <c r="J1631" s="53"/>
      <c r="K1631" s="53"/>
      <c r="L1631" s="53"/>
      <c r="M1631" s="53"/>
      <c r="N1631" s="53"/>
      <c r="O1631" s="53"/>
      <c r="P1631" s="53"/>
      <c r="Q1631" s="53"/>
      <c r="R1631" s="53"/>
      <c r="S1631" s="53"/>
      <c r="T1631" s="53"/>
      <c r="U1631" s="53"/>
      <c r="V1631" s="53"/>
      <c r="W1631" s="53"/>
      <c r="X1631" s="53"/>
      <c r="Y1631" s="53"/>
      <c r="Z1631" s="53"/>
    </row>
    <row r="1632" spans="1:26" ht="15.75" customHeight="1">
      <c r="A1632" s="103"/>
      <c r="B1632" s="103"/>
      <c r="C1632" s="104" t="e">
        <v>#REF!</v>
      </c>
      <c r="D1632" s="103"/>
      <c r="E1632" s="53"/>
      <c r="F1632" s="53"/>
      <c r="G1632" s="53"/>
      <c r="H1632" s="53"/>
      <c r="I1632" s="53"/>
      <c r="J1632" s="53"/>
      <c r="K1632" s="53"/>
      <c r="L1632" s="53"/>
      <c r="M1632" s="53"/>
      <c r="N1632" s="53"/>
      <c r="O1632" s="53"/>
      <c r="P1632" s="53"/>
      <c r="Q1632" s="53"/>
      <c r="R1632" s="53"/>
      <c r="S1632" s="53"/>
      <c r="T1632" s="53"/>
      <c r="U1632" s="53"/>
      <c r="V1632" s="53"/>
      <c r="W1632" s="53"/>
      <c r="X1632" s="53"/>
      <c r="Y1632" s="53"/>
      <c r="Z1632" s="53"/>
    </row>
    <row r="1633" spans="1:26" ht="15.75" customHeight="1">
      <c r="A1633" s="103"/>
      <c r="B1633" s="103"/>
      <c r="C1633" s="104" t="e">
        <v>#REF!</v>
      </c>
      <c r="D1633" s="103"/>
      <c r="E1633" s="53"/>
      <c r="F1633" s="53"/>
      <c r="G1633" s="53"/>
      <c r="H1633" s="53"/>
      <c r="I1633" s="53"/>
      <c r="J1633" s="53"/>
      <c r="K1633" s="53"/>
      <c r="L1633" s="53"/>
      <c r="M1633" s="53"/>
      <c r="N1633" s="53"/>
      <c r="O1633" s="53"/>
      <c r="P1633" s="53"/>
      <c r="Q1633" s="53"/>
      <c r="R1633" s="53"/>
      <c r="S1633" s="53"/>
      <c r="T1633" s="53"/>
      <c r="U1633" s="53"/>
      <c r="V1633" s="53"/>
      <c r="W1633" s="53"/>
      <c r="X1633" s="53"/>
      <c r="Y1633" s="53"/>
      <c r="Z1633" s="53"/>
    </row>
    <row r="1634" spans="1:26" ht="15.75" customHeight="1">
      <c r="A1634" s="103"/>
      <c r="B1634" s="103"/>
      <c r="C1634" s="104" t="e">
        <v>#REF!</v>
      </c>
      <c r="D1634" s="103"/>
      <c r="E1634" s="53"/>
      <c r="F1634" s="53"/>
      <c r="G1634" s="53"/>
      <c r="H1634" s="53"/>
      <c r="I1634" s="53"/>
      <c r="J1634" s="53"/>
      <c r="K1634" s="53"/>
      <c r="L1634" s="53"/>
      <c r="M1634" s="53"/>
      <c r="N1634" s="53"/>
      <c r="O1634" s="53"/>
      <c r="P1634" s="53"/>
      <c r="Q1634" s="53"/>
      <c r="R1634" s="53"/>
      <c r="S1634" s="53"/>
      <c r="T1634" s="53"/>
      <c r="U1634" s="53"/>
      <c r="V1634" s="53"/>
      <c r="W1634" s="53"/>
      <c r="X1634" s="53"/>
      <c r="Y1634" s="53"/>
      <c r="Z1634" s="53"/>
    </row>
    <row r="1635" spans="1:26" ht="15.75" customHeight="1">
      <c r="A1635" s="103"/>
      <c r="B1635" s="103"/>
      <c r="C1635" s="104" t="e">
        <v>#REF!</v>
      </c>
      <c r="D1635" s="103"/>
      <c r="E1635" s="53"/>
      <c r="F1635" s="53"/>
      <c r="G1635" s="53"/>
      <c r="H1635" s="53"/>
      <c r="I1635" s="53"/>
      <c r="J1635" s="53"/>
      <c r="K1635" s="53"/>
      <c r="L1635" s="53"/>
      <c r="M1635" s="53"/>
      <c r="N1635" s="53"/>
      <c r="O1635" s="53"/>
      <c r="P1635" s="53"/>
      <c r="Q1635" s="53"/>
      <c r="R1635" s="53"/>
      <c r="S1635" s="53"/>
      <c r="T1635" s="53"/>
      <c r="U1635" s="53"/>
      <c r="V1635" s="53"/>
      <c r="W1635" s="53"/>
      <c r="X1635" s="53"/>
      <c r="Y1635" s="53"/>
      <c r="Z1635" s="53"/>
    </row>
    <row r="1636" spans="1:26" ht="15.75" customHeight="1">
      <c r="A1636" s="103"/>
      <c r="B1636" s="103"/>
      <c r="C1636" s="104" t="e">
        <v>#REF!</v>
      </c>
      <c r="D1636" s="103"/>
      <c r="E1636" s="53"/>
      <c r="F1636" s="53"/>
      <c r="G1636" s="53"/>
      <c r="H1636" s="53"/>
      <c r="I1636" s="53"/>
      <c r="J1636" s="53"/>
      <c r="K1636" s="53"/>
      <c r="L1636" s="53"/>
      <c r="M1636" s="53"/>
      <c r="N1636" s="53"/>
      <c r="O1636" s="53"/>
      <c r="P1636" s="53"/>
      <c r="Q1636" s="53"/>
      <c r="R1636" s="53"/>
      <c r="S1636" s="53"/>
      <c r="T1636" s="53"/>
      <c r="U1636" s="53"/>
      <c r="V1636" s="53"/>
      <c r="W1636" s="53"/>
      <c r="X1636" s="53"/>
      <c r="Y1636" s="53"/>
      <c r="Z1636" s="53"/>
    </row>
    <row r="1637" spans="1:26" ht="15.75" customHeight="1">
      <c r="A1637" s="103"/>
      <c r="B1637" s="103"/>
      <c r="C1637" s="104" t="e">
        <v>#REF!</v>
      </c>
      <c r="D1637" s="103"/>
      <c r="E1637" s="53"/>
      <c r="F1637" s="53"/>
      <c r="G1637" s="53"/>
      <c r="H1637" s="53"/>
      <c r="I1637" s="53"/>
      <c r="J1637" s="53"/>
      <c r="K1637" s="53"/>
      <c r="L1637" s="53"/>
      <c r="M1637" s="53"/>
      <c r="N1637" s="53"/>
      <c r="O1637" s="53"/>
      <c r="P1637" s="53"/>
      <c r="Q1637" s="53"/>
      <c r="R1637" s="53"/>
      <c r="S1637" s="53"/>
      <c r="T1637" s="53"/>
      <c r="U1637" s="53"/>
      <c r="V1637" s="53"/>
      <c r="W1637" s="53"/>
      <c r="X1637" s="53"/>
      <c r="Y1637" s="53"/>
      <c r="Z1637" s="53"/>
    </row>
    <row r="1638" spans="1:26" ht="15.75" customHeight="1">
      <c r="A1638" s="103"/>
      <c r="B1638" s="103"/>
      <c r="C1638" s="104" t="e">
        <v>#REF!</v>
      </c>
      <c r="D1638" s="103"/>
      <c r="E1638" s="53"/>
      <c r="F1638" s="53"/>
      <c r="G1638" s="53"/>
      <c r="H1638" s="53"/>
      <c r="I1638" s="53"/>
      <c r="J1638" s="53"/>
      <c r="K1638" s="53"/>
      <c r="L1638" s="53"/>
      <c r="M1638" s="53"/>
      <c r="N1638" s="53"/>
      <c r="O1638" s="53"/>
      <c r="P1638" s="53"/>
      <c r="Q1638" s="53"/>
      <c r="R1638" s="53"/>
      <c r="S1638" s="53"/>
      <c r="T1638" s="53"/>
      <c r="U1638" s="53"/>
      <c r="V1638" s="53"/>
      <c r="W1638" s="53"/>
      <c r="X1638" s="53"/>
      <c r="Y1638" s="53"/>
      <c r="Z1638" s="53"/>
    </row>
    <row r="1639" spans="1:26" ht="15.75" customHeight="1">
      <c r="A1639" s="103"/>
      <c r="B1639" s="103"/>
      <c r="C1639" s="104" t="e">
        <v>#REF!</v>
      </c>
      <c r="D1639" s="103"/>
      <c r="E1639" s="53"/>
      <c r="F1639" s="53"/>
      <c r="G1639" s="53"/>
      <c r="H1639" s="53"/>
      <c r="I1639" s="53"/>
      <c r="J1639" s="53"/>
      <c r="K1639" s="53"/>
      <c r="L1639" s="53"/>
      <c r="M1639" s="53"/>
      <c r="N1639" s="53"/>
      <c r="O1639" s="53"/>
      <c r="P1639" s="53"/>
      <c r="Q1639" s="53"/>
      <c r="R1639" s="53"/>
      <c r="S1639" s="53"/>
      <c r="T1639" s="53"/>
      <c r="U1639" s="53"/>
      <c r="V1639" s="53"/>
      <c r="W1639" s="53"/>
      <c r="X1639" s="53"/>
      <c r="Y1639" s="53"/>
      <c r="Z1639" s="53"/>
    </row>
    <row r="1640" spans="1:26" ht="15.75" customHeight="1">
      <c r="A1640" s="103"/>
      <c r="B1640" s="103"/>
      <c r="C1640" s="104" t="e">
        <v>#REF!</v>
      </c>
      <c r="D1640" s="103"/>
      <c r="E1640" s="53"/>
      <c r="F1640" s="53"/>
      <c r="G1640" s="53"/>
      <c r="H1640" s="53"/>
      <c r="I1640" s="53"/>
      <c r="J1640" s="53"/>
      <c r="K1640" s="53"/>
      <c r="L1640" s="53"/>
      <c r="M1640" s="53"/>
      <c r="N1640" s="53"/>
      <c r="O1640" s="53"/>
      <c r="P1640" s="53"/>
      <c r="Q1640" s="53"/>
      <c r="R1640" s="53"/>
      <c r="S1640" s="53"/>
      <c r="T1640" s="53"/>
      <c r="U1640" s="53"/>
      <c r="V1640" s="53"/>
      <c r="W1640" s="53"/>
      <c r="X1640" s="53"/>
      <c r="Y1640" s="53"/>
      <c r="Z1640" s="53"/>
    </row>
    <row r="1641" spans="1:26" ht="15.75" customHeight="1">
      <c r="A1641" s="103"/>
      <c r="B1641" s="103"/>
      <c r="C1641" s="104" t="e">
        <v>#REF!</v>
      </c>
      <c r="D1641" s="103"/>
      <c r="E1641" s="53"/>
      <c r="F1641" s="53"/>
      <c r="G1641" s="53"/>
      <c r="H1641" s="53"/>
      <c r="I1641" s="53"/>
      <c r="J1641" s="53"/>
      <c r="K1641" s="53"/>
      <c r="L1641" s="53"/>
      <c r="M1641" s="53"/>
      <c r="N1641" s="53"/>
      <c r="O1641" s="53"/>
      <c r="P1641" s="53"/>
      <c r="Q1641" s="53"/>
      <c r="R1641" s="53"/>
      <c r="S1641" s="53"/>
      <c r="T1641" s="53"/>
      <c r="U1641" s="53"/>
      <c r="V1641" s="53"/>
      <c r="W1641" s="53"/>
      <c r="X1641" s="53"/>
      <c r="Y1641" s="53"/>
      <c r="Z1641" s="53"/>
    </row>
    <row r="1642" spans="1:26" ht="15.75" customHeight="1">
      <c r="A1642" s="103"/>
      <c r="B1642" s="103"/>
      <c r="C1642" s="104" t="e">
        <v>#REF!</v>
      </c>
      <c r="D1642" s="103"/>
      <c r="E1642" s="53"/>
      <c r="F1642" s="53"/>
      <c r="G1642" s="53"/>
      <c r="H1642" s="53"/>
      <c r="I1642" s="53"/>
      <c r="J1642" s="53"/>
      <c r="K1642" s="53"/>
      <c r="L1642" s="53"/>
      <c r="M1642" s="53"/>
      <c r="N1642" s="53"/>
      <c r="O1642" s="53"/>
      <c r="P1642" s="53"/>
      <c r="Q1642" s="53"/>
      <c r="R1642" s="53"/>
      <c r="S1642" s="53"/>
      <c r="T1642" s="53"/>
      <c r="U1642" s="53"/>
      <c r="V1642" s="53"/>
      <c r="W1642" s="53"/>
      <c r="X1642" s="53"/>
      <c r="Y1642" s="53"/>
      <c r="Z1642" s="53"/>
    </row>
    <row r="1643" spans="1:26" ht="15.75" customHeight="1">
      <c r="A1643" s="103"/>
      <c r="B1643" s="103"/>
      <c r="C1643" s="104" t="e">
        <v>#REF!</v>
      </c>
      <c r="D1643" s="103"/>
      <c r="E1643" s="53"/>
      <c r="F1643" s="53"/>
      <c r="G1643" s="53"/>
      <c r="H1643" s="53"/>
      <c r="I1643" s="53"/>
      <c r="J1643" s="53"/>
      <c r="K1643" s="53"/>
      <c r="L1643" s="53"/>
      <c r="M1643" s="53"/>
      <c r="N1643" s="53"/>
      <c r="O1643" s="53"/>
      <c r="P1643" s="53"/>
      <c r="Q1643" s="53"/>
      <c r="R1643" s="53"/>
      <c r="S1643" s="53"/>
      <c r="T1643" s="53"/>
      <c r="U1643" s="53"/>
      <c r="V1643" s="53"/>
      <c r="W1643" s="53"/>
      <c r="X1643" s="53"/>
      <c r="Y1643" s="53"/>
      <c r="Z1643" s="53"/>
    </row>
    <row r="1644" spans="1:26" ht="15.75" customHeight="1">
      <c r="A1644" s="103"/>
      <c r="B1644" s="103"/>
      <c r="C1644" s="104" t="e">
        <v>#REF!</v>
      </c>
      <c r="D1644" s="103"/>
      <c r="E1644" s="53"/>
      <c r="F1644" s="53"/>
      <c r="G1644" s="53"/>
      <c r="H1644" s="53"/>
      <c r="I1644" s="53"/>
      <c r="J1644" s="53"/>
      <c r="K1644" s="53"/>
      <c r="L1644" s="53"/>
      <c r="M1644" s="53"/>
      <c r="N1644" s="53"/>
      <c r="O1644" s="53"/>
      <c r="P1644" s="53"/>
      <c r="Q1644" s="53"/>
      <c r="R1644" s="53"/>
      <c r="S1644" s="53"/>
      <c r="T1644" s="53"/>
      <c r="U1644" s="53"/>
      <c r="V1644" s="53"/>
      <c r="W1644" s="53"/>
      <c r="X1644" s="53"/>
      <c r="Y1644" s="53"/>
      <c r="Z1644" s="53"/>
    </row>
    <row r="1645" spans="1:26" ht="15.75" customHeight="1">
      <c r="A1645" s="103"/>
      <c r="B1645" s="103"/>
      <c r="C1645" s="104" t="e">
        <v>#REF!</v>
      </c>
      <c r="D1645" s="103"/>
      <c r="E1645" s="53"/>
      <c r="F1645" s="53"/>
      <c r="G1645" s="53"/>
      <c r="H1645" s="53"/>
      <c r="I1645" s="53"/>
      <c r="J1645" s="53"/>
      <c r="K1645" s="53"/>
      <c r="L1645" s="53"/>
      <c r="M1645" s="53"/>
      <c r="N1645" s="53"/>
      <c r="O1645" s="53"/>
      <c r="P1645" s="53"/>
      <c r="Q1645" s="53"/>
      <c r="R1645" s="53"/>
      <c r="S1645" s="53"/>
      <c r="T1645" s="53"/>
      <c r="U1645" s="53"/>
      <c r="V1645" s="53"/>
      <c r="W1645" s="53"/>
      <c r="X1645" s="53"/>
      <c r="Y1645" s="53"/>
      <c r="Z1645" s="53"/>
    </row>
    <row r="1646" spans="1:26" ht="15.75" customHeight="1">
      <c r="A1646" s="103"/>
      <c r="B1646" s="103"/>
      <c r="C1646" s="104" t="e">
        <v>#REF!</v>
      </c>
      <c r="D1646" s="103"/>
      <c r="E1646" s="53"/>
      <c r="F1646" s="53"/>
      <c r="G1646" s="53"/>
      <c r="H1646" s="53"/>
      <c r="I1646" s="53"/>
      <c r="J1646" s="53"/>
      <c r="K1646" s="53"/>
      <c r="L1646" s="53"/>
      <c r="M1646" s="53"/>
      <c r="N1646" s="53"/>
      <c r="O1646" s="53"/>
      <c r="P1646" s="53"/>
      <c r="Q1646" s="53"/>
      <c r="R1646" s="53"/>
      <c r="S1646" s="53"/>
      <c r="T1646" s="53"/>
      <c r="U1646" s="53"/>
      <c r="V1646" s="53"/>
      <c r="W1646" s="53"/>
      <c r="X1646" s="53"/>
      <c r="Y1646" s="53"/>
      <c r="Z1646" s="53"/>
    </row>
    <row r="1647" spans="1:26" ht="15.75" customHeight="1">
      <c r="A1647" s="103"/>
      <c r="B1647" s="103"/>
      <c r="C1647" s="104" t="e">
        <v>#REF!</v>
      </c>
      <c r="D1647" s="103"/>
      <c r="E1647" s="53"/>
      <c r="F1647" s="53"/>
      <c r="G1647" s="53"/>
      <c r="H1647" s="53"/>
      <c r="I1647" s="53"/>
      <c r="J1647" s="53"/>
      <c r="K1647" s="53"/>
      <c r="L1647" s="53"/>
      <c r="M1647" s="53"/>
      <c r="N1647" s="53"/>
      <c r="O1647" s="53"/>
      <c r="P1647" s="53"/>
      <c r="Q1647" s="53"/>
      <c r="R1647" s="53"/>
      <c r="S1647" s="53"/>
      <c r="T1647" s="53"/>
      <c r="U1647" s="53"/>
      <c r="V1647" s="53"/>
      <c r="W1647" s="53"/>
      <c r="X1647" s="53"/>
      <c r="Y1647" s="53"/>
      <c r="Z1647" s="53"/>
    </row>
    <row r="1648" spans="1:26" ht="15.75" customHeight="1">
      <c r="A1648" s="103"/>
      <c r="B1648" s="103"/>
      <c r="C1648" s="104" t="e">
        <v>#REF!</v>
      </c>
      <c r="D1648" s="103"/>
      <c r="E1648" s="53"/>
      <c r="F1648" s="53"/>
      <c r="G1648" s="53"/>
      <c r="H1648" s="53"/>
      <c r="I1648" s="53"/>
      <c r="J1648" s="53"/>
      <c r="K1648" s="53"/>
      <c r="L1648" s="53"/>
      <c r="M1648" s="53"/>
      <c r="N1648" s="53"/>
      <c r="O1648" s="53"/>
      <c r="P1648" s="53"/>
      <c r="Q1648" s="53"/>
      <c r="R1648" s="53"/>
      <c r="S1648" s="53"/>
      <c r="T1648" s="53"/>
      <c r="U1648" s="53"/>
      <c r="V1648" s="53"/>
      <c r="W1648" s="53"/>
      <c r="X1648" s="53"/>
      <c r="Y1648" s="53"/>
      <c r="Z1648" s="53"/>
    </row>
    <row r="1649" spans="1:26" ht="15.75" customHeight="1">
      <c r="A1649" s="103"/>
      <c r="B1649" s="103"/>
      <c r="C1649" s="104" t="e">
        <v>#REF!</v>
      </c>
      <c r="D1649" s="103"/>
      <c r="E1649" s="53"/>
      <c r="F1649" s="53"/>
      <c r="G1649" s="53"/>
      <c r="H1649" s="53"/>
      <c r="I1649" s="53"/>
      <c r="J1649" s="53"/>
      <c r="K1649" s="53"/>
      <c r="L1649" s="53"/>
      <c r="M1649" s="53"/>
      <c r="N1649" s="53"/>
      <c r="O1649" s="53"/>
      <c r="P1649" s="53"/>
      <c r="Q1649" s="53"/>
      <c r="R1649" s="53"/>
      <c r="S1649" s="53"/>
      <c r="T1649" s="53"/>
      <c r="U1649" s="53"/>
      <c r="V1649" s="53"/>
      <c r="W1649" s="53"/>
      <c r="X1649" s="53"/>
      <c r="Y1649" s="53"/>
      <c r="Z1649" s="53"/>
    </row>
    <row r="1650" spans="1:26" ht="15.75" customHeight="1">
      <c r="A1650" s="103"/>
      <c r="B1650" s="103"/>
      <c r="C1650" s="104" t="e">
        <v>#REF!</v>
      </c>
      <c r="D1650" s="103"/>
      <c r="E1650" s="53"/>
      <c r="F1650" s="53"/>
      <c r="G1650" s="53"/>
      <c r="H1650" s="53"/>
      <c r="I1650" s="53"/>
      <c r="J1650" s="53"/>
      <c r="K1650" s="53"/>
      <c r="L1650" s="53"/>
      <c r="M1650" s="53"/>
      <c r="N1650" s="53"/>
      <c r="O1650" s="53"/>
      <c r="P1650" s="53"/>
      <c r="Q1650" s="53"/>
      <c r="R1650" s="53"/>
      <c r="S1650" s="53"/>
      <c r="T1650" s="53"/>
      <c r="U1650" s="53"/>
      <c r="V1650" s="53"/>
      <c r="W1650" s="53"/>
      <c r="X1650" s="53"/>
      <c r="Y1650" s="53"/>
      <c r="Z1650" s="53"/>
    </row>
    <row r="1651" spans="1:26" ht="15.75" customHeight="1">
      <c r="A1651" s="103"/>
      <c r="B1651" s="103"/>
      <c r="C1651" s="104" t="e">
        <v>#REF!</v>
      </c>
      <c r="D1651" s="103"/>
      <c r="E1651" s="53"/>
      <c r="F1651" s="53"/>
      <c r="G1651" s="53"/>
      <c r="H1651" s="53"/>
      <c r="I1651" s="53"/>
      <c r="J1651" s="53"/>
      <c r="K1651" s="53"/>
      <c r="L1651" s="53"/>
      <c r="M1651" s="53"/>
      <c r="N1651" s="53"/>
      <c r="O1651" s="53"/>
      <c r="P1651" s="53"/>
      <c r="Q1651" s="53"/>
      <c r="R1651" s="53"/>
      <c r="S1651" s="53"/>
      <c r="T1651" s="53"/>
      <c r="U1651" s="53"/>
      <c r="V1651" s="53"/>
      <c r="W1651" s="53"/>
      <c r="X1651" s="53"/>
      <c r="Y1651" s="53"/>
      <c r="Z1651" s="53"/>
    </row>
    <row r="1652" spans="1:26" ht="15.75" customHeight="1">
      <c r="A1652" s="103"/>
      <c r="B1652" s="103"/>
      <c r="C1652" s="104" t="e">
        <v>#REF!</v>
      </c>
      <c r="D1652" s="103"/>
      <c r="E1652" s="53"/>
      <c r="F1652" s="53"/>
      <c r="G1652" s="53"/>
      <c r="H1652" s="53"/>
      <c r="I1652" s="53"/>
      <c r="J1652" s="53"/>
      <c r="K1652" s="53"/>
      <c r="L1652" s="53"/>
      <c r="M1652" s="53"/>
      <c r="N1652" s="53"/>
      <c r="O1652" s="53"/>
      <c r="P1652" s="53"/>
      <c r="Q1652" s="53"/>
      <c r="R1652" s="53"/>
      <c r="S1652" s="53"/>
      <c r="T1652" s="53"/>
      <c r="U1652" s="53"/>
      <c r="V1652" s="53"/>
      <c r="W1652" s="53"/>
      <c r="X1652" s="53"/>
      <c r="Y1652" s="53"/>
      <c r="Z1652" s="53"/>
    </row>
    <row r="1653" spans="1:26" ht="15.75" customHeight="1">
      <c r="A1653" s="103"/>
      <c r="B1653" s="103"/>
      <c r="C1653" s="104" t="e">
        <v>#REF!</v>
      </c>
      <c r="D1653" s="103"/>
      <c r="E1653" s="53"/>
      <c r="F1653" s="53"/>
      <c r="G1653" s="53"/>
      <c r="H1653" s="53"/>
      <c r="I1653" s="53"/>
      <c r="J1653" s="53"/>
      <c r="K1653" s="53"/>
      <c r="L1653" s="53"/>
      <c r="M1653" s="53"/>
      <c r="N1653" s="53"/>
      <c r="O1653" s="53"/>
      <c r="P1653" s="53"/>
      <c r="Q1653" s="53"/>
      <c r="R1653" s="53"/>
      <c r="S1653" s="53"/>
      <c r="T1653" s="53"/>
      <c r="U1653" s="53"/>
      <c r="V1653" s="53"/>
      <c r="W1653" s="53"/>
      <c r="X1653" s="53"/>
      <c r="Y1653" s="53"/>
      <c r="Z1653" s="53"/>
    </row>
    <row r="1654" spans="1:26" ht="15.75" customHeight="1">
      <c r="A1654" s="103"/>
      <c r="B1654" s="103"/>
      <c r="C1654" s="104" t="e">
        <v>#REF!</v>
      </c>
      <c r="D1654" s="103"/>
      <c r="E1654" s="53"/>
      <c r="F1654" s="53"/>
      <c r="G1654" s="53"/>
      <c r="H1654" s="53"/>
      <c r="I1654" s="53"/>
      <c r="J1654" s="53"/>
      <c r="K1654" s="53"/>
      <c r="L1654" s="53"/>
      <c r="M1654" s="53"/>
      <c r="N1654" s="53"/>
      <c r="O1654" s="53"/>
      <c r="P1654" s="53"/>
      <c r="Q1654" s="53"/>
      <c r="R1654" s="53"/>
      <c r="S1654" s="53"/>
      <c r="T1654" s="53"/>
      <c r="U1654" s="53"/>
      <c r="V1654" s="53"/>
      <c r="W1654" s="53"/>
      <c r="X1654" s="53"/>
      <c r="Y1654" s="53"/>
      <c r="Z1654" s="53"/>
    </row>
    <row r="1655" spans="1:26" ht="15.75" customHeight="1">
      <c r="A1655" s="103"/>
      <c r="B1655" s="103"/>
      <c r="C1655" s="104" t="e">
        <v>#REF!</v>
      </c>
      <c r="D1655" s="103"/>
      <c r="E1655" s="53"/>
      <c r="F1655" s="53"/>
      <c r="G1655" s="53"/>
      <c r="H1655" s="53"/>
      <c r="I1655" s="53"/>
      <c r="J1655" s="53"/>
      <c r="K1655" s="53"/>
      <c r="L1655" s="53"/>
      <c r="M1655" s="53"/>
      <c r="N1655" s="53"/>
      <c r="O1655" s="53"/>
      <c r="P1655" s="53"/>
      <c r="Q1655" s="53"/>
      <c r="R1655" s="53"/>
      <c r="S1655" s="53"/>
      <c r="T1655" s="53"/>
      <c r="U1655" s="53"/>
      <c r="V1655" s="53"/>
      <c r="W1655" s="53"/>
      <c r="X1655" s="53"/>
      <c r="Y1655" s="53"/>
      <c r="Z1655" s="53"/>
    </row>
    <row r="1656" spans="1:26" ht="15.75" customHeight="1">
      <c r="A1656" s="103"/>
      <c r="B1656" s="103"/>
      <c r="C1656" s="104" t="e">
        <v>#REF!</v>
      </c>
      <c r="D1656" s="103"/>
      <c r="E1656" s="53"/>
      <c r="F1656" s="53"/>
      <c r="G1656" s="53"/>
      <c r="H1656" s="53"/>
      <c r="I1656" s="53"/>
      <c r="J1656" s="53"/>
      <c r="K1656" s="53"/>
      <c r="L1656" s="53"/>
      <c r="M1656" s="53"/>
      <c r="N1656" s="53"/>
      <c r="O1656" s="53"/>
      <c r="P1656" s="53"/>
      <c r="Q1656" s="53"/>
      <c r="R1656" s="53"/>
      <c r="S1656" s="53"/>
      <c r="T1656" s="53"/>
      <c r="U1656" s="53"/>
      <c r="V1656" s="53"/>
      <c r="W1656" s="53"/>
      <c r="X1656" s="53"/>
      <c r="Y1656" s="53"/>
      <c r="Z1656" s="53"/>
    </row>
    <row r="1657" spans="1:26" ht="15.75" customHeight="1">
      <c r="A1657" s="103"/>
      <c r="B1657" s="103"/>
      <c r="C1657" s="104" t="e">
        <v>#REF!</v>
      </c>
      <c r="D1657" s="103"/>
      <c r="E1657" s="53"/>
      <c r="F1657" s="53"/>
      <c r="G1657" s="53"/>
      <c r="H1657" s="53"/>
      <c r="I1657" s="53"/>
      <c r="J1657" s="53"/>
      <c r="K1657" s="53"/>
      <c r="L1657" s="53"/>
      <c r="M1657" s="53"/>
      <c r="N1657" s="53"/>
      <c r="O1657" s="53"/>
      <c r="P1657" s="53"/>
      <c r="Q1657" s="53"/>
      <c r="R1657" s="53"/>
      <c r="S1657" s="53"/>
      <c r="T1657" s="53"/>
      <c r="U1657" s="53"/>
      <c r="V1657" s="53"/>
      <c r="W1657" s="53"/>
      <c r="X1657" s="53"/>
      <c r="Y1657" s="53"/>
      <c r="Z1657" s="53"/>
    </row>
    <row r="1658" spans="1:26" ht="15.75" customHeight="1">
      <c r="A1658" s="103"/>
      <c r="B1658" s="103"/>
      <c r="C1658" s="104" t="e">
        <v>#REF!</v>
      </c>
      <c r="D1658" s="103"/>
      <c r="E1658" s="53"/>
      <c r="F1658" s="53"/>
      <c r="G1658" s="53"/>
      <c r="H1658" s="53"/>
      <c r="I1658" s="53"/>
      <c r="J1658" s="53"/>
      <c r="K1658" s="53"/>
      <c r="L1658" s="53"/>
      <c r="M1658" s="53"/>
      <c r="N1658" s="53"/>
      <c r="O1658" s="53"/>
      <c r="P1658" s="53"/>
      <c r="Q1658" s="53"/>
      <c r="R1658" s="53"/>
      <c r="S1658" s="53"/>
      <c r="T1658" s="53"/>
      <c r="U1658" s="53"/>
      <c r="V1658" s="53"/>
      <c r="W1658" s="53"/>
      <c r="X1658" s="53"/>
      <c r="Y1658" s="53"/>
      <c r="Z1658" s="53"/>
    </row>
    <row r="1659" spans="1:26" ht="15.75" customHeight="1">
      <c r="A1659" s="103"/>
      <c r="B1659" s="103"/>
      <c r="C1659" s="104" t="e">
        <v>#REF!</v>
      </c>
      <c r="D1659" s="103"/>
      <c r="E1659" s="53"/>
      <c r="F1659" s="53"/>
      <c r="G1659" s="53"/>
      <c r="H1659" s="53"/>
      <c r="I1659" s="53"/>
      <c r="J1659" s="53"/>
      <c r="K1659" s="53"/>
      <c r="L1659" s="53"/>
      <c r="M1659" s="53"/>
      <c r="N1659" s="53"/>
      <c r="O1659" s="53"/>
      <c r="P1659" s="53"/>
      <c r="Q1659" s="53"/>
      <c r="R1659" s="53"/>
      <c r="S1659" s="53"/>
      <c r="T1659" s="53"/>
      <c r="U1659" s="53"/>
      <c r="V1659" s="53"/>
      <c r="W1659" s="53"/>
      <c r="X1659" s="53"/>
      <c r="Y1659" s="53"/>
      <c r="Z1659" s="53"/>
    </row>
    <row r="1660" spans="1:26" ht="15.75" customHeight="1">
      <c r="A1660" s="103"/>
      <c r="B1660" s="103"/>
      <c r="C1660" s="104" t="e">
        <v>#REF!</v>
      </c>
      <c r="D1660" s="103"/>
      <c r="E1660" s="53"/>
      <c r="F1660" s="53"/>
      <c r="G1660" s="53"/>
      <c r="H1660" s="53"/>
      <c r="I1660" s="53"/>
      <c r="J1660" s="53"/>
      <c r="K1660" s="53"/>
      <c r="L1660" s="53"/>
      <c r="M1660" s="53"/>
      <c r="N1660" s="53"/>
      <c r="O1660" s="53"/>
      <c r="P1660" s="53"/>
      <c r="Q1660" s="53"/>
      <c r="R1660" s="53"/>
      <c r="S1660" s="53"/>
      <c r="T1660" s="53"/>
      <c r="U1660" s="53"/>
      <c r="V1660" s="53"/>
      <c r="W1660" s="53"/>
      <c r="X1660" s="53"/>
      <c r="Y1660" s="53"/>
      <c r="Z1660" s="53"/>
    </row>
    <row r="1661" spans="1:26" ht="15.75" customHeight="1">
      <c r="A1661" s="103"/>
      <c r="B1661" s="103"/>
      <c r="C1661" s="104" t="e">
        <v>#REF!</v>
      </c>
      <c r="D1661" s="103"/>
      <c r="E1661" s="53"/>
      <c r="F1661" s="53"/>
      <c r="G1661" s="53"/>
      <c r="H1661" s="53"/>
      <c r="I1661" s="53"/>
      <c r="J1661" s="53"/>
      <c r="K1661" s="53"/>
      <c r="L1661" s="53"/>
      <c r="M1661" s="53"/>
      <c r="N1661" s="53"/>
      <c r="O1661" s="53"/>
      <c r="P1661" s="53"/>
      <c r="Q1661" s="53"/>
      <c r="R1661" s="53"/>
      <c r="S1661" s="53"/>
      <c r="T1661" s="53"/>
      <c r="U1661" s="53"/>
      <c r="V1661" s="53"/>
      <c r="W1661" s="53"/>
      <c r="X1661" s="53"/>
      <c r="Y1661" s="53"/>
      <c r="Z1661" s="53"/>
    </row>
    <row r="1662" spans="1:26" ht="15.75" customHeight="1">
      <c r="A1662" s="103"/>
      <c r="B1662" s="103"/>
      <c r="C1662" s="104" t="e">
        <v>#REF!</v>
      </c>
      <c r="D1662" s="103"/>
      <c r="E1662" s="53"/>
      <c r="F1662" s="53"/>
      <c r="G1662" s="53"/>
      <c r="H1662" s="53"/>
      <c r="I1662" s="53"/>
      <c r="J1662" s="53"/>
      <c r="K1662" s="53"/>
      <c r="L1662" s="53"/>
      <c r="M1662" s="53"/>
      <c r="N1662" s="53"/>
      <c r="O1662" s="53"/>
      <c r="P1662" s="53"/>
      <c r="Q1662" s="53"/>
      <c r="R1662" s="53"/>
      <c r="S1662" s="53"/>
      <c r="T1662" s="53"/>
      <c r="U1662" s="53"/>
      <c r="V1662" s="53"/>
      <c r="W1662" s="53"/>
      <c r="X1662" s="53"/>
      <c r="Y1662" s="53"/>
      <c r="Z1662" s="53"/>
    </row>
    <row r="1663" spans="1:26" ht="15.75" customHeight="1">
      <c r="A1663" s="103"/>
      <c r="B1663" s="103"/>
      <c r="C1663" s="104" t="e">
        <v>#REF!</v>
      </c>
      <c r="D1663" s="103"/>
      <c r="E1663" s="53"/>
      <c r="F1663" s="53"/>
      <c r="G1663" s="53"/>
      <c r="H1663" s="53"/>
      <c r="I1663" s="53"/>
      <c r="J1663" s="53"/>
      <c r="K1663" s="53"/>
      <c r="L1663" s="53"/>
      <c r="M1663" s="53"/>
      <c r="N1663" s="53"/>
      <c r="O1663" s="53"/>
      <c r="P1663" s="53"/>
      <c r="Q1663" s="53"/>
      <c r="R1663" s="53"/>
      <c r="S1663" s="53"/>
      <c r="T1663" s="53"/>
      <c r="U1663" s="53"/>
      <c r="V1663" s="53"/>
      <c r="W1663" s="53"/>
      <c r="X1663" s="53"/>
      <c r="Y1663" s="53"/>
      <c r="Z1663" s="53"/>
    </row>
    <row r="1664" spans="1:26" ht="15.75" customHeight="1">
      <c r="A1664" s="103"/>
      <c r="B1664" s="103"/>
      <c r="C1664" s="104" t="e">
        <v>#REF!</v>
      </c>
      <c r="D1664" s="103"/>
      <c r="E1664" s="53"/>
      <c r="F1664" s="53"/>
      <c r="G1664" s="53"/>
      <c r="H1664" s="53"/>
      <c r="I1664" s="53"/>
      <c r="J1664" s="53"/>
      <c r="K1664" s="53"/>
      <c r="L1664" s="53"/>
      <c r="M1664" s="53"/>
      <c r="N1664" s="53"/>
      <c r="O1664" s="53"/>
      <c r="P1664" s="53"/>
      <c r="Q1664" s="53"/>
      <c r="R1664" s="53"/>
      <c r="S1664" s="53"/>
      <c r="T1664" s="53"/>
      <c r="U1664" s="53"/>
      <c r="V1664" s="53"/>
      <c r="W1664" s="53"/>
      <c r="X1664" s="53"/>
      <c r="Y1664" s="53"/>
      <c r="Z1664" s="53"/>
    </row>
    <row r="1665" spans="1:26" ht="15.75" customHeight="1">
      <c r="A1665" s="103"/>
      <c r="B1665" s="103"/>
      <c r="C1665" s="104" t="e">
        <v>#REF!</v>
      </c>
      <c r="D1665" s="103"/>
      <c r="E1665" s="53"/>
      <c r="F1665" s="53"/>
      <c r="G1665" s="53"/>
      <c r="H1665" s="53"/>
      <c r="I1665" s="53"/>
      <c r="J1665" s="53"/>
      <c r="K1665" s="53"/>
      <c r="L1665" s="53"/>
      <c r="M1665" s="53"/>
      <c r="N1665" s="53"/>
      <c r="O1665" s="53"/>
      <c r="P1665" s="53"/>
      <c r="Q1665" s="53"/>
      <c r="R1665" s="53"/>
      <c r="S1665" s="53"/>
      <c r="T1665" s="53"/>
      <c r="U1665" s="53"/>
      <c r="V1665" s="53"/>
      <c r="W1665" s="53"/>
      <c r="X1665" s="53"/>
      <c r="Y1665" s="53"/>
      <c r="Z1665" s="53"/>
    </row>
    <row r="1666" spans="1:26" ht="15.75" customHeight="1">
      <c r="A1666" s="103"/>
      <c r="B1666" s="103"/>
      <c r="C1666" s="104" t="e">
        <v>#REF!</v>
      </c>
      <c r="D1666" s="103"/>
      <c r="E1666" s="53"/>
      <c r="F1666" s="53"/>
      <c r="G1666" s="53"/>
      <c r="H1666" s="53"/>
      <c r="I1666" s="53"/>
      <c r="J1666" s="53"/>
      <c r="K1666" s="53"/>
      <c r="L1666" s="53"/>
      <c r="M1666" s="53"/>
      <c r="N1666" s="53"/>
      <c r="O1666" s="53"/>
      <c r="P1666" s="53"/>
      <c r="Q1666" s="53"/>
      <c r="R1666" s="53"/>
      <c r="S1666" s="53"/>
      <c r="T1666" s="53"/>
      <c r="U1666" s="53"/>
      <c r="V1666" s="53"/>
      <c r="W1666" s="53"/>
      <c r="X1666" s="53"/>
      <c r="Y1666" s="53"/>
      <c r="Z1666" s="53"/>
    </row>
    <row r="1667" spans="1:26" ht="15.75" customHeight="1">
      <c r="A1667" s="103"/>
      <c r="B1667" s="103"/>
      <c r="C1667" s="104" t="e">
        <v>#REF!</v>
      </c>
      <c r="D1667" s="103"/>
      <c r="E1667" s="53"/>
      <c r="F1667" s="53"/>
      <c r="G1667" s="53"/>
      <c r="H1667" s="53"/>
      <c r="I1667" s="53"/>
      <c r="J1667" s="53"/>
      <c r="K1667" s="53"/>
      <c r="L1667" s="53"/>
      <c r="M1667" s="53"/>
      <c r="N1667" s="53"/>
      <c r="O1667" s="53"/>
      <c r="P1667" s="53"/>
      <c r="Q1667" s="53"/>
      <c r="R1667" s="53"/>
      <c r="S1667" s="53"/>
      <c r="T1667" s="53"/>
      <c r="U1667" s="53"/>
      <c r="V1667" s="53"/>
      <c r="W1667" s="53"/>
      <c r="X1667" s="53"/>
      <c r="Y1667" s="53"/>
      <c r="Z1667" s="53"/>
    </row>
    <row r="1668" spans="1:26" ht="15.75" customHeight="1">
      <c r="A1668" s="103"/>
      <c r="B1668" s="103"/>
      <c r="C1668" s="104" t="e">
        <v>#REF!</v>
      </c>
      <c r="D1668" s="103"/>
      <c r="E1668" s="53"/>
      <c r="F1668" s="53"/>
      <c r="G1668" s="53"/>
      <c r="H1668" s="53"/>
      <c r="I1668" s="53"/>
      <c r="J1668" s="53"/>
      <c r="K1668" s="53"/>
      <c r="L1668" s="53"/>
      <c r="M1668" s="53"/>
      <c r="N1668" s="53"/>
      <c r="O1668" s="53"/>
      <c r="P1668" s="53"/>
      <c r="Q1668" s="53"/>
      <c r="R1668" s="53"/>
      <c r="S1668" s="53"/>
      <c r="T1668" s="53"/>
      <c r="U1668" s="53"/>
      <c r="V1668" s="53"/>
      <c r="W1668" s="53"/>
      <c r="X1668" s="53"/>
      <c r="Y1668" s="53"/>
      <c r="Z1668" s="53"/>
    </row>
    <row r="1669" spans="1:26" ht="15.75" customHeight="1">
      <c r="A1669" s="103"/>
      <c r="B1669" s="103"/>
      <c r="C1669" s="104" t="e">
        <v>#REF!</v>
      </c>
      <c r="D1669" s="103"/>
      <c r="E1669" s="53"/>
      <c r="F1669" s="53"/>
      <c r="G1669" s="53"/>
      <c r="H1669" s="53"/>
      <c r="I1669" s="53"/>
      <c r="J1669" s="53"/>
      <c r="K1669" s="53"/>
      <c r="L1669" s="53"/>
      <c r="M1669" s="53"/>
      <c r="N1669" s="53"/>
      <c r="O1669" s="53"/>
      <c r="P1669" s="53"/>
      <c r="Q1669" s="53"/>
      <c r="R1669" s="53"/>
      <c r="S1669" s="53"/>
      <c r="T1669" s="53"/>
      <c r="U1669" s="53"/>
      <c r="V1669" s="53"/>
      <c r="W1669" s="53"/>
      <c r="X1669" s="53"/>
      <c r="Y1669" s="53"/>
      <c r="Z1669" s="53"/>
    </row>
    <row r="1670" spans="1:26" ht="15.75" customHeight="1">
      <c r="A1670" s="103"/>
      <c r="B1670" s="103"/>
      <c r="C1670" s="104" t="e">
        <v>#REF!</v>
      </c>
      <c r="D1670" s="103"/>
      <c r="E1670" s="53"/>
      <c r="F1670" s="53"/>
      <c r="G1670" s="53"/>
      <c r="H1670" s="53"/>
      <c r="I1670" s="53"/>
      <c r="J1670" s="53"/>
      <c r="K1670" s="53"/>
      <c r="L1670" s="53"/>
      <c r="M1670" s="53"/>
      <c r="N1670" s="53"/>
      <c r="O1670" s="53"/>
      <c r="P1670" s="53"/>
      <c r="Q1670" s="53"/>
      <c r="R1670" s="53"/>
      <c r="S1670" s="53"/>
      <c r="T1670" s="53"/>
      <c r="U1670" s="53"/>
      <c r="V1670" s="53"/>
      <c r="W1670" s="53"/>
      <c r="X1670" s="53"/>
      <c r="Y1670" s="53"/>
      <c r="Z1670" s="53"/>
    </row>
    <row r="1671" spans="1:26" ht="15.75" customHeight="1">
      <c r="A1671" s="103"/>
      <c r="B1671" s="103"/>
      <c r="C1671" s="104" t="e">
        <v>#REF!</v>
      </c>
      <c r="D1671" s="103"/>
      <c r="E1671" s="53"/>
      <c r="F1671" s="53"/>
      <c r="G1671" s="53"/>
      <c r="H1671" s="53"/>
      <c r="I1671" s="53"/>
      <c r="J1671" s="53"/>
      <c r="K1671" s="53"/>
      <c r="L1671" s="53"/>
      <c r="M1671" s="53"/>
      <c r="N1671" s="53"/>
      <c r="O1671" s="53"/>
      <c r="P1671" s="53"/>
      <c r="Q1671" s="53"/>
      <c r="R1671" s="53"/>
      <c r="S1671" s="53"/>
      <c r="T1671" s="53"/>
      <c r="U1671" s="53"/>
      <c r="V1671" s="53"/>
      <c r="W1671" s="53"/>
      <c r="X1671" s="53"/>
      <c r="Y1671" s="53"/>
      <c r="Z1671" s="53"/>
    </row>
    <row r="1672" spans="1:26" ht="15.75" customHeight="1">
      <c r="A1672" s="103"/>
      <c r="B1672" s="103"/>
      <c r="C1672" s="104" t="e">
        <v>#REF!</v>
      </c>
      <c r="D1672" s="103"/>
      <c r="E1672" s="53"/>
      <c r="F1672" s="53"/>
      <c r="G1672" s="53"/>
      <c r="H1672" s="53"/>
      <c r="I1672" s="53"/>
      <c r="J1672" s="53"/>
      <c r="K1672" s="53"/>
      <c r="L1672" s="53"/>
      <c r="M1672" s="53"/>
      <c r="N1672" s="53"/>
      <c r="O1672" s="53"/>
      <c r="P1672" s="53"/>
      <c r="Q1672" s="53"/>
      <c r="R1672" s="53"/>
      <c r="S1672" s="53"/>
      <c r="T1672" s="53"/>
      <c r="U1672" s="53"/>
      <c r="V1672" s="53"/>
      <c r="W1672" s="53"/>
      <c r="X1672" s="53"/>
      <c r="Y1672" s="53"/>
      <c r="Z1672" s="53"/>
    </row>
    <row r="1673" spans="1:26" ht="15.75" customHeight="1">
      <c r="A1673" s="103"/>
      <c r="B1673" s="103"/>
      <c r="C1673" s="104" t="e">
        <v>#REF!</v>
      </c>
      <c r="D1673" s="103"/>
      <c r="E1673" s="53"/>
      <c r="F1673" s="53"/>
      <c r="G1673" s="53"/>
      <c r="H1673" s="53"/>
      <c r="I1673" s="53"/>
      <c r="J1673" s="53"/>
      <c r="K1673" s="53"/>
      <c r="L1673" s="53"/>
      <c r="M1673" s="53"/>
      <c r="N1673" s="53"/>
      <c r="O1673" s="53"/>
      <c r="P1673" s="53"/>
      <c r="Q1673" s="53"/>
      <c r="R1673" s="53"/>
      <c r="S1673" s="53"/>
      <c r="T1673" s="53"/>
      <c r="U1673" s="53"/>
      <c r="V1673" s="53"/>
      <c r="W1673" s="53"/>
      <c r="X1673" s="53"/>
      <c r="Y1673" s="53"/>
      <c r="Z1673" s="53"/>
    </row>
    <row r="1674" spans="1:26" ht="15.75" customHeight="1">
      <c r="A1674" s="103"/>
      <c r="B1674" s="103"/>
      <c r="C1674" s="104" t="e">
        <v>#REF!</v>
      </c>
      <c r="D1674" s="103"/>
      <c r="E1674" s="53"/>
      <c r="F1674" s="53"/>
      <c r="G1674" s="53"/>
      <c r="H1674" s="53"/>
      <c r="I1674" s="53"/>
      <c r="J1674" s="53"/>
      <c r="K1674" s="53"/>
      <c r="L1674" s="53"/>
      <c r="M1674" s="53"/>
      <c r="N1674" s="53"/>
      <c r="O1674" s="53"/>
      <c r="P1674" s="53"/>
      <c r="Q1674" s="53"/>
      <c r="R1674" s="53"/>
      <c r="S1674" s="53"/>
      <c r="T1674" s="53"/>
      <c r="U1674" s="53"/>
      <c r="V1674" s="53"/>
      <c r="W1674" s="53"/>
      <c r="X1674" s="53"/>
      <c r="Y1674" s="53"/>
      <c r="Z1674" s="53"/>
    </row>
    <row r="1675" spans="1:26" ht="15.75" customHeight="1">
      <c r="A1675" s="103"/>
      <c r="B1675" s="103"/>
      <c r="C1675" s="104" t="e">
        <v>#REF!</v>
      </c>
      <c r="D1675" s="103"/>
      <c r="E1675" s="53"/>
      <c r="F1675" s="53"/>
      <c r="G1675" s="53"/>
      <c r="H1675" s="53"/>
      <c r="I1675" s="53"/>
      <c r="J1675" s="53"/>
      <c r="K1675" s="53"/>
      <c r="L1675" s="53"/>
      <c r="M1675" s="53"/>
      <c r="N1675" s="53"/>
      <c r="O1675" s="53"/>
      <c r="P1675" s="53"/>
      <c r="Q1675" s="53"/>
      <c r="R1675" s="53"/>
      <c r="S1675" s="53"/>
      <c r="T1675" s="53"/>
      <c r="U1675" s="53"/>
      <c r="V1675" s="53"/>
      <c r="W1675" s="53"/>
      <c r="X1675" s="53"/>
      <c r="Y1675" s="53"/>
      <c r="Z1675" s="53"/>
    </row>
    <row r="1676" spans="1:26" ht="15.75" customHeight="1">
      <c r="A1676" s="103"/>
      <c r="B1676" s="103"/>
      <c r="C1676" s="104" t="e">
        <v>#REF!</v>
      </c>
      <c r="D1676" s="103"/>
      <c r="E1676" s="53"/>
      <c r="F1676" s="53"/>
      <c r="G1676" s="53"/>
      <c r="H1676" s="53"/>
      <c r="I1676" s="53"/>
      <c r="J1676" s="53"/>
      <c r="K1676" s="53"/>
      <c r="L1676" s="53"/>
      <c r="M1676" s="53"/>
      <c r="N1676" s="53"/>
      <c r="O1676" s="53"/>
      <c r="P1676" s="53"/>
      <c r="Q1676" s="53"/>
      <c r="R1676" s="53"/>
      <c r="S1676" s="53"/>
      <c r="T1676" s="53"/>
      <c r="U1676" s="53"/>
      <c r="V1676" s="53"/>
      <c r="W1676" s="53"/>
      <c r="X1676" s="53"/>
      <c r="Y1676" s="53"/>
      <c r="Z1676" s="53"/>
    </row>
    <row r="1677" spans="1:26" ht="15.75" customHeight="1">
      <c r="A1677" s="103"/>
      <c r="B1677" s="103"/>
      <c r="C1677" s="104" t="e">
        <v>#REF!</v>
      </c>
      <c r="D1677" s="103"/>
      <c r="E1677" s="53"/>
      <c r="F1677" s="53"/>
      <c r="G1677" s="53"/>
      <c r="H1677" s="53"/>
      <c r="I1677" s="53"/>
      <c r="J1677" s="53"/>
      <c r="K1677" s="53"/>
      <c r="L1677" s="53"/>
      <c r="M1677" s="53"/>
      <c r="N1677" s="53"/>
      <c r="O1677" s="53"/>
      <c r="P1677" s="53"/>
      <c r="Q1677" s="53"/>
      <c r="R1677" s="53"/>
      <c r="S1677" s="53"/>
      <c r="T1677" s="53"/>
      <c r="U1677" s="53"/>
      <c r="V1677" s="53"/>
      <c r="W1677" s="53"/>
      <c r="X1677" s="53"/>
      <c r="Y1677" s="53"/>
      <c r="Z1677" s="53"/>
    </row>
    <row r="1678" spans="1:26" ht="15.75" customHeight="1">
      <c r="A1678" s="103"/>
      <c r="B1678" s="103"/>
      <c r="C1678" s="104" t="e">
        <v>#REF!</v>
      </c>
      <c r="D1678" s="103"/>
      <c r="E1678" s="53"/>
      <c r="F1678" s="53"/>
      <c r="G1678" s="53"/>
      <c r="H1678" s="53"/>
      <c r="I1678" s="53"/>
      <c r="J1678" s="53"/>
      <c r="K1678" s="53"/>
      <c r="L1678" s="53"/>
      <c r="M1678" s="53"/>
      <c r="N1678" s="53"/>
      <c r="O1678" s="53"/>
      <c r="P1678" s="53"/>
      <c r="Q1678" s="53"/>
      <c r="R1678" s="53"/>
      <c r="S1678" s="53"/>
      <c r="T1678" s="53"/>
      <c r="U1678" s="53"/>
      <c r="V1678" s="53"/>
      <c r="W1678" s="53"/>
      <c r="X1678" s="53"/>
      <c r="Y1678" s="53"/>
      <c r="Z1678" s="53"/>
    </row>
    <row r="1679" spans="1:26" ht="15.75" customHeight="1">
      <c r="A1679" s="103"/>
      <c r="B1679" s="103"/>
      <c r="C1679" s="104" t="e">
        <v>#REF!</v>
      </c>
      <c r="D1679" s="103"/>
      <c r="E1679" s="53"/>
      <c r="F1679" s="53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3"/>
      <c r="X1679" s="53"/>
      <c r="Y1679" s="53"/>
      <c r="Z1679" s="53"/>
    </row>
    <row r="1680" spans="1:26" ht="15.75" customHeight="1">
      <c r="A1680" s="103"/>
      <c r="B1680" s="103"/>
      <c r="C1680" s="104" t="e">
        <v>#REF!</v>
      </c>
      <c r="D1680" s="103"/>
      <c r="E1680" s="53"/>
      <c r="F1680" s="53"/>
      <c r="G1680" s="53"/>
      <c r="H1680" s="53"/>
      <c r="I1680" s="53"/>
      <c r="J1680" s="53"/>
      <c r="K1680" s="53"/>
      <c r="L1680" s="53"/>
      <c r="M1680" s="53"/>
      <c r="N1680" s="53"/>
      <c r="O1680" s="53"/>
      <c r="P1680" s="53"/>
      <c r="Q1680" s="53"/>
      <c r="R1680" s="53"/>
      <c r="S1680" s="53"/>
      <c r="T1680" s="53"/>
      <c r="U1680" s="53"/>
      <c r="V1680" s="53"/>
      <c r="W1680" s="53"/>
      <c r="X1680" s="53"/>
      <c r="Y1680" s="53"/>
      <c r="Z1680" s="53"/>
    </row>
    <row r="1681" spans="1:26" ht="15.75" customHeight="1">
      <c r="A1681" s="103"/>
      <c r="B1681" s="103"/>
      <c r="C1681" s="104" t="e">
        <v>#REF!</v>
      </c>
      <c r="D1681" s="103"/>
      <c r="E1681" s="53"/>
      <c r="F1681" s="53"/>
      <c r="G1681" s="53"/>
      <c r="H1681" s="53"/>
      <c r="I1681" s="53"/>
      <c r="J1681" s="53"/>
      <c r="K1681" s="53"/>
      <c r="L1681" s="53"/>
      <c r="M1681" s="53"/>
      <c r="N1681" s="53"/>
      <c r="O1681" s="53"/>
      <c r="P1681" s="53"/>
      <c r="Q1681" s="53"/>
      <c r="R1681" s="53"/>
      <c r="S1681" s="53"/>
      <c r="T1681" s="53"/>
      <c r="U1681" s="53"/>
      <c r="V1681" s="53"/>
      <c r="W1681" s="53"/>
      <c r="X1681" s="53"/>
      <c r="Y1681" s="53"/>
      <c r="Z1681" s="53"/>
    </row>
    <row r="1682" spans="1:26" ht="15.75" customHeight="1">
      <c r="A1682" s="103"/>
      <c r="B1682" s="103"/>
      <c r="C1682" s="104" t="e">
        <v>#REF!</v>
      </c>
      <c r="D1682" s="103"/>
      <c r="E1682" s="53"/>
      <c r="F1682" s="53"/>
      <c r="G1682" s="53"/>
      <c r="H1682" s="53"/>
      <c r="I1682" s="53"/>
      <c r="J1682" s="53"/>
      <c r="K1682" s="53"/>
      <c r="L1682" s="53"/>
      <c r="M1682" s="53"/>
      <c r="N1682" s="53"/>
      <c r="O1682" s="53"/>
      <c r="P1682" s="53"/>
      <c r="Q1682" s="53"/>
      <c r="R1682" s="53"/>
      <c r="S1682" s="53"/>
      <c r="T1682" s="53"/>
      <c r="U1682" s="53"/>
      <c r="V1682" s="53"/>
      <c r="W1682" s="53"/>
      <c r="X1682" s="53"/>
      <c r="Y1682" s="53"/>
      <c r="Z1682" s="53"/>
    </row>
    <row r="1683" spans="1:26" ht="15.75" customHeight="1">
      <c r="A1683" s="103"/>
      <c r="B1683" s="103"/>
      <c r="C1683" s="104" t="e">
        <v>#REF!</v>
      </c>
      <c r="D1683" s="103"/>
      <c r="E1683" s="53"/>
      <c r="F1683" s="53"/>
      <c r="G1683" s="53"/>
      <c r="H1683" s="53"/>
      <c r="I1683" s="53"/>
      <c r="J1683" s="53"/>
      <c r="K1683" s="53"/>
      <c r="L1683" s="53"/>
      <c r="M1683" s="53"/>
      <c r="N1683" s="53"/>
      <c r="O1683" s="53"/>
      <c r="P1683" s="53"/>
      <c r="Q1683" s="53"/>
      <c r="R1683" s="53"/>
      <c r="S1683" s="53"/>
      <c r="T1683" s="53"/>
      <c r="U1683" s="53"/>
      <c r="V1683" s="53"/>
      <c r="W1683" s="53"/>
      <c r="X1683" s="53"/>
      <c r="Y1683" s="53"/>
      <c r="Z1683" s="53"/>
    </row>
    <row r="1684" spans="1:26" ht="15.75" customHeight="1">
      <c r="A1684" s="103"/>
      <c r="B1684" s="103"/>
      <c r="C1684" s="104" t="e">
        <v>#REF!</v>
      </c>
      <c r="D1684" s="103"/>
      <c r="E1684" s="53"/>
      <c r="F1684" s="53"/>
      <c r="G1684" s="53"/>
      <c r="H1684" s="53"/>
      <c r="I1684" s="53"/>
      <c r="J1684" s="53"/>
      <c r="K1684" s="53"/>
      <c r="L1684" s="53"/>
      <c r="M1684" s="53"/>
      <c r="N1684" s="53"/>
      <c r="O1684" s="53"/>
      <c r="P1684" s="53"/>
      <c r="Q1684" s="53"/>
      <c r="R1684" s="53"/>
      <c r="S1684" s="53"/>
      <c r="T1684" s="53"/>
      <c r="U1684" s="53"/>
      <c r="V1684" s="53"/>
      <c r="W1684" s="53"/>
      <c r="X1684" s="53"/>
      <c r="Y1684" s="53"/>
      <c r="Z1684" s="53"/>
    </row>
    <row r="1685" spans="1:26" ht="15.75" customHeight="1">
      <c r="A1685" s="103"/>
      <c r="B1685" s="103"/>
      <c r="C1685" s="104" t="e">
        <v>#REF!</v>
      </c>
      <c r="D1685" s="103"/>
      <c r="E1685" s="53"/>
      <c r="F1685" s="53"/>
      <c r="G1685" s="53"/>
      <c r="H1685" s="53"/>
      <c r="I1685" s="53"/>
      <c r="J1685" s="53"/>
      <c r="K1685" s="53"/>
      <c r="L1685" s="53"/>
      <c r="M1685" s="53"/>
      <c r="N1685" s="53"/>
      <c r="O1685" s="53"/>
      <c r="P1685" s="53"/>
      <c r="Q1685" s="53"/>
      <c r="R1685" s="53"/>
      <c r="S1685" s="53"/>
      <c r="T1685" s="53"/>
      <c r="U1685" s="53"/>
      <c r="V1685" s="53"/>
      <c r="W1685" s="53"/>
      <c r="X1685" s="53"/>
      <c r="Y1685" s="53"/>
      <c r="Z1685" s="53"/>
    </row>
    <row r="1686" spans="1:26" ht="15.75" customHeight="1">
      <c r="A1686" s="103"/>
      <c r="B1686" s="103"/>
      <c r="C1686" s="104" t="e">
        <v>#REF!</v>
      </c>
      <c r="D1686" s="103"/>
      <c r="E1686" s="53"/>
      <c r="F1686" s="53"/>
      <c r="G1686" s="53"/>
      <c r="H1686" s="53"/>
      <c r="I1686" s="53"/>
      <c r="J1686" s="53"/>
      <c r="K1686" s="53"/>
      <c r="L1686" s="53"/>
      <c r="M1686" s="53"/>
      <c r="N1686" s="53"/>
      <c r="O1686" s="53"/>
      <c r="P1686" s="53"/>
      <c r="Q1686" s="53"/>
      <c r="R1686" s="53"/>
      <c r="S1686" s="53"/>
      <c r="T1686" s="53"/>
      <c r="U1686" s="53"/>
      <c r="V1686" s="53"/>
      <c r="W1686" s="53"/>
      <c r="X1686" s="53"/>
      <c r="Y1686" s="53"/>
      <c r="Z1686" s="53"/>
    </row>
    <row r="1687" spans="1:26" ht="15.75" customHeight="1">
      <c r="A1687" s="103"/>
      <c r="B1687" s="103"/>
      <c r="C1687" s="104" t="e">
        <v>#REF!</v>
      </c>
      <c r="D1687" s="103"/>
      <c r="E1687" s="53"/>
      <c r="F1687" s="53"/>
      <c r="G1687" s="53"/>
      <c r="H1687" s="53"/>
      <c r="I1687" s="53"/>
      <c r="J1687" s="53"/>
      <c r="K1687" s="53"/>
      <c r="L1687" s="53"/>
      <c r="M1687" s="53"/>
      <c r="N1687" s="53"/>
      <c r="O1687" s="53"/>
      <c r="P1687" s="53"/>
      <c r="Q1687" s="53"/>
      <c r="R1687" s="53"/>
      <c r="S1687" s="53"/>
      <c r="T1687" s="53"/>
      <c r="U1687" s="53"/>
      <c r="V1687" s="53"/>
      <c r="W1687" s="53"/>
      <c r="X1687" s="53"/>
      <c r="Y1687" s="53"/>
      <c r="Z1687" s="53"/>
    </row>
    <row r="1688" spans="1:26" ht="15.75" customHeight="1">
      <c r="A1688" s="103"/>
      <c r="B1688" s="103"/>
      <c r="C1688" s="104" t="e">
        <v>#REF!</v>
      </c>
      <c r="D1688" s="103"/>
      <c r="E1688" s="53"/>
      <c r="F1688" s="53"/>
      <c r="G1688" s="53"/>
      <c r="H1688" s="53"/>
      <c r="I1688" s="53"/>
      <c r="J1688" s="53"/>
      <c r="K1688" s="53"/>
      <c r="L1688" s="53"/>
      <c r="M1688" s="53"/>
      <c r="N1688" s="53"/>
      <c r="O1688" s="53"/>
      <c r="P1688" s="53"/>
      <c r="Q1688" s="53"/>
      <c r="R1688" s="53"/>
      <c r="S1688" s="53"/>
      <c r="T1688" s="53"/>
      <c r="U1688" s="53"/>
      <c r="V1688" s="53"/>
      <c r="W1688" s="53"/>
      <c r="X1688" s="53"/>
      <c r="Y1688" s="53"/>
      <c r="Z1688" s="53"/>
    </row>
    <row r="1689" spans="1:26" ht="15.75" customHeight="1">
      <c r="A1689" s="103"/>
      <c r="B1689" s="103"/>
      <c r="C1689" s="104" t="e">
        <v>#REF!</v>
      </c>
      <c r="D1689" s="103"/>
      <c r="E1689" s="53"/>
      <c r="F1689" s="53"/>
      <c r="G1689" s="53"/>
      <c r="H1689" s="53"/>
      <c r="I1689" s="53"/>
      <c r="J1689" s="53"/>
      <c r="K1689" s="53"/>
      <c r="L1689" s="53"/>
      <c r="M1689" s="53"/>
      <c r="N1689" s="53"/>
      <c r="O1689" s="53"/>
      <c r="P1689" s="53"/>
      <c r="Q1689" s="53"/>
      <c r="R1689" s="53"/>
      <c r="S1689" s="53"/>
      <c r="T1689" s="53"/>
      <c r="U1689" s="53"/>
      <c r="V1689" s="53"/>
      <c r="W1689" s="53"/>
      <c r="X1689" s="53"/>
      <c r="Y1689" s="53"/>
      <c r="Z1689" s="53"/>
    </row>
    <row r="1690" spans="1:26" ht="15.75" customHeight="1">
      <c r="A1690" s="103"/>
      <c r="B1690" s="103"/>
      <c r="C1690" s="104" t="e">
        <v>#REF!</v>
      </c>
      <c r="D1690" s="103"/>
      <c r="E1690" s="53"/>
      <c r="F1690" s="53"/>
      <c r="G1690" s="53"/>
      <c r="H1690" s="53"/>
      <c r="I1690" s="53"/>
      <c r="J1690" s="53"/>
      <c r="K1690" s="53"/>
      <c r="L1690" s="53"/>
      <c r="M1690" s="53"/>
      <c r="N1690" s="53"/>
      <c r="O1690" s="53"/>
      <c r="P1690" s="53"/>
      <c r="Q1690" s="53"/>
      <c r="R1690" s="53"/>
      <c r="S1690" s="53"/>
      <c r="T1690" s="53"/>
      <c r="U1690" s="53"/>
      <c r="V1690" s="53"/>
      <c r="W1690" s="53"/>
      <c r="X1690" s="53"/>
      <c r="Y1690" s="53"/>
      <c r="Z1690" s="53"/>
    </row>
    <row r="1691" spans="1:26" ht="15.75" customHeight="1">
      <c r="A1691" s="103"/>
      <c r="B1691" s="103"/>
      <c r="C1691" s="104" t="e">
        <v>#REF!</v>
      </c>
      <c r="D1691" s="103"/>
      <c r="E1691" s="53"/>
      <c r="F1691" s="53"/>
      <c r="G1691" s="53"/>
      <c r="H1691" s="53"/>
      <c r="I1691" s="53"/>
      <c r="J1691" s="53"/>
      <c r="K1691" s="53"/>
      <c r="L1691" s="53"/>
      <c r="M1691" s="53"/>
      <c r="N1691" s="53"/>
      <c r="O1691" s="53"/>
      <c r="P1691" s="53"/>
      <c r="Q1691" s="53"/>
      <c r="R1691" s="53"/>
      <c r="S1691" s="53"/>
      <c r="T1691" s="53"/>
      <c r="U1691" s="53"/>
      <c r="V1691" s="53"/>
      <c r="W1691" s="53"/>
      <c r="X1691" s="53"/>
      <c r="Y1691" s="53"/>
      <c r="Z1691" s="53"/>
    </row>
    <row r="1692" spans="1:26" ht="15.75" customHeight="1">
      <c r="A1692" s="103"/>
      <c r="B1692" s="103"/>
      <c r="C1692" s="104" t="e">
        <v>#REF!</v>
      </c>
      <c r="D1692" s="103"/>
      <c r="E1692" s="53"/>
      <c r="F1692" s="53"/>
      <c r="G1692" s="53"/>
      <c r="H1692" s="53"/>
      <c r="I1692" s="53"/>
      <c r="J1692" s="53"/>
      <c r="K1692" s="53"/>
      <c r="L1692" s="53"/>
      <c r="M1692" s="53"/>
      <c r="N1692" s="53"/>
      <c r="O1692" s="53"/>
      <c r="P1692" s="53"/>
      <c r="Q1692" s="53"/>
      <c r="R1692" s="53"/>
      <c r="S1692" s="53"/>
      <c r="T1692" s="53"/>
      <c r="U1692" s="53"/>
      <c r="V1692" s="53"/>
      <c r="W1692" s="53"/>
      <c r="X1692" s="53"/>
      <c r="Y1692" s="53"/>
      <c r="Z1692" s="53"/>
    </row>
    <row r="1693" spans="1:26" ht="15.75" customHeight="1">
      <c r="A1693" s="103"/>
      <c r="B1693" s="103"/>
      <c r="C1693" s="104" t="e">
        <v>#REF!</v>
      </c>
      <c r="D1693" s="103"/>
      <c r="E1693" s="53"/>
      <c r="F1693" s="53"/>
      <c r="G1693" s="53"/>
      <c r="H1693" s="53"/>
      <c r="I1693" s="53"/>
      <c r="J1693" s="53"/>
      <c r="K1693" s="53"/>
      <c r="L1693" s="53"/>
      <c r="M1693" s="53"/>
      <c r="N1693" s="53"/>
      <c r="O1693" s="53"/>
      <c r="P1693" s="53"/>
      <c r="Q1693" s="53"/>
      <c r="R1693" s="53"/>
      <c r="S1693" s="53"/>
      <c r="T1693" s="53"/>
      <c r="U1693" s="53"/>
      <c r="V1693" s="53"/>
      <c r="W1693" s="53"/>
      <c r="X1693" s="53"/>
      <c r="Y1693" s="53"/>
      <c r="Z1693" s="53"/>
    </row>
    <row r="1694" spans="1:26" ht="15.75" customHeight="1">
      <c r="A1694" s="103"/>
      <c r="B1694" s="103"/>
      <c r="C1694" s="104" t="e">
        <v>#REF!</v>
      </c>
      <c r="D1694" s="103"/>
      <c r="E1694" s="53"/>
      <c r="F1694" s="53"/>
      <c r="G1694" s="53"/>
      <c r="H1694" s="53"/>
      <c r="I1694" s="53"/>
      <c r="J1694" s="53"/>
      <c r="K1694" s="53"/>
      <c r="L1694" s="53"/>
      <c r="M1694" s="53"/>
      <c r="N1694" s="53"/>
      <c r="O1694" s="53"/>
      <c r="P1694" s="53"/>
      <c r="Q1694" s="53"/>
      <c r="R1694" s="53"/>
      <c r="S1694" s="53"/>
      <c r="T1694" s="53"/>
      <c r="U1694" s="53"/>
      <c r="V1694" s="53"/>
      <c r="W1694" s="53"/>
      <c r="X1694" s="53"/>
      <c r="Y1694" s="53"/>
      <c r="Z1694" s="53"/>
    </row>
    <row r="1695" spans="1:26" ht="15.75" customHeight="1">
      <c r="A1695" s="103"/>
      <c r="B1695" s="103"/>
      <c r="C1695" s="104" t="e">
        <v>#REF!</v>
      </c>
      <c r="D1695" s="103"/>
      <c r="E1695" s="53"/>
      <c r="F1695" s="53"/>
      <c r="G1695" s="53"/>
      <c r="H1695" s="53"/>
      <c r="I1695" s="53"/>
      <c r="J1695" s="53"/>
      <c r="K1695" s="53"/>
      <c r="L1695" s="53"/>
      <c r="M1695" s="53"/>
      <c r="N1695" s="53"/>
      <c r="O1695" s="53"/>
      <c r="P1695" s="53"/>
      <c r="Q1695" s="53"/>
      <c r="R1695" s="53"/>
      <c r="S1695" s="53"/>
      <c r="T1695" s="53"/>
      <c r="U1695" s="53"/>
      <c r="V1695" s="53"/>
      <c r="W1695" s="53"/>
      <c r="X1695" s="53"/>
      <c r="Y1695" s="53"/>
      <c r="Z1695" s="53"/>
    </row>
    <row r="1696" spans="1:26" ht="15.75" customHeight="1">
      <c r="A1696" s="103"/>
      <c r="B1696" s="103"/>
      <c r="C1696" s="104" t="e">
        <v>#REF!</v>
      </c>
      <c r="D1696" s="103"/>
      <c r="E1696" s="53"/>
      <c r="F1696" s="53"/>
      <c r="G1696" s="53"/>
      <c r="H1696" s="53"/>
      <c r="I1696" s="53"/>
      <c r="J1696" s="53"/>
      <c r="K1696" s="53"/>
      <c r="L1696" s="53"/>
      <c r="M1696" s="53"/>
      <c r="N1696" s="53"/>
      <c r="O1696" s="53"/>
      <c r="P1696" s="53"/>
      <c r="Q1696" s="53"/>
      <c r="R1696" s="53"/>
      <c r="S1696" s="53"/>
      <c r="T1696" s="53"/>
      <c r="U1696" s="53"/>
      <c r="V1696" s="53"/>
      <c r="W1696" s="53"/>
      <c r="X1696" s="53"/>
      <c r="Y1696" s="53"/>
      <c r="Z1696" s="53"/>
    </row>
    <row r="1697" spans="1:26" ht="15.75" customHeight="1">
      <c r="A1697" s="103"/>
      <c r="B1697" s="103"/>
      <c r="C1697" s="104" t="e">
        <v>#REF!</v>
      </c>
      <c r="D1697" s="103"/>
      <c r="E1697" s="53"/>
      <c r="F1697" s="53"/>
      <c r="G1697" s="53"/>
      <c r="H1697" s="53"/>
      <c r="I1697" s="53"/>
      <c r="J1697" s="53"/>
      <c r="K1697" s="53"/>
      <c r="L1697" s="53"/>
      <c r="M1697" s="53"/>
      <c r="N1697" s="53"/>
      <c r="O1697" s="53"/>
      <c r="P1697" s="53"/>
      <c r="Q1697" s="53"/>
      <c r="R1697" s="53"/>
      <c r="S1697" s="53"/>
      <c r="T1697" s="53"/>
      <c r="U1697" s="53"/>
      <c r="V1697" s="53"/>
      <c r="W1697" s="53"/>
      <c r="X1697" s="53"/>
      <c r="Y1697" s="53"/>
      <c r="Z1697" s="53"/>
    </row>
    <row r="1698" spans="1:26" ht="15.75" customHeight="1">
      <c r="A1698" s="103"/>
      <c r="B1698" s="103"/>
      <c r="C1698" s="104" t="e">
        <v>#REF!</v>
      </c>
      <c r="D1698" s="103"/>
      <c r="E1698" s="53"/>
      <c r="F1698" s="53"/>
      <c r="G1698" s="53"/>
      <c r="H1698" s="53"/>
      <c r="I1698" s="53"/>
      <c r="J1698" s="53"/>
      <c r="K1698" s="53"/>
      <c r="L1698" s="53"/>
      <c r="M1698" s="53"/>
      <c r="N1698" s="53"/>
      <c r="O1698" s="53"/>
      <c r="P1698" s="53"/>
      <c r="Q1698" s="53"/>
      <c r="R1698" s="53"/>
      <c r="S1698" s="53"/>
      <c r="T1698" s="53"/>
      <c r="U1698" s="53"/>
      <c r="V1698" s="53"/>
      <c r="W1698" s="53"/>
      <c r="X1698" s="53"/>
      <c r="Y1698" s="53"/>
      <c r="Z1698" s="53"/>
    </row>
    <row r="1699" spans="1:26" ht="15.75" customHeight="1">
      <c r="A1699" s="103"/>
      <c r="B1699" s="103"/>
      <c r="C1699" s="104" t="e">
        <v>#REF!</v>
      </c>
      <c r="D1699" s="103"/>
      <c r="E1699" s="53"/>
      <c r="F1699" s="53"/>
      <c r="G1699" s="53"/>
      <c r="H1699" s="53"/>
      <c r="I1699" s="53"/>
      <c r="J1699" s="53"/>
      <c r="K1699" s="53"/>
      <c r="L1699" s="53"/>
      <c r="M1699" s="53"/>
      <c r="N1699" s="53"/>
      <c r="O1699" s="53"/>
      <c r="P1699" s="53"/>
      <c r="Q1699" s="53"/>
      <c r="R1699" s="53"/>
      <c r="S1699" s="53"/>
      <c r="T1699" s="53"/>
      <c r="U1699" s="53"/>
      <c r="V1699" s="53"/>
      <c r="W1699" s="53"/>
      <c r="X1699" s="53"/>
      <c r="Y1699" s="53"/>
      <c r="Z1699" s="53"/>
    </row>
    <row r="1700" spans="1:26" ht="15.75" customHeight="1">
      <c r="A1700" s="103"/>
      <c r="B1700" s="103"/>
      <c r="C1700" s="104" t="e">
        <v>#REF!</v>
      </c>
      <c r="D1700" s="103"/>
      <c r="E1700" s="53"/>
      <c r="F1700" s="53"/>
      <c r="G1700" s="53"/>
      <c r="H1700" s="53"/>
      <c r="I1700" s="53"/>
      <c r="J1700" s="53"/>
      <c r="K1700" s="53"/>
      <c r="L1700" s="53"/>
      <c r="M1700" s="53"/>
      <c r="N1700" s="53"/>
      <c r="O1700" s="53"/>
      <c r="P1700" s="53"/>
      <c r="Q1700" s="53"/>
      <c r="R1700" s="53"/>
      <c r="S1700" s="53"/>
      <c r="T1700" s="53"/>
      <c r="U1700" s="53"/>
      <c r="V1700" s="53"/>
      <c r="W1700" s="53"/>
      <c r="X1700" s="53"/>
      <c r="Y1700" s="53"/>
      <c r="Z1700" s="53"/>
    </row>
    <row r="1701" spans="1:26" ht="15.75" customHeight="1">
      <c r="A1701" s="103"/>
      <c r="B1701" s="103"/>
      <c r="C1701" s="104" t="e">
        <v>#REF!</v>
      </c>
      <c r="D1701" s="103"/>
      <c r="E1701" s="53"/>
      <c r="F1701" s="53"/>
      <c r="G1701" s="53"/>
      <c r="H1701" s="53"/>
      <c r="I1701" s="53"/>
      <c r="J1701" s="53"/>
      <c r="K1701" s="53"/>
      <c r="L1701" s="53"/>
      <c r="M1701" s="53"/>
      <c r="N1701" s="53"/>
      <c r="O1701" s="53"/>
      <c r="P1701" s="53"/>
      <c r="Q1701" s="53"/>
      <c r="R1701" s="53"/>
      <c r="S1701" s="53"/>
      <c r="T1701" s="53"/>
      <c r="U1701" s="53"/>
      <c r="V1701" s="53"/>
      <c r="W1701" s="53"/>
      <c r="X1701" s="53"/>
      <c r="Y1701" s="53"/>
      <c r="Z1701" s="53"/>
    </row>
    <row r="1702" spans="1:26" ht="15.75" customHeight="1">
      <c r="A1702" s="103"/>
      <c r="B1702" s="103"/>
      <c r="C1702" s="104" t="e">
        <v>#REF!</v>
      </c>
      <c r="D1702" s="103"/>
      <c r="E1702" s="53"/>
      <c r="F1702" s="53"/>
      <c r="G1702" s="53"/>
      <c r="H1702" s="53"/>
      <c r="I1702" s="53"/>
      <c r="J1702" s="53"/>
      <c r="K1702" s="53"/>
      <c r="L1702" s="53"/>
      <c r="M1702" s="53"/>
      <c r="N1702" s="53"/>
      <c r="O1702" s="53"/>
      <c r="P1702" s="53"/>
      <c r="Q1702" s="53"/>
      <c r="R1702" s="53"/>
      <c r="S1702" s="53"/>
      <c r="T1702" s="53"/>
      <c r="U1702" s="53"/>
      <c r="V1702" s="53"/>
      <c r="W1702" s="53"/>
      <c r="X1702" s="53"/>
      <c r="Y1702" s="53"/>
      <c r="Z1702" s="53"/>
    </row>
    <row r="1703" spans="1:26" ht="15.75" customHeight="1">
      <c r="A1703" s="103"/>
      <c r="B1703" s="103"/>
      <c r="C1703" s="104" t="e">
        <v>#REF!</v>
      </c>
      <c r="D1703" s="103"/>
      <c r="E1703" s="53"/>
      <c r="F1703" s="53"/>
      <c r="G1703" s="53"/>
      <c r="H1703" s="53"/>
      <c r="I1703" s="53"/>
      <c r="J1703" s="53"/>
      <c r="K1703" s="53"/>
      <c r="L1703" s="53"/>
      <c r="M1703" s="53"/>
      <c r="N1703" s="53"/>
      <c r="O1703" s="53"/>
      <c r="P1703" s="53"/>
      <c r="Q1703" s="53"/>
      <c r="R1703" s="53"/>
      <c r="S1703" s="53"/>
      <c r="T1703" s="53"/>
      <c r="U1703" s="53"/>
      <c r="V1703" s="53"/>
      <c r="W1703" s="53"/>
      <c r="X1703" s="53"/>
      <c r="Y1703" s="53"/>
      <c r="Z1703" s="53"/>
    </row>
    <row r="1704" spans="1:26" ht="15.75" customHeight="1">
      <c r="A1704" s="103"/>
      <c r="B1704" s="103"/>
      <c r="C1704" s="104" t="e">
        <v>#REF!</v>
      </c>
      <c r="D1704" s="103"/>
      <c r="E1704" s="53"/>
      <c r="F1704" s="53"/>
      <c r="G1704" s="53"/>
      <c r="H1704" s="53"/>
      <c r="I1704" s="53"/>
      <c r="J1704" s="53"/>
      <c r="K1704" s="53"/>
      <c r="L1704" s="53"/>
      <c r="M1704" s="53"/>
      <c r="N1704" s="53"/>
      <c r="O1704" s="53"/>
      <c r="P1704" s="53"/>
      <c r="Q1704" s="53"/>
      <c r="R1704" s="53"/>
      <c r="S1704" s="53"/>
      <c r="T1704" s="53"/>
      <c r="U1704" s="53"/>
      <c r="V1704" s="53"/>
      <c r="W1704" s="53"/>
      <c r="X1704" s="53"/>
      <c r="Y1704" s="53"/>
      <c r="Z1704" s="53"/>
    </row>
    <row r="1705" spans="1:26" ht="15.75" customHeight="1">
      <c r="A1705" s="103"/>
      <c r="B1705" s="103"/>
      <c r="C1705" s="104" t="e">
        <v>#REF!</v>
      </c>
      <c r="D1705" s="103"/>
      <c r="E1705" s="53"/>
      <c r="F1705" s="53"/>
      <c r="G1705" s="53"/>
      <c r="H1705" s="53"/>
      <c r="I1705" s="53"/>
      <c r="J1705" s="53"/>
      <c r="K1705" s="53"/>
      <c r="L1705" s="53"/>
      <c r="M1705" s="53"/>
      <c r="N1705" s="53"/>
      <c r="O1705" s="53"/>
      <c r="P1705" s="53"/>
      <c r="Q1705" s="53"/>
      <c r="R1705" s="53"/>
      <c r="S1705" s="53"/>
      <c r="T1705" s="53"/>
      <c r="U1705" s="53"/>
      <c r="V1705" s="53"/>
      <c r="W1705" s="53"/>
      <c r="X1705" s="53"/>
      <c r="Y1705" s="53"/>
      <c r="Z1705" s="53"/>
    </row>
    <row r="1706" spans="1:26" ht="15.75" customHeight="1">
      <c r="A1706" s="103"/>
      <c r="B1706" s="103"/>
      <c r="C1706" s="104" t="e">
        <v>#REF!</v>
      </c>
      <c r="D1706" s="103"/>
      <c r="E1706" s="53"/>
      <c r="F1706" s="53"/>
      <c r="G1706" s="53"/>
      <c r="H1706" s="53"/>
      <c r="I1706" s="53"/>
      <c r="J1706" s="53"/>
      <c r="K1706" s="53"/>
      <c r="L1706" s="53"/>
      <c r="M1706" s="53"/>
      <c r="N1706" s="53"/>
      <c r="O1706" s="53"/>
      <c r="P1706" s="53"/>
      <c r="Q1706" s="53"/>
      <c r="R1706" s="53"/>
      <c r="S1706" s="53"/>
      <c r="T1706" s="53"/>
      <c r="U1706" s="53"/>
      <c r="V1706" s="53"/>
      <c r="W1706" s="53"/>
      <c r="X1706" s="53"/>
      <c r="Y1706" s="53"/>
      <c r="Z1706" s="53"/>
    </row>
    <row r="1707" spans="1:26" ht="15.75" customHeight="1">
      <c r="A1707" s="103"/>
      <c r="B1707" s="103"/>
      <c r="C1707" s="104" t="e">
        <v>#REF!</v>
      </c>
      <c r="D1707" s="103"/>
      <c r="E1707" s="53"/>
      <c r="F1707" s="53"/>
      <c r="G1707" s="53"/>
      <c r="H1707" s="53"/>
      <c r="I1707" s="53"/>
      <c r="J1707" s="53"/>
      <c r="K1707" s="53"/>
      <c r="L1707" s="53"/>
      <c r="M1707" s="53"/>
      <c r="N1707" s="53"/>
      <c r="O1707" s="53"/>
      <c r="P1707" s="53"/>
      <c r="Q1707" s="53"/>
      <c r="R1707" s="53"/>
      <c r="S1707" s="53"/>
      <c r="T1707" s="53"/>
      <c r="U1707" s="53"/>
      <c r="V1707" s="53"/>
      <c r="W1707" s="53"/>
      <c r="X1707" s="53"/>
      <c r="Y1707" s="53"/>
      <c r="Z1707" s="53"/>
    </row>
    <row r="1708" spans="1:26" ht="15.75" customHeight="1">
      <c r="A1708" s="103"/>
      <c r="B1708" s="103"/>
      <c r="C1708" s="104" t="e">
        <v>#REF!</v>
      </c>
      <c r="D1708" s="103"/>
      <c r="E1708" s="53"/>
      <c r="F1708" s="53"/>
      <c r="G1708" s="53"/>
      <c r="H1708" s="53"/>
      <c r="I1708" s="53"/>
      <c r="J1708" s="53"/>
      <c r="K1708" s="53"/>
      <c r="L1708" s="53"/>
      <c r="M1708" s="53"/>
      <c r="N1708" s="53"/>
      <c r="O1708" s="53"/>
      <c r="P1708" s="53"/>
      <c r="Q1708" s="53"/>
      <c r="R1708" s="53"/>
      <c r="S1708" s="53"/>
      <c r="T1708" s="53"/>
      <c r="U1708" s="53"/>
      <c r="V1708" s="53"/>
      <c r="W1708" s="53"/>
      <c r="X1708" s="53"/>
      <c r="Y1708" s="53"/>
      <c r="Z1708" s="53"/>
    </row>
    <row r="1709" spans="1:26" ht="15.75" customHeight="1">
      <c r="A1709" s="103"/>
      <c r="B1709" s="103"/>
      <c r="C1709" s="104" t="e">
        <v>#REF!</v>
      </c>
      <c r="D1709" s="103"/>
      <c r="E1709" s="53"/>
      <c r="F1709" s="53"/>
      <c r="G1709" s="53"/>
      <c r="H1709" s="53"/>
      <c r="I1709" s="53"/>
      <c r="J1709" s="53"/>
      <c r="K1709" s="53"/>
      <c r="L1709" s="53"/>
      <c r="M1709" s="53"/>
      <c r="N1709" s="53"/>
      <c r="O1709" s="53"/>
      <c r="P1709" s="53"/>
      <c r="Q1709" s="53"/>
      <c r="R1709" s="53"/>
      <c r="S1709" s="53"/>
      <c r="T1709" s="53"/>
      <c r="U1709" s="53"/>
      <c r="V1709" s="53"/>
      <c r="W1709" s="53"/>
      <c r="X1709" s="53"/>
      <c r="Y1709" s="53"/>
      <c r="Z1709" s="53"/>
    </row>
    <row r="1710" spans="1:26" ht="15.75" customHeight="1">
      <c r="A1710" s="103"/>
      <c r="B1710" s="103"/>
      <c r="C1710" s="104" t="e">
        <v>#REF!</v>
      </c>
      <c r="D1710" s="103"/>
      <c r="E1710" s="53"/>
      <c r="F1710" s="53"/>
      <c r="G1710" s="53"/>
      <c r="H1710" s="53"/>
      <c r="I1710" s="53"/>
      <c r="J1710" s="53"/>
      <c r="K1710" s="53"/>
      <c r="L1710" s="53"/>
      <c r="M1710" s="53"/>
      <c r="N1710" s="53"/>
      <c r="O1710" s="53"/>
      <c r="P1710" s="53"/>
      <c r="Q1710" s="53"/>
      <c r="R1710" s="53"/>
      <c r="S1710" s="53"/>
      <c r="T1710" s="53"/>
      <c r="U1710" s="53"/>
      <c r="V1710" s="53"/>
      <c r="W1710" s="53"/>
      <c r="X1710" s="53"/>
      <c r="Y1710" s="53"/>
      <c r="Z1710" s="53"/>
    </row>
    <row r="1711" spans="1:26" ht="15.75" customHeight="1">
      <c r="A1711" s="103"/>
      <c r="B1711" s="103"/>
      <c r="C1711" s="104" t="e">
        <v>#REF!</v>
      </c>
      <c r="D1711" s="103"/>
      <c r="E1711" s="53"/>
      <c r="F1711" s="53"/>
      <c r="G1711" s="53"/>
      <c r="H1711" s="53"/>
      <c r="I1711" s="53"/>
      <c r="J1711" s="53"/>
      <c r="K1711" s="53"/>
      <c r="L1711" s="53"/>
      <c r="M1711" s="53"/>
      <c r="N1711" s="53"/>
      <c r="O1711" s="53"/>
      <c r="P1711" s="53"/>
      <c r="Q1711" s="53"/>
      <c r="R1711" s="53"/>
      <c r="S1711" s="53"/>
      <c r="T1711" s="53"/>
      <c r="U1711" s="53"/>
      <c r="V1711" s="53"/>
      <c r="W1711" s="53"/>
      <c r="X1711" s="53"/>
      <c r="Y1711" s="53"/>
      <c r="Z1711" s="53"/>
    </row>
    <row r="1712" spans="1:26" ht="15.75" customHeight="1">
      <c r="A1712" s="103"/>
      <c r="B1712" s="103"/>
      <c r="C1712" s="104" t="e">
        <v>#REF!</v>
      </c>
      <c r="D1712" s="103"/>
      <c r="E1712" s="53"/>
      <c r="F1712" s="53"/>
      <c r="G1712" s="53"/>
      <c r="H1712" s="53"/>
      <c r="I1712" s="53"/>
      <c r="J1712" s="53"/>
      <c r="K1712" s="53"/>
      <c r="L1712" s="53"/>
      <c r="M1712" s="53"/>
      <c r="N1712" s="53"/>
      <c r="O1712" s="53"/>
      <c r="P1712" s="53"/>
      <c r="Q1712" s="53"/>
      <c r="R1712" s="53"/>
      <c r="S1712" s="53"/>
      <c r="T1712" s="53"/>
      <c r="U1712" s="53"/>
      <c r="V1712" s="53"/>
      <c r="W1712" s="53"/>
      <c r="X1712" s="53"/>
      <c r="Y1712" s="53"/>
      <c r="Z1712" s="53"/>
    </row>
    <row r="1713" spans="1:26" ht="15.75" customHeight="1">
      <c r="A1713" s="103"/>
      <c r="B1713" s="103"/>
      <c r="C1713" s="104" t="e">
        <v>#REF!</v>
      </c>
      <c r="D1713" s="103"/>
      <c r="E1713" s="53"/>
      <c r="F1713" s="53"/>
      <c r="G1713" s="53"/>
      <c r="H1713" s="53"/>
      <c r="I1713" s="53"/>
      <c r="J1713" s="53"/>
      <c r="K1713" s="53"/>
      <c r="L1713" s="53"/>
      <c r="M1713" s="53"/>
      <c r="N1713" s="53"/>
      <c r="O1713" s="53"/>
      <c r="P1713" s="53"/>
      <c r="Q1713" s="53"/>
      <c r="R1713" s="53"/>
      <c r="S1713" s="53"/>
      <c r="T1713" s="53"/>
      <c r="U1713" s="53"/>
      <c r="V1713" s="53"/>
      <c r="W1713" s="53"/>
      <c r="X1713" s="53"/>
      <c r="Y1713" s="53"/>
      <c r="Z1713" s="53"/>
    </row>
    <row r="1714" spans="1:26" ht="15.75" customHeight="1">
      <c r="A1714" s="103"/>
      <c r="B1714" s="103"/>
      <c r="C1714" s="104" t="e">
        <v>#REF!</v>
      </c>
      <c r="D1714" s="103"/>
      <c r="E1714" s="53"/>
      <c r="F1714" s="53"/>
      <c r="G1714" s="53"/>
      <c r="H1714" s="53"/>
      <c r="I1714" s="53"/>
      <c r="J1714" s="53"/>
      <c r="K1714" s="53"/>
      <c r="L1714" s="53"/>
      <c r="M1714" s="53"/>
      <c r="N1714" s="53"/>
      <c r="O1714" s="53"/>
      <c r="P1714" s="53"/>
      <c r="Q1714" s="53"/>
      <c r="R1714" s="53"/>
      <c r="S1714" s="53"/>
      <c r="T1714" s="53"/>
      <c r="U1714" s="53"/>
      <c r="V1714" s="53"/>
      <c r="W1714" s="53"/>
      <c r="X1714" s="53"/>
      <c r="Y1714" s="53"/>
      <c r="Z1714" s="53"/>
    </row>
    <row r="1715" spans="1:26" ht="15.75" customHeight="1">
      <c r="A1715" s="103"/>
      <c r="B1715" s="103"/>
      <c r="C1715" s="104" t="e">
        <v>#REF!</v>
      </c>
      <c r="D1715" s="103"/>
      <c r="E1715" s="53"/>
      <c r="F1715" s="53"/>
      <c r="G1715" s="53"/>
      <c r="H1715" s="53"/>
      <c r="I1715" s="53"/>
      <c r="J1715" s="53"/>
      <c r="K1715" s="53"/>
      <c r="L1715" s="53"/>
      <c r="M1715" s="53"/>
      <c r="N1715" s="53"/>
      <c r="O1715" s="53"/>
      <c r="P1715" s="53"/>
      <c r="Q1715" s="53"/>
      <c r="R1715" s="53"/>
      <c r="S1715" s="53"/>
      <c r="T1715" s="53"/>
      <c r="U1715" s="53"/>
      <c r="V1715" s="53"/>
      <c r="W1715" s="53"/>
      <c r="X1715" s="53"/>
      <c r="Y1715" s="53"/>
      <c r="Z1715" s="53"/>
    </row>
    <row r="1716" spans="1:26" ht="15.75" customHeight="1">
      <c r="A1716" s="103"/>
      <c r="B1716" s="103"/>
      <c r="C1716" s="104" t="e">
        <v>#REF!</v>
      </c>
      <c r="D1716" s="103"/>
      <c r="E1716" s="53"/>
      <c r="F1716" s="53"/>
      <c r="G1716" s="53"/>
      <c r="H1716" s="53"/>
      <c r="I1716" s="53"/>
      <c r="J1716" s="53"/>
      <c r="K1716" s="53"/>
      <c r="L1716" s="53"/>
      <c r="M1716" s="53"/>
      <c r="N1716" s="53"/>
      <c r="O1716" s="53"/>
      <c r="P1716" s="53"/>
      <c r="Q1716" s="53"/>
      <c r="R1716" s="53"/>
      <c r="S1716" s="53"/>
      <c r="T1716" s="53"/>
      <c r="U1716" s="53"/>
      <c r="V1716" s="53"/>
      <c r="W1716" s="53"/>
      <c r="X1716" s="53"/>
      <c r="Y1716" s="53"/>
      <c r="Z1716" s="53"/>
    </row>
    <row r="1717" spans="1:26" ht="15.75" customHeight="1">
      <c r="A1717" s="103"/>
      <c r="B1717" s="103"/>
      <c r="C1717" s="104" t="e">
        <v>#REF!</v>
      </c>
      <c r="D1717" s="103"/>
      <c r="E1717" s="53"/>
      <c r="F1717" s="53"/>
      <c r="G1717" s="53"/>
      <c r="H1717" s="53"/>
      <c r="I1717" s="53"/>
      <c r="J1717" s="53"/>
      <c r="K1717" s="53"/>
      <c r="L1717" s="53"/>
      <c r="M1717" s="53"/>
      <c r="N1717" s="53"/>
      <c r="O1717" s="53"/>
      <c r="P1717" s="53"/>
      <c r="Q1717" s="53"/>
      <c r="R1717" s="53"/>
      <c r="S1717" s="53"/>
      <c r="T1717" s="53"/>
      <c r="U1717" s="53"/>
      <c r="V1717" s="53"/>
      <c r="W1717" s="53"/>
      <c r="X1717" s="53"/>
      <c r="Y1717" s="53"/>
      <c r="Z1717" s="53"/>
    </row>
    <row r="1718" spans="1:26" ht="15.75" customHeight="1">
      <c r="A1718" s="103"/>
      <c r="B1718" s="103"/>
      <c r="C1718" s="104" t="e">
        <v>#REF!</v>
      </c>
      <c r="D1718" s="103"/>
      <c r="E1718" s="53"/>
      <c r="F1718" s="53"/>
      <c r="G1718" s="53"/>
      <c r="H1718" s="53"/>
      <c r="I1718" s="53"/>
      <c r="J1718" s="53"/>
      <c r="K1718" s="53"/>
      <c r="L1718" s="53"/>
      <c r="M1718" s="53"/>
      <c r="N1718" s="53"/>
      <c r="O1718" s="53"/>
      <c r="P1718" s="53"/>
      <c r="Q1718" s="53"/>
      <c r="R1718" s="53"/>
      <c r="S1718" s="53"/>
      <c r="T1718" s="53"/>
      <c r="U1718" s="53"/>
      <c r="V1718" s="53"/>
      <c r="W1718" s="53"/>
      <c r="X1718" s="53"/>
      <c r="Y1718" s="53"/>
      <c r="Z1718" s="53"/>
    </row>
    <row r="1719" spans="1:26" ht="15.75" customHeight="1">
      <c r="A1719" s="103"/>
      <c r="B1719" s="103"/>
      <c r="C1719" s="104" t="e">
        <v>#REF!</v>
      </c>
      <c r="D1719" s="103"/>
      <c r="E1719" s="53"/>
      <c r="F1719" s="53"/>
      <c r="G1719" s="53"/>
      <c r="H1719" s="53"/>
      <c r="I1719" s="53"/>
      <c r="J1719" s="53"/>
      <c r="K1719" s="53"/>
      <c r="L1719" s="53"/>
      <c r="M1719" s="53"/>
      <c r="N1719" s="53"/>
      <c r="O1719" s="53"/>
      <c r="P1719" s="53"/>
      <c r="Q1719" s="53"/>
      <c r="R1719" s="53"/>
      <c r="S1719" s="53"/>
      <c r="T1719" s="53"/>
      <c r="U1719" s="53"/>
      <c r="V1719" s="53"/>
      <c r="W1719" s="53"/>
      <c r="X1719" s="53"/>
      <c r="Y1719" s="53"/>
      <c r="Z1719" s="53"/>
    </row>
    <row r="1720" spans="1:26" ht="15.75" customHeight="1">
      <c r="A1720" s="103"/>
      <c r="B1720" s="103"/>
      <c r="C1720" s="104" t="e">
        <v>#REF!</v>
      </c>
      <c r="D1720" s="103"/>
      <c r="E1720" s="53"/>
      <c r="F1720" s="53"/>
      <c r="G1720" s="53"/>
      <c r="H1720" s="53"/>
      <c r="I1720" s="53"/>
      <c r="J1720" s="53"/>
      <c r="K1720" s="53"/>
      <c r="L1720" s="53"/>
      <c r="M1720" s="53"/>
      <c r="N1720" s="53"/>
      <c r="O1720" s="53"/>
      <c r="P1720" s="53"/>
      <c r="Q1720" s="53"/>
      <c r="R1720" s="53"/>
      <c r="S1720" s="53"/>
      <c r="T1720" s="53"/>
      <c r="U1720" s="53"/>
      <c r="V1720" s="53"/>
      <c r="W1720" s="53"/>
      <c r="X1720" s="53"/>
      <c r="Y1720" s="53"/>
      <c r="Z1720" s="53"/>
    </row>
    <row r="1721" spans="1:26" ht="15.75" customHeight="1">
      <c r="A1721" s="103"/>
      <c r="B1721" s="103"/>
      <c r="C1721" s="104" t="e">
        <v>#REF!</v>
      </c>
      <c r="D1721" s="103"/>
      <c r="E1721" s="53"/>
      <c r="F1721" s="53"/>
      <c r="G1721" s="53"/>
      <c r="H1721" s="53"/>
      <c r="I1721" s="53"/>
      <c r="J1721" s="53"/>
      <c r="K1721" s="53"/>
      <c r="L1721" s="53"/>
      <c r="M1721" s="53"/>
      <c r="N1721" s="53"/>
      <c r="O1721" s="53"/>
      <c r="P1721" s="53"/>
      <c r="Q1721" s="53"/>
      <c r="R1721" s="53"/>
      <c r="S1721" s="53"/>
      <c r="T1721" s="53"/>
      <c r="U1721" s="53"/>
      <c r="V1721" s="53"/>
      <c r="W1721" s="53"/>
      <c r="X1721" s="53"/>
      <c r="Y1721" s="53"/>
      <c r="Z1721" s="53"/>
    </row>
    <row r="1722" spans="1:26" ht="15.75" customHeight="1">
      <c r="A1722" s="103"/>
      <c r="B1722" s="103"/>
      <c r="C1722" s="104" t="e">
        <v>#REF!</v>
      </c>
      <c r="D1722" s="103"/>
      <c r="E1722" s="53"/>
      <c r="F1722" s="53"/>
      <c r="G1722" s="53"/>
      <c r="H1722" s="53"/>
      <c r="I1722" s="53"/>
      <c r="J1722" s="53"/>
      <c r="K1722" s="53"/>
      <c r="L1722" s="53"/>
      <c r="M1722" s="53"/>
      <c r="N1722" s="53"/>
      <c r="O1722" s="53"/>
      <c r="P1722" s="53"/>
      <c r="Q1722" s="53"/>
      <c r="R1722" s="53"/>
      <c r="S1722" s="53"/>
      <c r="T1722" s="53"/>
      <c r="U1722" s="53"/>
      <c r="V1722" s="53"/>
      <c r="W1722" s="53"/>
      <c r="X1722" s="53"/>
      <c r="Y1722" s="53"/>
      <c r="Z1722" s="53"/>
    </row>
    <row r="1723" spans="1:26" ht="15.75" customHeight="1">
      <c r="A1723" s="103"/>
      <c r="B1723" s="103"/>
      <c r="C1723" s="104" t="e">
        <v>#REF!</v>
      </c>
      <c r="D1723" s="103"/>
      <c r="E1723" s="53"/>
      <c r="F1723" s="53"/>
      <c r="G1723" s="53"/>
      <c r="H1723" s="53"/>
      <c r="I1723" s="53"/>
      <c r="J1723" s="53"/>
      <c r="K1723" s="53"/>
      <c r="L1723" s="53"/>
      <c r="M1723" s="53"/>
      <c r="N1723" s="53"/>
      <c r="O1723" s="53"/>
      <c r="P1723" s="53"/>
      <c r="Q1723" s="53"/>
      <c r="R1723" s="53"/>
      <c r="S1723" s="53"/>
      <c r="T1723" s="53"/>
      <c r="U1723" s="53"/>
      <c r="V1723" s="53"/>
      <c r="W1723" s="53"/>
      <c r="X1723" s="53"/>
      <c r="Y1723" s="53"/>
      <c r="Z1723" s="53"/>
    </row>
    <row r="1724" spans="1:26" ht="15.75" customHeight="1">
      <c r="A1724" s="103"/>
      <c r="B1724" s="103"/>
      <c r="C1724" s="104" t="e">
        <v>#REF!</v>
      </c>
      <c r="D1724" s="103"/>
      <c r="E1724" s="53"/>
      <c r="F1724" s="53"/>
      <c r="G1724" s="53"/>
      <c r="H1724" s="53"/>
      <c r="I1724" s="53"/>
      <c r="J1724" s="53"/>
      <c r="K1724" s="53"/>
      <c r="L1724" s="53"/>
      <c r="M1724" s="53"/>
      <c r="N1724" s="53"/>
      <c r="O1724" s="53"/>
      <c r="P1724" s="53"/>
      <c r="Q1724" s="53"/>
      <c r="R1724" s="53"/>
      <c r="S1724" s="53"/>
      <c r="T1724" s="53"/>
      <c r="U1724" s="53"/>
      <c r="V1724" s="53"/>
      <c r="W1724" s="53"/>
      <c r="X1724" s="53"/>
      <c r="Y1724" s="53"/>
      <c r="Z1724" s="53"/>
    </row>
    <row r="1725" spans="1:26" ht="15.75" customHeight="1">
      <c r="A1725" s="103"/>
      <c r="B1725" s="103"/>
      <c r="C1725" s="104" t="e">
        <v>#REF!</v>
      </c>
      <c r="D1725" s="103"/>
      <c r="E1725" s="53"/>
      <c r="F1725" s="53"/>
      <c r="G1725" s="53"/>
      <c r="H1725" s="53"/>
      <c r="I1725" s="53"/>
      <c r="J1725" s="53"/>
      <c r="K1725" s="53"/>
      <c r="L1725" s="53"/>
      <c r="M1725" s="53"/>
      <c r="N1725" s="53"/>
      <c r="O1725" s="53"/>
      <c r="P1725" s="53"/>
      <c r="Q1725" s="53"/>
      <c r="R1725" s="53"/>
      <c r="S1725" s="53"/>
      <c r="T1725" s="53"/>
      <c r="U1725" s="53"/>
      <c r="V1725" s="53"/>
      <c r="W1725" s="53"/>
      <c r="X1725" s="53"/>
      <c r="Y1725" s="53"/>
      <c r="Z1725" s="53"/>
    </row>
    <row r="1726" spans="1:26" ht="15.75" customHeight="1">
      <c r="A1726" s="103"/>
      <c r="B1726" s="103"/>
      <c r="C1726" s="104" t="e">
        <v>#REF!</v>
      </c>
      <c r="D1726" s="103"/>
      <c r="E1726" s="53"/>
      <c r="F1726" s="53"/>
      <c r="G1726" s="53"/>
      <c r="H1726" s="53"/>
      <c r="I1726" s="53"/>
      <c r="J1726" s="53"/>
      <c r="K1726" s="53"/>
      <c r="L1726" s="53"/>
      <c r="M1726" s="53"/>
      <c r="N1726" s="53"/>
      <c r="O1726" s="53"/>
      <c r="P1726" s="53"/>
      <c r="Q1726" s="53"/>
      <c r="R1726" s="53"/>
      <c r="S1726" s="53"/>
      <c r="T1726" s="53"/>
      <c r="U1726" s="53"/>
      <c r="V1726" s="53"/>
      <c r="W1726" s="53"/>
      <c r="X1726" s="53"/>
      <c r="Y1726" s="53"/>
      <c r="Z1726" s="53"/>
    </row>
    <row r="1727" spans="1:26" ht="15.75" customHeight="1">
      <c r="A1727" s="103"/>
      <c r="B1727" s="103"/>
      <c r="C1727" s="104" t="e">
        <v>#REF!</v>
      </c>
      <c r="D1727" s="103"/>
      <c r="E1727" s="53"/>
      <c r="F1727" s="53"/>
      <c r="G1727" s="53"/>
      <c r="H1727" s="53"/>
      <c r="I1727" s="53"/>
      <c r="J1727" s="53"/>
      <c r="K1727" s="53"/>
      <c r="L1727" s="53"/>
      <c r="M1727" s="53"/>
      <c r="N1727" s="53"/>
      <c r="O1727" s="53"/>
      <c r="P1727" s="53"/>
      <c r="Q1727" s="53"/>
      <c r="R1727" s="53"/>
      <c r="S1727" s="53"/>
      <c r="T1727" s="53"/>
      <c r="U1727" s="53"/>
      <c r="V1727" s="53"/>
      <c r="W1727" s="53"/>
      <c r="X1727" s="53"/>
      <c r="Y1727" s="53"/>
      <c r="Z1727" s="53"/>
    </row>
    <row r="1728" spans="1:26" ht="15.75" customHeight="1">
      <c r="A1728" s="103"/>
      <c r="B1728" s="103"/>
      <c r="C1728" s="104" t="e">
        <v>#REF!</v>
      </c>
      <c r="D1728" s="103"/>
      <c r="E1728" s="53"/>
      <c r="F1728" s="53"/>
      <c r="G1728" s="53"/>
      <c r="H1728" s="53"/>
      <c r="I1728" s="53"/>
      <c r="J1728" s="53"/>
      <c r="K1728" s="53"/>
      <c r="L1728" s="53"/>
      <c r="M1728" s="53"/>
      <c r="N1728" s="53"/>
      <c r="O1728" s="53"/>
      <c r="P1728" s="53"/>
      <c r="Q1728" s="53"/>
      <c r="R1728" s="53"/>
      <c r="S1728" s="53"/>
      <c r="T1728" s="53"/>
      <c r="U1728" s="53"/>
      <c r="V1728" s="53"/>
      <c r="W1728" s="53"/>
      <c r="X1728" s="53"/>
      <c r="Y1728" s="53"/>
      <c r="Z1728" s="53"/>
    </row>
    <row r="1729" spans="1:26" ht="15.75" customHeight="1">
      <c r="A1729" s="103"/>
      <c r="B1729" s="103"/>
      <c r="C1729" s="104" t="e">
        <v>#REF!</v>
      </c>
      <c r="D1729" s="103"/>
      <c r="E1729" s="53"/>
      <c r="F1729" s="53"/>
      <c r="G1729" s="53"/>
      <c r="H1729" s="53"/>
      <c r="I1729" s="53"/>
      <c r="J1729" s="53"/>
      <c r="K1729" s="53"/>
      <c r="L1729" s="53"/>
      <c r="M1729" s="53"/>
      <c r="N1729" s="53"/>
      <c r="O1729" s="53"/>
      <c r="P1729" s="53"/>
      <c r="Q1729" s="53"/>
      <c r="R1729" s="53"/>
      <c r="S1729" s="53"/>
      <c r="T1729" s="53"/>
      <c r="U1729" s="53"/>
      <c r="V1729" s="53"/>
      <c r="W1729" s="53"/>
      <c r="X1729" s="53"/>
      <c r="Y1729" s="53"/>
      <c r="Z1729" s="53"/>
    </row>
    <row r="1730" spans="1:26" ht="15.75" customHeight="1">
      <c r="A1730" s="103"/>
      <c r="B1730" s="103"/>
      <c r="C1730" s="104" t="e">
        <v>#REF!</v>
      </c>
      <c r="D1730" s="103"/>
      <c r="E1730" s="53"/>
      <c r="F1730" s="53"/>
      <c r="G1730" s="53"/>
      <c r="H1730" s="53"/>
      <c r="I1730" s="53"/>
      <c r="J1730" s="53"/>
      <c r="K1730" s="53"/>
      <c r="L1730" s="53"/>
      <c r="M1730" s="53"/>
      <c r="N1730" s="53"/>
      <c r="O1730" s="53"/>
      <c r="P1730" s="53"/>
      <c r="Q1730" s="53"/>
      <c r="R1730" s="53"/>
      <c r="S1730" s="53"/>
      <c r="T1730" s="53"/>
      <c r="U1730" s="53"/>
      <c r="V1730" s="53"/>
      <c r="W1730" s="53"/>
      <c r="X1730" s="53"/>
      <c r="Y1730" s="53"/>
      <c r="Z1730" s="53"/>
    </row>
    <row r="1731" spans="1:26" ht="15.75" customHeight="1">
      <c r="A1731" s="103"/>
      <c r="B1731" s="103"/>
      <c r="C1731" s="104" t="e">
        <v>#REF!</v>
      </c>
      <c r="D1731" s="103"/>
      <c r="E1731" s="53"/>
      <c r="F1731" s="53"/>
      <c r="G1731" s="53"/>
      <c r="H1731" s="53"/>
      <c r="I1731" s="53"/>
      <c r="J1731" s="53"/>
      <c r="K1731" s="53"/>
      <c r="L1731" s="53"/>
      <c r="M1731" s="53"/>
      <c r="N1731" s="53"/>
      <c r="O1731" s="53"/>
      <c r="P1731" s="53"/>
      <c r="Q1731" s="53"/>
      <c r="R1731" s="53"/>
      <c r="S1731" s="53"/>
      <c r="T1731" s="53"/>
      <c r="U1731" s="53"/>
      <c r="V1731" s="53"/>
      <c r="W1731" s="53"/>
      <c r="X1731" s="53"/>
      <c r="Y1731" s="53"/>
      <c r="Z1731" s="53"/>
    </row>
    <row r="1732" spans="1:26" ht="15.75" customHeight="1">
      <c r="A1732" s="103"/>
      <c r="B1732" s="103"/>
      <c r="C1732" s="104" t="e">
        <v>#REF!</v>
      </c>
      <c r="D1732" s="103"/>
      <c r="E1732" s="53"/>
      <c r="F1732" s="53"/>
      <c r="G1732" s="53"/>
      <c r="H1732" s="53"/>
      <c r="I1732" s="53"/>
      <c r="J1732" s="53"/>
      <c r="K1732" s="53"/>
      <c r="L1732" s="53"/>
      <c r="M1732" s="53"/>
      <c r="N1732" s="53"/>
      <c r="O1732" s="53"/>
      <c r="P1732" s="53"/>
      <c r="Q1732" s="53"/>
      <c r="R1732" s="53"/>
      <c r="S1732" s="53"/>
      <c r="T1732" s="53"/>
      <c r="U1732" s="53"/>
      <c r="V1732" s="53"/>
      <c r="W1732" s="53"/>
      <c r="X1732" s="53"/>
      <c r="Y1732" s="53"/>
      <c r="Z1732" s="53"/>
    </row>
    <row r="1733" spans="1:26" ht="15.75" customHeight="1">
      <c r="A1733" s="103"/>
      <c r="B1733" s="103"/>
      <c r="C1733" s="104" t="e">
        <v>#REF!</v>
      </c>
      <c r="D1733" s="103"/>
      <c r="E1733" s="53"/>
      <c r="F1733" s="53"/>
      <c r="G1733" s="53"/>
      <c r="H1733" s="53"/>
      <c r="I1733" s="53"/>
      <c r="J1733" s="53"/>
      <c r="K1733" s="53"/>
      <c r="L1733" s="53"/>
      <c r="M1733" s="53"/>
      <c r="N1733" s="53"/>
      <c r="O1733" s="53"/>
      <c r="P1733" s="53"/>
      <c r="Q1733" s="53"/>
      <c r="R1733" s="53"/>
      <c r="S1733" s="53"/>
      <c r="T1733" s="53"/>
      <c r="U1733" s="53"/>
      <c r="V1733" s="53"/>
      <c r="W1733" s="53"/>
      <c r="X1733" s="53"/>
      <c r="Y1733" s="53"/>
      <c r="Z1733" s="53"/>
    </row>
    <row r="1734" spans="1:26" ht="15.75" customHeight="1">
      <c r="A1734" s="103"/>
      <c r="B1734" s="103"/>
      <c r="C1734" s="104" t="e">
        <v>#REF!</v>
      </c>
      <c r="D1734" s="103"/>
      <c r="E1734" s="53"/>
      <c r="F1734" s="53"/>
      <c r="G1734" s="53"/>
      <c r="H1734" s="53"/>
      <c r="I1734" s="53"/>
      <c r="J1734" s="53"/>
      <c r="K1734" s="53"/>
      <c r="L1734" s="53"/>
      <c r="M1734" s="53"/>
      <c r="N1734" s="53"/>
      <c r="O1734" s="53"/>
      <c r="P1734" s="53"/>
      <c r="Q1734" s="53"/>
      <c r="R1734" s="53"/>
      <c r="S1734" s="53"/>
      <c r="T1734" s="53"/>
      <c r="U1734" s="53"/>
      <c r="V1734" s="53"/>
      <c r="W1734" s="53"/>
      <c r="X1734" s="53"/>
      <c r="Y1734" s="53"/>
      <c r="Z1734" s="53"/>
    </row>
    <row r="1735" spans="1:26" ht="15.75" customHeight="1">
      <c r="A1735" s="103"/>
      <c r="B1735" s="103"/>
      <c r="C1735" s="104" t="e">
        <v>#REF!</v>
      </c>
      <c r="D1735" s="103"/>
      <c r="E1735" s="53"/>
      <c r="F1735" s="53"/>
      <c r="G1735" s="53"/>
      <c r="H1735" s="53"/>
      <c r="I1735" s="53"/>
      <c r="J1735" s="53"/>
      <c r="K1735" s="53"/>
      <c r="L1735" s="53"/>
      <c r="M1735" s="53"/>
      <c r="N1735" s="53"/>
      <c r="O1735" s="53"/>
      <c r="P1735" s="53"/>
      <c r="Q1735" s="53"/>
      <c r="R1735" s="53"/>
      <c r="S1735" s="53"/>
      <c r="T1735" s="53"/>
      <c r="U1735" s="53"/>
      <c r="V1735" s="53"/>
      <c r="W1735" s="53"/>
      <c r="X1735" s="53"/>
      <c r="Y1735" s="53"/>
      <c r="Z1735" s="53"/>
    </row>
    <row r="1736" spans="1:26" ht="15.75" customHeight="1">
      <c r="A1736" s="103"/>
      <c r="B1736" s="103"/>
      <c r="C1736" s="104" t="e">
        <v>#REF!</v>
      </c>
      <c r="D1736" s="103"/>
      <c r="E1736" s="53"/>
      <c r="F1736" s="53"/>
      <c r="G1736" s="53"/>
      <c r="H1736" s="53"/>
      <c r="I1736" s="53"/>
      <c r="J1736" s="53"/>
      <c r="K1736" s="53"/>
      <c r="L1736" s="53"/>
      <c r="M1736" s="53"/>
      <c r="N1736" s="53"/>
      <c r="O1736" s="53"/>
      <c r="P1736" s="53"/>
      <c r="Q1736" s="53"/>
      <c r="R1736" s="53"/>
      <c r="S1736" s="53"/>
      <c r="T1736" s="53"/>
      <c r="U1736" s="53"/>
      <c r="V1736" s="53"/>
      <c r="W1736" s="53"/>
      <c r="X1736" s="53"/>
      <c r="Y1736" s="53"/>
      <c r="Z1736" s="53"/>
    </row>
    <row r="1737" spans="1:26" ht="15.75" customHeight="1">
      <c r="A1737" s="103"/>
      <c r="B1737" s="103"/>
      <c r="C1737" s="104" t="e">
        <v>#REF!</v>
      </c>
      <c r="D1737" s="103"/>
      <c r="E1737" s="53"/>
      <c r="F1737" s="53"/>
      <c r="G1737" s="53"/>
      <c r="H1737" s="53"/>
      <c r="I1737" s="53"/>
      <c r="J1737" s="53"/>
      <c r="K1737" s="53"/>
      <c r="L1737" s="53"/>
      <c r="M1737" s="53"/>
      <c r="N1737" s="53"/>
      <c r="O1737" s="53"/>
      <c r="P1737" s="53"/>
      <c r="Q1737" s="53"/>
      <c r="R1737" s="53"/>
      <c r="S1737" s="53"/>
      <c r="T1737" s="53"/>
      <c r="U1737" s="53"/>
      <c r="V1737" s="53"/>
      <c r="W1737" s="53"/>
      <c r="X1737" s="53"/>
      <c r="Y1737" s="53"/>
      <c r="Z1737" s="53"/>
    </row>
    <row r="1738" spans="1:26" ht="15.75" customHeight="1">
      <c r="A1738" s="103"/>
      <c r="B1738" s="103"/>
      <c r="C1738" s="104" t="e">
        <v>#REF!</v>
      </c>
      <c r="D1738" s="103"/>
      <c r="E1738" s="53"/>
      <c r="F1738" s="53"/>
      <c r="G1738" s="53"/>
      <c r="H1738" s="53"/>
      <c r="I1738" s="53"/>
      <c r="J1738" s="53"/>
      <c r="K1738" s="53"/>
      <c r="L1738" s="53"/>
      <c r="M1738" s="53"/>
      <c r="N1738" s="53"/>
      <c r="O1738" s="53"/>
      <c r="P1738" s="53"/>
      <c r="Q1738" s="53"/>
      <c r="R1738" s="53"/>
      <c r="S1738" s="53"/>
      <c r="T1738" s="53"/>
      <c r="U1738" s="53"/>
      <c r="V1738" s="53"/>
      <c r="W1738" s="53"/>
      <c r="X1738" s="53"/>
      <c r="Y1738" s="53"/>
      <c r="Z1738" s="53"/>
    </row>
    <row r="1739" spans="1:26" ht="15.75" customHeight="1">
      <c r="A1739" s="103"/>
      <c r="B1739" s="103"/>
      <c r="C1739" s="104" t="e">
        <v>#REF!</v>
      </c>
      <c r="D1739" s="103"/>
      <c r="E1739" s="53"/>
      <c r="F1739" s="53"/>
      <c r="G1739" s="53"/>
      <c r="H1739" s="53"/>
      <c r="I1739" s="53"/>
      <c r="J1739" s="53"/>
      <c r="K1739" s="53"/>
      <c r="L1739" s="53"/>
      <c r="M1739" s="53"/>
      <c r="N1739" s="53"/>
      <c r="O1739" s="53"/>
      <c r="P1739" s="53"/>
      <c r="Q1739" s="53"/>
      <c r="R1739" s="53"/>
      <c r="S1739" s="53"/>
      <c r="T1739" s="53"/>
      <c r="U1739" s="53"/>
      <c r="V1739" s="53"/>
      <c r="W1739" s="53"/>
      <c r="X1739" s="53"/>
      <c r="Y1739" s="53"/>
      <c r="Z1739" s="53"/>
    </row>
    <row r="1740" spans="1:26" ht="15.75" customHeight="1">
      <c r="A1740" s="103"/>
      <c r="B1740" s="103"/>
      <c r="C1740" s="104" t="e">
        <v>#REF!</v>
      </c>
      <c r="D1740" s="103"/>
      <c r="E1740" s="53"/>
      <c r="F1740" s="53"/>
      <c r="G1740" s="53"/>
      <c r="H1740" s="53"/>
      <c r="I1740" s="53"/>
      <c r="J1740" s="53"/>
      <c r="K1740" s="53"/>
      <c r="L1740" s="53"/>
      <c r="M1740" s="53"/>
      <c r="N1740" s="53"/>
      <c r="O1740" s="53"/>
      <c r="P1740" s="53"/>
      <c r="Q1740" s="53"/>
      <c r="R1740" s="53"/>
      <c r="S1740" s="53"/>
      <c r="T1740" s="53"/>
      <c r="U1740" s="53"/>
      <c r="V1740" s="53"/>
      <c r="W1740" s="53"/>
      <c r="X1740" s="53"/>
      <c r="Y1740" s="53"/>
      <c r="Z1740" s="53"/>
    </row>
    <row r="1741" spans="1:26" ht="15.75" customHeight="1">
      <c r="A1741" s="103"/>
      <c r="B1741" s="103"/>
      <c r="C1741" s="104" t="e">
        <v>#REF!</v>
      </c>
      <c r="D1741" s="103"/>
      <c r="E1741" s="53"/>
      <c r="F1741" s="53"/>
      <c r="G1741" s="53"/>
      <c r="H1741" s="53"/>
      <c r="I1741" s="53"/>
      <c r="J1741" s="53"/>
      <c r="K1741" s="53"/>
      <c r="L1741" s="53"/>
      <c r="M1741" s="53"/>
      <c r="N1741" s="53"/>
      <c r="O1741" s="53"/>
      <c r="P1741" s="53"/>
      <c r="Q1741" s="53"/>
      <c r="R1741" s="53"/>
      <c r="S1741" s="53"/>
      <c r="T1741" s="53"/>
      <c r="U1741" s="53"/>
      <c r="V1741" s="53"/>
      <c r="W1741" s="53"/>
      <c r="X1741" s="53"/>
      <c r="Y1741" s="53"/>
      <c r="Z1741" s="53"/>
    </row>
    <row r="1742" spans="1:26" ht="15.75" customHeight="1">
      <c r="A1742" s="103"/>
      <c r="B1742" s="103"/>
      <c r="C1742" s="104" t="e">
        <v>#REF!</v>
      </c>
      <c r="D1742" s="103"/>
      <c r="E1742" s="53"/>
      <c r="F1742" s="53"/>
      <c r="G1742" s="53"/>
      <c r="H1742" s="53"/>
      <c r="I1742" s="53"/>
      <c r="J1742" s="53"/>
      <c r="K1742" s="53"/>
      <c r="L1742" s="53"/>
      <c r="M1742" s="53"/>
      <c r="N1742" s="53"/>
      <c r="O1742" s="53"/>
      <c r="P1742" s="53"/>
      <c r="Q1742" s="53"/>
      <c r="R1742" s="53"/>
      <c r="S1742" s="53"/>
      <c r="T1742" s="53"/>
      <c r="U1742" s="53"/>
      <c r="V1742" s="53"/>
      <c r="W1742" s="53"/>
      <c r="X1742" s="53"/>
      <c r="Y1742" s="53"/>
      <c r="Z1742" s="53"/>
    </row>
    <row r="1743" spans="1:26" ht="15.75" customHeight="1">
      <c r="A1743" s="103"/>
      <c r="B1743" s="103"/>
      <c r="C1743" s="104" t="e">
        <v>#REF!</v>
      </c>
      <c r="D1743" s="103"/>
      <c r="E1743" s="53"/>
      <c r="F1743" s="53"/>
      <c r="G1743" s="53"/>
      <c r="H1743" s="53"/>
      <c r="I1743" s="53"/>
      <c r="J1743" s="53"/>
      <c r="K1743" s="53"/>
      <c r="L1743" s="53"/>
      <c r="M1743" s="53"/>
      <c r="N1743" s="53"/>
      <c r="O1743" s="53"/>
      <c r="P1743" s="53"/>
      <c r="Q1743" s="53"/>
      <c r="R1743" s="53"/>
      <c r="S1743" s="53"/>
      <c r="T1743" s="53"/>
      <c r="U1743" s="53"/>
      <c r="V1743" s="53"/>
      <c r="W1743" s="53"/>
      <c r="X1743" s="53"/>
      <c r="Y1743" s="53"/>
      <c r="Z1743" s="53"/>
    </row>
    <row r="1744" spans="1:26" ht="15.75" customHeight="1">
      <c r="A1744" s="103"/>
      <c r="B1744" s="103"/>
      <c r="C1744" s="104" t="e">
        <v>#REF!</v>
      </c>
      <c r="D1744" s="103"/>
      <c r="E1744" s="53"/>
      <c r="F1744" s="53"/>
      <c r="G1744" s="53"/>
      <c r="H1744" s="53"/>
      <c r="I1744" s="53"/>
      <c r="J1744" s="53"/>
      <c r="K1744" s="53"/>
      <c r="L1744" s="53"/>
      <c r="M1744" s="53"/>
      <c r="N1744" s="53"/>
      <c r="O1744" s="53"/>
      <c r="P1744" s="53"/>
      <c r="Q1744" s="53"/>
      <c r="R1744" s="53"/>
      <c r="S1744" s="53"/>
      <c r="T1744" s="53"/>
      <c r="U1744" s="53"/>
      <c r="V1744" s="53"/>
      <c r="W1744" s="53"/>
      <c r="X1744" s="53"/>
      <c r="Y1744" s="53"/>
      <c r="Z1744" s="53"/>
    </row>
    <row r="1745" spans="1:26" ht="15.75" customHeight="1">
      <c r="A1745" s="103"/>
      <c r="B1745" s="103"/>
      <c r="C1745" s="104" t="e">
        <v>#REF!</v>
      </c>
      <c r="D1745" s="103"/>
      <c r="E1745" s="53"/>
      <c r="F1745" s="53"/>
      <c r="G1745" s="53"/>
      <c r="H1745" s="53"/>
      <c r="I1745" s="53"/>
      <c r="J1745" s="53"/>
      <c r="K1745" s="53"/>
      <c r="L1745" s="53"/>
      <c r="M1745" s="53"/>
      <c r="N1745" s="53"/>
      <c r="O1745" s="53"/>
      <c r="P1745" s="53"/>
      <c r="Q1745" s="53"/>
      <c r="R1745" s="53"/>
      <c r="S1745" s="53"/>
      <c r="T1745" s="53"/>
      <c r="U1745" s="53"/>
      <c r="V1745" s="53"/>
      <c r="W1745" s="53"/>
      <c r="X1745" s="53"/>
      <c r="Y1745" s="53"/>
      <c r="Z1745" s="53"/>
    </row>
    <row r="1746" spans="1:26" ht="15.75" customHeight="1">
      <c r="A1746" s="103"/>
      <c r="B1746" s="103"/>
      <c r="C1746" s="104" t="e">
        <v>#REF!</v>
      </c>
      <c r="D1746" s="103"/>
      <c r="E1746" s="53"/>
      <c r="F1746" s="53"/>
      <c r="G1746" s="53"/>
      <c r="H1746" s="53"/>
      <c r="I1746" s="53"/>
      <c r="J1746" s="53"/>
      <c r="K1746" s="53"/>
      <c r="L1746" s="53"/>
      <c r="M1746" s="53"/>
      <c r="N1746" s="53"/>
      <c r="O1746" s="53"/>
      <c r="P1746" s="53"/>
      <c r="Q1746" s="53"/>
      <c r="R1746" s="53"/>
      <c r="S1746" s="53"/>
      <c r="T1746" s="53"/>
      <c r="U1746" s="53"/>
      <c r="V1746" s="53"/>
      <c r="W1746" s="53"/>
      <c r="X1746" s="53"/>
      <c r="Y1746" s="53"/>
      <c r="Z1746" s="53"/>
    </row>
    <row r="1747" spans="1:26" ht="15.75" customHeight="1">
      <c r="A1747" s="103"/>
      <c r="B1747" s="103"/>
      <c r="C1747" s="104" t="e">
        <v>#REF!</v>
      </c>
      <c r="D1747" s="103"/>
      <c r="E1747" s="53"/>
      <c r="F1747" s="53"/>
      <c r="G1747" s="53"/>
      <c r="H1747" s="53"/>
      <c r="I1747" s="53"/>
      <c r="J1747" s="53"/>
      <c r="K1747" s="53"/>
      <c r="L1747" s="53"/>
      <c r="M1747" s="53"/>
      <c r="N1747" s="53"/>
      <c r="O1747" s="53"/>
      <c r="P1747" s="53"/>
      <c r="Q1747" s="53"/>
      <c r="R1747" s="53"/>
      <c r="S1747" s="53"/>
      <c r="T1747" s="53"/>
      <c r="U1747" s="53"/>
      <c r="V1747" s="53"/>
      <c r="W1747" s="53"/>
      <c r="X1747" s="53"/>
      <c r="Y1747" s="53"/>
      <c r="Z1747" s="53"/>
    </row>
    <row r="1748" spans="1:26" ht="15.75" customHeight="1">
      <c r="A1748" s="103"/>
      <c r="B1748" s="103"/>
      <c r="C1748" s="104" t="e">
        <v>#REF!</v>
      </c>
      <c r="D1748" s="103"/>
      <c r="E1748" s="53"/>
      <c r="F1748" s="53"/>
      <c r="G1748" s="53"/>
      <c r="H1748" s="53"/>
      <c r="I1748" s="53"/>
      <c r="J1748" s="53"/>
      <c r="K1748" s="53"/>
      <c r="L1748" s="53"/>
      <c r="M1748" s="53"/>
      <c r="N1748" s="53"/>
      <c r="O1748" s="53"/>
      <c r="P1748" s="53"/>
      <c r="Q1748" s="53"/>
      <c r="R1748" s="53"/>
      <c r="S1748" s="53"/>
      <c r="T1748" s="53"/>
      <c r="U1748" s="53"/>
      <c r="V1748" s="53"/>
      <c r="W1748" s="53"/>
      <c r="X1748" s="53"/>
      <c r="Y1748" s="53"/>
      <c r="Z1748" s="53"/>
    </row>
    <row r="1749" spans="1:26" ht="15.75" customHeight="1">
      <c r="A1749" s="103"/>
      <c r="B1749" s="103"/>
      <c r="C1749" s="104" t="e">
        <v>#REF!</v>
      </c>
      <c r="D1749" s="103"/>
      <c r="E1749" s="53"/>
      <c r="F1749" s="53"/>
      <c r="G1749" s="53"/>
      <c r="H1749" s="53"/>
      <c r="I1749" s="53"/>
      <c r="J1749" s="53"/>
      <c r="K1749" s="53"/>
      <c r="L1749" s="53"/>
      <c r="M1749" s="53"/>
      <c r="N1749" s="53"/>
      <c r="O1749" s="53"/>
      <c r="P1749" s="53"/>
      <c r="Q1749" s="53"/>
      <c r="R1749" s="53"/>
      <c r="S1749" s="53"/>
      <c r="T1749" s="53"/>
      <c r="U1749" s="53"/>
      <c r="V1749" s="53"/>
      <c r="W1749" s="53"/>
      <c r="X1749" s="53"/>
      <c r="Y1749" s="53"/>
      <c r="Z1749" s="53"/>
    </row>
    <row r="1750" spans="1:26" ht="15.75" customHeight="1">
      <c r="A1750" s="103"/>
      <c r="B1750" s="103"/>
      <c r="C1750" s="104" t="e">
        <v>#REF!</v>
      </c>
      <c r="D1750" s="103"/>
      <c r="E1750" s="53"/>
      <c r="F1750" s="53"/>
      <c r="G1750" s="53"/>
      <c r="H1750" s="53"/>
      <c r="I1750" s="53"/>
      <c r="J1750" s="53"/>
      <c r="K1750" s="53"/>
      <c r="L1750" s="53"/>
      <c r="M1750" s="53"/>
      <c r="N1750" s="53"/>
      <c r="O1750" s="53"/>
      <c r="P1750" s="53"/>
      <c r="Q1750" s="53"/>
      <c r="R1750" s="53"/>
      <c r="S1750" s="53"/>
      <c r="T1750" s="53"/>
      <c r="U1750" s="53"/>
      <c r="V1750" s="53"/>
      <c r="W1750" s="53"/>
      <c r="X1750" s="53"/>
      <c r="Y1750" s="53"/>
      <c r="Z1750" s="53"/>
    </row>
    <row r="1751" spans="1:26" ht="15.75" customHeight="1">
      <c r="A1751" s="103"/>
      <c r="B1751" s="103"/>
      <c r="C1751" s="104" t="e">
        <v>#REF!</v>
      </c>
      <c r="D1751" s="103"/>
      <c r="E1751" s="53"/>
      <c r="F1751" s="53"/>
      <c r="G1751" s="53"/>
      <c r="H1751" s="53"/>
      <c r="I1751" s="53"/>
      <c r="J1751" s="53"/>
      <c r="K1751" s="53"/>
      <c r="L1751" s="53"/>
      <c r="M1751" s="53"/>
      <c r="N1751" s="53"/>
      <c r="O1751" s="53"/>
      <c r="P1751" s="53"/>
      <c r="Q1751" s="53"/>
      <c r="R1751" s="53"/>
      <c r="S1751" s="53"/>
      <c r="T1751" s="53"/>
      <c r="U1751" s="53"/>
      <c r="V1751" s="53"/>
      <c r="W1751" s="53"/>
      <c r="X1751" s="53"/>
      <c r="Y1751" s="53"/>
      <c r="Z1751" s="53"/>
    </row>
    <row r="1752" spans="1:26" ht="15.75" customHeight="1">
      <c r="A1752" s="103"/>
      <c r="B1752" s="103"/>
      <c r="C1752" s="104" t="e">
        <v>#REF!</v>
      </c>
      <c r="D1752" s="103"/>
      <c r="E1752" s="53"/>
      <c r="F1752" s="53"/>
      <c r="G1752" s="53"/>
      <c r="H1752" s="53"/>
      <c r="I1752" s="53"/>
      <c r="J1752" s="53"/>
      <c r="K1752" s="53"/>
      <c r="L1752" s="53"/>
      <c r="M1752" s="53"/>
      <c r="N1752" s="53"/>
      <c r="O1752" s="53"/>
      <c r="P1752" s="53"/>
      <c r="Q1752" s="53"/>
      <c r="R1752" s="53"/>
      <c r="S1752" s="53"/>
      <c r="T1752" s="53"/>
      <c r="U1752" s="53"/>
      <c r="V1752" s="53"/>
      <c r="W1752" s="53"/>
      <c r="X1752" s="53"/>
      <c r="Y1752" s="53"/>
      <c r="Z1752" s="53"/>
    </row>
    <row r="1753" spans="1:26" ht="15.75" customHeight="1">
      <c r="A1753" s="103"/>
      <c r="B1753" s="103"/>
      <c r="C1753" s="104" t="e">
        <v>#REF!</v>
      </c>
      <c r="D1753" s="103"/>
      <c r="E1753" s="53"/>
      <c r="F1753" s="53"/>
      <c r="G1753" s="53"/>
      <c r="H1753" s="53"/>
      <c r="I1753" s="53"/>
      <c r="J1753" s="53"/>
      <c r="K1753" s="53"/>
      <c r="L1753" s="53"/>
      <c r="M1753" s="53"/>
      <c r="N1753" s="53"/>
      <c r="O1753" s="53"/>
      <c r="P1753" s="53"/>
      <c r="Q1753" s="53"/>
      <c r="R1753" s="53"/>
      <c r="S1753" s="53"/>
      <c r="T1753" s="53"/>
      <c r="U1753" s="53"/>
      <c r="V1753" s="53"/>
      <c r="W1753" s="53"/>
      <c r="X1753" s="53"/>
      <c r="Y1753" s="53"/>
      <c r="Z1753" s="53"/>
    </row>
    <row r="1754" spans="1:26" ht="15.75" customHeight="1">
      <c r="A1754" s="103"/>
      <c r="B1754" s="103"/>
      <c r="C1754" s="104" t="e">
        <v>#REF!</v>
      </c>
      <c r="D1754" s="103"/>
      <c r="E1754" s="53"/>
      <c r="F1754" s="53"/>
      <c r="G1754" s="53"/>
      <c r="H1754" s="53"/>
      <c r="I1754" s="53"/>
      <c r="J1754" s="53"/>
      <c r="K1754" s="53"/>
      <c r="L1754" s="53"/>
      <c r="M1754" s="53"/>
      <c r="N1754" s="53"/>
      <c r="O1754" s="53"/>
      <c r="P1754" s="53"/>
      <c r="Q1754" s="53"/>
      <c r="R1754" s="53"/>
      <c r="S1754" s="53"/>
      <c r="T1754" s="53"/>
      <c r="U1754" s="53"/>
      <c r="V1754" s="53"/>
      <c r="W1754" s="53"/>
      <c r="X1754" s="53"/>
      <c r="Y1754" s="53"/>
      <c r="Z1754" s="53"/>
    </row>
    <row r="1755" spans="1:26" ht="15.75" customHeight="1">
      <c r="A1755" s="103"/>
      <c r="B1755" s="103"/>
      <c r="C1755" s="104" t="e">
        <v>#REF!</v>
      </c>
      <c r="D1755" s="103"/>
      <c r="E1755" s="53"/>
      <c r="F1755" s="53"/>
      <c r="G1755" s="53"/>
      <c r="H1755" s="53"/>
      <c r="I1755" s="53"/>
      <c r="J1755" s="53"/>
      <c r="K1755" s="53"/>
      <c r="L1755" s="53"/>
      <c r="M1755" s="53"/>
      <c r="N1755" s="53"/>
      <c r="O1755" s="53"/>
      <c r="P1755" s="53"/>
      <c r="Q1755" s="53"/>
      <c r="R1755" s="53"/>
      <c r="S1755" s="53"/>
      <c r="T1755" s="53"/>
      <c r="U1755" s="53"/>
      <c r="V1755" s="53"/>
      <c r="W1755" s="53"/>
      <c r="X1755" s="53"/>
      <c r="Y1755" s="53"/>
      <c r="Z1755" s="53"/>
    </row>
    <row r="1756" spans="1:26" ht="15.75" customHeight="1">
      <c r="A1756" s="103"/>
      <c r="B1756" s="103"/>
      <c r="C1756" s="104" t="e">
        <v>#REF!</v>
      </c>
      <c r="D1756" s="103"/>
      <c r="E1756" s="53"/>
      <c r="F1756" s="53"/>
      <c r="G1756" s="53"/>
      <c r="H1756" s="53"/>
      <c r="I1756" s="53"/>
      <c r="J1756" s="53"/>
      <c r="K1756" s="53"/>
      <c r="L1756" s="53"/>
      <c r="M1756" s="53"/>
      <c r="N1756" s="53"/>
      <c r="O1756" s="53"/>
      <c r="P1756" s="53"/>
      <c r="Q1756" s="53"/>
      <c r="R1756" s="53"/>
      <c r="S1756" s="53"/>
      <c r="T1756" s="53"/>
      <c r="U1756" s="53"/>
      <c r="V1756" s="53"/>
      <c r="W1756" s="53"/>
      <c r="X1756" s="53"/>
      <c r="Y1756" s="53"/>
      <c r="Z1756" s="53"/>
    </row>
    <row r="1757" spans="1:26" ht="15.75" customHeight="1">
      <c r="A1757" s="103"/>
      <c r="B1757" s="103"/>
      <c r="C1757" s="104" t="e">
        <v>#REF!</v>
      </c>
      <c r="D1757" s="103"/>
      <c r="E1757" s="53"/>
      <c r="F1757" s="53"/>
      <c r="G1757" s="53"/>
      <c r="H1757" s="53"/>
      <c r="I1757" s="53"/>
      <c r="J1757" s="53"/>
      <c r="K1757" s="53"/>
      <c r="L1757" s="53"/>
      <c r="M1757" s="53"/>
      <c r="N1757" s="53"/>
      <c r="O1757" s="53"/>
      <c r="P1757" s="53"/>
      <c r="Q1757" s="53"/>
      <c r="R1757" s="53"/>
      <c r="S1757" s="53"/>
      <c r="T1757" s="53"/>
      <c r="U1757" s="53"/>
      <c r="V1757" s="53"/>
      <c r="W1757" s="53"/>
      <c r="X1757" s="53"/>
      <c r="Y1757" s="53"/>
      <c r="Z1757" s="53"/>
    </row>
    <row r="1758" spans="1:26" ht="15.75" customHeight="1">
      <c r="A1758" s="103"/>
      <c r="B1758" s="103"/>
      <c r="C1758" s="104" t="e">
        <v>#REF!</v>
      </c>
      <c r="D1758" s="103"/>
      <c r="E1758" s="53"/>
      <c r="F1758" s="53"/>
      <c r="G1758" s="53"/>
      <c r="H1758" s="53"/>
      <c r="I1758" s="53"/>
      <c r="J1758" s="53"/>
      <c r="K1758" s="53"/>
      <c r="L1758" s="53"/>
      <c r="M1758" s="53"/>
      <c r="N1758" s="53"/>
      <c r="O1758" s="53"/>
      <c r="P1758" s="53"/>
      <c r="Q1758" s="53"/>
      <c r="R1758" s="53"/>
      <c r="S1758" s="53"/>
      <c r="T1758" s="53"/>
      <c r="U1758" s="53"/>
      <c r="V1758" s="53"/>
      <c r="W1758" s="53"/>
      <c r="X1758" s="53"/>
      <c r="Y1758" s="53"/>
      <c r="Z1758" s="53"/>
    </row>
    <row r="1759" spans="1:26" ht="15.75" customHeight="1">
      <c r="A1759" s="103"/>
      <c r="B1759" s="103"/>
      <c r="C1759" s="104" t="e">
        <v>#REF!</v>
      </c>
      <c r="D1759" s="103"/>
      <c r="E1759" s="53"/>
      <c r="F1759" s="53"/>
      <c r="G1759" s="53"/>
      <c r="H1759" s="53"/>
      <c r="I1759" s="53"/>
      <c r="J1759" s="53"/>
      <c r="K1759" s="53"/>
      <c r="L1759" s="53"/>
      <c r="M1759" s="53"/>
      <c r="N1759" s="53"/>
      <c r="O1759" s="53"/>
      <c r="P1759" s="53"/>
      <c r="Q1759" s="53"/>
      <c r="R1759" s="53"/>
      <c r="S1759" s="53"/>
      <c r="T1759" s="53"/>
      <c r="U1759" s="53"/>
      <c r="V1759" s="53"/>
      <c r="W1759" s="53"/>
      <c r="X1759" s="53"/>
      <c r="Y1759" s="53"/>
      <c r="Z1759" s="53"/>
    </row>
    <row r="1760" spans="1:26" ht="15.75" customHeight="1">
      <c r="A1760" s="103"/>
      <c r="B1760" s="103"/>
      <c r="C1760" s="104" t="e">
        <v>#REF!</v>
      </c>
      <c r="D1760" s="103"/>
      <c r="E1760" s="53"/>
      <c r="F1760" s="53"/>
      <c r="G1760" s="53"/>
      <c r="H1760" s="53"/>
      <c r="I1760" s="53"/>
      <c r="J1760" s="53"/>
      <c r="K1760" s="53"/>
      <c r="L1760" s="53"/>
      <c r="M1760" s="53"/>
      <c r="N1760" s="53"/>
      <c r="O1760" s="53"/>
      <c r="P1760" s="53"/>
      <c r="Q1760" s="53"/>
      <c r="R1760" s="53"/>
      <c r="S1760" s="53"/>
      <c r="T1760" s="53"/>
      <c r="U1760" s="53"/>
      <c r="V1760" s="53"/>
      <c r="W1760" s="53"/>
      <c r="X1760" s="53"/>
      <c r="Y1760" s="53"/>
      <c r="Z1760" s="53"/>
    </row>
    <row r="1761" spans="1:26" ht="15.75" customHeight="1">
      <c r="A1761" s="103"/>
      <c r="B1761" s="103"/>
      <c r="C1761" s="104" t="e">
        <v>#REF!</v>
      </c>
      <c r="D1761" s="103"/>
      <c r="E1761" s="53"/>
      <c r="F1761" s="53"/>
      <c r="G1761" s="53"/>
      <c r="H1761" s="53"/>
      <c r="I1761" s="53"/>
      <c r="J1761" s="53"/>
      <c r="K1761" s="53"/>
      <c r="L1761" s="53"/>
      <c r="M1761" s="53"/>
      <c r="N1761" s="53"/>
      <c r="O1761" s="53"/>
      <c r="P1761" s="53"/>
      <c r="Q1761" s="53"/>
      <c r="R1761" s="53"/>
      <c r="S1761" s="53"/>
      <c r="T1761" s="53"/>
      <c r="U1761" s="53"/>
      <c r="V1761" s="53"/>
      <c r="W1761" s="53"/>
      <c r="X1761" s="53"/>
      <c r="Y1761" s="53"/>
      <c r="Z1761" s="53"/>
    </row>
    <row r="1762" spans="1:26" ht="15.75" customHeight="1">
      <c r="A1762" s="103"/>
      <c r="B1762" s="103"/>
      <c r="C1762" s="104" t="e">
        <v>#REF!</v>
      </c>
      <c r="D1762" s="103"/>
      <c r="E1762" s="53"/>
      <c r="F1762" s="53"/>
      <c r="G1762" s="53"/>
      <c r="H1762" s="53"/>
      <c r="I1762" s="53"/>
      <c r="J1762" s="53"/>
      <c r="K1762" s="53"/>
      <c r="L1762" s="53"/>
      <c r="M1762" s="53"/>
      <c r="N1762" s="53"/>
      <c r="O1762" s="53"/>
      <c r="P1762" s="53"/>
      <c r="Q1762" s="53"/>
      <c r="R1762" s="53"/>
      <c r="S1762" s="53"/>
      <c r="T1762" s="53"/>
      <c r="U1762" s="53"/>
      <c r="V1762" s="53"/>
      <c r="W1762" s="53"/>
      <c r="X1762" s="53"/>
      <c r="Y1762" s="53"/>
      <c r="Z1762" s="53"/>
    </row>
    <row r="1763" spans="1:26" ht="15.75" customHeight="1">
      <c r="A1763" s="103"/>
      <c r="B1763" s="103"/>
      <c r="C1763" s="104" t="e">
        <v>#REF!</v>
      </c>
      <c r="D1763" s="103"/>
      <c r="E1763" s="53"/>
      <c r="F1763" s="53"/>
      <c r="G1763" s="53"/>
      <c r="H1763" s="53"/>
      <c r="I1763" s="53"/>
      <c r="J1763" s="53"/>
      <c r="K1763" s="53"/>
      <c r="L1763" s="53"/>
      <c r="M1763" s="53"/>
      <c r="N1763" s="53"/>
      <c r="O1763" s="53"/>
      <c r="P1763" s="53"/>
      <c r="Q1763" s="53"/>
      <c r="R1763" s="53"/>
      <c r="S1763" s="53"/>
      <c r="T1763" s="53"/>
      <c r="U1763" s="53"/>
      <c r="V1763" s="53"/>
      <c r="W1763" s="53"/>
      <c r="X1763" s="53"/>
      <c r="Y1763" s="53"/>
      <c r="Z1763" s="53"/>
    </row>
    <row r="1764" spans="1:26" ht="15.75" customHeight="1">
      <c r="A1764" s="103"/>
      <c r="B1764" s="103"/>
      <c r="C1764" s="104" t="e">
        <v>#REF!</v>
      </c>
      <c r="D1764" s="103"/>
      <c r="E1764" s="53"/>
      <c r="F1764" s="53"/>
      <c r="G1764" s="53"/>
      <c r="H1764" s="53"/>
      <c r="I1764" s="53"/>
      <c r="J1764" s="53"/>
      <c r="K1764" s="53"/>
      <c r="L1764" s="53"/>
      <c r="M1764" s="53"/>
      <c r="N1764" s="53"/>
      <c r="O1764" s="53"/>
      <c r="P1764" s="53"/>
      <c r="Q1764" s="53"/>
      <c r="R1764" s="53"/>
      <c r="S1764" s="53"/>
      <c r="T1764" s="53"/>
      <c r="U1764" s="53"/>
      <c r="V1764" s="53"/>
      <c r="W1764" s="53"/>
      <c r="X1764" s="53"/>
      <c r="Y1764" s="53"/>
      <c r="Z1764" s="53"/>
    </row>
    <row r="1765" spans="1:26" ht="15.75" customHeight="1">
      <c r="A1765" s="103"/>
      <c r="B1765" s="103"/>
      <c r="C1765" s="104" t="e">
        <v>#REF!</v>
      </c>
      <c r="D1765" s="103"/>
      <c r="E1765" s="53"/>
      <c r="F1765" s="53"/>
      <c r="G1765" s="53"/>
      <c r="H1765" s="53"/>
      <c r="I1765" s="53"/>
      <c r="J1765" s="53"/>
      <c r="K1765" s="53"/>
      <c r="L1765" s="53"/>
      <c r="M1765" s="53"/>
      <c r="N1765" s="53"/>
      <c r="O1765" s="53"/>
      <c r="P1765" s="53"/>
      <c r="Q1765" s="53"/>
      <c r="R1765" s="53"/>
      <c r="S1765" s="53"/>
      <c r="T1765" s="53"/>
      <c r="U1765" s="53"/>
      <c r="V1765" s="53"/>
      <c r="W1765" s="53"/>
      <c r="X1765" s="53"/>
      <c r="Y1765" s="53"/>
      <c r="Z1765" s="53"/>
    </row>
    <row r="1766" spans="1:26" ht="15.75" customHeight="1">
      <c r="A1766" s="103"/>
      <c r="B1766" s="103"/>
      <c r="C1766" s="104" t="e">
        <v>#REF!</v>
      </c>
      <c r="D1766" s="103"/>
      <c r="E1766" s="53"/>
      <c r="F1766" s="53"/>
      <c r="G1766" s="53"/>
      <c r="H1766" s="53"/>
      <c r="I1766" s="53"/>
      <c r="J1766" s="53"/>
      <c r="K1766" s="53"/>
      <c r="L1766" s="53"/>
      <c r="M1766" s="53"/>
      <c r="N1766" s="53"/>
      <c r="O1766" s="53"/>
      <c r="P1766" s="53"/>
      <c r="Q1766" s="53"/>
      <c r="R1766" s="53"/>
      <c r="S1766" s="53"/>
      <c r="T1766" s="53"/>
      <c r="U1766" s="53"/>
      <c r="V1766" s="53"/>
      <c r="W1766" s="53"/>
      <c r="X1766" s="53"/>
      <c r="Y1766" s="53"/>
      <c r="Z1766" s="53"/>
    </row>
    <row r="1767" spans="1:26" ht="15.75" customHeight="1">
      <c r="A1767" s="103"/>
      <c r="B1767" s="103"/>
      <c r="C1767" s="104" t="e">
        <v>#REF!</v>
      </c>
      <c r="D1767" s="103"/>
      <c r="E1767" s="53"/>
      <c r="F1767" s="53"/>
      <c r="G1767" s="53"/>
      <c r="H1767" s="53"/>
      <c r="I1767" s="53"/>
      <c r="J1767" s="53"/>
      <c r="K1767" s="53"/>
      <c r="L1767" s="53"/>
      <c r="M1767" s="53"/>
      <c r="N1767" s="53"/>
      <c r="O1767" s="53"/>
      <c r="P1767" s="53"/>
      <c r="Q1767" s="53"/>
      <c r="R1767" s="53"/>
      <c r="S1767" s="53"/>
      <c r="T1767" s="53"/>
      <c r="U1767" s="53"/>
      <c r="V1767" s="53"/>
      <c r="W1767" s="53"/>
      <c r="X1767" s="53"/>
      <c r="Y1767" s="53"/>
      <c r="Z1767" s="53"/>
    </row>
    <row r="1768" spans="1:26" ht="15.75" customHeight="1">
      <c r="A1768" s="103"/>
      <c r="B1768" s="103"/>
      <c r="C1768" s="104" t="e">
        <v>#REF!</v>
      </c>
      <c r="D1768" s="103"/>
      <c r="E1768" s="53"/>
      <c r="F1768" s="53"/>
      <c r="G1768" s="53"/>
      <c r="H1768" s="53"/>
      <c r="I1768" s="53"/>
      <c r="J1768" s="53"/>
      <c r="K1768" s="53"/>
      <c r="L1768" s="53"/>
      <c r="M1768" s="53"/>
      <c r="N1768" s="53"/>
      <c r="O1768" s="53"/>
      <c r="P1768" s="53"/>
      <c r="Q1768" s="53"/>
      <c r="R1768" s="53"/>
      <c r="S1768" s="53"/>
      <c r="T1768" s="53"/>
      <c r="U1768" s="53"/>
      <c r="V1768" s="53"/>
      <c r="W1768" s="53"/>
      <c r="X1768" s="53"/>
      <c r="Y1768" s="53"/>
      <c r="Z1768" s="53"/>
    </row>
    <row r="1769" spans="1:26" ht="15.75" customHeight="1">
      <c r="A1769" s="103"/>
      <c r="B1769" s="103"/>
      <c r="C1769" s="104" t="e">
        <v>#REF!</v>
      </c>
      <c r="D1769" s="103"/>
      <c r="E1769" s="53"/>
      <c r="F1769" s="53"/>
      <c r="G1769" s="53"/>
      <c r="H1769" s="53"/>
      <c r="I1769" s="53"/>
      <c r="J1769" s="53"/>
      <c r="K1769" s="53"/>
      <c r="L1769" s="53"/>
      <c r="M1769" s="53"/>
      <c r="N1769" s="53"/>
      <c r="O1769" s="53"/>
      <c r="P1769" s="53"/>
      <c r="Q1769" s="53"/>
      <c r="R1769" s="53"/>
      <c r="S1769" s="53"/>
      <c r="T1769" s="53"/>
      <c r="U1769" s="53"/>
      <c r="V1769" s="53"/>
      <c r="W1769" s="53"/>
      <c r="X1769" s="53"/>
      <c r="Y1769" s="53"/>
      <c r="Z1769" s="53"/>
    </row>
    <row r="1770" spans="1:26" ht="15.75" customHeight="1">
      <c r="A1770" s="103"/>
      <c r="B1770" s="103"/>
      <c r="C1770" s="104" t="e">
        <v>#REF!</v>
      </c>
      <c r="D1770" s="103"/>
      <c r="E1770" s="53"/>
      <c r="F1770" s="53"/>
      <c r="G1770" s="53"/>
      <c r="H1770" s="53"/>
      <c r="I1770" s="53"/>
      <c r="J1770" s="53"/>
      <c r="K1770" s="53"/>
      <c r="L1770" s="53"/>
      <c r="M1770" s="53"/>
      <c r="N1770" s="53"/>
      <c r="O1770" s="53"/>
      <c r="P1770" s="53"/>
      <c r="Q1770" s="53"/>
      <c r="R1770" s="53"/>
      <c r="S1770" s="53"/>
      <c r="T1770" s="53"/>
      <c r="U1770" s="53"/>
      <c r="V1770" s="53"/>
      <c r="W1770" s="53"/>
      <c r="X1770" s="53"/>
      <c r="Y1770" s="53"/>
      <c r="Z1770" s="53"/>
    </row>
    <row r="1771" spans="1:26" ht="15.75" customHeight="1">
      <c r="A1771" s="103"/>
      <c r="B1771" s="103"/>
      <c r="C1771" s="104" t="e">
        <v>#REF!</v>
      </c>
      <c r="D1771" s="103"/>
      <c r="E1771" s="53"/>
      <c r="F1771" s="53"/>
      <c r="G1771" s="53"/>
      <c r="H1771" s="53"/>
      <c r="I1771" s="53"/>
      <c r="J1771" s="53"/>
      <c r="K1771" s="53"/>
      <c r="L1771" s="53"/>
      <c r="M1771" s="53"/>
      <c r="N1771" s="53"/>
      <c r="O1771" s="53"/>
      <c r="P1771" s="53"/>
      <c r="Q1771" s="53"/>
      <c r="R1771" s="53"/>
      <c r="S1771" s="53"/>
      <c r="T1771" s="53"/>
      <c r="U1771" s="53"/>
      <c r="V1771" s="53"/>
      <c r="W1771" s="53"/>
      <c r="X1771" s="53"/>
      <c r="Y1771" s="53"/>
      <c r="Z1771" s="53"/>
    </row>
    <row r="1772" spans="1:26" ht="15.75" customHeight="1">
      <c r="A1772" s="103"/>
      <c r="B1772" s="103"/>
      <c r="C1772" s="104" t="e">
        <v>#REF!</v>
      </c>
      <c r="D1772" s="103"/>
      <c r="E1772" s="53"/>
      <c r="F1772" s="53"/>
      <c r="G1772" s="53"/>
      <c r="H1772" s="53"/>
      <c r="I1772" s="53"/>
      <c r="J1772" s="53"/>
      <c r="K1772" s="53"/>
      <c r="L1772" s="53"/>
      <c r="M1772" s="53"/>
      <c r="N1772" s="53"/>
      <c r="O1772" s="53"/>
      <c r="P1772" s="53"/>
      <c r="Q1772" s="53"/>
      <c r="R1772" s="53"/>
      <c r="S1772" s="53"/>
      <c r="T1772" s="53"/>
      <c r="U1772" s="53"/>
      <c r="V1772" s="53"/>
      <c r="W1772" s="53"/>
      <c r="X1772" s="53"/>
      <c r="Y1772" s="53"/>
      <c r="Z1772" s="53"/>
    </row>
    <row r="1773" spans="1:26" ht="15.75" customHeight="1">
      <c r="A1773" s="103"/>
      <c r="B1773" s="103"/>
      <c r="C1773" s="104" t="e">
        <v>#REF!</v>
      </c>
      <c r="D1773" s="103"/>
      <c r="E1773" s="53"/>
      <c r="F1773" s="53"/>
      <c r="G1773" s="53"/>
      <c r="H1773" s="53"/>
      <c r="I1773" s="53"/>
      <c r="J1773" s="53"/>
      <c r="K1773" s="53"/>
      <c r="L1773" s="53"/>
      <c r="M1773" s="53"/>
      <c r="N1773" s="53"/>
      <c r="O1773" s="53"/>
      <c r="P1773" s="53"/>
      <c r="Q1773" s="53"/>
      <c r="R1773" s="53"/>
      <c r="S1773" s="53"/>
      <c r="T1773" s="53"/>
      <c r="U1773" s="53"/>
      <c r="V1773" s="53"/>
      <c r="W1773" s="53"/>
      <c r="X1773" s="53"/>
      <c r="Y1773" s="53"/>
      <c r="Z1773" s="53"/>
    </row>
    <row r="1774" spans="1:26" ht="15.75" customHeight="1">
      <c r="A1774" s="103"/>
      <c r="B1774" s="103"/>
      <c r="C1774" s="104" t="e">
        <v>#REF!</v>
      </c>
      <c r="D1774" s="103"/>
      <c r="E1774" s="53"/>
      <c r="F1774" s="53"/>
      <c r="G1774" s="53"/>
      <c r="H1774" s="53"/>
      <c r="I1774" s="53"/>
      <c r="J1774" s="53"/>
      <c r="K1774" s="53"/>
      <c r="L1774" s="53"/>
      <c r="M1774" s="53"/>
      <c r="N1774" s="53"/>
      <c r="O1774" s="53"/>
      <c r="P1774" s="53"/>
      <c r="Q1774" s="53"/>
      <c r="R1774" s="53"/>
      <c r="S1774" s="53"/>
      <c r="T1774" s="53"/>
      <c r="U1774" s="53"/>
      <c r="V1774" s="53"/>
      <c r="W1774" s="53"/>
      <c r="X1774" s="53"/>
      <c r="Y1774" s="53"/>
      <c r="Z1774" s="53"/>
    </row>
    <row r="1775" spans="1:26" ht="15.75" customHeight="1">
      <c r="A1775" s="103"/>
      <c r="B1775" s="103"/>
      <c r="C1775" s="104" t="e">
        <v>#REF!</v>
      </c>
      <c r="D1775" s="103"/>
      <c r="E1775" s="53"/>
      <c r="F1775" s="53"/>
      <c r="G1775" s="53"/>
      <c r="H1775" s="53"/>
      <c r="I1775" s="53"/>
      <c r="J1775" s="53"/>
      <c r="K1775" s="53"/>
      <c r="L1775" s="53"/>
      <c r="M1775" s="53"/>
      <c r="N1775" s="53"/>
      <c r="O1775" s="53"/>
      <c r="P1775" s="53"/>
      <c r="Q1775" s="53"/>
      <c r="R1775" s="53"/>
      <c r="S1775" s="53"/>
      <c r="T1775" s="53"/>
      <c r="U1775" s="53"/>
      <c r="V1775" s="53"/>
      <c r="W1775" s="53"/>
      <c r="X1775" s="53"/>
      <c r="Y1775" s="53"/>
      <c r="Z1775" s="53"/>
    </row>
    <row r="1776" spans="1:26" ht="15.75" customHeight="1">
      <c r="A1776" s="103"/>
      <c r="B1776" s="103"/>
      <c r="C1776" s="104" t="e">
        <v>#REF!</v>
      </c>
      <c r="D1776" s="103"/>
      <c r="E1776" s="53"/>
      <c r="F1776" s="53"/>
      <c r="G1776" s="53"/>
      <c r="H1776" s="53"/>
      <c r="I1776" s="53"/>
      <c r="J1776" s="53"/>
      <c r="K1776" s="53"/>
      <c r="L1776" s="53"/>
      <c r="M1776" s="53"/>
      <c r="N1776" s="53"/>
      <c r="O1776" s="53"/>
      <c r="P1776" s="53"/>
      <c r="Q1776" s="53"/>
      <c r="R1776" s="53"/>
      <c r="S1776" s="53"/>
      <c r="T1776" s="53"/>
      <c r="U1776" s="53"/>
      <c r="V1776" s="53"/>
      <c r="W1776" s="53"/>
      <c r="X1776" s="53"/>
      <c r="Y1776" s="53"/>
      <c r="Z1776" s="53"/>
    </row>
    <row r="1777" spans="1:26" ht="15.75" customHeight="1">
      <c r="A1777" s="103"/>
      <c r="B1777" s="103"/>
      <c r="C1777" s="104" t="e">
        <v>#REF!</v>
      </c>
      <c r="D1777" s="103"/>
      <c r="E1777" s="53"/>
      <c r="F1777" s="53"/>
      <c r="G1777" s="53"/>
      <c r="H1777" s="53"/>
      <c r="I1777" s="53"/>
      <c r="J1777" s="53"/>
      <c r="K1777" s="53"/>
      <c r="L1777" s="53"/>
      <c r="M1777" s="53"/>
      <c r="N1777" s="53"/>
      <c r="O1777" s="53"/>
      <c r="P1777" s="53"/>
      <c r="Q1777" s="53"/>
      <c r="R1777" s="53"/>
      <c r="S1777" s="53"/>
      <c r="T1777" s="53"/>
      <c r="U1777" s="53"/>
      <c r="V1777" s="53"/>
      <c r="W1777" s="53"/>
      <c r="X1777" s="53"/>
      <c r="Y1777" s="53"/>
      <c r="Z1777" s="53"/>
    </row>
    <row r="1778" spans="1:26" ht="15.75" customHeight="1">
      <c r="A1778" s="103"/>
      <c r="B1778" s="103"/>
      <c r="C1778" s="104" t="e">
        <v>#REF!</v>
      </c>
      <c r="D1778" s="103"/>
      <c r="E1778" s="53"/>
      <c r="F1778" s="53"/>
      <c r="G1778" s="53"/>
      <c r="H1778" s="53"/>
      <c r="I1778" s="53"/>
      <c r="J1778" s="53"/>
      <c r="K1778" s="53"/>
      <c r="L1778" s="53"/>
      <c r="M1778" s="53"/>
      <c r="N1778" s="53"/>
      <c r="O1778" s="53"/>
      <c r="P1778" s="53"/>
      <c r="Q1778" s="53"/>
      <c r="R1778" s="53"/>
      <c r="S1778" s="53"/>
      <c r="T1778" s="53"/>
      <c r="U1778" s="53"/>
      <c r="V1778" s="53"/>
      <c r="W1778" s="53"/>
      <c r="X1778" s="53"/>
      <c r="Y1778" s="53"/>
      <c r="Z1778" s="53"/>
    </row>
    <row r="1779" spans="1:26" ht="15.75" customHeight="1">
      <c r="A1779" s="103"/>
      <c r="B1779" s="103"/>
      <c r="C1779" s="104" t="e">
        <v>#REF!</v>
      </c>
      <c r="D1779" s="103"/>
      <c r="E1779" s="53"/>
      <c r="F1779" s="53"/>
      <c r="G1779" s="53"/>
      <c r="H1779" s="53"/>
      <c r="I1779" s="53"/>
      <c r="J1779" s="53"/>
      <c r="K1779" s="53"/>
      <c r="L1779" s="53"/>
      <c r="M1779" s="53"/>
      <c r="N1779" s="53"/>
      <c r="O1779" s="53"/>
      <c r="P1779" s="53"/>
      <c r="Q1779" s="53"/>
      <c r="R1779" s="53"/>
      <c r="S1779" s="53"/>
      <c r="T1779" s="53"/>
      <c r="U1779" s="53"/>
      <c r="V1779" s="53"/>
      <c r="W1779" s="53"/>
      <c r="X1779" s="53"/>
      <c r="Y1779" s="53"/>
      <c r="Z1779" s="53"/>
    </row>
    <row r="1780" spans="1:26" ht="15.75" customHeight="1">
      <c r="A1780" s="103"/>
      <c r="B1780" s="103"/>
      <c r="C1780" s="104" t="e">
        <v>#REF!</v>
      </c>
      <c r="D1780" s="103"/>
      <c r="E1780" s="53"/>
      <c r="F1780" s="53"/>
      <c r="G1780" s="53"/>
      <c r="H1780" s="53"/>
      <c r="I1780" s="53"/>
      <c r="J1780" s="53"/>
      <c r="K1780" s="53"/>
      <c r="L1780" s="53"/>
      <c r="M1780" s="53"/>
      <c r="N1780" s="53"/>
      <c r="O1780" s="53"/>
      <c r="P1780" s="53"/>
      <c r="Q1780" s="53"/>
      <c r="R1780" s="53"/>
      <c r="S1780" s="53"/>
      <c r="T1780" s="53"/>
      <c r="U1780" s="53"/>
      <c r="V1780" s="53"/>
      <c r="W1780" s="53"/>
      <c r="X1780" s="53"/>
      <c r="Y1780" s="53"/>
      <c r="Z1780" s="53"/>
    </row>
    <row r="1781" spans="1:26" ht="15.75" customHeight="1">
      <c r="A1781" s="103"/>
      <c r="B1781" s="103"/>
      <c r="C1781" s="104" t="e">
        <v>#REF!</v>
      </c>
      <c r="D1781" s="103"/>
      <c r="E1781" s="53"/>
      <c r="F1781" s="53"/>
      <c r="G1781" s="53"/>
      <c r="H1781" s="53"/>
      <c r="I1781" s="53"/>
      <c r="J1781" s="53"/>
      <c r="K1781" s="53"/>
      <c r="L1781" s="53"/>
      <c r="M1781" s="53"/>
      <c r="N1781" s="53"/>
      <c r="O1781" s="53"/>
      <c r="P1781" s="53"/>
      <c r="Q1781" s="53"/>
      <c r="R1781" s="53"/>
      <c r="S1781" s="53"/>
      <c r="T1781" s="53"/>
      <c r="U1781" s="53"/>
      <c r="V1781" s="53"/>
      <c r="W1781" s="53"/>
      <c r="X1781" s="53"/>
      <c r="Y1781" s="53"/>
      <c r="Z1781" s="53"/>
    </row>
    <row r="1782" spans="1:26" ht="15.75" customHeight="1">
      <c r="A1782" s="103"/>
      <c r="B1782" s="103"/>
      <c r="C1782" s="104" t="e">
        <v>#REF!</v>
      </c>
      <c r="D1782" s="103"/>
      <c r="E1782" s="53"/>
      <c r="F1782" s="53"/>
      <c r="G1782" s="53"/>
      <c r="H1782" s="53"/>
      <c r="I1782" s="53"/>
      <c r="J1782" s="53"/>
      <c r="K1782" s="53"/>
      <c r="L1782" s="53"/>
      <c r="M1782" s="53"/>
      <c r="N1782" s="53"/>
      <c r="O1782" s="53"/>
      <c r="P1782" s="53"/>
      <c r="Q1782" s="53"/>
      <c r="R1782" s="53"/>
      <c r="S1782" s="53"/>
      <c r="T1782" s="53"/>
      <c r="U1782" s="53"/>
      <c r="V1782" s="53"/>
      <c r="W1782" s="53"/>
      <c r="X1782" s="53"/>
      <c r="Y1782" s="53"/>
      <c r="Z1782" s="53"/>
    </row>
    <row r="1783" spans="1:26" ht="15.75" customHeight="1">
      <c r="A1783" s="103"/>
      <c r="B1783" s="103"/>
      <c r="C1783" s="104" t="e">
        <v>#REF!</v>
      </c>
      <c r="D1783" s="103"/>
      <c r="E1783" s="53"/>
      <c r="F1783" s="53"/>
      <c r="G1783" s="53"/>
      <c r="H1783" s="53"/>
      <c r="I1783" s="53"/>
      <c r="J1783" s="53"/>
      <c r="K1783" s="53"/>
      <c r="L1783" s="53"/>
      <c r="M1783" s="53"/>
      <c r="N1783" s="53"/>
      <c r="O1783" s="53"/>
      <c r="P1783" s="53"/>
      <c r="Q1783" s="53"/>
      <c r="R1783" s="53"/>
      <c r="S1783" s="53"/>
      <c r="T1783" s="53"/>
      <c r="U1783" s="53"/>
      <c r="V1783" s="53"/>
      <c r="W1783" s="53"/>
      <c r="X1783" s="53"/>
      <c r="Y1783" s="53"/>
      <c r="Z1783" s="53"/>
    </row>
    <row r="1784" spans="1:26" ht="15.75" customHeight="1">
      <c r="A1784" s="103"/>
      <c r="B1784" s="103"/>
      <c r="C1784" s="104" t="e">
        <v>#REF!</v>
      </c>
      <c r="D1784" s="103"/>
      <c r="E1784" s="53"/>
      <c r="F1784" s="53"/>
      <c r="G1784" s="53"/>
      <c r="H1784" s="53"/>
      <c r="I1784" s="53"/>
      <c r="J1784" s="53"/>
      <c r="K1784" s="53"/>
      <c r="L1784" s="53"/>
      <c r="M1784" s="53"/>
      <c r="N1784" s="53"/>
      <c r="O1784" s="53"/>
      <c r="P1784" s="53"/>
      <c r="Q1784" s="53"/>
      <c r="R1784" s="53"/>
      <c r="S1784" s="53"/>
      <c r="T1784" s="53"/>
      <c r="U1784" s="53"/>
      <c r="V1784" s="53"/>
      <c r="W1784" s="53"/>
      <c r="X1784" s="53"/>
      <c r="Y1784" s="53"/>
      <c r="Z1784" s="53"/>
    </row>
    <row r="1785" spans="1:26" ht="15.75" customHeight="1">
      <c r="A1785" s="103"/>
      <c r="B1785" s="103"/>
      <c r="C1785" s="104" t="e">
        <v>#REF!</v>
      </c>
      <c r="D1785" s="103"/>
      <c r="E1785" s="53"/>
      <c r="F1785" s="53"/>
      <c r="G1785" s="53"/>
      <c r="H1785" s="53"/>
      <c r="I1785" s="53"/>
      <c r="J1785" s="53"/>
      <c r="K1785" s="53"/>
      <c r="L1785" s="53"/>
      <c r="M1785" s="53"/>
      <c r="N1785" s="53"/>
      <c r="O1785" s="53"/>
      <c r="P1785" s="53"/>
      <c r="Q1785" s="53"/>
      <c r="R1785" s="53"/>
      <c r="S1785" s="53"/>
      <c r="T1785" s="53"/>
      <c r="U1785" s="53"/>
      <c r="V1785" s="53"/>
      <c r="W1785" s="53"/>
      <c r="X1785" s="53"/>
      <c r="Y1785" s="53"/>
      <c r="Z1785" s="53"/>
    </row>
    <row r="1786" spans="1:26" ht="15.75" customHeight="1">
      <c r="A1786" s="103"/>
      <c r="B1786" s="103"/>
      <c r="C1786" s="104" t="e">
        <v>#REF!</v>
      </c>
      <c r="D1786" s="103"/>
      <c r="E1786" s="53"/>
      <c r="F1786" s="53"/>
      <c r="G1786" s="53"/>
      <c r="H1786" s="53"/>
      <c r="I1786" s="53"/>
      <c r="J1786" s="53"/>
      <c r="K1786" s="53"/>
      <c r="L1786" s="53"/>
      <c r="M1786" s="53"/>
      <c r="N1786" s="53"/>
      <c r="O1786" s="53"/>
      <c r="P1786" s="53"/>
      <c r="Q1786" s="53"/>
      <c r="R1786" s="53"/>
      <c r="S1786" s="53"/>
      <c r="T1786" s="53"/>
      <c r="U1786" s="53"/>
      <c r="V1786" s="53"/>
      <c r="W1786" s="53"/>
      <c r="X1786" s="53"/>
      <c r="Y1786" s="53"/>
      <c r="Z1786" s="53"/>
    </row>
    <row r="1787" spans="1:26" ht="15.75" customHeight="1">
      <c r="A1787" s="103"/>
      <c r="B1787" s="103"/>
      <c r="C1787" s="104" t="e">
        <v>#REF!</v>
      </c>
      <c r="D1787" s="103"/>
      <c r="E1787" s="53"/>
      <c r="F1787" s="53"/>
      <c r="G1787" s="53"/>
      <c r="H1787" s="53"/>
      <c r="I1787" s="53"/>
      <c r="J1787" s="53"/>
      <c r="K1787" s="53"/>
      <c r="L1787" s="53"/>
      <c r="M1787" s="53"/>
      <c r="N1787" s="53"/>
      <c r="O1787" s="53"/>
      <c r="P1787" s="53"/>
      <c r="Q1787" s="53"/>
      <c r="R1787" s="53"/>
      <c r="S1787" s="53"/>
      <c r="T1787" s="53"/>
      <c r="U1787" s="53"/>
      <c r="V1787" s="53"/>
      <c r="W1787" s="53"/>
      <c r="X1787" s="53"/>
      <c r="Y1787" s="53"/>
      <c r="Z1787" s="53"/>
    </row>
    <row r="1788" spans="1:26" ht="15.75" customHeight="1">
      <c r="A1788" s="103"/>
      <c r="B1788" s="103"/>
      <c r="C1788" s="104" t="e">
        <v>#REF!</v>
      </c>
      <c r="D1788" s="103"/>
      <c r="E1788" s="53"/>
      <c r="F1788" s="53"/>
      <c r="G1788" s="53"/>
      <c r="H1788" s="53"/>
      <c r="I1788" s="53"/>
      <c r="J1788" s="53"/>
      <c r="K1788" s="53"/>
      <c r="L1788" s="53"/>
      <c r="M1788" s="53"/>
      <c r="N1788" s="53"/>
      <c r="O1788" s="53"/>
      <c r="P1788" s="53"/>
      <c r="Q1788" s="53"/>
      <c r="R1788" s="53"/>
      <c r="S1788" s="53"/>
      <c r="T1788" s="53"/>
      <c r="U1788" s="53"/>
      <c r="V1788" s="53"/>
      <c r="W1788" s="53"/>
      <c r="X1788" s="53"/>
      <c r="Y1788" s="53"/>
      <c r="Z1788" s="53"/>
    </row>
    <row r="1789" spans="1:26" ht="15.75" customHeight="1">
      <c r="A1789" s="103"/>
      <c r="B1789" s="103"/>
      <c r="C1789" s="104" t="e">
        <v>#REF!</v>
      </c>
      <c r="D1789" s="103"/>
      <c r="E1789" s="53"/>
      <c r="F1789" s="53"/>
      <c r="G1789" s="53"/>
      <c r="H1789" s="53"/>
      <c r="I1789" s="53"/>
      <c r="J1789" s="53"/>
      <c r="K1789" s="53"/>
      <c r="L1789" s="53"/>
      <c r="M1789" s="53"/>
      <c r="N1789" s="53"/>
      <c r="O1789" s="53"/>
      <c r="P1789" s="53"/>
      <c r="Q1789" s="53"/>
      <c r="R1789" s="53"/>
      <c r="S1789" s="53"/>
      <c r="T1789" s="53"/>
      <c r="U1789" s="53"/>
      <c r="V1789" s="53"/>
      <c r="W1789" s="53"/>
      <c r="X1789" s="53"/>
      <c r="Y1789" s="53"/>
      <c r="Z1789" s="53"/>
    </row>
    <row r="1790" spans="1:26" ht="15.75" customHeight="1">
      <c r="A1790" s="103"/>
      <c r="B1790" s="103"/>
      <c r="C1790" s="104" t="e">
        <v>#REF!</v>
      </c>
      <c r="D1790" s="103"/>
      <c r="E1790" s="53"/>
      <c r="F1790" s="53"/>
      <c r="G1790" s="53"/>
      <c r="H1790" s="53"/>
      <c r="I1790" s="53"/>
      <c r="J1790" s="53"/>
      <c r="K1790" s="53"/>
      <c r="L1790" s="53"/>
      <c r="M1790" s="53"/>
      <c r="N1790" s="53"/>
      <c r="O1790" s="53"/>
      <c r="P1790" s="53"/>
      <c r="Q1790" s="53"/>
      <c r="R1790" s="53"/>
      <c r="S1790" s="53"/>
      <c r="T1790" s="53"/>
      <c r="U1790" s="53"/>
      <c r="V1790" s="53"/>
      <c r="W1790" s="53"/>
      <c r="X1790" s="53"/>
      <c r="Y1790" s="53"/>
      <c r="Z1790" s="53"/>
    </row>
    <row r="1791" spans="1:26" ht="15.75" customHeight="1">
      <c r="A1791" s="103"/>
      <c r="B1791" s="103"/>
      <c r="C1791" s="104" t="e">
        <v>#REF!</v>
      </c>
      <c r="D1791" s="103"/>
      <c r="E1791" s="53"/>
      <c r="F1791" s="53"/>
      <c r="G1791" s="53"/>
      <c r="H1791" s="53"/>
      <c r="I1791" s="53"/>
      <c r="J1791" s="53"/>
      <c r="K1791" s="53"/>
      <c r="L1791" s="53"/>
      <c r="M1791" s="53"/>
      <c r="N1791" s="53"/>
      <c r="O1791" s="53"/>
      <c r="P1791" s="53"/>
      <c r="Q1791" s="53"/>
      <c r="R1791" s="53"/>
      <c r="S1791" s="53"/>
      <c r="T1791" s="53"/>
      <c r="U1791" s="53"/>
      <c r="V1791" s="53"/>
      <c r="W1791" s="53"/>
      <c r="X1791" s="53"/>
      <c r="Y1791" s="53"/>
      <c r="Z1791" s="53"/>
    </row>
    <row r="1792" spans="1:26" ht="15.75" customHeight="1">
      <c r="A1792" s="103"/>
      <c r="B1792" s="103"/>
      <c r="C1792" s="104" t="e">
        <v>#REF!</v>
      </c>
      <c r="D1792" s="103"/>
      <c r="E1792" s="53"/>
      <c r="F1792" s="53"/>
      <c r="G1792" s="53"/>
      <c r="H1792" s="53"/>
      <c r="I1792" s="53"/>
      <c r="J1792" s="53"/>
      <c r="K1792" s="53"/>
      <c r="L1792" s="53"/>
      <c r="M1792" s="53"/>
      <c r="N1792" s="53"/>
      <c r="O1792" s="53"/>
      <c r="P1792" s="53"/>
      <c r="Q1792" s="53"/>
      <c r="R1792" s="53"/>
      <c r="S1792" s="53"/>
      <c r="T1792" s="53"/>
      <c r="U1792" s="53"/>
      <c r="V1792" s="53"/>
      <c r="W1792" s="53"/>
      <c r="X1792" s="53"/>
      <c r="Y1792" s="53"/>
      <c r="Z1792" s="53"/>
    </row>
    <row r="1793" spans="1:26" ht="15.75" customHeight="1">
      <c r="A1793" s="103"/>
      <c r="B1793" s="103"/>
      <c r="C1793" s="104" t="e">
        <v>#REF!</v>
      </c>
      <c r="D1793" s="103"/>
      <c r="E1793" s="53"/>
      <c r="F1793" s="53"/>
      <c r="G1793" s="53"/>
      <c r="H1793" s="53"/>
      <c r="I1793" s="53"/>
      <c r="J1793" s="53"/>
      <c r="K1793" s="53"/>
      <c r="L1793" s="53"/>
      <c r="M1793" s="53"/>
      <c r="N1793" s="53"/>
      <c r="O1793" s="53"/>
      <c r="P1793" s="53"/>
      <c r="Q1793" s="53"/>
      <c r="R1793" s="53"/>
      <c r="S1793" s="53"/>
      <c r="T1793" s="53"/>
      <c r="U1793" s="53"/>
      <c r="V1793" s="53"/>
      <c r="W1793" s="53"/>
      <c r="X1793" s="53"/>
      <c r="Y1793" s="53"/>
      <c r="Z1793" s="53"/>
    </row>
    <row r="1794" spans="1:26" ht="15.75" customHeight="1">
      <c r="A1794" s="103"/>
      <c r="B1794" s="103"/>
      <c r="C1794" s="104" t="e">
        <v>#REF!</v>
      </c>
      <c r="D1794" s="103"/>
      <c r="E1794" s="53"/>
      <c r="F1794" s="53"/>
      <c r="G1794" s="53"/>
      <c r="H1794" s="53"/>
      <c r="I1794" s="53"/>
      <c r="J1794" s="53"/>
      <c r="K1794" s="53"/>
      <c r="L1794" s="53"/>
      <c r="M1794" s="53"/>
      <c r="N1794" s="53"/>
      <c r="O1794" s="53"/>
      <c r="P1794" s="53"/>
      <c r="Q1794" s="53"/>
      <c r="R1794" s="53"/>
      <c r="S1794" s="53"/>
      <c r="T1794" s="53"/>
      <c r="U1794" s="53"/>
      <c r="V1794" s="53"/>
      <c r="W1794" s="53"/>
      <c r="X1794" s="53"/>
      <c r="Y1794" s="53"/>
      <c r="Z1794" s="53"/>
    </row>
    <row r="1795" spans="1:26" ht="15.75" customHeight="1">
      <c r="A1795" s="103"/>
      <c r="B1795" s="103"/>
      <c r="C1795" s="104" t="e">
        <v>#REF!</v>
      </c>
      <c r="D1795" s="103"/>
      <c r="E1795" s="53"/>
      <c r="F1795" s="53"/>
      <c r="G1795" s="53"/>
      <c r="H1795" s="53"/>
      <c r="I1795" s="53"/>
      <c r="J1795" s="53"/>
      <c r="K1795" s="53"/>
      <c r="L1795" s="53"/>
      <c r="M1795" s="53"/>
      <c r="N1795" s="53"/>
      <c r="O1795" s="53"/>
      <c r="P1795" s="53"/>
      <c r="Q1795" s="53"/>
      <c r="R1795" s="53"/>
      <c r="S1795" s="53"/>
      <c r="T1795" s="53"/>
      <c r="U1795" s="53"/>
      <c r="V1795" s="53"/>
      <c r="W1795" s="53"/>
      <c r="X1795" s="53"/>
      <c r="Y1795" s="53"/>
      <c r="Z1795" s="53"/>
    </row>
    <row r="1796" spans="1:26" ht="15.75" customHeight="1">
      <c r="A1796" s="103"/>
      <c r="B1796" s="103"/>
      <c r="C1796" s="104" t="e">
        <v>#REF!</v>
      </c>
      <c r="D1796" s="103"/>
      <c r="E1796" s="53"/>
      <c r="F1796" s="53"/>
      <c r="G1796" s="53"/>
      <c r="H1796" s="53"/>
      <c r="I1796" s="53"/>
      <c r="J1796" s="53"/>
      <c r="K1796" s="53"/>
      <c r="L1796" s="53"/>
      <c r="M1796" s="53"/>
      <c r="N1796" s="53"/>
      <c r="O1796" s="53"/>
      <c r="P1796" s="53"/>
      <c r="Q1796" s="53"/>
      <c r="R1796" s="53"/>
      <c r="S1796" s="53"/>
      <c r="T1796" s="53"/>
      <c r="U1796" s="53"/>
      <c r="V1796" s="53"/>
      <c r="W1796" s="53"/>
      <c r="X1796" s="53"/>
      <c r="Y1796" s="53"/>
      <c r="Z1796" s="53"/>
    </row>
    <row r="1797" spans="1:26" ht="15.75" customHeight="1">
      <c r="A1797" s="103"/>
      <c r="B1797" s="103"/>
      <c r="C1797" s="104" t="e">
        <v>#REF!</v>
      </c>
      <c r="D1797" s="103"/>
      <c r="E1797" s="53"/>
      <c r="F1797" s="53"/>
      <c r="G1797" s="53"/>
      <c r="H1797" s="53"/>
      <c r="I1797" s="53"/>
      <c r="J1797" s="53"/>
      <c r="K1797" s="53"/>
      <c r="L1797" s="53"/>
      <c r="M1797" s="53"/>
      <c r="N1797" s="53"/>
      <c r="O1797" s="53"/>
      <c r="P1797" s="53"/>
      <c r="Q1797" s="53"/>
      <c r="R1797" s="53"/>
      <c r="S1797" s="53"/>
      <c r="T1797" s="53"/>
      <c r="U1797" s="53"/>
      <c r="V1797" s="53"/>
      <c r="W1797" s="53"/>
      <c r="X1797" s="53"/>
      <c r="Y1797" s="53"/>
      <c r="Z1797" s="53"/>
    </row>
    <row r="1798" spans="1:26" ht="15.75" customHeight="1">
      <c r="A1798" s="103"/>
      <c r="B1798" s="103"/>
      <c r="C1798" s="104" t="e">
        <v>#REF!</v>
      </c>
      <c r="D1798" s="103"/>
      <c r="E1798" s="53"/>
      <c r="F1798" s="53"/>
      <c r="G1798" s="53"/>
      <c r="H1798" s="53"/>
      <c r="I1798" s="53"/>
      <c r="J1798" s="53"/>
      <c r="K1798" s="53"/>
      <c r="L1798" s="53"/>
      <c r="M1798" s="53"/>
      <c r="N1798" s="53"/>
      <c r="O1798" s="53"/>
      <c r="P1798" s="53"/>
      <c r="Q1798" s="53"/>
      <c r="R1798" s="53"/>
      <c r="S1798" s="53"/>
      <c r="T1798" s="53"/>
      <c r="U1798" s="53"/>
      <c r="V1798" s="53"/>
      <c r="W1798" s="53"/>
      <c r="X1798" s="53"/>
      <c r="Y1798" s="53"/>
      <c r="Z1798" s="53"/>
    </row>
    <row r="1799" spans="1:26" ht="15.75" customHeight="1">
      <c r="A1799" s="103"/>
      <c r="B1799" s="103"/>
      <c r="C1799" s="104" t="e">
        <v>#REF!</v>
      </c>
      <c r="D1799" s="103"/>
      <c r="E1799" s="53"/>
      <c r="F1799" s="53"/>
      <c r="G1799" s="53"/>
      <c r="H1799" s="53"/>
      <c r="I1799" s="53"/>
      <c r="J1799" s="53"/>
      <c r="K1799" s="53"/>
      <c r="L1799" s="53"/>
      <c r="M1799" s="53"/>
      <c r="N1799" s="53"/>
      <c r="O1799" s="53"/>
      <c r="P1799" s="53"/>
      <c r="Q1799" s="53"/>
      <c r="R1799" s="53"/>
      <c r="S1799" s="53"/>
      <c r="T1799" s="53"/>
      <c r="U1799" s="53"/>
      <c r="V1799" s="53"/>
      <c r="W1799" s="53"/>
      <c r="X1799" s="53"/>
      <c r="Y1799" s="53"/>
      <c r="Z1799" s="53"/>
    </row>
    <row r="1800" spans="1:26" ht="15.75" customHeight="1">
      <c r="A1800" s="103"/>
      <c r="B1800" s="103"/>
      <c r="C1800" s="104" t="e">
        <v>#REF!</v>
      </c>
      <c r="D1800" s="103"/>
      <c r="E1800" s="53"/>
      <c r="F1800" s="53"/>
      <c r="G1800" s="53"/>
      <c r="H1800" s="53"/>
      <c r="I1800" s="53"/>
      <c r="J1800" s="53"/>
      <c r="K1800" s="53"/>
      <c r="L1800" s="53"/>
      <c r="M1800" s="53"/>
      <c r="N1800" s="53"/>
      <c r="O1800" s="53"/>
      <c r="P1800" s="53"/>
      <c r="Q1800" s="53"/>
      <c r="R1800" s="53"/>
      <c r="S1800" s="53"/>
      <c r="T1800" s="53"/>
      <c r="U1800" s="53"/>
      <c r="V1800" s="53"/>
      <c r="W1800" s="53"/>
      <c r="X1800" s="53"/>
      <c r="Y1800" s="53"/>
      <c r="Z1800" s="53"/>
    </row>
    <row r="1801" spans="1:26" ht="15.75" customHeight="1">
      <c r="A1801" s="103"/>
      <c r="B1801" s="103"/>
      <c r="C1801" s="104" t="e">
        <v>#REF!</v>
      </c>
      <c r="D1801" s="103"/>
      <c r="E1801" s="53"/>
      <c r="F1801" s="53"/>
      <c r="G1801" s="53"/>
      <c r="H1801" s="53"/>
      <c r="I1801" s="53"/>
      <c r="J1801" s="53"/>
      <c r="K1801" s="53"/>
      <c r="L1801" s="53"/>
      <c r="M1801" s="53"/>
      <c r="N1801" s="53"/>
      <c r="O1801" s="53"/>
      <c r="P1801" s="53"/>
      <c r="Q1801" s="53"/>
      <c r="R1801" s="53"/>
      <c r="S1801" s="53"/>
      <c r="T1801" s="53"/>
      <c r="U1801" s="53"/>
      <c r="V1801" s="53"/>
      <c r="W1801" s="53"/>
      <c r="X1801" s="53"/>
      <c r="Y1801" s="53"/>
      <c r="Z1801" s="53"/>
    </row>
    <row r="1802" spans="1:26" ht="15.75" customHeight="1">
      <c r="A1802" s="103"/>
      <c r="B1802" s="103"/>
      <c r="C1802" s="104" t="e">
        <v>#REF!</v>
      </c>
      <c r="D1802" s="103"/>
      <c r="E1802" s="53"/>
      <c r="F1802" s="53"/>
      <c r="G1802" s="53"/>
      <c r="H1802" s="53"/>
      <c r="I1802" s="53"/>
      <c r="J1802" s="53"/>
      <c r="K1802" s="53"/>
      <c r="L1802" s="53"/>
      <c r="M1802" s="53"/>
      <c r="N1802" s="53"/>
      <c r="O1802" s="53"/>
      <c r="P1802" s="53"/>
      <c r="Q1802" s="53"/>
      <c r="R1802" s="53"/>
      <c r="S1802" s="53"/>
      <c r="T1802" s="53"/>
      <c r="U1802" s="53"/>
      <c r="V1802" s="53"/>
      <c r="W1802" s="53"/>
      <c r="X1802" s="53"/>
      <c r="Y1802" s="53"/>
      <c r="Z1802" s="53"/>
    </row>
    <row r="1803" spans="1:26" ht="15.75" customHeight="1">
      <c r="A1803" s="103"/>
      <c r="B1803" s="103"/>
      <c r="C1803" s="104" t="e">
        <v>#REF!</v>
      </c>
      <c r="D1803" s="103"/>
      <c r="E1803" s="53"/>
      <c r="F1803" s="53"/>
      <c r="G1803" s="53"/>
      <c r="H1803" s="53"/>
      <c r="I1803" s="53"/>
      <c r="J1803" s="53"/>
      <c r="K1803" s="53"/>
      <c r="L1803" s="53"/>
      <c r="M1803" s="53"/>
      <c r="N1803" s="53"/>
      <c r="O1803" s="53"/>
      <c r="P1803" s="53"/>
      <c r="Q1803" s="53"/>
      <c r="R1803" s="53"/>
      <c r="S1803" s="53"/>
      <c r="T1803" s="53"/>
      <c r="U1803" s="53"/>
      <c r="V1803" s="53"/>
      <c r="W1803" s="53"/>
      <c r="X1803" s="53"/>
      <c r="Y1803" s="53"/>
      <c r="Z1803" s="53"/>
    </row>
    <row r="1804" spans="1:26" ht="15.75" customHeight="1">
      <c r="A1804" s="103"/>
      <c r="B1804" s="103"/>
      <c r="C1804" s="104" t="e">
        <v>#REF!</v>
      </c>
      <c r="D1804" s="103"/>
      <c r="E1804" s="53"/>
      <c r="F1804" s="53"/>
      <c r="G1804" s="53"/>
      <c r="H1804" s="53"/>
      <c r="I1804" s="53"/>
      <c r="J1804" s="53"/>
      <c r="K1804" s="53"/>
      <c r="L1804" s="53"/>
      <c r="M1804" s="53"/>
      <c r="N1804" s="53"/>
      <c r="O1804" s="53"/>
      <c r="P1804" s="53"/>
      <c r="Q1804" s="53"/>
      <c r="R1804" s="53"/>
      <c r="S1804" s="53"/>
      <c r="T1804" s="53"/>
      <c r="U1804" s="53"/>
      <c r="V1804" s="53"/>
      <c r="W1804" s="53"/>
      <c r="X1804" s="53"/>
      <c r="Y1804" s="53"/>
      <c r="Z1804" s="53"/>
    </row>
    <row r="1805" spans="1:26" ht="15.75" customHeight="1">
      <c r="A1805" s="103"/>
      <c r="B1805" s="103"/>
      <c r="C1805" s="104" t="e">
        <v>#REF!</v>
      </c>
      <c r="D1805" s="103"/>
      <c r="E1805" s="53"/>
      <c r="F1805" s="53"/>
      <c r="G1805" s="53"/>
      <c r="H1805" s="53"/>
      <c r="I1805" s="53"/>
      <c r="J1805" s="53"/>
      <c r="K1805" s="53"/>
      <c r="L1805" s="53"/>
      <c r="M1805" s="53"/>
      <c r="N1805" s="53"/>
      <c r="O1805" s="53"/>
      <c r="P1805" s="53"/>
      <c r="Q1805" s="53"/>
      <c r="R1805" s="53"/>
      <c r="S1805" s="53"/>
      <c r="T1805" s="53"/>
      <c r="U1805" s="53"/>
      <c r="V1805" s="53"/>
      <c r="W1805" s="53"/>
      <c r="X1805" s="53"/>
      <c r="Y1805" s="53"/>
      <c r="Z1805" s="53"/>
    </row>
    <row r="1806" spans="1:26" ht="15.75" customHeight="1">
      <c r="A1806" s="103"/>
      <c r="B1806" s="103"/>
      <c r="C1806" s="104" t="e">
        <v>#REF!</v>
      </c>
      <c r="D1806" s="103"/>
      <c r="E1806" s="53"/>
      <c r="F1806" s="53"/>
      <c r="G1806" s="53"/>
      <c r="H1806" s="53"/>
      <c r="I1806" s="53"/>
      <c r="J1806" s="53"/>
      <c r="K1806" s="53"/>
      <c r="L1806" s="53"/>
      <c r="M1806" s="53"/>
      <c r="N1806" s="53"/>
      <c r="O1806" s="53"/>
      <c r="P1806" s="53"/>
      <c r="Q1806" s="53"/>
      <c r="R1806" s="53"/>
      <c r="S1806" s="53"/>
      <c r="T1806" s="53"/>
      <c r="U1806" s="53"/>
      <c r="V1806" s="53"/>
      <c r="W1806" s="53"/>
      <c r="X1806" s="53"/>
      <c r="Y1806" s="53"/>
      <c r="Z1806" s="53"/>
    </row>
    <row r="1807" spans="1:26" ht="15.75" customHeight="1">
      <c r="A1807" s="103"/>
      <c r="B1807" s="103"/>
      <c r="C1807" s="104" t="e">
        <v>#REF!</v>
      </c>
      <c r="D1807" s="103"/>
      <c r="E1807" s="53"/>
      <c r="F1807" s="53"/>
      <c r="G1807" s="53"/>
      <c r="H1807" s="53"/>
      <c r="I1807" s="53"/>
      <c r="J1807" s="53"/>
      <c r="K1807" s="53"/>
      <c r="L1807" s="53"/>
      <c r="M1807" s="53"/>
      <c r="N1807" s="53"/>
      <c r="O1807" s="53"/>
      <c r="P1807" s="53"/>
      <c r="Q1807" s="53"/>
      <c r="R1807" s="53"/>
      <c r="S1807" s="53"/>
      <c r="T1807" s="53"/>
      <c r="U1807" s="53"/>
      <c r="V1807" s="53"/>
      <c r="W1807" s="53"/>
      <c r="X1807" s="53"/>
      <c r="Y1807" s="53"/>
      <c r="Z1807" s="53"/>
    </row>
    <row r="1808" spans="1:26" ht="15.75" customHeight="1">
      <c r="A1808" s="103"/>
      <c r="B1808" s="103"/>
      <c r="C1808" s="104" t="e">
        <v>#REF!</v>
      </c>
      <c r="D1808" s="103"/>
      <c r="E1808" s="53"/>
      <c r="F1808" s="53"/>
      <c r="G1808" s="53"/>
      <c r="H1808" s="53"/>
      <c r="I1808" s="53"/>
      <c r="J1808" s="53"/>
      <c r="K1808" s="53"/>
      <c r="L1808" s="53"/>
      <c r="M1808" s="53"/>
      <c r="N1808" s="53"/>
      <c r="O1808" s="53"/>
      <c r="P1808" s="53"/>
      <c r="Q1808" s="53"/>
      <c r="R1808" s="53"/>
      <c r="S1808" s="53"/>
      <c r="T1808" s="53"/>
      <c r="U1808" s="53"/>
      <c r="V1808" s="53"/>
      <c r="W1808" s="53"/>
      <c r="X1808" s="53"/>
      <c r="Y1808" s="53"/>
      <c r="Z1808" s="53"/>
    </row>
    <row r="1809" spans="1:26" ht="15.75" customHeight="1">
      <c r="A1809" s="103"/>
      <c r="B1809" s="103"/>
      <c r="C1809" s="104" t="e">
        <v>#REF!</v>
      </c>
      <c r="D1809" s="103"/>
      <c r="E1809" s="53"/>
      <c r="F1809" s="53"/>
      <c r="G1809" s="53"/>
      <c r="H1809" s="53"/>
      <c r="I1809" s="53"/>
      <c r="J1809" s="53"/>
      <c r="K1809" s="53"/>
      <c r="L1809" s="53"/>
      <c r="M1809" s="53"/>
      <c r="N1809" s="53"/>
      <c r="O1809" s="53"/>
      <c r="P1809" s="53"/>
      <c r="Q1809" s="53"/>
      <c r="R1809" s="53"/>
      <c r="S1809" s="53"/>
      <c r="T1809" s="53"/>
      <c r="U1809" s="53"/>
      <c r="V1809" s="53"/>
      <c r="W1809" s="53"/>
      <c r="X1809" s="53"/>
      <c r="Y1809" s="53"/>
      <c r="Z1809" s="53"/>
    </row>
    <row r="1810" spans="1:26" ht="15.75" customHeight="1">
      <c r="A1810" s="103"/>
      <c r="B1810" s="103"/>
      <c r="C1810" s="104" t="e">
        <v>#REF!</v>
      </c>
      <c r="D1810" s="103"/>
      <c r="E1810" s="53"/>
      <c r="F1810" s="53"/>
      <c r="G1810" s="53"/>
      <c r="H1810" s="53"/>
      <c r="I1810" s="53"/>
      <c r="J1810" s="53"/>
      <c r="K1810" s="53"/>
      <c r="L1810" s="53"/>
      <c r="M1810" s="53"/>
      <c r="N1810" s="53"/>
      <c r="O1810" s="53"/>
      <c r="P1810" s="53"/>
      <c r="Q1810" s="53"/>
      <c r="R1810" s="53"/>
      <c r="S1810" s="53"/>
      <c r="T1810" s="53"/>
      <c r="U1810" s="53"/>
      <c r="V1810" s="53"/>
      <c r="W1810" s="53"/>
      <c r="X1810" s="53"/>
      <c r="Y1810" s="53"/>
      <c r="Z1810" s="53"/>
    </row>
    <row r="1811" spans="1:26" ht="15.75" customHeight="1">
      <c r="A1811" s="103"/>
      <c r="B1811" s="103"/>
      <c r="C1811" s="104" t="e">
        <v>#REF!</v>
      </c>
      <c r="D1811" s="103"/>
      <c r="E1811" s="53"/>
      <c r="F1811" s="53"/>
      <c r="G1811" s="53"/>
      <c r="H1811" s="53"/>
      <c r="I1811" s="53"/>
      <c r="J1811" s="53"/>
      <c r="K1811" s="53"/>
      <c r="L1811" s="53"/>
      <c r="M1811" s="53"/>
      <c r="N1811" s="53"/>
      <c r="O1811" s="53"/>
      <c r="P1811" s="53"/>
      <c r="Q1811" s="53"/>
      <c r="R1811" s="53"/>
      <c r="S1811" s="53"/>
      <c r="T1811" s="53"/>
      <c r="U1811" s="53"/>
      <c r="V1811" s="53"/>
      <c r="W1811" s="53"/>
      <c r="X1811" s="53"/>
      <c r="Y1811" s="53"/>
      <c r="Z1811" s="53"/>
    </row>
    <row r="1812" spans="1:26" ht="15.75" customHeight="1">
      <c r="A1812" s="103"/>
      <c r="B1812" s="103"/>
      <c r="C1812" s="104" t="e">
        <v>#REF!</v>
      </c>
      <c r="D1812" s="103"/>
      <c r="E1812" s="53"/>
      <c r="F1812" s="53"/>
      <c r="G1812" s="53"/>
      <c r="H1812" s="53"/>
      <c r="I1812" s="53"/>
      <c r="J1812" s="53"/>
      <c r="K1812" s="53"/>
      <c r="L1812" s="53"/>
      <c r="M1812" s="53"/>
      <c r="N1812" s="53"/>
      <c r="O1812" s="53"/>
      <c r="P1812" s="53"/>
      <c r="Q1812" s="53"/>
      <c r="R1812" s="53"/>
      <c r="S1812" s="53"/>
      <c r="T1812" s="53"/>
      <c r="U1812" s="53"/>
      <c r="V1812" s="53"/>
      <c r="W1812" s="53"/>
      <c r="X1812" s="53"/>
      <c r="Y1812" s="53"/>
      <c r="Z1812" s="53"/>
    </row>
    <row r="1813" spans="1:26" ht="15.75" customHeight="1">
      <c r="A1813" s="103"/>
      <c r="B1813" s="103"/>
      <c r="C1813" s="104" t="e">
        <v>#REF!</v>
      </c>
      <c r="D1813" s="103"/>
      <c r="E1813" s="53"/>
      <c r="F1813" s="53"/>
      <c r="G1813" s="53"/>
      <c r="H1813" s="53"/>
      <c r="I1813" s="53"/>
      <c r="J1813" s="53"/>
      <c r="K1813" s="53"/>
      <c r="L1813" s="53"/>
      <c r="M1813" s="53"/>
      <c r="N1813" s="53"/>
      <c r="O1813" s="53"/>
      <c r="P1813" s="53"/>
      <c r="Q1813" s="53"/>
      <c r="R1813" s="53"/>
      <c r="S1813" s="53"/>
      <c r="T1813" s="53"/>
      <c r="U1813" s="53"/>
      <c r="V1813" s="53"/>
      <c r="W1813" s="53"/>
      <c r="X1813" s="53"/>
      <c r="Y1813" s="53"/>
      <c r="Z1813" s="53"/>
    </row>
    <row r="1814" spans="1:26" ht="15.75" customHeight="1">
      <c r="A1814" s="103"/>
      <c r="B1814" s="103"/>
      <c r="C1814" s="104" t="e">
        <v>#REF!</v>
      </c>
      <c r="D1814" s="103"/>
      <c r="E1814" s="53"/>
      <c r="F1814" s="53"/>
      <c r="G1814" s="53"/>
      <c r="H1814" s="53"/>
      <c r="I1814" s="53"/>
      <c r="J1814" s="53"/>
      <c r="K1814" s="53"/>
      <c r="L1814" s="53"/>
      <c r="M1814" s="53"/>
      <c r="N1814" s="53"/>
      <c r="O1814" s="53"/>
      <c r="P1814" s="53"/>
      <c r="Q1814" s="53"/>
      <c r="R1814" s="53"/>
      <c r="S1814" s="53"/>
      <c r="T1814" s="53"/>
      <c r="U1814" s="53"/>
      <c r="V1814" s="53"/>
      <c r="W1814" s="53"/>
      <c r="X1814" s="53"/>
      <c r="Y1814" s="53"/>
      <c r="Z1814" s="53"/>
    </row>
    <row r="1815" spans="1:26" ht="15.75" customHeight="1">
      <c r="A1815" s="103"/>
      <c r="B1815" s="103"/>
      <c r="C1815" s="104" t="e">
        <v>#REF!</v>
      </c>
      <c r="D1815" s="103"/>
      <c r="E1815" s="53"/>
      <c r="F1815" s="53"/>
      <c r="G1815" s="53"/>
      <c r="H1815" s="53"/>
      <c r="I1815" s="53"/>
      <c r="J1815" s="53"/>
      <c r="K1815" s="53"/>
      <c r="L1815" s="53"/>
      <c r="M1815" s="53"/>
      <c r="N1815" s="53"/>
      <c r="O1815" s="53"/>
      <c r="P1815" s="53"/>
      <c r="Q1815" s="53"/>
      <c r="R1815" s="53"/>
      <c r="S1815" s="53"/>
      <c r="T1815" s="53"/>
      <c r="U1815" s="53"/>
      <c r="V1815" s="53"/>
      <c r="W1815" s="53"/>
      <c r="X1815" s="53"/>
      <c r="Y1815" s="53"/>
      <c r="Z1815" s="53"/>
    </row>
    <row r="1816" spans="1:26" ht="15.75" customHeight="1">
      <c r="A1816" s="103"/>
      <c r="B1816" s="103"/>
      <c r="C1816" s="104" t="e">
        <v>#REF!</v>
      </c>
      <c r="D1816" s="103"/>
      <c r="E1816" s="53"/>
      <c r="F1816" s="53"/>
      <c r="G1816" s="53"/>
      <c r="H1816" s="53"/>
      <c r="I1816" s="53"/>
      <c r="J1816" s="53"/>
      <c r="K1816" s="53"/>
      <c r="L1816" s="53"/>
      <c r="M1816" s="53"/>
      <c r="N1816" s="53"/>
      <c r="O1816" s="53"/>
      <c r="P1816" s="53"/>
      <c r="Q1816" s="53"/>
      <c r="R1816" s="53"/>
      <c r="S1816" s="53"/>
      <c r="T1816" s="53"/>
      <c r="U1816" s="53"/>
      <c r="V1816" s="53"/>
      <c r="W1816" s="53"/>
      <c r="X1816" s="53"/>
      <c r="Y1816" s="53"/>
      <c r="Z1816" s="53"/>
    </row>
    <row r="1817" spans="1:26" ht="15.75" customHeight="1">
      <c r="A1817" s="103"/>
      <c r="B1817" s="103"/>
      <c r="C1817" s="104" t="e">
        <v>#REF!</v>
      </c>
      <c r="D1817" s="103"/>
      <c r="E1817" s="53"/>
      <c r="F1817" s="53"/>
      <c r="G1817" s="53"/>
      <c r="H1817" s="53"/>
      <c r="I1817" s="53"/>
      <c r="J1817" s="53"/>
      <c r="K1817" s="53"/>
      <c r="L1817" s="53"/>
      <c r="M1817" s="53"/>
      <c r="N1817" s="53"/>
      <c r="O1817" s="53"/>
      <c r="P1817" s="53"/>
      <c r="Q1817" s="53"/>
      <c r="R1817" s="53"/>
      <c r="S1817" s="53"/>
      <c r="T1817" s="53"/>
      <c r="U1817" s="53"/>
      <c r="V1817" s="53"/>
      <c r="W1817" s="53"/>
      <c r="X1817" s="53"/>
      <c r="Y1817" s="53"/>
      <c r="Z1817" s="53"/>
    </row>
    <row r="1818" spans="1:26" ht="15.75" customHeight="1">
      <c r="A1818" s="103"/>
      <c r="B1818" s="103"/>
      <c r="C1818" s="104" t="e">
        <v>#REF!</v>
      </c>
      <c r="D1818" s="103"/>
      <c r="E1818" s="53"/>
      <c r="F1818" s="53"/>
      <c r="G1818" s="53"/>
      <c r="H1818" s="53"/>
      <c r="I1818" s="53"/>
      <c r="J1818" s="53"/>
      <c r="K1818" s="53"/>
      <c r="L1818" s="53"/>
      <c r="M1818" s="53"/>
      <c r="N1818" s="53"/>
      <c r="O1818" s="53"/>
      <c r="P1818" s="53"/>
      <c r="Q1818" s="53"/>
      <c r="R1818" s="53"/>
      <c r="S1818" s="53"/>
      <c r="T1818" s="53"/>
      <c r="U1818" s="53"/>
      <c r="V1818" s="53"/>
      <c r="W1818" s="53"/>
      <c r="X1818" s="53"/>
      <c r="Y1818" s="53"/>
      <c r="Z1818" s="53"/>
    </row>
    <row r="1819" spans="1:26" ht="15.75" customHeight="1">
      <c r="A1819" s="103"/>
      <c r="B1819" s="103"/>
      <c r="C1819" s="104" t="e">
        <v>#REF!</v>
      </c>
      <c r="D1819" s="103"/>
      <c r="E1819" s="53"/>
      <c r="F1819" s="53"/>
      <c r="G1819" s="53"/>
      <c r="H1819" s="53"/>
      <c r="I1819" s="53"/>
      <c r="J1819" s="53"/>
      <c r="K1819" s="53"/>
      <c r="L1819" s="53"/>
      <c r="M1819" s="53"/>
      <c r="N1819" s="53"/>
      <c r="O1819" s="53"/>
      <c r="P1819" s="53"/>
      <c r="Q1819" s="53"/>
      <c r="R1819" s="53"/>
      <c r="S1819" s="53"/>
      <c r="T1819" s="53"/>
      <c r="U1819" s="53"/>
      <c r="V1819" s="53"/>
      <c r="W1819" s="53"/>
      <c r="X1819" s="53"/>
      <c r="Y1819" s="53"/>
      <c r="Z1819" s="53"/>
    </row>
    <row r="1820" spans="1:26" ht="15.75" customHeight="1">
      <c r="A1820" s="103"/>
      <c r="B1820" s="103"/>
      <c r="C1820" s="104" t="e">
        <v>#REF!</v>
      </c>
      <c r="D1820" s="103"/>
      <c r="E1820" s="53"/>
      <c r="F1820" s="53"/>
      <c r="G1820" s="53"/>
      <c r="H1820" s="53"/>
      <c r="I1820" s="53"/>
      <c r="J1820" s="53"/>
      <c r="K1820" s="53"/>
      <c r="L1820" s="53"/>
      <c r="M1820" s="53"/>
      <c r="N1820" s="53"/>
      <c r="O1820" s="53"/>
      <c r="P1820" s="53"/>
      <c r="Q1820" s="53"/>
      <c r="R1820" s="53"/>
      <c r="S1820" s="53"/>
      <c r="T1820" s="53"/>
      <c r="U1820" s="53"/>
      <c r="V1820" s="53"/>
      <c r="W1820" s="53"/>
      <c r="X1820" s="53"/>
      <c r="Y1820" s="53"/>
      <c r="Z1820" s="53"/>
    </row>
    <row r="1821" spans="1:26" ht="15.75" customHeight="1">
      <c r="A1821" s="103"/>
      <c r="B1821" s="103"/>
      <c r="C1821" s="104" t="e">
        <v>#REF!</v>
      </c>
      <c r="D1821" s="103"/>
      <c r="E1821" s="53"/>
      <c r="F1821" s="53"/>
      <c r="G1821" s="53"/>
      <c r="H1821" s="53"/>
      <c r="I1821" s="53"/>
      <c r="J1821" s="53"/>
      <c r="K1821" s="53"/>
      <c r="L1821" s="53"/>
      <c r="M1821" s="53"/>
      <c r="N1821" s="53"/>
      <c r="O1821" s="53"/>
      <c r="P1821" s="53"/>
      <c r="Q1821" s="53"/>
      <c r="R1821" s="53"/>
      <c r="S1821" s="53"/>
      <c r="T1821" s="53"/>
      <c r="U1821" s="53"/>
      <c r="V1821" s="53"/>
      <c r="W1821" s="53"/>
      <c r="X1821" s="53"/>
      <c r="Y1821" s="53"/>
      <c r="Z1821" s="53"/>
    </row>
    <row r="1822" spans="1:26" ht="15.75" customHeight="1">
      <c r="A1822" s="103"/>
      <c r="B1822" s="103"/>
      <c r="C1822" s="104" t="e">
        <v>#REF!</v>
      </c>
      <c r="D1822" s="103"/>
      <c r="E1822" s="53"/>
      <c r="F1822" s="53"/>
      <c r="G1822" s="53"/>
      <c r="H1822" s="53"/>
      <c r="I1822" s="53"/>
      <c r="J1822" s="53"/>
      <c r="K1822" s="53"/>
      <c r="L1822" s="53"/>
      <c r="M1822" s="53"/>
      <c r="N1822" s="53"/>
      <c r="O1822" s="53"/>
      <c r="P1822" s="53"/>
      <c r="Q1822" s="53"/>
      <c r="R1822" s="53"/>
      <c r="S1822" s="53"/>
      <c r="T1822" s="53"/>
      <c r="U1822" s="53"/>
      <c r="V1822" s="53"/>
      <c r="W1822" s="53"/>
      <c r="X1822" s="53"/>
      <c r="Y1822" s="53"/>
      <c r="Z1822" s="53"/>
    </row>
    <row r="1823" spans="1:26" ht="15.75" customHeight="1">
      <c r="A1823" s="103"/>
      <c r="B1823" s="103"/>
      <c r="C1823" s="104" t="e">
        <v>#REF!</v>
      </c>
      <c r="D1823" s="103"/>
      <c r="E1823" s="53"/>
      <c r="F1823" s="53"/>
      <c r="G1823" s="53"/>
      <c r="H1823" s="53"/>
      <c r="I1823" s="53"/>
      <c r="J1823" s="53"/>
      <c r="K1823" s="53"/>
      <c r="L1823" s="53"/>
      <c r="M1823" s="53"/>
      <c r="N1823" s="53"/>
      <c r="O1823" s="53"/>
      <c r="P1823" s="53"/>
      <c r="Q1823" s="53"/>
      <c r="R1823" s="53"/>
      <c r="S1823" s="53"/>
      <c r="T1823" s="53"/>
      <c r="U1823" s="53"/>
      <c r="V1823" s="53"/>
      <c r="W1823" s="53"/>
      <c r="X1823" s="53"/>
      <c r="Y1823" s="53"/>
      <c r="Z1823" s="53"/>
    </row>
    <row r="1824" spans="1:26" ht="15.75" customHeight="1">
      <c r="A1824" s="103"/>
      <c r="B1824" s="103"/>
      <c r="C1824" s="104" t="e">
        <v>#REF!</v>
      </c>
      <c r="D1824" s="103"/>
      <c r="E1824" s="53"/>
      <c r="F1824" s="53"/>
      <c r="G1824" s="53"/>
      <c r="H1824" s="53"/>
      <c r="I1824" s="53"/>
      <c r="J1824" s="53"/>
      <c r="K1824" s="53"/>
      <c r="L1824" s="53"/>
      <c r="M1824" s="53"/>
      <c r="N1824" s="53"/>
      <c r="O1824" s="53"/>
      <c r="P1824" s="53"/>
      <c r="Q1824" s="53"/>
      <c r="R1824" s="53"/>
      <c r="S1824" s="53"/>
      <c r="T1824" s="53"/>
      <c r="U1824" s="53"/>
      <c r="V1824" s="53"/>
      <c r="W1824" s="53"/>
      <c r="X1824" s="53"/>
      <c r="Y1824" s="53"/>
      <c r="Z1824" s="53"/>
    </row>
    <row r="1825" spans="1:26" ht="15.75" customHeight="1">
      <c r="A1825" s="103"/>
      <c r="B1825" s="103"/>
      <c r="C1825" s="104" t="e">
        <v>#REF!</v>
      </c>
      <c r="D1825" s="103"/>
      <c r="E1825" s="53"/>
      <c r="F1825" s="53"/>
      <c r="G1825" s="53"/>
      <c r="H1825" s="53"/>
      <c r="I1825" s="53"/>
      <c r="J1825" s="53"/>
      <c r="K1825" s="53"/>
      <c r="L1825" s="53"/>
      <c r="M1825" s="53"/>
      <c r="N1825" s="53"/>
      <c r="O1825" s="53"/>
      <c r="P1825" s="53"/>
      <c r="Q1825" s="53"/>
      <c r="R1825" s="53"/>
      <c r="S1825" s="53"/>
      <c r="T1825" s="53"/>
      <c r="U1825" s="53"/>
      <c r="V1825" s="53"/>
      <c r="W1825" s="53"/>
      <c r="X1825" s="53"/>
      <c r="Y1825" s="53"/>
      <c r="Z1825" s="53"/>
    </row>
    <row r="1826" spans="1:26" ht="15.75" customHeight="1">
      <c r="A1826" s="103"/>
      <c r="B1826" s="103"/>
      <c r="C1826" s="104" t="e">
        <v>#REF!</v>
      </c>
      <c r="D1826" s="103"/>
      <c r="E1826" s="53"/>
      <c r="F1826" s="53"/>
      <c r="G1826" s="53"/>
      <c r="H1826" s="53"/>
      <c r="I1826" s="53"/>
      <c r="J1826" s="53"/>
      <c r="K1826" s="53"/>
      <c r="L1826" s="53"/>
      <c r="M1826" s="53"/>
      <c r="N1826" s="53"/>
      <c r="O1826" s="53"/>
      <c r="P1826" s="53"/>
      <c r="Q1826" s="53"/>
      <c r="R1826" s="53"/>
      <c r="S1826" s="53"/>
      <c r="T1826" s="53"/>
      <c r="U1826" s="53"/>
      <c r="V1826" s="53"/>
      <c r="W1826" s="53"/>
      <c r="X1826" s="53"/>
      <c r="Y1826" s="53"/>
      <c r="Z1826" s="53"/>
    </row>
    <row r="1827" spans="1:26" ht="15.75" customHeight="1">
      <c r="A1827" s="103"/>
      <c r="B1827" s="103"/>
      <c r="C1827" s="104" t="e">
        <v>#REF!</v>
      </c>
      <c r="D1827" s="103"/>
      <c r="E1827" s="53"/>
      <c r="F1827" s="53"/>
      <c r="G1827" s="53"/>
      <c r="H1827" s="53"/>
      <c r="I1827" s="53"/>
      <c r="J1827" s="53"/>
      <c r="K1827" s="53"/>
      <c r="L1827" s="53"/>
      <c r="M1827" s="53"/>
      <c r="N1827" s="53"/>
      <c r="O1827" s="53"/>
      <c r="P1827" s="53"/>
      <c r="Q1827" s="53"/>
      <c r="R1827" s="53"/>
      <c r="S1827" s="53"/>
      <c r="T1827" s="53"/>
      <c r="U1827" s="53"/>
      <c r="V1827" s="53"/>
      <c r="W1827" s="53"/>
      <c r="X1827" s="53"/>
      <c r="Y1827" s="53"/>
      <c r="Z1827" s="53"/>
    </row>
    <row r="1828" spans="1:26" ht="15.75" customHeight="1">
      <c r="A1828" s="103"/>
      <c r="B1828" s="103"/>
      <c r="C1828" s="104" t="e">
        <v>#REF!</v>
      </c>
      <c r="D1828" s="103"/>
      <c r="E1828" s="53"/>
      <c r="F1828" s="53"/>
      <c r="G1828" s="53"/>
      <c r="H1828" s="53"/>
      <c r="I1828" s="53"/>
      <c r="J1828" s="53"/>
      <c r="K1828" s="53"/>
      <c r="L1828" s="53"/>
      <c r="M1828" s="53"/>
      <c r="N1828" s="53"/>
      <c r="O1828" s="53"/>
      <c r="P1828" s="53"/>
      <c r="Q1828" s="53"/>
      <c r="R1828" s="53"/>
      <c r="S1828" s="53"/>
      <c r="T1828" s="53"/>
      <c r="U1828" s="53"/>
      <c r="V1828" s="53"/>
      <c r="W1828" s="53"/>
      <c r="X1828" s="53"/>
      <c r="Y1828" s="53"/>
      <c r="Z1828" s="53"/>
    </row>
    <row r="1829" spans="1:26" ht="15.75" customHeight="1">
      <c r="A1829" s="103"/>
      <c r="B1829" s="103"/>
      <c r="C1829" s="104" t="e">
        <v>#REF!</v>
      </c>
      <c r="D1829" s="103"/>
      <c r="E1829" s="53"/>
      <c r="F1829" s="53"/>
      <c r="G1829" s="53"/>
      <c r="H1829" s="53"/>
      <c r="I1829" s="53"/>
      <c r="J1829" s="53"/>
      <c r="K1829" s="53"/>
      <c r="L1829" s="53"/>
      <c r="M1829" s="53"/>
      <c r="N1829" s="53"/>
      <c r="O1829" s="53"/>
      <c r="P1829" s="53"/>
      <c r="Q1829" s="53"/>
      <c r="R1829" s="53"/>
      <c r="S1829" s="53"/>
      <c r="T1829" s="53"/>
      <c r="U1829" s="53"/>
      <c r="V1829" s="53"/>
      <c r="W1829" s="53"/>
      <c r="X1829" s="53"/>
      <c r="Y1829" s="53"/>
      <c r="Z1829" s="53"/>
    </row>
    <row r="1830" spans="1:26" ht="15.75" customHeight="1">
      <c r="A1830" s="103"/>
      <c r="B1830" s="103"/>
      <c r="C1830" s="104" t="e">
        <v>#REF!</v>
      </c>
      <c r="D1830" s="103"/>
      <c r="E1830" s="53"/>
      <c r="F1830" s="53"/>
      <c r="G1830" s="53"/>
      <c r="H1830" s="53"/>
      <c r="I1830" s="53"/>
      <c r="J1830" s="53"/>
      <c r="K1830" s="53"/>
      <c r="L1830" s="53"/>
      <c r="M1830" s="53"/>
      <c r="N1830" s="53"/>
      <c r="O1830" s="53"/>
      <c r="P1830" s="53"/>
      <c r="Q1830" s="53"/>
      <c r="R1830" s="53"/>
      <c r="S1830" s="53"/>
      <c r="T1830" s="53"/>
      <c r="U1830" s="53"/>
      <c r="V1830" s="53"/>
      <c r="W1830" s="53"/>
      <c r="X1830" s="53"/>
      <c r="Y1830" s="53"/>
      <c r="Z1830" s="53"/>
    </row>
    <row r="1831" spans="1:26" ht="15.75" customHeight="1">
      <c r="A1831" s="103"/>
      <c r="B1831" s="103"/>
      <c r="C1831" s="104" t="e">
        <v>#REF!</v>
      </c>
      <c r="D1831" s="103"/>
      <c r="E1831" s="53"/>
      <c r="F1831" s="53"/>
      <c r="G1831" s="53"/>
      <c r="H1831" s="53"/>
      <c r="I1831" s="53"/>
      <c r="J1831" s="53"/>
      <c r="K1831" s="53"/>
      <c r="L1831" s="53"/>
      <c r="M1831" s="53"/>
      <c r="N1831" s="53"/>
      <c r="O1831" s="53"/>
      <c r="P1831" s="53"/>
      <c r="Q1831" s="53"/>
      <c r="R1831" s="53"/>
      <c r="S1831" s="53"/>
      <c r="T1831" s="53"/>
      <c r="U1831" s="53"/>
      <c r="V1831" s="53"/>
      <c r="W1831" s="53"/>
      <c r="X1831" s="53"/>
      <c r="Y1831" s="53"/>
      <c r="Z1831" s="53"/>
    </row>
    <row r="1832" spans="1:26" ht="15.75" customHeight="1">
      <c r="A1832" s="103"/>
      <c r="B1832" s="103"/>
      <c r="C1832" s="104" t="e">
        <v>#REF!</v>
      </c>
      <c r="D1832" s="103"/>
      <c r="E1832" s="53"/>
      <c r="F1832" s="53"/>
      <c r="G1832" s="53"/>
      <c r="H1832" s="53"/>
      <c r="I1832" s="53"/>
      <c r="J1832" s="53"/>
      <c r="K1832" s="53"/>
      <c r="L1832" s="53"/>
      <c r="M1832" s="53"/>
      <c r="N1832" s="53"/>
      <c r="O1832" s="53"/>
      <c r="P1832" s="53"/>
      <c r="Q1832" s="53"/>
      <c r="R1832" s="53"/>
      <c r="S1832" s="53"/>
      <c r="T1832" s="53"/>
      <c r="U1832" s="53"/>
      <c r="V1832" s="53"/>
      <c r="W1832" s="53"/>
      <c r="X1832" s="53"/>
      <c r="Y1832" s="53"/>
      <c r="Z1832" s="53"/>
    </row>
    <row r="1833" spans="1:26" ht="15.75" customHeight="1">
      <c r="A1833" s="103"/>
      <c r="B1833" s="103"/>
      <c r="C1833" s="104" t="e">
        <v>#REF!</v>
      </c>
      <c r="D1833" s="103"/>
      <c r="E1833" s="53"/>
      <c r="F1833" s="53"/>
      <c r="G1833" s="53"/>
      <c r="H1833" s="53"/>
      <c r="I1833" s="53"/>
      <c r="J1833" s="53"/>
      <c r="K1833" s="53"/>
      <c r="L1833" s="53"/>
      <c r="M1833" s="53"/>
      <c r="N1833" s="53"/>
      <c r="O1833" s="53"/>
      <c r="P1833" s="53"/>
      <c r="Q1833" s="53"/>
      <c r="R1833" s="53"/>
      <c r="S1833" s="53"/>
      <c r="T1833" s="53"/>
      <c r="U1833" s="53"/>
      <c r="V1833" s="53"/>
      <c r="W1833" s="53"/>
      <c r="X1833" s="53"/>
      <c r="Y1833" s="53"/>
      <c r="Z1833" s="53"/>
    </row>
    <row r="1834" spans="1:26" ht="15.75" customHeight="1">
      <c r="A1834" s="103"/>
      <c r="B1834" s="103"/>
      <c r="C1834" s="104" t="e">
        <v>#REF!</v>
      </c>
      <c r="D1834" s="103"/>
      <c r="E1834" s="53"/>
      <c r="F1834" s="53"/>
      <c r="G1834" s="53"/>
      <c r="H1834" s="53"/>
      <c r="I1834" s="53"/>
      <c r="J1834" s="53"/>
      <c r="K1834" s="53"/>
      <c r="L1834" s="53"/>
      <c r="M1834" s="53"/>
      <c r="N1834" s="53"/>
      <c r="O1834" s="53"/>
      <c r="P1834" s="53"/>
      <c r="Q1834" s="53"/>
      <c r="R1834" s="53"/>
      <c r="S1834" s="53"/>
      <c r="T1834" s="53"/>
      <c r="U1834" s="53"/>
      <c r="V1834" s="53"/>
      <c r="W1834" s="53"/>
      <c r="X1834" s="53"/>
      <c r="Y1834" s="53"/>
      <c r="Z1834" s="53"/>
    </row>
    <row r="1835" spans="1:26" ht="15.75" customHeight="1">
      <c r="A1835" s="103"/>
      <c r="B1835" s="103"/>
      <c r="C1835" s="104" t="e">
        <v>#REF!</v>
      </c>
      <c r="D1835" s="103"/>
      <c r="E1835" s="53"/>
      <c r="F1835" s="53"/>
      <c r="G1835" s="53"/>
      <c r="H1835" s="53"/>
      <c r="I1835" s="53"/>
      <c r="J1835" s="53"/>
      <c r="K1835" s="53"/>
      <c r="L1835" s="53"/>
      <c r="M1835" s="53"/>
      <c r="N1835" s="53"/>
      <c r="O1835" s="53"/>
      <c r="P1835" s="53"/>
      <c r="Q1835" s="53"/>
      <c r="R1835" s="53"/>
      <c r="S1835" s="53"/>
      <c r="T1835" s="53"/>
      <c r="U1835" s="53"/>
      <c r="V1835" s="53"/>
      <c r="W1835" s="53"/>
      <c r="X1835" s="53"/>
      <c r="Y1835" s="53"/>
      <c r="Z1835" s="53"/>
    </row>
    <row r="1836" spans="1:26" ht="15.75" customHeight="1">
      <c r="A1836" s="103"/>
      <c r="B1836" s="103"/>
      <c r="C1836" s="104" t="e">
        <v>#REF!</v>
      </c>
      <c r="D1836" s="103"/>
      <c r="E1836" s="53"/>
      <c r="F1836" s="53"/>
      <c r="G1836" s="53"/>
      <c r="H1836" s="53"/>
      <c r="I1836" s="53"/>
      <c r="J1836" s="53"/>
      <c r="K1836" s="53"/>
      <c r="L1836" s="53"/>
      <c r="M1836" s="53"/>
      <c r="N1836" s="53"/>
      <c r="O1836" s="53"/>
      <c r="P1836" s="53"/>
      <c r="Q1836" s="53"/>
      <c r="R1836" s="53"/>
      <c r="S1836" s="53"/>
      <c r="T1836" s="53"/>
      <c r="U1836" s="53"/>
      <c r="V1836" s="53"/>
      <c r="W1836" s="53"/>
      <c r="X1836" s="53"/>
      <c r="Y1836" s="53"/>
      <c r="Z1836" s="53"/>
    </row>
    <row r="1837" spans="1:26" ht="15.75" customHeight="1">
      <c r="A1837" s="103"/>
      <c r="B1837" s="103"/>
      <c r="C1837" s="104" t="e">
        <v>#REF!</v>
      </c>
      <c r="D1837" s="103"/>
      <c r="E1837" s="53"/>
      <c r="F1837" s="53"/>
      <c r="G1837" s="53"/>
      <c r="H1837" s="53"/>
      <c r="I1837" s="53"/>
      <c r="J1837" s="53"/>
      <c r="K1837" s="53"/>
      <c r="L1837" s="53"/>
      <c r="M1837" s="53"/>
      <c r="N1837" s="53"/>
      <c r="O1837" s="53"/>
      <c r="P1837" s="53"/>
      <c r="Q1837" s="53"/>
      <c r="R1837" s="53"/>
      <c r="S1837" s="53"/>
      <c r="T1837" s="53"/>
      <c r="U1837" s="53"/>
      <c r="V1837" s="53"/>
      <c r="W1837" s="53"/>
      <c r="X1837" s="53"/>
      <c r="Y1837" s="53"/>
      <c r="Z1837" s="53"/>
    </row>
    <row r="1838" spans="1:26" ht="15.75" customHeight="1">
      <c r="A1838" s="103"/>
      <c r="B1838" s="103"/>
      <c r="C1838" s="104" t="e">
        <v>#REF!</v>
      </c>
      <c r="D1838" s="103"/>
      <c r="E1838" s="53"/>
      <c r="F1838" s="53"/>
      <c r="G1838" s="53"/>
      <c r="H1838" s="53"/>
      <c r="I1838" s="53"/>
      <c r="J1838" s="53"/>
      <c r="K1838" s="53"/>
      <c r="L1838" s="53"/>
      <c r="M1838" s="53"/>
      <c r="N1838" s="53"/>
      <c r="O1838" s="53"/>
      <c r="P1838" s="53"/>
      <c r="Q1838" s="53"/>
      <c r="R1838" s="53"/>
      <c r="S1838" s="53"/>
      <c r="T1838" s="53"/>
      <c r="U1838" s="53"/>
      <c r="V1838" s="53"/>
      <c r="W1838" s="53"/>
      <c r="X1838" s="53"/>
      <c r="Y1838" s="53"/>
      <c r="Z1838" s="53"/>
    </row>
    <row r="1839" spans="1:26" ht="15.75" customHeight="1">
      <c r="A1839" s="103"/>
      <c r="B1839" s="103"/>
      <c r="C1839" s="104" t="e">
        <v>#REF!</v>
      </c>
      <c r="D1839" s="103"/>
      <c r="E1839" s="53"/>
      <c r="F1839" s="53"/>
      <c r="G1839" s="53"/>
      <c r="H1839" s="53"/>
      <c r="I1839" s="53"/>
      <c r="J1839" s="53"/>
      <c r="K1839" s="53"/>
      <c r="L1839" s="53"/>
      <c r="M1839" s="53"/>
      <c r="N1839" s="53"/>
      <c r="O1839" s="53"/>
      <c r="P1839" s="53"/>
      <c r="Q1839" s="53"/>
      <c r="R1839" s="53"/>
      <c r="S1839" s="53"/>
      <c r="T1839" s="53"/>
      <c r="U1839" s="53"/>
      <c r="V1839" s="53"/>
      <c r="W1839" s="53"/>
      <c r="X1839" s="53"/>
      <c r="Y1839" s="53"/>
      <c r="Z1839" s="53"/>
    </row>
    <row r="1840" spans="1:26" ht="15.75" customHeight="1">
      <c r="A1840" s="103"/>
      <c r="B1840" s="103"/>
      <c r="C1840" s="104" t="e">
        <v>#REF!</v>
      </c>
      <c r="D1840" s="103"/>
      <c r="E1840" s="53"/>
      <c r="F1840" s="53"/>
      <c r="G1840" s="53"/>
      <c r="H1840" s="53"/>
      <c r="I1840" s="53"/>
      <c r="J1840" s="53"/>
      <c r="K1840" s="53"/>
      <c r="L1840" s="53"/>
      <c r="M1840" s="53"/>
      <c r="N1840" s="53"/>
      <c r="O1840" s="53"/>
      <c r="P1840" s="53"/>
      <c r="Q1840" s="53"/>
      <c r="R1840" s="53"/>
      <c r="S1840" s="53"/>
      <c r="T1840" s="53"/>
      <c r="U1840" s="53"/>
      <c r="V1840" s="53"/>
      <c r="W1840" s="53"/>
      <c r="X1840" s="53"/>
      <c r="Y1840" s="53"/>
      <c r="Z1840" s="53"/>
    </row>
    <row r="1841" spans="1:26" ht="15.75" customHeight="1">
      <c r="A1841" s="103"/>
      <c r="B1841" s="103"/>
      <c r="C1841" s="104" t="e">
        <v>#REF!</v>
      </c>
      <c r="D1841" s="103"/>
      <c r="E1841" s="53"/>
      <c r="F1841" s="53"/>
      <c r="G1841" s="53"/>
      <c r="H1841" s="53"/>
      <c r="I1841" s="53"/>
      <c r="J1841" s="53"/>
      <c r="K1841" s="53"/>
      <c r="L1841" s="53"/>
      <c r="M1841" s="53"/>
      <c r="N1841" s="53"/>
      <c r="O1841" s="53"/>
      <c r="P1841" s="53"/>
      <c r="Q1841" s="53"/>
      <c r="R1841" s="53"/>
      <c r="S1841" s="53"/>
      <c r="T1841" s="53"/>
      <c r="U1841" s="53"/>
      <c r="V1841" s="53"/>
      <c r="W1841" s="53"/>
      <c r="X1841" s="53"/>
      <c r="Y1841" s="53"/>
      <c r="Z1841" s="53"/>
    </row>
    <row r="1842" spans="1:26" ht="15.75" customHeight="1">
      <c r="A1842" s="103"/>
      <c r="B1842" s="103"/>
      <c r="C1842" s="104" t="e">
        <v>#REF!</v>
      </c>
      <c r="D1842" s="103"/>
      <c r="E1842" s="53"/>
      <c r="F1842" s="53"/>
      <c r="G1842" s="53"/>
      <c r="H1842" s="53"/>
      <c r="I1842" s="53"/>
      <c r="J1842" s="53"/>
      <c r="K1842" s="53"/>
      <c r="L1842" s="53"/>
      <c r="M1842" s="53"/>
      <c r="N1842" s="53"/>
      <c r="O1842" s="53"/>
      <c r="P1842" s="53"/>
      <c r="Q1842" s="53"/>
      <c r="R1842" s="53"/>
      <c r="S1842" s="53"/>
      <c r="T1842" s="53"/>
      <c r="U1842" s="53"/>
      <c r="V1842" s="53"/>
      <c r="W1842" s="53"/>
      <c r="X1842" s="53"/>
      <c r="Y1842" s="53"/>
      <c r="Z1842" s="53"/>
    </row>
    <row r="1843" spans="1:26" ht="15.75" customHeight="1">
      <c r="A1843" s="103"/>
      <c r="B1843" s="103"/>
      <c r="C1843" s="104" t="e">
        <v>#REF!</v>
      </c>
      <c r="D1843" s="103"/>
      <c r="E1843" s="53"/>
      <c r="F1843" s="53"/>
      <c r="G1843" s="53"/>
      <c r="H1843" s="53"/>
      <c r="I1843" s="53"/>
      <c r="J1843" s="53"/>
      <c r="K1843" s="53"/>
      <c r="L1843" s="53"/>
      <c r="M1843" s="53"/>
      <c r="N1843" s="53"/>
      <c r="O1843" s="53"/>
      <c r="P1843" s="53"/>
      <c r="Q1843" s="53"/>
      <c r="R1843" s="53"/>
      <c r="S1843" s="53"/>
      <c r="T1843" s="53"/>
      <c r="U1843" s="53"/>
      <c r="V1843" s="53"/>
      <c r="W1843" s="53"/>
      <c r="X1843" s="53"/>
      <c r="Y1843" s="53"/>
      <c r="Z1843" s="53"/>
    </row>
    <row r="1844" spans="1:26" ht="15.75" customHeight="1">
      <c r="A1844" s="103"/>
      <c r="B1844" s="103"/>
      <c r="C1844" s="104" t="e">
        <v>#REF!</v>
      </c>
      <c r="D1844" s="103"/>
      <c r="E1844" s="53"/>
      <c r="F1844" s="53"/>
      <c r="G1844" s="53"/>
      <c r="H1844" s="53"/>
      <c r="I1844" s="53"/>
      <c r="J1844" s="53"/>
      <c r="K1844" s="53"/>
      <c r="L1844" s="53"/>
      <c r="M1844" s="53"/>
      <c r="N1844" s="53"/>
      <c r="O1844" s="53"/>
      <c r="P1844" s="53"/>
      <c r="Q1844" s="53"/>
      <c r="R1844" s="53"/>
      <c r="S1844" s="53"/>
      <c r="T1844" s="53"/>
      <c r="U1844" s="53"/>
      <c r="V1844" s="53"/>
      <c r="W1844" s="53"/>
      <c r="X1844" s="53"/>
      <c r="Y1844" s="53"/>
      <c r="Z1844" s="53"/>
    </row>
    <row r="1845" spans="1:26" ht="15.75" customHeight="1">
      <c r="A1845" s="103"/>
      <c r="B1845" s="103"/>
      <c r="C1845" s="104" t="e">
        <v>#REF!</v>
      </c>
      <c r="D1845" s="103"/>
      <c r="E1845" s="53"/>
      <c r="F1845" s="53"/>
      <c r="G1845" s="53"/>
      <c r="H1845" s="53"/>
      <c r="I1845" s="53"/>
      <c r="J1845" s="53"/>
      <c r="K1845" s="53"/>
      <c r="L1845" s="53"/>
      <c r="M1845" s="53"/>
      <c r="N1845" s="53"/>
      <c r="O1845" s="53"/>
      <c r="P1845" s="53"/>
      <c r="Q1845" s="53"/>
      <c r="R1845" s="53"/>
      <c r="S1845" s="53"/>
      <c r="T1845" s="53"/>
      <c r="U1845" s="53"/>
      <c r="V1845" s="53"/>
      <c r="W1845" s="53"/>
      <c r="X1845" s="53"/>
      <c r="Y1845" s="53"/>
      <c r="Z1845" s="53"/>
    </row>
    <row r="1846" spans="1:26" ht="15.75" customHeight="1">
      <c r="A1846" s="103"/>
      <c r="B1846" s="103"/>
      <c r="C1846" s="104" t="e">
        <v>#REF!</v>
      </c>
      <c r="D1846" s="103"/>
      <c r="E1846" s="53"/>
      <c r="F1846" s="53"/>
      <c r="G1846" s="53"/>
      <c r="H1846" s="53"/>
      <c r="I1846" s="53"/>
      <c r="J1846" s="53"/>
      <c r="K1846" s="53"/>
      <c r="L1846" s="53"/>
      <c r="M1846" s="53"/>
      <c r="N1846" s="53"/>
      <c r="O1846" s="53"/>
      <c r="P1846" s="53"/>
      <c r="Q1846" s="53"/>
      <c r="R1846" s="53"/>
      <c r="S1846" s="53"/>
      <c r="T1846" s="53"/>
      <c r="U1846" s="53"/>
      <c r="V1846" s="53"/>
      <c r="W1846" s="53"/>
      <c r="X1846" s="53"/>
      <c r="Y1846" s="53"/>
      <c r="Z1846" s="53"/>
    </row>
    <row r="1847" spans="1:26" ht="15.75" customHeight="1">
      <c r="A1847" s="103"/>
      <c r="B1847" s="103"/>
      <c r="C1847" s="104" t="e">
        <v>#REF!</v>
      </c>
      <c r="D1847" s="103"/>
      <c r="E1847" s="53"/>
      <c r="F1847" s="53"/>
      <c r="G1847" s="53"/>
      <c r="H1847" s="53"/>
      <c r="I1847" s="53"/>
      <c r="J1847" s="53"/>
      <c r="K1847" s="53"/>
      <c r="L1847" s="53"/>
      <c r="M1847" s="53"/>
      <c r="N1847" s="53"/>
      <c r="O1847" s="53"/>
      <c r="P1847" s="53"/>
      <c r="Q1847" s="53"/>
      <c r="R1847" s="53"/>
      <c r="S1847" s="53"/>
      <c r="T1847" s="53"/>
      <c r="U1847" s="53"/>
      <c r="V1847" s="53"/>
      <c r="W1847" s="53"/>
      <c r="X1847" s="53"/>
      <c r="Y1847" s="53"/>
      <c r="Z1847" s="53"/>
    </row>
    <row r="1848" spans="1:26" ht="15.75" customHeight="1">
      <c r="A1848" s="103"/>
      <c r="B1848" s="103"/>
      <c r="C1848" s="104" t="e">
        <v>#REF!</v>
      </c>
      <c r="D1848" s="103"/>
      <c r="E1848" s="53"/>
      <c r="F1848" s="53"/>
      <c r="G1848" s="53"/>
      <c r="H1848" s="53"/>
      <c r="I1848" s="53"/>
      <c r="J1848" s="53"/>
      <c r="K1848" s="53"/>
      <c r="L1848" s="53"/>
      <c r="M1848" s="53"/>
      <c r="N1848" s="53"/>
      <c r="O1848" s="53"/>
      <c r="P1848" s="53"/>
      <c r="Q1848" s="53"/>
      <c r="R1848" s="53"/>
      <c r="S1848" s="53"/>
      <c r="T1848" s="53"/>
      <c r="U1848" s="53"/>
      <c r="V1848" s="53"/>
      <c r="W1848" s="53"/>
      <c r="X1848" s="53"/>
      <c r="Y1848" s="53"/>
      <c r="Z1848" s="53"/>
    </row>
    <row r="1849" spans="1:26" ht="15.75" customHeight="1">
      <c r="A1849" s="103"/>
      <c r="B1849" s="103"/>
      <c r="C1849" s="104" t="e">
        <v>#REF!</v>
      </c>
      <c r="D1849" s="103"/>
      <c r="E1849" s="53"/>
      <c r="F1849" s="53"/>
      <c r="G1849" s="53"/>
      <c r="H1849" s="53"/>
      <c r="I1849" s="53"/>
      <c r="J1849" s="53"/>
      <c r="K1849" s="53"/>
      <c r="L1849" s="53"/>
      <c r="M1849" s="53"/>
      <c r="N1849" s="53"/>
      <c r="O1849" s="53"/>
      <c r="P1849" s="53"/>
      <c r="Q1849" s="53"/>
      <c r="R1849" s="53"/>
      <c r="S1849" s="53"/>
      <c r="T1849" s="53"/>
      <c r="U1849" s="53"/>
      <c r="V1849" s="53"/>
      <c r="W1849" s="53"/>
      <c r="X1849" s="53"/>
      <c r="Y1849" s="53"/>
      <c r="Z1849" s="53"/>
    </row>
    <row r="1850" spans="1:26" ht="15.75" customHeight="1">
      <c r="A1850" s="103"/>
      <c r="B1850" s="103"/>
      <c r="C1850" s="104" t="e">
        <v>#REF!</v>
      </c>
      <c r="D1850" s="103"/>
      <c r="E1850" s="53"/>
      <c r="F1850" s="53"/>
      <c r="G1850" s="53"/>
      <c r="H1850" s="53"/>
      <c r="I1850" s="53"/>
      <c r="J1850" s="53"/>
      <c r="K1850" s="53"/>
      <c r="L1850" s="53"/>
      <c r="M1850" s="53"/>
      <c r="N1850" s="53"/>
      <c r="O1850" s="53"/>
      <c r="P1850" s="53"/>
      <c r="Q1850" s="53"/>
      <c r="R1850" s="53"/>
      <c r="S1850" s="53"/>
      <c r="T1850" s="53"/>
      <c r="U1850" s="53"/>
      <c r="V1850" s="53"/>
      <c r="W1850" s="53"/>
      <c r="X1850" s="53"/>
      <c r="Y1850" s="53"/>
      <c r="Z1850" s="53"/>
    </row>
    <row r="1851" spans="1:26" ht="15.75" customHeight="1">
      <c r="A1851" s="103"/>
      <c r="B1851" s="103"/>
      <c r="C1851" s="104" t="e">
        <v>#REF!</v>
      </c>
      <c r="D1851" s="103"/>
      <c r="E1851" s="53"/>
      <c r="F1851" s="53"/>
      <c r="G1851" s="53"/>
      <c r="H1851" s="53"/>
      <c r="I1851" s="53"/>
      <c r="J1851" s="53"/>
      <c r="K1851" s="53"/>
      <c r="L1851" s="53"/>
      <c r="M1851" s="53"/>
      <c r="N1851" s="53"/>
      <c r="O1851" s="53"/>
      <c r="P1851" s="53"/>
      <c r="Q1851" s="53"/>
      <c r="R1851" s="53"/>
      <c r="S1851" s="53"/>
      <c r="T1851" s="53"/>
      <c r="U1851" s="53"/>
      <c r="V1851" s="53"/>
      <c r="W1851" s="53"/>
      <c r="X1851" s="53"/>
      <c r="Y1851" s="53"/>
      <c r="Z1851" s="53"/>
    </row>
    <row r="1852" spans="1:26" ht="15.75" customHeight="1">
      <c r="A1852" s="103"/>
      <c r="B1852" s="103"/>
      <c r="C1852" s="104" t="e">
        <v>#REF!</v>
      </c>
      <c r="D1852" s="103"/>
      <c r="E1852" s="53"/>
      <c r="F1852" s="53"/>
      <c r="G1852" s="53"/>
      <c r="H1852" s="53"/>
      <c r="I1852" s="53"/>
      <c r="J1852" s="53"/>
      <c r="K1852" s="53"/>
      <c r="L1852" s="53"/>
      <c r="M1852" s="53"/>
      <c r="N1852" s="53"/>
      <c r="O1852" s="53"/>
      <c r="P1852" s="53"/>
      <c r="Q1852" s="53"/>
      <c r="R1852" s="53"/>
      <c r="S1852" s="53"/>
      <c r="T1852" s="53"/>
      <c r="U1852" s="53"/>
      <c r="V1852" s="53"/>
      <c r="W1852" s="53"/>
      <c r="X1852" s="53"/>
      <c r="Y1852" s="53"/>
      <c r="Z1852" s="53"/>
    </row>
    <row r="1853" spans="1:26" ht="15.75" customHeight="1">
      <c r="A1853" s="103"/>
      <c r="B1853" s="103"/>
      <c r="C1853" s="104" t="e">
        <v>#REF!</v>
      </c>
      <c r="D1853" s="103"/>
      <c r="E1853" s="53"/>
      <c r="F1853" s="53"/>
      <c r="G1853" s="53"/>
      <c r="H1853" s="53"/>
      <c r="I1853" s="53"/>
      <c r="J1853" s="53"/>
      <c r="K1853" s="53"/>
      <c r="L1853" s="53"/>
      <c r="M1853" s="53"/>
      <c r="N1853" s="53"/>
      <c r="O1853" s="53"/>
      <c r="P1853" s="53"/>
      <c r="Q1853" s="53"/>
      <c r="R1853" s="53"/>
      <c r="S1853" s="53"/>
      <c r="T1853" s="53"/>
      <c r="U1853" s="53"/>
      <c r="V1853" s="53"/>
      <c r="W1853" s="53"/>
      <c r="X1853" s="53"/>
      <c r="Y1853" s="53"/>
      <c r="Z1853" s="53"/>
    </row>
    <row r="1854" spans="1:26" ht="15.75" customHeight="1">
      <c r="A1854" s="103"/>
      <c r="B1854" s="103"/>
      <c r="C1854" s="104" t="e">
        <v>#REF!</v>
      </c>
      <c r="D1854" s="103"/>
      <c r="E1854" s="53"/>
      <c r="F1854" s="53"/>
      <c r="G1854" s="53"/>
      <c r="H1854" s="53"/>
      <c r="I1854" s="53"/>
      <c r="J1854" s="53"/>
      <c r="K1854" s="53"/>
      <c r="L1854" s="53"/>
      <c r="M1854" s="53"/>
      <c r="N1854" s="53"/>
      <c r="O1854" s="53"/>
      <c r="P1854" s="53"/>
      <c r="Q1854" s="53"/>
      <c r="R1854" s="53"/>
      <c r="S1854" s="53"/>
      <c r="T1854" s="53"/>
      <c r="U1854" s="53"/>
      <c r="V1854" s="53"/>
      <c r="W1854" s="53"/>
      <c r="X1854" s="53"/>
      <c r="Y1854" s="53"/>
      <c r="Z1854" s="53"/>
    </row>
    <row r="1855" spans="1:26" ht="15.75" customHeight="1">
      <c r="A1855" s="103"/>
      <c r="B1855" s="103"/>
      <c r="C1855" s="104" t="e">
        <v>#REF!</v>
      </c>
      <c r="D1855" s="103"/>
      <c r="E1855" s="53"/>
      <c r="F1855" s="53"/>
      <c r="G1855" s="53"/>
      <c r="H1855" s="53"/>
      <c r="I1855" s="53"/>
      <c r="J1855" s="53"/>
      <c r="K1855" s="53"/>
      <c r="L1855" s="53"/>
      <c r="M1855" s="53"/>
      <c r="N1855" s="53"/>
      <c r="O1855" s="53"/>
      <c r="P1855" s="53"/>
      <c r="Q1855" s="53"/>
      <c r="R1855" s="53"/>
      <c r="S1855" s="53"/>
      <c r="T1855" s="53"/>
      <c r="U1855" s="53"/>
      <c r="V1855" s="53"/>
      <c r="W1855" s="53"/>
      <c r="X1855" s="53"/>
      <c r="Y1855" s="53"/>
      <c r="Z1855" s="53"/>
    </row>
    <row r="1856" spans="1:26" ht="15.75" customHeight="1">
      <c r="A1856" s="103"/>
      <c r="B1856" s="103"/>
      <c r="C1856" s="104" t="e">
        <v>#REF!</v>
      </c>
      <c r="D1856" s="103"/>
      <c r="E1856" s="53"/>
      <c r="F1856" s="53"/>
      <c r="G1856" s="53"/>
      <c r="H1856" s="53"/>
      <c r="I1856" s="53"/>
      <c r="J1856" s="53"/>
      <c r="K1856" s="53"/>
      <c r="L1856" s="53"/>
      <c r="M1856" s="53"/>
      <c r="N1856" s="53"/>
      <c r="O1856" s="53"/>
      <c r="P1856" s="53"/>
      <c r="Q1856" s="53"/>
      <c r="R1856" s="53"/>
      <c r="S1856" s="53"/>
      <c r="T1856" s="53"/>
      <c r="U1856" s="53"/>
      <c r="V1856" s="53"/>
      <c r="W1856" s="53"/>
      <c r="X1856" s="53"/>
      <c r="Y1856" s="53"/>
      <c r="Z1856" s="53"/>
    </row>
    <row r="1857" spans="1:26" ht="15.75" customHeight="1">
      <c r="A1857" s="103"/>
      <c r="B1857" s="103"/>
      <c r="C1857" s="104" t="e">
        <v>#REF!</v>
      </c>
      <c r="D1857" s="103"/>
      <c r="E1857" s="53"/>
      <c r="F1857" s="53"/>
      <c r="G1857" s="53"/>
      <c r="H1857" s="53"/>
      <c r="I1857" s="53"/>
      <c r="J1857" s="53"/>
      <c r="K1857" s="53"/>
      <c r="L1857" s="53"/>
      <c r="M1857" s="53"/>
      <c r="N1857" s="53"/>
      <c r="O1857" s="53"/>
      <c r="P1857" s="53"/>
      <c r="Q1857" s="53"/>
      <c r="R1857" s="53"/>
      <c r="S1857" s="53"/>
      <c r="T1857" s="53"/>
      <c r="U1857" s="53"/>
      <c r="V1857" s="53"/>
      <c r="W1857" s="53"/>
      <c r="X1857" s="53"/>
      <c r="Y1857" s="53"/>
      <c r="Z1857" s="53"/>
    </row>
    <row r="1858" spans="1:26" ht="15.75" customHeight="1">
      <c r="A1858" s="103"/>
      <c r="B1858" s="103"/>
      <c r="C1858" s="104" t="e">
        <v>#REF!</v>
      </c>
      <c r="D1858" s="103"/>
      <c r="E1858" s="53"/>
      <c r="F1858" s="53"/>
      <c r="G1858" s="53"/>
      <c r="H1858" s="53"/>
      <c r="I1858" s="53"/>
      <c r="J1858" s="53"/>
      <c r="K1858" s="53"/>
      <c r="L1858" s="53"/>
      <c r="M1858" s="53"/>
      <c r="N1858" s="53"/>
      <c r="O1858" s="53"/>
      <c r="P1858" s="53"/>
      <c r="Q1858" s="53"/>
      <c r="R1858" s="53"/>
      <c r="S1858" s="53"/>
      <c r="T1858" s="53"/>
      <c r="U1858" s="53"/>
      <c r="V1858" s="53"/>
      <c r="W1858" s="53"/>
      <c r="X1858" s="53"/>
      <c r="Y1858" s="53"/>
      <c r="Z1858" s="53"/>
    </row>
    <row r="1859" spans="1:26" ht="15.75" customHeight="1">
      <c r="A1859" s="103"/>
      <c r="B1859" s="103"/>
      <c r="C1859" s="104" t="e">
        <v>#REF!</v>
      </c>
      <c r="D1859" s="103"/>
      <c r="E1859" s="53"/>
      <c r="F1859" s="53"/>
      <c r="G1859" s="53"/>
      <c r="H1859" s="53"/>
      <c r="I1859" s="53"/>
      <c r="J1859" s="53"/>
      <c r="K1859" s="53"/>
      <c r="L1859" s="53"/>
      <c r="M1859" s="53"/>
      <c r="N1859" s="53"/>
      <c r="O1859" s="53"/>
      <c r="P1859" s="53"/>
      <c r="Q1859" s="53"/>
      <c r="R1859" s="53"/>
      <c r="S1859" s="53"/>
      <c r="T1859" s="53"/>
      <c r="U1859" s="53"/>
      <c r="V1859" s="53"/>
      <c r="W1859" s="53"/>
      <c r="X1859" s="53"/>
      <c r="Y1859" s="53"/>
      <c r="Z1859" s="53"/>
    </row>
    <row r="1860" spans="1:26" ht="15.75" customHeight="1">
      <c r="A1860" s="103"/>
      <c r="B1860" s="103"/>
      <c r="C1860" s="104" t="e">
        <v>#REF!</v>
      </c>
      <c r="D1860" s="103"/>
      <c r="E1860" s="53"/>
      <c r="F1860" s="53"/>
      <c r="G1860" s="53"/>
      <c r="H1860" s="53"/>
      <c r="I1860" s="53"/>
      <c r="J1860" s="53"/>
      <c r="K1860" s="53"/>
      <c r="L1860" s="53"/>
      <c r="M1860" s="53"/>
      <c r="N1860" s="53"/>
      <c r="O1860" s="53"/>
      <c r="P1860" s="53"/>
      <c r="Q1860" s="53"/>
      <c r="R1860" s="53"/>
      <c r="S1860" s="53"/>
      <c r="T1860" s="53"/>
      <c r="U1860" s="53"/>
      <c r="V1860" s="53"/>
      <c r="W1860" s="53"/>
      <c r="X1860" s="53"/>
      <c r="Y1860" s="53"/>
      <c r="Z1860" s="53"/>
    </row>
    <row r="1861" spans="1:26" ht="15.75" customHeight="1">
      <c r="A1861" s="103"/>
      <c r="B1861" s="103"/>
      <c r="C1861" s="104" t="e">
        <v>#REF!</v>
      </c>
      <c r="D1861" s="103"/>
      <c r="E1861" s="53"/>
      <c r="F1861" s="53"/>
      <c r="G1861" s="53"/>
      <c r="H1861" s="53"/>
      <c r="I1861" s="53"/>
      <c r="J1861" s="53"/>
      <c r="K1861" s="53"/>
      <c r="L1861" s="53"/>
      <c r="M1861" s="53"/>
      <c r="N1861" s="53"/>
      <c r="O1861" s="53"/>
      <c r="P1861" s="53"/>
      <c r="Q1861" s="53"/>
      <c r="R1861" s="53"/>
      <c r="S1861" s="53"/>
      <c r="T1861" s="53"/>
      <c r="U1861" s="53"/>
      <c r="V1861" s="53"/>
      <c r="W1861" s="53"/>
      <c r="X1861" s="53"/>
      <c r="Y1861" s="53"/>
      <c r="Z1861" s="53"/>
    </row>
    <row r="1862" spans="1:26" ht="15.75" customHeight="1">
      <c r="A1862" s="103"/>
      <c r="B1862" s="103"/>
      <c r="C1862" s="104" t="e">
        <v>#REF!</v>
      </c>
      <c r="D1862" s="103"/>
      <c r="E1862" s="53"/>
      <c r="F1862" s="53"/>
      <c r="G1862" s="53"/>
      <c r="H1862" s="53"/>
      <c r="I1862" s="53"/>
      <c r="J1862" s="53"/>
      <c r="K1862" s="53"/>
      <c r="L1862" s="53"/>
      <c r="M1862" s="53"/>
      <c r="N1862" s="53"/>
      <c r="O1862" s="53"/>
      <c r="P1862" s="53"/>
      <c r="Q1862" s="53"/>
      <c r="R1862" s="53"/>
      <c r="S1862" s="53"/>
      <c r="T1862" s="53"/>
      <c r="U1862" s="53"/>
      <c r="V1862" s="53"/>
      <c r="W1862" s="53"/>
      <c r="X1862" s="53"/>
      <c r="Y1862" s="53"/>
      <c r="Z1862" s="53"/>
    </row>
    <row r="1863" spans="1:26" ht="15.75" customHeight="1">
      <c r="A1863" s="103"/>
      <c r="B1863" s="103"/>
      <c r="C1863" s="104" t="e">
        <v>#REF!</v>
      </c>
      <c r="D1863" s="103"/>
      <c r="E1863" s="53"/>
      <c r="F1863" s="53"/>
      <c r="G1863" s="53"/>
      <c r="H1863" s="53"/>
      <c r="I1863" s="53"/>
      <c r="J1863" s="53"/>
      <c r="K1863" s="53"/>
      <c r="L1863" s="53"/>
      <c r="M1863" s="53"/>
      <c r="N1863" s="53"/>
      <c r="O1863" s="53"/>
      <c r="P1863" s="53"/>
      <c r="Q1863" s="53"/>
      <c r="R1863" s="53"/>
      <c r="S1863" s="53"/>
      <c r="T1863" s="53"/>
      <c r="U1863" s="53"/>
      <c r="V1863" s="53"/>
      <c r="W1863" s="53"/>
      <c r="X1863" s="53"/>
      <c r="Y1863" s="53"/>
      <c r="Z1863" s="53"/>
    </row>
    <row r="1864" spans="1:26" ht="15.75" customHeight="1">
      <c r="A1864" s="103"/>
      <c r="B1864" s="103"/>
      <c r="C1864" s="104" t="e">
        <v>#REF!</v>
      </c>
      <c r="D1864" s="103"/>
      <c r="E1864" s="53"/>
      <c r="F1864" s="53"/>
      <c r="G1864" s="53"/>
      <c r="H1864" s="53"/>
      <c r="I1864" s="53"/>
      <c r="J1864" s="53"/>
      <c r="K1864" s="53"/>
      <c r="L1864" s="53"/>
      <c r="M1864" s="53"/>
      <c r="N1864" s="53"/>
      <c r="O1864" s="53"/>
      <c r="P1864" s="53"/>
      <c r="Q1864" s="53"/>
      <c r="R1864" s="53"/>
      <c r="S1864" s="53"/>
      <c r="T1864" s="53"/>
      <c r="U1864" s="53"/>
      <c r="V1864" s="53"/>
      <c r="W1864" s="53"/>
      <c r="X1864" s="53"/>
      <c r="Y1864" s="53"/>
      <c r="Z1864" s="53"/>
    </row>
    <row r="1865" spans="1:26" ht="15.75" customHeight="1">
      <c r="A1865" s="103"/>
      <c r="B1865" s="103"/>
      <c r="C1865" s="104" t="e">
        <v>#REF!</v>
      </c>
      <c r="D1865" s="103"/>
      <c r="E1865" s="53"/>
      <c r="F1865" s="53"/>
      <c r="G1865" s="53"/>
      <c r="H1865" s="53"/>
      <c r="I1865" s="53"/>
      <c r="J1865" s="53"/>
      <c r="K1865" s="53"/>
      <c r="L1865" s="53"/>
      <c r="M1865" s="53"/>
      <c r="N1865" s="53"/>
      <c r="O1865" s="53"/>
      <c r="P1865" s="53"/>
      <c r="Q1865" s="53"/>
      <c r="R1865" s="53"/>
      <c r="S1865" s="53"/>
      <c r="T1865" s="53"/>
      <c r="U1865" s="53"/>
      <c r="V1865" s="53"/>
      <c r="W1865" s="53"/>
      <c r="X1865" s="53"/>
      <c r="Y1865" s="53"/>
      <c r="Z1865" s="53"/>
    </row>
    <row r="1866" spans="1:26" ht="15.75" customHeight="1">
      <c r="A1866" s="103"/>
      <c r="B1866" s="103"/>
      <c r="C1866" s="104" t="e">
        <v>#REF!</v>
      </c>
      <c r="D1866" s="103"/>
      <c r="E1866" s="53"/>
      <c r="F1866" s="53"/>
      <c r="G1866" s="53"/>
      <c r="H1866" s="53"/>
      <c r="I1866" s="53"/>
      <c r="J1866" s="53"/>
      <c r="K1866" s="53"/>
      <c r="L1866" s="53"/>
      <c r="M1866" s="53"/>
      <c r="N1866" s="53"/>
      <c r="O1866" s="53"/>
      <c r="P1866" s="53"/>
      <c r="Q1866" s="53"/>
      <c r="R1866" s="53"/>
      <c r="S1866" s="53"/>
      <c r="T1866" s="53"/>
      <c r="U1866" s="53"/>
      <c r="V1866" s="53"/>
      <c r="W1866" s="53"/>
      <c r="X1866" s="53"/>
      <c r="Y1866" s="53"/>
      <c r="Z1866" s="53"/>
    </row>
    <row r="1867" spans="1:26" ht="15.75" customHeight="1">
      <c r="A1867" s="103"/>
      <c r="B1867" s="103"/>
      <c r="C1867" s="104" t="e">
        <v>#REF!</v>
      </c>
      <c r="D1867" s="103"/>
      <c r="E1867" s="53"/>
      <c r="F1867" s="53"/>
      <c r="G1867" s="53"/>
      <c r="H1867" s="53"/>
      <c r="I1867" s="53"/>
      <c r="J1867" s="53"/>
      <c r="K1867" s="53"/>
      <c r="L1867" s="53"/>
      <c r="M1867" s="53"/>
      <c r="N1867" s="53"/>
      <c r="O1867" s="53"/>
      <c r="P1867" s="53"/>
      <c r="Q1867" s="53"/>
      <c r="R1867" s="53"/>
      <c r="S1867" s="53"/>
      <c r="T1867" s="53"/>
      <c r="U1867" s="53"/>
      <c r="V1867" s="53"/>
      <c r="W1867" s="53"/>
      <c r="X1867" s="53"/>
      <c r="Y1867" s="53"/>
      <c r="Z1867" s="53"/>
    </row>
    <row r="1868" spans="1:26" ht="15.75" customHeight="1">
      <c r="A1868" s="103"/>
      <c r="B1868" s="103"/>
      <c r="C1868" s="104" t="e">
        <v>#REF!</v>
      </c>
      <c r="D1868" s="103"/>
      <c r="E1868" s="53"/>
      <c r="F1868" s="53"/>
      <c r="G1868" s="53"/>
      <c r="H1868" s="53"/>
      <c r="I1868" s="53"/>
      <c r="J1868" s="53"/>
      <c r="K1868" s="53"/>
      <c r="L1868" s="53"/>
      <c r="M1868" s="53"/>
      <c r="N1868" s="53"/>
      <c r="O1868" s="53"/>
      <c r="P1868" s="53"/>
      <c r="Q1868" s="53"/>
      <c r="R1868" s="53"/>
      <c r="S1868" s="53"/>
      <c r="T1868" s="53"/>
      <c r="U1868" s="53"/>
      <c r="V1868" s="53"/>
      <c r="W1868" s="53"/>
      <c r="X1868" s="53"/>
      <c r="Y1868" s="53"/>
      <c r="Z1868" s="53"/>
    </row>
    <row r="1869" spans="1:26" ht="15.75" customHeight="1">
      <c r="A1869" s="103"/>
      <c r="B1869" s="103"/>
      <c r="C1869" s="104" t="e">
        <v>#REF!</v>
      </c>
      <c r="D1869" s="103"/>
      <c r="E1869" s="53"/>
      <c r="F1869" s="53"/>
      <c r="G1869" s="53"/>
      <c r="H1869" s="53"/>
      <c r="I1869" s="53"/>
      <c r="J1869" s="53"/>
      <c r="K1869" s="53"/>
      <c r="L1869" s="53"/>
      <c r="M1869" s="53"/>
      <c r="N1869" s="53"/>
      <c r="O1869" s="53"/>
      <c r="P1869" s="53"/>
      <c r="Q1869" s="53"/>
      <c r="R1869" s="53"/>
      <c r="S1869" s="53"/>
      <c r="T1869" s="53"/>
      <c r="U1869" s="53"/>
      <c r="V1869" s="53"/>
      <c r="W1869" s="53"/>
      <c r="X1869" s="53"/>
      <c r="Y1869" s="53"/>
      <c r="Z1869" s="53"/>
    </row>
    <row r="1870" spans="1:26" ht="15.75" customHeight="1">
      <c r="A1870" s="103"/>
      <c r="B1870" s="103"/>
      <c r="C1870" s="104" t="e">
        <v>#REF!</v>
      </c>
      <c r="D1870" s="103"/>
      <c r="E1870" s="53"/>
      <c r="F1870" s="53"/>
      <c r="G1870" s="53"/>
      <c r="H1870" s="53"/>
      <c r="I1870" s="53"/>
      <c r="J1870" s="53"/>
      <c r="K1870" s="53"/>
      <c r="L1870" s="53"/>
      <c r="M1870" s="53"/>
      <c r="N1870" s="53"/>
      <c r="O1870" s="53"/>
      <c r="P1870" s="53"/>
      <c r="Q1870" s="53"/>
      <c r="R1870" s="53"/>
      <c r="S1870" s="53"/>
      <c r="T1870" s="53"/>
      <c r="U1870" s="53"/>
      <c r="V1870" s="53"/>
      <c r="W1870" s="53"/>
      <c r="X1870" s="53"/>
      <c r="Y1870" s="53"/>
      <c r="Z1870" s="53"/>
    </row>
    <row r="1871" spans="1:26" ht="15.75" customHeight="1">
      <c r="A1871" s="103"/>
      <c r="B1871" s="103"/>
      <c r="C1871" s="104" t="e">
        <v>#REF!</v>
      </c>
      <c r="D1871" s="103"/>
      <c r="E1871" s="53"/>
      <c r="F1871" s="53"/>
      <c r="G1871" s="53"/>
      <c r="H1871" s="53"/>
      <c r="I1871" s="53"/>
      <c r="J1871" s="53"/>
      <c r="K1871" s="53"/>
      <c r="L1871" s="53"/>
      <c r="M1871" s="53"/>
      <c r="N1871" s="53"/>
      <c r="O1871" s="53"/>
      <c r="P1871" s="53"/>
      <c r="Q1871" s="53"/>
      <c r="R1871" s="53"/>
      <c r="S1871" s="53"/>
      <c r="T1871" s="53"/>
      <c r="U1871" s="53"/>
      <c r="V1871" s="53"/>
      <c r="W1871" s="53"/>
      <c r="X1871" s="53"/>
      <c r="Y1871" s="53"/>
      <c r="Z1871" s="53"/>
    </row>
    <row r="1872" spans="1:26" ht="15.75" customHeight="1">
      <c r="A1872" s="103"/>
      <c r="B1872" s="103"/>
      <c r="C1872" s="104" t="e">
        <v>#REF!</v>
      </c>
      <c r="D1872" s="103"/>
      <c r="E1872" s="53"/>
      <c r="F1872" s="53"/>
      <c r="G1872" s="53"/>
      <c r="H1872" s="53"/>
      <c r="I1872" s="53"/>
      <c r="J1872" s="53"/>
      <c r="K1872" s="53"/>
      <c r="L1872" s="53"/>
      <c r="M1872" s="53"/>
      <c r="N1872" s="53"/>
      <c r="O1872" s="53"/>
      <c r="P1872" s="53"/>
      <c r="Q1872" s="53"/>
      <c r="R1872" s="53"/>
      <c r="S1872" s="53"/>
      <c r="T1872" s="53"/>
      <c r="U1872" s="53"/>
      <c r="V1872" s="53"/>
      <c r="W1872" s="53"/>
      <c r="X1872" s="53"/>
      <c r="Y1872" s="53"/>
      <c r="Z1872" s="53"/>
    </row>
    <row r="1873" spans="1:26" ht="15.75" customHeight="1">
      <c r="A1873" s="103"/>
      <c r="B1873" s="103"/>
      <c r="C1873" s="104" t="e">
        <v>#REF!</v>
      </c>
      <c r="D1873" s="103"/>
      <c r="E1873" s="53"/>
      <c r="F1873" s="53"/>
      <c r="G1873" s="53"/>
      <c r="H1873" s="53"/>
      <c r="I1873" s="53"/>
      <c r="J1873" s="53"/>
      <c r="K1873" s="53"/>
      <c r="L1873" s="53"/>
      <c r="M1873" s="53"/>
      <c r="N1873" s="53"/>
      <c r="O1873" s="53"/>
      <c r="P1873" s="53"/>
      <c r="Q1873" s="53"/>
      <c r="R1873" s="53"/>
      <c r="S1873" s="53"/>
      <c r="T1873" s="53"/>
      <c r="U1873" s="53"/>
      <c r="V1873" s="53"/>
      <c r="W1873" s="53"/>
      <c r="X1873" s="53"/>
      <c r="Y1873" s="53"/>
      <c r="Z1873" s="53"/>
    </row>
    <row r="1874" spans="1:26" ht="15.75" customHeight="1">
      <c r="A1874" s="103"/>
      <c r="B1874" s="103"/>
      <c r="C1874" s="104" t="e">
        <v>#REF!</v>
      </c>
      <c r="D1874" s="103"/>
      <c r="E1874" s="53"/>
      <c r="F1874" s="53"/>
      <c r="G1874" s="53"/>
      <c r="H1874" s="53"/>
      <c r="I1874" s="53"/>
      <c r="J1874" s="53"/>
      <c r="K1874" s="53"/>
      <c r="L1874" s="53"/>
      <c r="M1874" s="53"/>
      <c r="N1874" s="53"/>
      <c r="O1874" s="53"/>
      <c r="P1874" s="53"/>
      <c r="Q1874" s="53"/>
      <c r="R1874" s="53"/>
      <c r="S1874" s="53"/>
      <c r="T1874" s="53"/>
      <c r="U1874" s="53"/>
      <c r="V1874" s="53"/>
      <c r="W1874" s="53"/>
      <c r="X1874" s="53"/>
      <c r="Y1874" s="53"/>
      <c r="Z1874" s="53"/>
    </row>
    <row r="1875" spans="1:26" ht="15.75" customHeight="1">
      <c r="A1875" s="103"/>
      <c r="B1875" s="103"/>
      <c r="C1875" s="104" t="e">
        <v>#REF!</v>
      </c>
      <c r="D1875" s="103"/>
      <c r="E1875" s="53"/>
      <c r="F1875" s="53"/>
      <c r="G1875" s="53"/>
      <c r="H1875" s="53"/>
      <c r="I1875" s="53"/>
      <c r="J1875" s="53"/>
      <c r="K1875" s="53"/>
      <c r="L1875" s="53"/>
      <c r="M1875" s="53"/>
      <c r="N1875" s="53"/>
      <c r="O1875" s="53"/>
      <c r="P1875" s="53"/>
      <c r="Q1875" s="53"/>
      <c r="R1875" s="53"/>
      <c r="S1875" s="53"/>
      <c r="T1875" s="53"/>
      <c r="U1875" s="53"/>
      <c r="V1875" s="53"/>
      <c r="W1875" s="53"/>
      <c r="X1875" s="53"/>
      <c r="Y1875" s="53"/>
      <c r="Z1875" s="53"/>
    </row>
    <row r="1876" spans="1:26" ht="15.75" customHeight="1">
      <c r="A1876" s="103"/>
      <c r="B1876" s="103"/>
      <c r="C1876" s="104" t="e">
        <v>#REF!</v>
      </c>
      <c r="D1876" s="103"/>
      <c r="E1876" s="53"/>
      <c r="F1876" s="53"/>
      <c r="G1876" s="53"/>
      <c r="H1876" s="53"/>
      <c r="I1876" s="53"/>
      <c r="J1876" s="53"/>
      <c r="K1876" s="53"/>
      <c r="L1876" s="53"/>
      <c r="M1876" s="53"/>
      <c r="N1876" s="53"/>
      <c r="O1876" s="53"/>
      <c r="P1876" s="53"/>
      <c r="Q1876" s="53"/>
      <c r="R1876" s="53"/>
      <c r="S1876" s="53"/>
      <c r="T1876" s="53"/>
      <c r="U1876" s="53"/>
      <c r="V1876" s="53"/>
      <c r="W1876" s="53"/>
      <c r="X1876" s="53"/>
      <c r="Y1876" s="53"/>
      <c r="Z1876" s="53"/>
    </row>
    <row r="1877" spans="1:26" ht="15.75" customHeight="1">
      <c r="A1877" s="103"/>
      <c r="B1877" s="103"/>
      <c r="C1877" s="104" t="e">
        <v>#REF!</v>
      </c>
      <c r="D1877" s="103"/>
      <c r="E1877" s="53"/>
      <c r="F1877" s="53"/>
      <c r="G1877" s="53"/>
      <c r="H1877" s="53"/>
      <c r="I1877" s="53"/>
      <c r="J1877" s="53"/>
      <c r="K1877" s="53"/>
      <c r="L1877" s="53"/>
      <c r="M1877" s="53"/>
      <c r="N1877" s="53"/>
      <c r="O1877" s="53"/>
      <c r="P1877" s="53"/>
      <c r="Q1877" s="53"/>
      <c r="R1877" s="53"/>
      <c r="S1877" s="53"/>
      <c r="T1877" s="53"/>
      <c r="U1877" s="53"/>
      <c r="V1877" s="53"/>
      <c r="W1877" s="53"/>
      <c r="X1877" s="53"/>
      <c r="Y1877" s="53"/>
      <c r="Z1877" s="53"/>
    </row>
    <row r="1878" spans="1:26" ht="15.75" customHeight="1">
      <c r="A1878" s="103"/>
      <c r="B1878" s="103"/>
      <c r="C1878" s="104" t="e">
        <v>#REF!</v>
      </c>
      <c r="D1878" s="103"/>
      <c r="E1878" s="53"/>
      <c r="F1878" s="53"/>
      <c r="G1878" s="53"/>
      <c r="H1878" s="53"/>
      <c r="I1878" s="53"/>
      <c r="J1878" s="53"/>
      <c r="K1878" s="53"/>
      <c r="L1878" s="53"/>
      <c r="M1878" s="53"/>
      <c r="N1878" s="53"/>
      <c r="O1878" s="53"/>
      <c r="P1878" s="53"/>
      <c r="Q1878" s="53"/>
      <c r="R1878" s="53"/>
      <c r="S1878" s="53"/>
      <c r="T1878" s="53"/>
      <c r="U1878" s="53"/>
      <c r="V1878" s="53"/>
      <c r="W1878" s="53"/>
      <c r="X1878" s="53"/>
      <c r="Y1878" s="53"/>
      <c r="Z1878" s="53"/>
    </row>
    <row r="1879" spans="1:26" ht="15.75" customHeight="1">
      <c r="A1879" s="103"/>
      <c r="B1879" s="103"/>
      <c r="C1879" s="104" t="e">
        <v>#REF!</v>
      </c>
      <c r="D1879" s="103"/>
      <c r="E1879" s="53"/>
      <c r="F1879" s="53"/>
      <c r="G1879" s="53"/>
      <c r="H1879" s="53"/>
      <c r="I1879" s="53"/>
      <c r="J1879" s="53"/>
      <c r="K1879" s="53"/>
      <c r="L1879" s="53"/>
      <c r="M1879" s="53"/>
      <c r="N1879" s="53"/>
      <c r="O1879" s="53"/>
      <c r="P1879" s="53"/>
      <c r="Q1879" s="53"/>
      <c r="R1879" s="53"/>
      <c r="S1879" s="53"/>
      <c r="T1879" s="53"/>
      <c r="U1879" s="53"/>
      <c r="V1879" s="53"/>
      <c r="W1879" s="53"/>
      <c r="X1879" s="53"/>
      <c r="Y1879" s="53"/>
      <c r="Z1879" s="53"/>
    </row>
    <row r="1880" spans="1:26" ht="15.75" customHeight="1">
      <c r="A1880" s="103"/>
      <c r="B1880" s="103"/>
      <c r="C1880" s="104" t="e">
        <v>#REF!</v>
      </c>
      <c r="D1880" s="103"/>
      <c r="E1880" s="53"/>
      <c r="F1880" s="53"/>
      <c r="G1880" s="53"/>
      <c r="H1880" s="53"/>
      <c r="I1880" s="53"/>
      <c r="J1880" s="53"/>
      <c r="K1880" s="53"/>
      <c r="L1880" s="53"/>
      <c r="M1880" s="53"/>
      <c r="N1880" s="53"/>
      <c r="O1880" s="53"/>
      <c r="P1880" s="53"/>
      <c r="Q1880" s="53"/>
      <c r="R1880" s="53"/>
      <c r="S1880" s="53"/>
      <c r="T1880" s="53"/>
      <c r="U1880" s="53"/>
      <c r="V1880" s="53"/>
      <c r="W1880" s="53"/>
      <c r="X1880" s="53"/>
      <c r="Y1880" s="53"/>
      <c r="Z1880" s="53"/>
    </row>
    <row r="1881" spans="1:26" ht="15.75" customHeight="1">
      <c r="A1881" s="103"/>
      <c r="B1881" s="103"/>
      <c r="C1881" s="104" t="e">
        <v>#REF!</v>
      </c>
      <c r="D1881" s="103"/>
      <c r="E1881" s="53"/>
      <c r="F1881" s="53"/>
      <c r="G1881" s="53"/>
      <c r="H1881" s="53"/>
      <c r="I1881" s="53"/>
      <c r="J1881" s="53"/>
      <c r="K1881" s="53"/>
      <c r="L1881" s="53"/>
      <c r="M1881" s="53"/>
      <c r="N1881" s="53"/>
      <c r="O1881" s="53"/>
      <c r="P1881" s="53"/>
      <c r="Q1881" s="53"/>
      <c r="R1881" s="53"/>
      <c r="S1881" s="53"/>
      <c r="T1881" s="53"/>
      <c r="U1881" s="53"/>
      <c r="V1881" s="53"/>
      <c r="W1881" s="53"/>
      <c r="X1881" s="53"/>
      <c r="Y1881" s="53"/>
      <c r="Z1881" s="53"/>
    </row>
    <row r="1882" spans="1:26" ht="15.75" customHeight="1">
      <c r="A1882" s="103"/>
      <c r="B1882" s="103"/>
      <c r="C1882" s="104" t="e">
        <v>#REF!</v>
      </c>
      <c r="D1882" s="103"/>
      <c r="E1882" s="53"/>
      <c r="F1882" s="53"/>
      <c r="G1882" s="53"/>
      <c r="H1882" s="53"/>
      <c r="I1882" s="53"/>
      <c r="J1882" s="53"/>
      <c r="K1882" s="53"/>
      <c r="L1882" s="53"/>
      <c r="M1882" s="53"/>
      <c r="N1882" s="53"/>
      <c r="O1882" s="53"/>
      <c r="P1882" s="53"/>
      <c r="Q1882" s="53"/>
      <c r="R1882" s="53"/>
      <c r="S1882" s="53"/>
      <c r="T1882" s="53"/>
      <c r="U1882" s="53"/>
      <c r="V1882" s="53"/>
      <c r="W1882" s="53"/>
      <c r="X1882" s="53"/>
      <c r="Y1882" s="53"/>
      <c r="Z1882" s="53"/>
    </row>
    <row r="1883" spans="1:26" ht="15.75" customHeight="1">
      <c r="A1883" s="103"/>
      <c r="B1883" s="103"/>
      <c r="C1883" s="104" t="e">
        <v>#REF!</v>
      </c>
      <c r="D1883" s="103"/>
      <c r="E1883" s="53"/>
      <c r="F1883" s="53"/>
      <c r="G1883" s="53"/>
      <c r="H1883" s="53"/>
      <c r="I1883" s="53"/>
      <c r="J1883" s="53"/>
      <c r="K1883" s="53"/>
      <c r="L1883" s="53"/>
      <c r="M1883" s="53"/>
      <c r="N1883" s="53"/>
      <c r="O1883" s="53"/>
      <c r="P1883" s="53"/>
      <c r="Q1883" s="53"/>
      <c r="R1883" s="53"/>
      <c r="S1883" s="53"/>
      <c r="T1883" s="53"/>
      <c r="U1883" s="53"/>
      <c r="V1883" s="53"/>
      <c r="W1883" s="53"/>
      <c r="X1883" s="53"/>
      <c r="Y1883" s="53"/>
      <c r="Z1883" s="53"/>
    </row>
    <row r="1884" spans="1:26" ht="15.75" customHeight="1">
      <c r="A1884" s="103"/>
      <c r="B1884" s="103"/>
      <c r="C1884" s="104" t="e">
        <v>#REF!</v>
      </c>
      <c r="D1884" s="103"/>
      <c r="E1884" s="53"/>
      <c r="F1884" s="53"/>
      <c r="G1884" s="53"/>
      <c r="H1884" s="53"/>
      <c r="I1884" s="53"/>
      <c r="J1884" s="53"/>
      <c r="K1884" s="53"/>
      <c r="L1884" s="53"/>
      <c r="M1884" s="53"/>
      <c r="N1884" s="53"/>
      <c r="O1884" s="53"/>
      <c r="P1884" s="53"/>
      <c r="Q1884" s="53"/>
      <c r="R1884" s="53"/>
      <c r="S1884" s="53"/>
      <c r="T1884" s="53"/>
      <c r="U1884" s="53"/>
      <c r="V1884" s="53"/>
      <c r="W1884" s="53"/>
      <c r="X1884" s="53"/>
      <c r="Y1884" s="53"/>
      <c r="Z1884" s="53"/>
    </row>
    <row r="1885" spans="1:26" ht="15.75" customHeight="1">
      <c r="A1885" s="103"/>
      <c r="B1885" s="103"/>
      <c r="C1885" s="104" t="e">
        <v>#REF!</v>
      </c>
      <c r="D1885" s="103"/>
      <c r="E1885" s="53"/>
      <c r="F1885" s="53"/>
      <c r="G1885" s="53"/>
      <c r="H1885" s="53"/>
      <c r="I1885" s="53"/>
      <c r="J1885" s="53"/>
      <c r="K1885" s="53"/>
      <c r="L1885" s="53"/>
      <c r="M1885" s="53"/>
      <c r="N1885" s="53"/>
      <c r="O1885" s="53"/>
      <c r="P1885" s="53"/>
      <c r="Q1885" s="53"/>
      <c r="R1885" s="53"/>
      <c r="S1885" s="53"/>
      <c r="T1885" s="53"/>
      <c r="U1885" s="53"/>
      <c r="V1885" s="53"/>
      <c r="W1885" s="53"/>
      <c r="X1885" s="53"/>
      <c r="Y1885" s="53"/>
      <c r="Z1885" s="53"/>
    </row>
    <row r="1886" spans="1:26" ht="15.75" customHeight="1">
      <c r="A1886" s="103"/>
      <c r="B1886" s="103"/>
      <c r="C1886" s="104" t="e">
        <v>#REF!</v>
      </c>
      <c r="D1886" s="103"/>
      <c r="E1886" s="53"/>
      <c r="F1886" s="53"/>
      <c r="G1886" s="53"/>
      <c r="H1886" s="53"/>
      <c r="I1886" s="53"/>
      <c r="J1886" s="53"/>
      <c r="K1886" s="53"/>
      <c r="L1886" s="53"/>
      <c r="M1886" s="53"/>
      <c r="N1886" s="53"/>
      <c r="O1886" s="53"/>
      <c r="P1886" s="53"/>
      <c r="Q1886" s="53"/>
      <c r="R1886" s="53"/>
      <c r="S1886" s="53"/>
      <c r="T1886" s="53"/>
      <c r="U1886" s="53"/>
      <c r="V1886" s="53"/>
      <c r="W1886" s="53"/>
      <c r="X1886" s="53"/>
      <c r="Y1886" s="53"/>
      <c r="Z1886" s="53"/>
    </row>
    <row r="1887" spans="1:26" ht="15.75" customHeight="1">
      <c r="A1887" s="103"/>
      <c r="B1887" s="103"/>
      <c r="C1887" s="104" t="e">
        <v>#REF!</v>
      </c>
      <c r="D1887" s="103"/>
      <c r="E1887" s="53"/>
      <c r="F1887" s="53"/>
      <c r="G1887" s="53"/>
      <c r="H1887" s="53"/>
      <c r="I1887" s="53"/>
      <c r="J1887" s="53"/>
      <c r="K1887" s="53"/>
      <c r="L1887" s="53"/>
      <c r="M1887" s="53"/>
      <c r="N1887" s="53"/>
      <c r="O1887" s="53"/>
      <c r="P1887" s="53"/>
      <c r="Q1887" s="53"/>
      <c r="R1887" s="53"/>
      <c r="S1887" s="53"/>
      <c r="T1887" s="53"/>
      <c r="U1887" s="53"/>
      <c r="V1887" s="53"/>
      <c r="W1887" s="53"/>
      <c r="X1887" s="53"/>
      <c r="Y1887" s="53"/>
      <c r="Z1887" s="53"/>
    </row>
    <row r="1888" spans="1:26" ht="15.75" customHeight="1">
      <c r="A1888" s="103"/>
      <c r="B1888" s="103"/>
      <c r="C1888" s="104" t="e">
        <v>#REF!</v>
      </c>
      <c r="D1888" s="103"/>
      <c r="E1888" s="53"/>
      <c r="F1888" s="53"/>
      <c r="G1888" s="53"/>
      <c r="H1888" s="53"/>
      <c r="I1888" s="53"/>
      <c r="J1888" s="53"/>
      <c r="K1888" s="53"/>
      <c r="L1888" s="53"/>
      <c r="M1888" s="53"/>
      <c r="N1888" s="53"/>
      <c r="O1888" s="53"/>
      <c r="P1888" s="53"/>
      <c r="Q1888" s="53"/>
      <c r="R1888" s="53"/>
      <c r="S1888" s="53"/>
      <c r="T1888" s="53"/>
      <c r="U1888" s="53"/>
      <c r="V1888" s="53"/>
      <c r="W1888" s="53"/>
      <c r="X1888" s="53"/>
      <c r="Y1888" s="53"/>
      <c r="Z1888" s="53"/>
    </row>
    <row r="1889" spans="1:26" ht="15.75" customHeight="1">
      <c r="A1889" s="103"/>
      <c r="B1889" s="103"/>
      <c r="C1889" s="104" t="e">
        <v>#REF!</v>
      </c>
      <c r="D1889" s="103"/>
      <c r="E1889" s="53"/>
      <c r="F1889" s="53"/>
      <c r="G1889" s="53"/>
      <c r="H1889" s="53"/>
      <c r="I1889" s="53"/>
      <c r="J1889" s="53"/>
      <c r="K1889" s="53"/>
      <c r="L1889" s="53"/>
      <c r="M1889" s="53"/>
      <c r="N1889" s="53"/>
      <c r="O1889" s="53"/>
      <c r="P1889" s="53"/>
      <c r="Q1889" s="53"/>
      <c r="R1889" s="53"/>
      <c r="S1889" s="53"/>
      <c r="T1889" s="53"/>
      <c r="U1889" s="53"/>
      <c r="V1889" s="53"/>
      <c r="W1889" s="53"/>
      <c r="X1889" s="53"/>
      <c r="Y1889" s="53"/>
      <c r="Z1889" s="53"/>
    </row>
    <row r="1890" spans="1:26" ht="15.75" customHeight="1">
      <c r="A1890" s="103"/>
      <c r="B1890" s="103"/>
      <c r="C1890" s="104" t="e">
        <v>#REF!</v>
      </c>
      <c r="D1890" s="103"/>
      <c r="E1890" s="53"/>
      <c r="F1890" s="53"/>
      <c r="G1890" s="53"/>
      <c r="H1890" s="53"/>
      <c r="I1890" s="53"/>
      <c r="J1890" s="53"/>
      <c r="K1890" s="53"/>
      <c r="L1890" s="53"/>
      <c r="M1890" s="53"/>
      <c r="N1890" s="53"/>
      <c r="O1890" s="53"/>
      <c r="P1890" s="53"/>
      <c r="Q1890" s="53"/>
      <c r="R1890" s="53"/>
      <c r="S1890" s="53"/>
      <c r="T1890" s="53"/>
      <c r="U1890" s="53"/>
      <c r="V1890" s="53"/>
      <c r="W1890" s="53"/>
      <c r="X1890" s="53"/>
      <c r="Y1890" s="53"/>
      <c r="Z1890" s="53"/>
    </row>
    <row r="1891" spans="1:26" ht="15.75" customHeight="1">
      <c r="A1891" s="103"/>
      <c r="B1891" s="103"/>
      <c r="C1891" s="104" t="e">
        <v>#REF!</v>
      </c>
      <c r="D1891" s="103"/>
      <c r="E1891" s="53"/>
      <c r="F1891" s="53"/>
      <c r="G1891" s="53"/>
      <c r="H1891" s="53"/>
      <c r="I1891" s="53"/>
      <c r="J1891" s="53"/>
      <c r="K1891" s="53"/>
      <c r="L1891" s="53"/>
      <c r="M1891" s="53"/>
      <c r="N1891" s="53"/>
      <c r="O1891" s="53"/>
      <c r="P1891" s="53"/>
      <c r="Q1891" s="53"/>
      <c r="R1891" s="53"/>
      <c r="S1891" s="53"/>
      <c r="T1891" s="53"/>
      <c r="U1891" s="53"/>
      <c r="V1891" s="53"/>
      <c r="W1891" s="53"/>
      <c r="X1891" s="53"/>
      <c r="Y1891" s="53"/>
      <c r="Z1891" s="53"/>
    </row>
    <row r="1892" spans="1:26" ht="15.75" customHeight="1">
      <c r="A1892" s="103"/>
      <c r="B1892" s="103"/>
      <c r="C1892" s="104" t="e">
        <v>#REF!</v>
      </c>
      <c r="D1892" s="103"/>
      <c r="E1892" s="53"/>
      <c r="F1892" s="53"/>
      <c r="G1892" s="53"/>
      <c r="H1892" s="53"/>
      <c r="I1892" s="53"/>
      <c r="J1892" s="53"/>
      <c r="K1892" s="53"/>
      <c r="L1892" s="53"/>
      <c r="M1892" s="53"/>
      <c r="N1892" s="53"/>
      <c r="O1892" s="53"/>
      <c r="P1892" s="53"/>
      <c r="Q1892" s="53"/>
      <c r="R1892" s="53"/>
      <c r="S1892" s="53"/>
      <c r="T1892" s="53"/>
      <c r="U1892" s="53"/>
      <c r="V1892" s="53"/>
      <c r="W1892" s="53"/>
      <c r="X1892" s="53"/>
      <c r="Y1892" s="53"/>
      <c r="Z1892" s="53"/>
    </row>
    <row r="1893" spans="1:26" ht="15.75" customHeight="1">
      <c r="A1893" s="103"/>
      <c r="B1893" s="103"/>
      <c r="C1893" s="104" t="e">
        <v>#REF!</v>
      </c>
      <c r="D1893" s="103"/>
      <c r="E1893" s="53"/>
      <c r="F1893" s="53"/>
      <c r="G1893" s="53"/>
      <c r="H1893" s="53"/>
      <c r="I1893" s="53"/>
      <c r="J1893" s="53"/>
      <c r="K1893" s="53"/>
      <c r="L1893" s="53"/>
      <c r="M1893" s="53"/>
      <c r="N1893" s="53"/>
      <c r="O1893" s="53"/>
      <c r="P1893" s="53"/>
      <c r="Q1893" s="53"/>
      <c r="R1893" s="53"/>
      <c r="S1893" s="53"/>
      <c r="T1893" s="53"/>
      <c r="U1893" s="53"/>
      <c r="V1893" s="53"/>
      <c r="W1893" s="53"/>
      <c r="X1893" s="53"/>
      <c r="Y1893" s="53"/>
      <c r="Z1893" s="53"/>
    </row>
    <row r="1894" spans="1:26" ht="15.75" customHeight="1">
      <c r="A1894" s="103"/>
      <c r="B1894" s="103"/>
      <c r="C1894" s="104" t="e">
        <v>#REF!</v>
      </c>
      <c r="D1894" s="103"/>
      <c r="E1894" s="53"/>
      <c r="F1894" s="53"/>
      <c r="G1894" s="53"/>
      <c r="H1894" s="53"/>
      <c r="I1894" s="53"/>
      <c r="J1894" s="53"/>
      <c r="K1894" s="53"/>
      <c r="L1894" s="53"/>
      <c r="M1894" s="53"/>
      <c r="N1894" s="53"/>
      <c r="O1894" s="53"/>
      <c r="P1894" s="53"/>
      <c r="Q1894" s="53"/>
      <c r="R1894" s="53"/>
      <c r="S1894" s="53"/>
      <c r="T1894" s="53"/>
      <c r="U1894" s="53"/>
      <c r="V1894" s="53"/>
      <c r="W1894" s="53"/>
      <c r="X1894" s="53"/>
      <c r="Y1894" s="53"/>
      <c r="Z1894" s="53"/>
    </row>
    <row r="1895" spans="1:26" ht="15.75" customHeight="1">
      <c r="A1895" s="103"/>
      <c r="B1895" s="103"/>
      <c r="C1895" s="104" t="e">
        <v>#REF!</v>
      </c>
      <c r="D1895" s="103"/>
      <c r="E1895" s="53"/>
      <c r="F1895" s="53"/>
      <c r="G1895" s="53"/>
      <c r="H1895" s="53"/>
      <c r="I1895" s="53"/>
      <c r="J1895" s="53"/>
      <c r="K1895" s="53"/>
      <c r="L1895" s="53"/>
      <c r="M1895" s="53"/>
      <c r="N1895" s="53"/>
      <c r="O1895" s="53"/>
      <c r="P1895" s="53"/>
      <c r="Q1895" s="53"/>
      <c r="R1895" s="53"/>
      <c r="S1895" s="53"/>
      <c r="T1895" s="53"/>
      <c r="U1895" s="53"/>
      <c r="V1895" s="53"/>
      <c r="W1895" s="53"/>
      <c r="X1895" s="53"/>
      <c r="Y1895" s="53"/>
      <c r="Z1895" s="53"/>
    </row>
    <row r="1896" spans="1:26" ht="15.75" customHeight="1">
      <c r="A1896" s="103"/>
      <c r="B1896" s="103"/>
      <c r="C1896" s="104" t="e">
        <v>#REF!</v>
      </c>
      <c r="D1896" s="103"/>
      <c r="E1896" s="53"/>
      <c r="F1896" s="53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53"/>
      <c r="T1896" s="53"/>
      <c r="U1896" s="53"/>
      <c r="V1896" s="53"/>
      <c r="W1896" s="53"/>
      <c r="X1896" s="53"/>
      <c r="Y1896" s="53"/>
      <c r="Z1896" s="53"/>
    </row>
    <row r="1897" spans="1:26" ht="15.75" customHeight="1">
      <c r="A1897" s="103"/>
      <c r="B1897" s="103"/>
      <c r="C1897" s="104" t="e">
        <v>#REF!</v>
      </c>
      <c r="D1897" s="103"/>
      <c r="E1897" s="53"/>
      <c r="F1897" s="53"/>
      <c r="G1897" s="53"/>
      <c r="H1897" s="53"/>
      <c r="I1897" s="53"/>
      <c r="J1897" s="53"/>
      <c r="K1897" s="53"/>
      <c r="L1897" s="53"/>
      <c r="M1897" s="53"/>
      <c r="N1897" s="53"/>
      <c r="O1897" s="53"/>
      <c r="P1897" s="53"/>
      <c r="Q1897" s="53"/>
      <c r="R1897" s="53"/>
      <c r="S1897" s="53"/>
      <c r="T1897" s="53"/>
      <c r="U1897" s="53"/>
      <c r="V1897" s="53"/>
      <c r="W1897" s="53"/>
      <c r="X1897" s="53"/>
      <c r="Y1897" s="53"/>
      <c r="Z1897" s="53"/>
    </row>
    <row r="1898" spans="1:26" ht="15.75" customHeight="1">
      <c r="A1898" s="103"/>
      <c r="B1898" s="103"/>
      <c r="C1898" s="104" t="e">
        <v>#REF!</v>
      </c>
      <c r="D1898" s="103"/>
      <c r="E1898" s="53"/>
      <c r="F1898" s="53"/>
      <c r="G1898" s="53"/>
      <c r="H1898" s="53"/>
      <c r="I1898" s="53"/>
      <c r="J1898" s="53"/>
      <c r="K1898" s="53"/>
      <c r="L1898" s="53"/>
      <c r="M1898" s="53"/>
      <c r="N1898" s="53"/>
      <c r="O1898" s="53"/>
      <c r="P1898" s="53"/>
      <c r="Q1898" s="53"/>
      <c r="R1898" s="53"/>
      <c r="S1898" s="53"/>
      <c r="T1898" s="53"/>
      <c r="U1898" s="53"/>
      <c r="V1898" s="53"/>
      <c r="W1898" s="53"/>
      <c r="X1898" s="53"/>
      <c r="Y1898" s="53"/>
      <c r="Z1898" s="53"/>
    </row>
    <row r="1899" spans="1:26" ht="15.75" customHeight="1">
      <c r="A1899" s="103"/>
      <c r="B1899" s="103"/>
      <c r="C1899" s="104" t="e">
        <v>#REF!</v>
      </c>
      <c r="D1899" s="103"/>
      <c r="E1899" s="53"/>
      <c r="F1899" s="53"/>
      <c r="G1899" s="53"/>
      <c r="H1899" s="53"/>
      <c r="I1899" s="53"/>
      <c r="J1899" s="53"/>
      <c r="K1899" s="53"/>
      <c r="L1899" s="53"/>
      <c r="M1899" s="53"/>
      <c r="N1899" s="53"/>
      <c r="O1899" s="53"/>
      <c r="P1899" s="53"/>
      <c r="Q1899" s="53"/>
      <c r="R1899" s="53"/>
      <c r="S1899" s="53"/>
      <c r="T1899" s="53"/>
      <c r="U1899" s="53"/>
      <c r="V1899" s="53"/>
      <c r="W1899" s="53"/>
      <c r="X1899" s="53"/>
      <c r="Y1899" s="53"/>
      <c r="Z1899" s="53"/>
    </row>
    <row r="1900" spans="1:26" ht="15.75" customHeight="1">
      <c r="A1900" s="103"/>
      <c r="B1900" s="103"/>
      <c r="C1900" s="104" t="e">
        <v>#REF!</v>
      </c>
      <c r="D1900" s="103"/>
      <c r="E1900" s="53"/>
      <c r="F1900" s="53"/>
      <c r="G1900" s="53"/>
      <c r="H1900" s="53"/>
      <c r="I1900" s="53"/>
      <c r="J1900" s="53"/>
      <c r="K1900" s="53"/>
      <c r="L1900" s="53"/>
      <c r="M1900" s="53"/>
      <c r="N1900" s="53"/>
      <c r="O1900" s="53"/>
      <c r="P1900" s="53"/>
      <c r="Q1900" s="53"/>
      <c r="R1900" s="53"/>
      <c r="S1900" s="53"/>
      <c r="T1900" s="53"/>
      <c r="U1900" s="53"/>
      <c r="V1900" s="53"/>
      <c r="W1900" s="53"/>
      <c r="X1900" s="53"/>
      <c r="Y1900" s="53"/>
      <c r="Z1900" s="53"/>
    </row>
    <row r="1901" spans="1:26" ht="15.75" customHeight="1">
      <c r="A1901" s="103"/>
      <c r="B1901" s="103"/>
      <c r="C1901" s="104" t="e">
        <v>#REF!</v>
      </c>
      <c r="D1901" s="103"/>
      <c r="E1901" s="53"/>
      <c r="F1901" s="53"/>
      <c r="G1901" s="53"/>
      <c r="H1901" s="53"/>
      <c r="I1901" s="53"/>
      <c r="J1901" s="53"/>
      <c r="K1901" s="53"/>
      <c r="L1901" s="53"/>
      <c r="M1901" s="53"/>
      <c r="N1901" s="53"/>
      <c r="O1901" s="53"/>
      <c r="P1901" s="53"/>
      <c r="Q1901" s="53"/>
      <c r="R1901" s="53"/>
      <c r="S1901" s="53"/>
      <c r="T1901" s="53"/>
      <c r="U1901" s="53"/>
      <c r="V1901" s="53"/>
      <c r="W1901" s="53"/>
      <c r="X1901" s="53"/>
      <c r="Y1901" s="53"/>
      <c r="Z1901" s="53"/>
    </row>
    <row r="1902" spans="1:26" ht="15.75" customHeight="1">
      <c r="A1902" s="103"/>
      <c r="B1902" s="103"/>
      <c r="C1902" s="104" t="e">
        <v>#REF!</v>
      </c>
      <c r="D1902" s="103"/>
      <c r="E1902" s="53"/>
      <c r="F1902" s="53"/>
      <c r="G1902" s="53"/>
      <c r="H1902" s="53"/>
      <c r="I1902" s="53"/>
      <c r="J1902" s="53"/>
      <c r="K1902" s="53"/>
      <c r="L1902" s="53"/>
      <c r="M1902" s="53"/>
      <c r="N1902" s="53"/>
      <c r="O1902" s="53"/>
      <c r="P1902" s="53"/>
      <c r="Q1902" s="53"/>
      <c r="R1902" s="53"/>
      <c r="S1902" s="53"/>
      <c r="T1902" s="53"/>
      <c r="U1902" s="53"/>
      <c r="V1902" s="53"/>
      <c r="W1902" s="53"/>
      <c r="X1902" s="53"/>
      <c r="Y1902" s="53"/>
      <c r="Z1902" s="53"/>
    </row>
    <row r="1903" spans="1:26" ht="15.75" customHeight="1">
      <c r="A1903" s="103"/>
      <c r="B1903" s="103"/>
      <c r="C1903" s="104" t="e">
        <v>#REF!</v>
      </c>
      <c r="D1903" s="103"/>
      <c r="E1903" s="53"/>
      <c r="F1903" s="53"/>
      <c r="G1903" s="53"/>
      <c r="H1903" s="53"/>
      <c r="I1903" s="53"/>
      <c r="J1903" s="53"/>
      <c r="K1903" s="53"/>
      <c r="L1903" s="53"/>
      <c r="M1903" s="53"/>
      <c r="N1903" s="53"/>
      <c r="O1903" s="53"/>
      <c r="P1903" s="53"/>
      <c r="Q1903" s="53"/>
      <c r="R1903" s="53"/>
      <c r="S1903" s="53"/>
      <c r="T1903" s="53"/>
      <c r="U1903" s="53"/>
      <c r="V1903" s="53"/>
      <c r="W1903" s="53"/>
      <c r="X1903" s="53"/>
      <c r="Y1903" s="53"/>
      <c r="Z1903" s="53"/>
    </row>
    <row r="1904" spans="1:26" ht="15.75" customHeight="1">
      <c r="A1904" s="103"/>
      <c r="B1904" s="103"/>
      <c r="C1904" s="104" t="e">
        <v>#REF!</v>
      </c>
      <c r="D1904" s="103"/>
      <c r="E1904" s="53"/>
      <c r="F1904" s="53"/>
      <c r="G1904" s="53"/>
      <c r="H1904" s="53"/>
      <c r="I1904" s="53"/>
      <c r="J1904" s="53"/>
      <c r="K1904" s="53"/>
      <c r="L1904" s="53"/>
      <c r="M1904" s="53"/>
      <c r="N1904" s="53"/>
      <c r="O1904" s="53"/>
      <c r="P1904" s="53"/>
      <c r="Q1904" s="53"/>
      <c r="R1904" s="53"/>
      <c r="S1904" s="53"/>
      <c r="T1904" s="53"/>
      <c r="U1904" s="53"/>
      <c r="V1904" s="53"/>
      <c r="W1904" s="53"/>
      <c r="X1904" s="53"/>
      <c r="Y1904" s="53"/>
      <c r="Z1904" s="53"/>
    </row>
    <row r="1905" spans="1:26" ht="15.75" customHeight="1">
      <c r="A1905" s="103"/>
      <c r="B1905" s="103"/>
      <c r="C1905" s="104" t="e">
        <v>#REF!</v>
      </c>
      <c r="D1905" s="103"/>
      <c r="E1905" s="53"/>
      <c r="F1905" s="53"/>
      <c r="G1905" s="53"/>
      <c r="H1905" s="53"/>
      <c r="I1905" s="53"/>
      <c r="J1905" s="53"/>
      <c r="K1905" s="53"/>
      <c r="L1905" s="53"/>
      <c r="M1905" s="53"/>
      <c r="N1905" s="53"/>
      <c r="O1905" s="53"/>
      <c r="P1905" s="53"/>
      <c r="Q1905" s="53"/>
      <c r="R1905" s="53"/>
      <c r="S1905" s="53"/>
      <c r="T1905" s="53"/>
      <c r="U1905" s="53"/>
      <c r="V1905" s="53"/>
      <c r="W1905" s="53"/>
      <c r="X1905" s="53"/>
      <c r="Y1905" s="53"/>
      <c r="Z1905" s="53"/>
    </row>
    <row r="1906" spans="1:26" ht="15.75" customHeight="1">
      <c r="A1906" s="103"/>
      <c r="B1906" s="103"/>
      <c r="C1906" s="104" t="e">
        <v>#REF!</v>
      </c>
      <c r="D1906" s="103"/>
      <c r="E1906" s="53"/>
      <c r="F1906" s="53"/>
      <c r="G1906" s="53"/>
      <c r="H1906" s="53"/>
      <c r="I1906" s="53"/>
      <c r="J1906" s="53"/>
      <c r="K1906" s="53"/>
      <c r="L1906" s="53"/>
      <c r="M1906" s="53"/>
      <c r="N1906" s="53"/>
      <c r="O1906" s="53"/>
      <c r="P1906" s="53"/>
      <c r="Q1906" s="53"/>
      <c r="R1906" s="53"/>
      <c r="S1906" s="53"/>
      <c r="T1906" s="53"/>
      <c r="U1906" s="53"/>
      <c r="V1906" s="53"/>
      <c r="W1906" s="53"/>
      <c r="X1906" s="53"/>
      <c r="Y1906" s="53"/>
      <c r="Z1906" s="53"/>
    </row>
    <row r="1907" spans="1:26" ht="15.75" customHeight="1">
      <c r="A1907" s="103"/>
      <c r="B1907" s="103"/>
      <c r="C1907" s="104" t="e">
        <v>#REF!</v>
      </c>
      <c r="D1907" s="103"/>
      <c r="E1907" s="53"/>
      <c r="F1907" s="53"/>
      <c r="G1907" s="53"/>
      <c r="H1907" s="53"/>
      <c r="I1907" s="53"/>
      <c r="J1907" s="53"/>
      <c r="K1907" s="53"/>
      <c r="L1907" s="53"/>
      <c r="M1907" s="53"/>
      <c r="N1907" s="53"/>
      <c r="O1907" s="53"/>
      <c r="P1907" s="53"/>
      <c r="Q1907" s="53"/>
      <c r="R1907" s="53"/>
      <c r="S1907" s="53"/>
      <c r="T1907" s="53"/>
      <c r="U1907" s="53"/>
      <c r="V1907" s="53"/>
      <c r="W1907" s="53"/>
      <c r="X1907" s="53"/>
      <c r="Y1907" s="53"/>
      <c r="Z1907" s="53"/>
    </row>
    <row r="1908" spans="1:26" ht="15.75" customHeight="1">
      <c r="A1908" s="103"/>
      <c r="B1908" s="103"/>
      <c r="C1908" s="104" t="e">
        <v>#REF!</v>
      </c>
      <c r="D1908" s="103"/>
      <c r="E1908" s="53"/>
      <c r="F1908" s="53"/>
      <c r="G1908" s="53"/>
      <c r="H1908" s="53"/>
      <c r="I1908" s="53"/>
      <c r="J1908" s="53"/>
      <c r="K1908" s="53"/>
      <c r="L1908" s="53"/>
      <c r="M1908" s="53"/>
      <c r="N1908" s="53"/>
      <c r="O1908" s="53"/>
      <c r="P1908" s="53"/>
      <c r="Q1908" s="53"/>
      <c r="R1908" s="53"/>
      <c r="S1908" s="53"/>
      <c r="T1908" s="53"/>
      <c r="U1908" s="53"/>
      <c r="V1908" s="53"/>
      <c r="W1908" s="53"/>
      <c r="X1908" s="53"/>
      <c r="Y1908" s="53"/>
      <c r="Z1908" s="53"/>
    </row>
    <row r="1909" spans="1:26" ht="15.75" customHeight="1">
      <c r="A1909" s="103"/>
      <c r="B1909" s="103"/>
      <c r="C1909" s="104" t="e">
        <v>#REF!</v>
      </c>
      <c r="D1909" s="103"/>
      <c r="E1909" s="53"/>
      <c r="F1909" s="53"/>
      <c r="G1909" s="53"/>
      <c r="H1909" s="53"/>
      <c r="I1909" s="53"/>
      <c r="J1909" s="53"/>
      <c r="K1909" s="53"/>
      <c r="L1909" s="53"/>
      <c r="M1909" s="53"/>
      <c r="N1909" s="53"/>
      <c r="O1909" s="53"/>
      <c r="P1909" s="53"/>
      <c r="Q1909" s="53"/>
      <c r="R1909" s="53"/>
      <c r="S1909" s="53"/>
      <c r="T1909" s="53"/>
      <c r="U1909" s="53"/>
      <c r="V1909" s="53"/>
      <c r="W1909" s="53"/>
      <c r="X1909" s="53"/>
      <c r="Y1909" s="53"/>
      <c r="Z1909" s="53"/>
    </row>
    <row r="1910" spans="1:26" ht="15.75" customHeight="1">
      <c r="A1910" s="103"/>
      <c r="B1910" s="103"/>
      <c r="C1910" s="104" t="e">
        <v>#REF!</v>
      </c>
      <c r="D1910" s="103"/>
      <c r="E1910" s="53"/>
      <c r="F1910" s="53"/>
      <c r="G1910" s="53"/>
      <c r="H1910" s="53"/>
      <c r="I1910" s="53"/>
      <c r="J1910" s="53"/>
      <c r="K1910" s="53"/>
      <c r="L1910" s="53"/>
      <c r="M1910" s="53"/>
      <c r="N1910" s="53"/>
      <c r="O1910" s="53"/>
      <c r="P1910" s="53"/>
      <c r="Q1910" s="53"/>
      <c r="R1910" s="53"/>
      <c r="S1910" s="53"/>
      <c r="T1910" s="53"/>
      <c r="U1910" s="53"/>
      <c r="V1910" s="53"/>
      <c r="W1910" s="53"/>
      <c r="X1910" s="53"/>
      <c r="Y1910" s="53"/>
      <c r="Z1910" s="53"/>
    </row>
    <row r="1911" spans="1:26" ht="15.75" customHeight="1">
      <c r="A1911" s="103"/>
      <c r="B1911" s="103"/>
      <c r="C1911" s="104" t="e">
        <v>#REF!</v>
      </c>
      <c r="D1911" s="103"/>
      <c r="E1911" s="53"/>
      <c r="F1911" s="53"/>
      <c r="G1911" s="53"/>
      <c r="H1911" s="53"/>
      <c r="I1911" s="53"/>
      <c r="J1911" s="53"/>
      <c r="K1911" s="53"/>
      <c r="L1911" s="53"/>
      <c r="M1911" s="53"/>
      <c r="N1911" s="53"/>
      <c r="O1911" s="53"/>
      <c r="P1911" s="53"/>
      <c r="Q1911" s="53"/>
      <c r="R1911" s="53"/>
      <c r="S1911" s="53"/>
      <c r="T1911" s="53"/>
      <c r="U1911" s="53"/>
      <c r="V1911" s="53"/>
      <c r="W1911" s="53"/>
      <c r="X1911" s="53"/>
      <c r="Y1911" s="53"/>
      <c r="Z1911" s="53"/>
    </row>
    <row r="1912" spans="1:26" ht="15.75" customHeight="1">
      <c r="A1912" s="103"/>
      <c r="B1912" s="103"/>
      <c r="C1912" s="104" t="e">
        <v>#REF!</v>
      </c>
      <c r="D1912" s="103"/>
      <c r="E1912" s="53"/>
      <c r="F1912" s="53"/>
      <c r="G1912" s="53"/>
      <c r="H1912" s="53"/>
      <c r="I1912" s="53"/>
      <c r="J1912" s="53"/>
      <c r="K1912" s="53"/>
      <c r="L1912" s="53"/>
      <c r="M1912" s="53"/>
      <c r="N1912" s="53"/>
      <c r="O1912" s="53"/>
      <c r="P1912" s="53"/>
      <c r="Q1912" s="53"/>
      <c r="R1912" s="53"/>
      <c r="S1912" s="53"/>
      <c r="T1912" s="53"/>
      <c r="U1912" s="53"/>
      <c r="V1912" s="53"/>
      <c r="W1912" s="53"/>
      <c r="X1912" s="53"/>
      <c r="Y1912" s="53"/>
      <c r="Z1912" s="53"/>
    </row>
    <row r="1913" spans="1:26" ht="15.75" customHeight="1">
      <c r="A1913" s="103"/>
      <c r="B1913" s="103"/>
      <c r="C1913" s="104" t="e">
        <v>#REF!</v>
      </c>
      <c r="D1913" s="103"/>
      <c r="E1913" s="53"/>
      <c r="F1913" s="53"/>
      <c r="G1913" s="53"/>
      <c r="H1913" s="53"/>
      <c r="I1913" s="53"/>
      <c r="J1913" s="53"/>
      <c r="K1913" s="53"/>
      <c r="L1913" s="53"/>
      <c r="M1913" s="53"/>
      <c r="N1913" s="53"/>
      <c r="O1913" s="53"/>
      <c r="P1913" s="53"/>
      <c r="Q1913" s="53"/>
      <c r="R1913" s="53"/>
      <c r="S1913" s="53"/>
      <c r="T1913" s="53"/>
      <c r="U1913" s="53"/>
      <c r="V1913" s="53"/>
      <c r="W1913" s="53"/>
      <c r="X1913" s="53"/>
      <c r="Y1913" s="53"/>
      <c r="Z1913" s="53"/>
    </row>
    <row r="1914" spans="1:26" ht="15.75" customHeight="1">
      <c r="A1914" s="103"/>
      <c r="B1914" s="103"/>
      <c r="C1914" s="104" t="e">
        <v>#REF!</v>
      </c>
      <c r="D1914" s="103"/>
      <c r="E1914" s="53"/>
      <c r="F1914" s="53"/>
      <c r="G1914" s="53"/>
      <c r="H1914" s="53"/>
      <c r="I1914" s="53"/>
      <c r="J1914" s="53"/>
      <c r="K1914" s="53"/>
      <c r="L1914" s="53"/>
      <c r="M1914" s="53"/>
      <c r="N1914" s="53"/>
      <c r="O1914" s="53"/>
      <c r="P1914" s="53"/>
      <c r="Q1914" s="53"/>
      <c r="R1914" s="53"/>
      <c r="S1914" s="53"/>
      <c r="T1914" s="53"/>
      <c r="U1914" s="53"/>
      <c r="V1914" s="53"/>
      <c r="W1914" s="53"/>
      <c r="X1914" s="53"/>
      <c r="Y1914" s="53"/>
      <c r="Z1914" s="53"/>
    </row>
    <row r="1915" spans="1:26" ht="15.75" customHeight="1">
      <c r="A1915" s="103"/>
      <c r="B1915" s="103"/>
      <c r="C1915" s="104" t="e">
        <v>#REF!</v>
      </c>
      <c r="D1915" s="103"/>
      <c r="E1915" s="53"/>
      <c r="F1915" s="53"/>
      <c r="G1915" s="53"/>
      <c r="H1915" s="53"/>
      <c r="I1915" s="53"/>
      <c r="J1915" s="53"/>
      <c r="K1915" s="53"/>
      <c r="L1915" s="53"/>
      <c r="M1915" s="53"/>
      <c r="N1915" s="53"/>
      <c r="O1915" s="53"/>
      <c r="P1915" s="53"/>
      <c r="Q1915" s="53"/>
      <c r="R1915" s="53"/>
      <c r="S1915" s="53"/>
      <c r="T1915" s="53"/>
      <c r="U1915" s="53"/>
      <c r="V1915" s="53"/>
      <c r="W1915" s="53"/>
      <c r="X1915" s="53"/>
      <c r="Y1915" s="53"/>
      <c r="Z1915" s="53"/>
    </row>
    <row r="1916" spans="1:26" ht="15.75" customHeight="1">
      <c r="A1916" s="103"/>
      <c r="B1916" s="103"/>
      <c r="C1916" s="104" t="e">
        <v>#REF!</v>
      </c>
      <c r="D1916" s="103"/>
      <c r="E1916" s="53"/>
      <c r="F1916" s="53"/>
      <c r="G1916" s="53"/>
      <c r="H1916" s="53"/>
      <c r="I1916" s="53"/>
      <c r="J1916" s="53"/>
      <c r="K1916" s="53"/>
      <c r="L1916" s="53"/>
      <c r="M1916" s="53"/>
      <c r="N1916" s="53"/>
      <c r="O1916" s="53"/>
      <c r="P1916" s="53"/>
      <c r="Q1916" s="53"/>
      <c r="R1916" s="53"/>
      <c r="S1916" s="53"/>
      <c r="T1916" s="53"/>
      <c r="U1916" s="53"/>
      <c r="V1916" s="53"/>
      <c r="W1916" s="53"/>
      <c r="X1916" s="53"/>
      <c r="Y1916" s="53"/>
      <c r="Z1916" s="53"/>
    </row>
    <row r="1917" spans="1:26" ht="15.75" customHeight="1">
      <c r="A1917" s="103"/>
      <c r="B1917" s="103"/>
      <c r="C1917" s="104" t="e">
        <v>#REF!</v>
      </c>
      <c r="D1917" s="103"/>
      <c r="E1917" s="53"/>
      <c r="F1917" s="53"/>
      <c r="G1917" s="53"/>
      <c r="H1917" s="53"/>
      <c r="I1917" s="53"/>
      <c r="J1917" s="53"/>
      <c r="K1917" s="53"/>
      <c r="L1917" s="53"/>
      <c r="M1917" s="53"/>
      <c r="N1917" s="53"/>
      <c r="O1917" s="53"/>
      <c r="P1917" s="53"/>
      <c r="Q1917" s="53"/>
      <c r="R1917" s="53"/>
      <c r="S1917" s="53"/>
      <c r="T1917" s="53"/>
      <c r="U1917" s="53"/>
      <c r="V1917" s="53"/>
      <c r="W1917" s="53"/>
      <c r="X1917" s="53"/>
      <c r="Y1917" s="53"/>
      <c r="Z1917" s="53"/>
    </row>
    <row r="1918" spans="1:26" ht="15.75" customHeight="1">
      <c r="A1918" s="103"/>
      <c r="B1918" s="103"/>
      <c r="C1918" s="104" t="e">
        <v>#REF!</v>
      </c>
      <c r="D1918" s="103"/>
      <c r="E1918" s="53"/>
      <c r="F1918" s="53"/>
      <c r="G1918" s="53"/>
      <c r="H1918" s="53"/>
      <c r="I1918" s="53"/>
      <c r="J1918" s="53"/>
      <c r="K1918" s="53"/>
      <c r="L1918" s="53"/>
      <c r="M1918" s="53"/>
      <c r="N1918" s="53"/>
      <c r="O1918" s="53"/>
      <c r="P1918" s="53"/>
      <c r="Q1918" s="53"/>
      <c r="R1918" s="53"/>
      <c r="S1918" s="53"/>
      <c r="T1918" s="53"/>
      <c r="U1918" s="53"/>
      <c r="V1918" s="53"/>
      <c r="W1918" s="53"/>
      <c r="X1918" s="53"/>
      <c r="Y1918" s="53"/>
      <c r="Z1918" s="53"/>
    </row>
    <row r="1919" spans="1:26" ht="15.75" customHeight="1">
      <c r="A1919" s="103"/>
      <c r="B1919" s="103"/>
      <c r="C1919" s="104" t="e">
        <v>#REF!</v>
      </c>
      <c r="D1919" s="103"/>
      <c r="E1919" s="53"/>
      <c r="F1919" s="53"/>
      <c r="G1919" s="53"/>
      <c r="H1919" s="53"/>
      <c r="I1919" s="53"/>
      <c r="J1919" s="53"/>
      <c r="K1919" s="53"/>
      <c r="L1919" s="53"/>
      <c r="M1919" s="53"/>
      <c r="N1919" s="53"/>
      <c r="O1919" s="53"/>
      <c r="P1919" s="53"/>
      <c r="Q1919" s="53"/>
      <c r="R1919" s="53"/>
      <c r="S1919" s="53"/>
      <c r="T1919" s="53"/>
      <c r="U1919" s="53"/>
      <c r="V1919" s="53"/>
      <c r="W1919" s="53"/>
      <c r="X1919" s="53"/>
      <c r="Y1919" s="53"/>
      <c r="Z1919" s="53"/>
    </row>
    <row r="1920" spans="1:26" ht="15.75" customHeight="1">
      <c r="A1920" s="103"/>
      <c r="B1920" s="103"/>
      <c r="C1920" s="104" t="e">
        <v>#REF!</v>
      </c>
      <c r="D1920" s="103"/>
      <c r="E1920" s="53"/>
      <c r="F1920" s="53"/>
      <c r="G1920" s="53"/>
      <c r="H1920" s="53"/>
      <c r="I1920" s="53"/>
      <c r="J1920" s="53"/>
      <c r="K1920" s="53"/>
      <c r="L1920" s="53"/>
      <c r="M1920" s="53"/>
      <c r="N1920" s="53"/>
      <c r="O1920" s="53"/>
      <c r="P1920" s="53"/>
      <c r="Q1920" s="53"/>
      <c r="R1920" s="53"/>
      <c r="S1920" s="53"/>
      <c r="T1920" s="53"/>
      <c r="U1920" s="53"/>
      <c r="V1920" s="53"/>
      <c r="W1920" s="53"/>
      <c r="X1920" s="53"/>
      <c r="Y1920" s="53"/>
      <c r="Z1920" s="53"/>
    </row>
    <row r="1921" spans="1:26" ht="15.75" customHeight="1">
      <c r="A1921" s="103"/>
      <c r="B1921" s="103"/>
      <c r="C1921" s="104" t="e">
        <v>#REF!</v>
      </c>
      <c r="D1921" s="103"/>
      <c r="E1921" s="53"/>
      <c r="F1921" s="53"/>
      <c r="G1921" s="53"/>
      <c r="H1921" s="53"/>
      <c r="I1921" s="53"/>
      <c r="J1921" s="53"/>
      <c r="K1921" s="53"/>
      <c r="L1921" s="53"/>
      <c r="M1921" s="53"/>
      <c r="N1921" s="53"/>
      <c r="O1921" s="53"/>
      <c r="P1921" s="53"/>
      <c r="Q1921" s="53"/>
      <c r="R1921" s="53"/>
      <c r="S1921" s="53"/>
      <c r="T1921" s="53"/>
      <c r="U1921" s="53"/>
      <c r="V1921" s="53"/>
      <c r="W1921" s="53"/>
      <c r="X1921" s="53"/>
      <c r="Y1921" s="53"/>
      <c r="Z1921" s="53"/>
    </row>
    <row r="1922" spans="1:26" ht="15.75" customHeight="1">
      <c r="A1922" s="103"/>
      <c r="B1922" s="103"/>
      <c r="C1922" s="104" t="e">
        <v>#REF!</v>
      </c>
      <c r="D1922" s="103"/>
      <c r="E1922" s="53"/>
      <c r="F1922" s="53"/>
      <c r="G1922" s="53"/>
      <c r="H1922" s="53"/>
      <c r="I1922" s="53"/>
      <c r="J1922" s="53"/>
      <c r="K1922" s="53"/>
      <c r="L1922" s="53"/>
      <c r="M1922" s="53"/>
      <c r="N1922" s="53"/>
      <c r="O1922" s="53"/>
      <c r="P1922" s="53"/>
      <c r="Q1922" s="53"/>
      <c r="R1922" s="53"/>
      <c r="S1922" s="53"/>
      <c r="T1922" s="53"/>
      <c r="U1922" s="53"/>
      <c r="V1922" s="53"/>
      <c r="W1922" s="53"/>
      <c r="X1922" s="53"/>
      <c r="Y1922" s="53"/>
      <c r="Z1922" s="53"/>
    </row>
    <row r="1923" spans="1:26" ht="15.75" customHeight="1">
      <c r="A1923" s="103"/>
      <c r="B1923" s="103"/>
      <c r="C1923" s="104" t="e">
        <v>#REF!</v>
      </c>
      <c r="D1923" s="103"/>
      <c r="E1923" s="53"/>
      <c r="F1923" s="53"/>
      <c r="G1923" s="53"/>
      <c r="H1923" s="53"/>
      <c r="I1923" s="53"/>
      <c r="J1923" s="53"/>
      <c r="K1923" s="53"/>
      <c r="L1923" s="53"/>
      <c r="M1923" s="53"/>
      <c r="N1923" s="53"/>
      <c r="O1923" s="53"/>
      <c r="P1923" s="53"/>
      <c r="Q1923" s="53"/>
      <c r="R1923" s="53"/>
      <c r="S1923" s="53"/>
      <c r="T1923" s="53"/>
      <c r="U1923" s="53"/>
      <c r="V1923" s="53"/>
      <c r="W1923" s="53"/>
      <c r="X1923" s="53"/>
      <c r="Y1923" s="53"/>
      <c r="Z1923" s="53"/>
    </row>
    <row r="1924" spans="1:26" ht="15.75" customHeight="1">
      <c r="A1924" s="103"/>
      <c r="B1924" s="103"/>
      <c r="C1924" s="104" t="e">
        <v>#REF!</v>
      </c>
      <c r="D1924" s="103"/>
      <c r="E1924" s="53"/>
      <c r="F1924" s="53"/>
      <c r="G1924" s="53"/>
      <c r="H1924" s="53"/>
      <c r="I1924" s="53"/>
      <c r="J1924" s="53"/>
      <c r="K1924" s="53"/>
      <c r="L1924" s="53"/>
      <c r="M1924" s="53"/>
      <c r="N1924" s="53"/>
      <c r="O1924" s="53"/>
      <c r="P1924" s="53"/>
      <c r="Q1924" s="53"/>
      <c r="R1924" s="53"/>
      <c r="S1924" s="53"/>
      <c r="T1924" s="53"/>
      <c r="U1924" s="53"/>
      <c r="V1924" s="53"/>
      <c r="W1924" s="53"/>
      <c r="X1924" s="53"/>
      <c r="Y1924" s="53"/>
      <c r="Z1924" s="53"/>
    </row>
    <row r="1925" spans="1:26" ht="15.75" customHeight="1">
      <c r="A1925" s="103"/>
      <c r="B1925" s="103"/>
      <c r="C1925" s="104" t="e">
        <v>#REF!</v>
      </c>
      <c r="D1925" s="103"/>
      <c r="E1925" s="53"/>
      <c r="F1925" s="53"/>
      <c r="G1925" s="53"/>
      <c r="H1925" s="53"/>
      <c r="I1925" s="53"/>
      <c r="J1925" s="53"/>
      <c r="K1925" s="53"/>
      <c r="L1925" s="53"/>
      <c r="M1925" s="53"/>
      <c r="N1925" s="53"/>
      <c r="O1925" s="53"/>
      <c r="P1925" s="53"/>
      <c r="Q1925" s="53"/>
      <c r="R1925" s="53"/>
      <c r="S1925" s="53"/>
      <c r="T1925" s="53"/>
      <c r="U1925" s="53"/>
      <c r="V1925" s="53"/>
      <c r="W1925" s="53"/>
      <c r="X1925" s="53"/>
      <c r="Y1925" s="53"/>
      <c r="Z1925" s="53"/>
    </row>
    <row r="1926" spans="1:26" ht="15.75" customHeight="1">
      <c r="A1926" s="103"/>
      <c r="B1926" s="103"/>
      <c r="C1926" s="104" t="e">
        <v>#REF!</v>
      </c>
      <c r="D1926" s="103"/>
      <c r="E1926" s="53"/>
      <c r="F1926" s="53"/>
      <c r="G1926" s="53"/>
      <c r="H1926" s="53"/>
      <c r="I1926" s="53"/>
      <c r="J1926" s="53"/>
      <c r="K1926" s="53"/>
      <c r="L1926" s="53"/>
      <c r="M1926" s="53"/>
      <c r="N1926" s="53"/>
      <c r="O1926" s="53"/>
      <c r="P1926" s="53"/>
      <c r="Q1926" s="53"/>
      <c r="R1926" s="53"/>
      <c r="S1926" s="53"/>
      <c r="T1926" s="53"/>
      <c r="U1926" s="53"/>
      <c r="V1926" s="53"/>
      <c r="W1926" s="53"/>
      <c r="X1926" s="53"/>
      <c r="Y1926" s="53"/>
      <c r="Z1926" s="53"/>
    </row>
    <row r="1927" spans="1:26" ht="15.75" customHeight="1">
      <c r="A1927" s="103"/>
      <c r="B1927" s="103"/>
      <c r="C1927" s="104" t="e">
        <v>#REF!</v>
      </c>
      <c r="D1927" s="103"/>
      <c r="E1927" s="53"/>
      <c r="F1927" s="53"/>
      <c r="G1927" s="53"/>
      <c r="H1927" s="53"/>
      <c r="I1927" s="53"/>
      <c r="J1927" s="53"/>
      <c r="K1927" s="53"/>
      <c r="L1927" s="53"/>
      <c r="M1927" s="53"/>
      <c r="N1927" s="53"/>
      <c r="O1927" s="53"/>
      <c r="P1927" s="53"/>
      <c r="Q1927" s="53"/>
      <c r="R1927" s="53"/>
      <c r="S1927" s="53"/>
      <c r="T1927" s="53"/>
      <c r="U1927" s="53"/>
      <c r="V1927" s="53"/>
      <c r="W1927" s="53"/>
      <c r="X1927" s="53"/>
      <c r="Y1927" s="53"/>
      <c r="Z1927" s="53"/>
    </row>
    <row r="1928" spans="1:26" ht="15.75" customHeight="1">
      <c r="A1928" s="103"/>
      <c r="B1928" s="103"/>
      <c r="C1928" s="104" t="e">
        <v>#REF!</v>
      </c>
      <c r="D1928" s="103"/>
      <c r="E1928" s="53"/>
      <c r="F1928" s="53"/>
      <c r="G1928" s="53"/>
      <c r="H1928" s="53"/>
      <c r="I1928" s="53"/>
      <c r="J1928" s="53"/>
      <c r="K1928" s="53"/>
      <c r="L1928" s="53"/>
      <c r="M1928" s="53"/>
      <c r="N1928" s="53"/>
      <c r="O1928" s="53"/>
      <c r="P1928" s="53"/>
      <c r="Q1928" s="53"/>
      <c r="R1928" s="53"/>
      <c r="S1928" s="53"/>
      <c r="T1928" s="53"/>
      <c r="U1928" s="53"/>
      <c r="V1928" s="53"/>
      <c r="W1928" s="53"/>
      <c r="X1928" s="53"/>
      <c r="Y1928" s="53"/>
      <c r="Z1928" s="53"/>
    </row>
    <row r="1929" spans="1:26" ht="15.75" customHeight="1">
      <c r="A1929" s="103"/>
      <c r="B1929" s="103"/>
      <c r="C1929" s="104" t="e">
        <v>#REF!</v>
      </c>
      <c r="D1929" s="103"/>
      <c r="E1929" s="53"/>
      <c r="F1929" s="53"/>
      <c r="G1929" s="53"/>
      <c r="H1929" s="53"/>
      <c r="I1929" s="53"/>
      <c r="J1929" s="53"/>
      <c r="K1929" s="53"/>
      <c r="L1929" s="53"/>
      <c r="M1929" s="53"/>
      <c r="N1929" s="53"/>
      <c r="O1929" s="53"/>
      <c r="P1929" s="53"/>
      <c r="Q1929" s="53"/>
      <c r="R1929" s="53"/>
      <c r="S1929" s="53"/>
      <c r="T1929" s="53"/>
      <c r="U1929" s="53"/>
      <c r="V1929" s="53"/>
      <c r="W1929" s="53"/>
      <c r="X1929" s="53"/>
      <c r="Y1929" s="53"/>
      <c r="Z1929" s="53"/>
    </row>
    <row r="1930" spans="1:26" ht="15.75" customHeight="1">
      <c r="A1930" s="103"/>
      <c r="B1930" s="103"/>
      <c r="C1930" s="104" t="e">
        <v>#REF!</v>
      </c>
      <c r="D1930" s="103"/>
      <c r="E1930" s="53"/>
      <c r="F1930" s="53"/>
      <c r="G1930" s="53"/>
      <c r="H1930" s="53"/>
      <c r="I1930" s="53"/>
      <c r="J1930" s="53"/>
      <c r="K1930" s="53"/>
      <c r="L1930" s="53"/>
      <c r="M1930" s="53"/>
      <c r="N1930" s="53"/>
      <c r="O1930" s="53"/>
      <c r="P1930" s="53"/>
      <c r="Q1930" s="53"/>
      <c r="R1930" s="53"/>
      <c r="S1930" s="53"/>
      <c r="T1930" s="53"/>
      <c r="U1930" s="53"/>
      <c r="V1930" s="53"/>
      <c r="W1930" s="53"/>
      <c r="X1930" s="53"/>
      <c r="Y1930" s="53"/>
      <c r="Z1930" s="53"/>
    </row>
    <row r="1931" spans="1:26" ht="15.75" customHeight="1">
      <c r="A1931" s="103"/>
      <c r="B1931" s="103"/>
      <c r="C1931" s="104" t="e">
        <v>#REF!</v>
      </c>
      <c r="D1931" s="103"/>
      <c r="E1931" s="53"/>
      <c r="F1931" s="53"/>
      <c r="G1931" s="53"/>
      <c r="H1931" s="53"/>
      <c r="I1931" s="53"/>
      <c r="J1931" s="53"/>
      <c r="K1931" s="53"/>
      <c r="L1931" s="53"/>
      <c r="M1931" s="53"/>
      <c r="N1931" s="53"/>
      <c r="O1931" s="53"/>
      <c r="P1931" s="53"/>
      <c r="Q1931" s="53"/>
      <c r="R1931" s="53"/>
      <c r="S1931" s="53"/>
      <c r="T1931" s="53"/>
      <c r="U1931" s="53"/>
      <c r="V1931" s="53"/>
      <c r="W1931" s="53"/>
      <c r="X1931" s="53"/>
      <c r="Y1931" s="53"/>
      <c r="Z1931" s="53"/>
    </row>
    <row r="1932" spans="1:26" ht="15.75" customHeight="1">
      <c r="A1932" s="103"/>
      <c r="B1932" s="103"/>
      <c r="C1932" s="104" t="e">
        <v>#REF!</v>
      </c>
      <c r="D1932" s="103"/>
      <c r="E1932" s="53"/>
      <c r="F1932" s="53"/>
      <c r="G1932" s="53"/>
      <c r="H1932" s="53"/>
      <c r="I1932" s="53"/>
      <c r="J1932" s="53"/>
      <c r="K1932" s="53"/>
      <c r="L1932" s="53"/>
      <c r="M1932" s="53"/>
      <c r="N1932" s="53"/>
      <c r="O1932" s="53"/>
      <c r="P1932" s="53"/>
      <c r="Q1932" s="53"/>
      <c r="R1932" s="53"/>
      <c r="S1932" s="53"/>
      <c r="T1932" s="53"/>
      <c r="U1932" s="53"/>
      <c r="V1932" s="53"/>
      <c r="W1932" s="53"/>
      <c r="X1932" s="53"/>
      <c r="Y1932" s="53"/>
      <c r="Z1932" s="53"/>
    </row>
    <row r="1933" spans="1:26" ht="15.75" customHeight="1">
      <c r="A1933" s="103"/>
      <c r="B1933" s="103"/>
      <c r="C1933" s="104" t="e">
        <v>#REF!</v>
      </c>
      <c r="D1933" s="103"/>
      <c r="E1933" s="53"/>
      <c r="F1933" s="53"/>
      <c r="G1933" s="53"/>
      <c r="H1933" s="53"/>
      <c r="I1933" s="53"/>
      <c r="J1933" s="53"/>
      <c r="K1933" s="53"/>
      <c r="L1933" s="53"/>
      <c r="M1933" s="53"/>
      <c r="N1933" s="53"/>
      <c r="O1933" s="53"/>
      <c r="P1933" s="53"/>
      <c r="Q1933" s="53"/>
      <c r="R1933" s="53"/>
      <c r="S1933" s="53"/>
      <c r="T1933" s="53"/>
      <c r="U1933" s="53"/>
      <c r="V1933" s="53"/>
      <c r="W1933" s="53"/>
      <c r="X1933" s="53"/>
      <c r="Y1933" s="53"/>
      <c r="Z1933" s="53"/>
    </row>
    <row r="1934" spans="1:26" ht="15.75" customHeight="1">
      <c r="A1934" s="103"/>
      <c r="B1934" s="103"/>
      <c r="C1934" s="104" t="e">
        <v>#REF!</v>
      </c>
      <c r="D1934" s="103"/>
      <c r="E1934" s="53"/>
      <c r="F1934" s="53"/>
      <c r="G1934" s="53"/>
      <c r="H1934" s="53"/>
      <c r="I1934" s="53"/>
      <c r="J1934" s="53"/>
      <c r="K1934" s="53"/>
      <c r="L1934" s="53"/>
      <c r="M1934" s="53"/>
      <c r="N1934" s="53"/>
      <c r="O1934" s="53"/>
      <c r="P1934" s="53"/>
      <c r="Q1934" s="53"/>
      <c r="R1934" s="53"/>
      <c r="S1934" s="53"/>
      <c r="T1934" s="53"/>
      <c r="U1934" s="53"/>
      <c r="V1934" s="53"/>
      <c r="W1934" s="53"/>
      <c r="X1934" s="53"/>
      <c r="Y1934" s="53"/>
      <c r="Z1934" s="53"/>
    </row>
    <row r="1935" spans="1:26" ht="15.75" customHeight="1">
      <c r="A1935" s="103"/>
      <c r="B1935" s="103"/>
      <c r="C1935" s="104" t="e">
        <v>#REF!</v>
      </c>
      <c r="D1935" s="103"/>
      <c r="E1935" s="53"/>
      <c r="F1935" s="53"/>
      <c r="G1935" s="53"/>
      <c r="H1935" s="53"/>
      <c r="I1935" s="53"/>
      <c r="J1935" s="53"/>
      <c r="K1935" s="53"/>
      <c r="L1935" s="53"/>
      <c r="M1935" s="53"/>
      <c r="N1935" s="53"/>
      <c r="O1935" s="53"/>
      <c r="P1935" s="53"/>
      <c r="Q1935" s="53"/>
      <c r="R1935" s="53"/>
      <c r="S1935" s="53"/>
      <c r="T1935" s="53"/>
      <c r="U1935" s="53"/>
      <c r="V1935" s="53"/>
      <c r="W1935" s="53"/>
      <c r="X1935" s="53"/>
      <c r="Y1935" s="53"/>
      <c r="Z1935" s="53"/>
    </row>
    <row r="1936" spans="1:26" ht="15.75" customHeight="1">
      <c r="A1936" s="103"/>
      <c r="B1936" s="103"/>
      <c r="C1936" s="104" t="e">
        <v>#REF!</v>
      </c>
      <c r="D1936" s="103"/>
      <c r="E1936" s="53"/>
      <c r="F1936" s="53"/>
      <c r="G1936" s="53"/>
      <c r="H1936" s="53"/>
      <c r="I1936" s="53"/>
      <c r="J1936" s="53"/>
      <c r="K1936" s="53"/>
      <c r="L1936" s="53"/>
      <c r="M1936" s="53"/>
      <c r="N1936" s="53"/>
      <c r="O1936" s="53"/>
      <c r="P1936" s="53"/>
      <c r="Q1936" s="53"/>
      <c r="R1936" s="53"/>
      <c r="S1936" s="53"/>
      <c r="T1936" s="53"/>
      <c r="U1936" s="53"/>
      <c r="V1936" s="53"/>
      <c r="W1936" s="53"/>
      <c r="X1936" s="53"/>
      <c r="Y1936" s="53"/>
      <c r="Z1936" s="53"/>
    </row>
    <row r="1937" spans="1:26" ht="15.75" customHeight="1">
      <c r="A1937" s="103"/>
      <c r="B1937" s="103"/>
      <c r="C1937" s="104" t="e">
        <v>#REF!</v>
      </c>
      <c r="D1937" s="103"/>
      <c r="E1937" s="53"/>
      <c r="F1937" s="53"/>
      <c r="G1937" s="53"/>
      <c r="H1937" s="53"/>
      <c r="I1937" s="53"/>
      <c r="J1937" s="53"/>
      <c r="K1937" s="53"/>
      <c r="L1937" s="53"/>
      <c r="M1937" s="53"/>
      <c r="N1937" s="53"/>
      <c r="O1937" s="53"/>
      <c r="P1937" s="53"/>
      <c r="Q1937" s="53"/>
      <c r="R1937" s="53"/>
      <c r="S1937" s="53"/>
      <c r="T1937" s="53"/>
      <c r="U1937" s="53"/>
      <c r="V1937" s="53"/>
      <c r="W1937" s="53"/>
      <c r="X1937" s="53"/>
      <c r="Y1937" s="53"/>
      <c r="Z1937" s="53"/>
    </row>
    <row r="1938" spans="1:26" ht="15.75" customHeight="1">
      <c r="A1938" s="103"/>
      <c r="B1938" s="103"/>
      <c r="C1938" s="104" t="e">
        <v>#REF!</v>
      </c>
      <c r="D1938" s="103"/>
      <c r="E1938" s="53"/>
      <c r="F1938" s="53"/>
      <c r="G1938" s="53"/>
      <c r="H1938" s="53"/>
      <c r="I1938" s="53"/>
      <c r="J1938" s="53"/>
      <c r="K1938" s="53"/>
      <c r="L1938" s="53"/>
      <c r="M1938" s="53"/>
      <c r="N1938" s="53"/>
      <c r="O1938" s="53"/>
      <c r="P1938" s="53"/>
      <c r="Q1938" s="53"/>
      <c r="R1938" s="53"/>
      <c r="S1938" s="53"/>
      <c r="T1938" s="53"/>
      <c r="U1938" s="53"/>
      <c r="V1938" s="53"/>
      <c r="W1938" s="53"/>
      <c r="X1938" s="53"/>
      <c r="Y1938" s="53"/>
      <c r="Z1938" s="53"/>
    </row>
    <row r="1939" spans="1:26" ht="15.75" customHeight="1">
      <c r="A1939" s="103"/>
      <c r="B1939" s="103"/>
      <c r="C1939" s="104" t="e">
        <v>#REF!</v>
      </c>
      <c r="D1939" s="103"/>
      <c r="E1939" s="53"/>
      <c r="F1939" s="53"/>
      <c r="G1939" s="53"/>
      <c r="H1939" s="53"/>
      <c r="I1939" s="53"/>
      <c r="J1939" s="53"/>
      <c r="K1939" s="53"/>
      <c r="L1939" s="53"/>
      <c r="M1939" s="53"/>
      <c r="N1939" s="53"/>
      <c r="O1939" s="53"/>
      <c r="P1939" s="53"/>
      <c r="Q1939" s="53"/>
      <c r="R1939" s="53"/>
      <c r="S1939" s="53"/>
      <c r="T1939" s="53"/>
      <c r="U1939" s="53"/>
      <c r="V1939" s="53"/>
      <c r="W1939" s="53"/>
      <c r="X1939" s="53"/>
      <c r="Y1939" s="53"/>
      <c r="Z1939" s="53"/>
    </row>
    <row r="1940" spans="1:26" ht="15.75" customHeight="1">
      <c r="A1940" s="103"/>
      <c r="B1940" s="103"/>
      <c r="C1940" s="104" t="e">
        <v>#REF!</v>
      </c>
      <c r="D1940" s="103"/>
      <c r="E1940" s="53"/>
      <c r="F1940" s="53"/>
      <c r="G1940" s="53"/>
      <c r="H1940" s="53"/>
      <c r="I1940" s="53"/>
      <c r="J1940" s="53"/>
      <c r="K1940" s="53"/>
      <c r="L1940" s="53"/>
      <c r="M1940" s="53"/>
      <c r="N1940" s="53"/>
      <c r="O1940" s="53"/>
      <c r="P1940" s="53"/>
      <c r="Q1940" s="53"/>
      <c r="R1940" s="53"/>
      <c r="S1940" s="53"/>
      <c r="T1940" s="53"/>
      <c r="U1940" s="53"/>
      <c r="V1940" s="53"/>
      <c r="W1940" s="53"/>
      <c r="X1940" s="53"/>
      <c r="Y1940" s="53"/>
      <c r="Z1940" s="53"/>
    </row>
    <row r="1941" spans="1:26" ht="15.75" customHeight="1">
      <c r="A1941" s="103"/>
      <c r="B1941" s="103"/>
      <c r="C1941" s="104" t="e">
        <v>#REF!</v>
      </c>
      <c r="D1941" s="103"/>
      <c r="E1941" s="53"/>
      <c r="F1941" s="53"/>
      <c r="G1941" s="53"/>
      <c r="H1941" s="53"/>
      <c r="I1941" s="53"/>
      <c r="J1941" s="53"/>
      <c r="K1941" s="53"/>
      <c r="L1941" s="53"/>
      <c r="M1941" s="53"/>
      <c r="N1941" s="53"/>
      <c r="O1941" s="53"/>
      <c r="P1941" s="53"/>
      <c r="Q1941" s="53"/>
      <c r="R1941" s="53"/>
      <c r="S1941" s="53"/>
      <c r="T1941" s="53"/>
      <c r="U1941" s="53"/>
      <c r="V1941" s="53"/>
      <c r="W1941" s="53"/>
      <c r="X1941" s="53"/>
      <c r="Y1941" s="53"/>
      <c r="Z1941" s="53"/>
    </row>
    <row r="1942" spans="1:26" ht="15.75" customHeight="1">
      <c r="A1942" s="103"/>
      <c r="B1942" s="103"/>
      <c r="C1942" s="104" t="e">
        <v>#REF!</v>
      </c>
      <c r="D1942" s="103"/>
      <c r="E1942" s="53"/>
      <c r="F1942" s="53"/>
      <c r="G1942" s="53"/>
      <c r="H1942" s="53"/>
      <c r="I1942" s="53"/>
      <c r="J1942" s="53"/>
      <c r="K1942" s="53"/>
      <c r="L1942" s="53"/>
      <c r="M1942" s="53"/>
      <c r="N1942" s="53"/>
      <c r="O1942" s="53"/>
      <c r="P1942" s="53"/>
      <c r="Q1942" s="53"/>
      <c r="R1942" s="53"/>
      <c r="S1942" s="53"/>
      <c r="T1942" s="53"/>
      <c r="U1942" s="53"/>
      <c r="V1942" s="53"/>
      <c r="W1942" s="53"/>
      <c r="X1942" s="53"/>
      <c r="Y1942" s="53"/>
      <c r="Z1942" s="53"/>
    </row>
    <row r="1943" spans="1:26" ht="15.75" customHeight="1">
      <c r="A1943" s="103"/>
      <c r="B1943" s="103"/>
      <c r="C1943" s="104" t="e">
        <v>#REF!</v>
      </c>
      <c r="D1943" s="103"/>
      <c r="E1943" s="53"/>
      <c r="F1943" s="53"/>
      <c r="G1943" s="53"/>
      <c r="H1943" s="53"/>
      <c r="I1943" s="53"/>
      <c r="J1943" s="53"/>
      <c r="K1943" s="53"/>
      <c r="L1943" s="53"/>
      <c r="M1943" s="53"/>
      <c r="N1943" s="53"/>
      <c r="O1943" s="53"/>
      <c r="P1943" s="53"/>
      <c r="Q1943" s="53"/>
      <c r="R1943" s="53"/>
      <c r="S1943" s="53"/>
      <c r="T1943" s="53"/>
      <c r="U1943" s="53"/>
      <c r="V1943" s="53"/>
      <c r="W1943" s="53"/>
      <c r="X1943" s="53"/>
      <c r="Y1943" s="53"/>
      <c r="Z1943" s="53"/>
    </row>
    <row r="1944" spans="1:26" ht="15.75" customHeight="1">
      <c r="A1944" s="103"/>
      <c r="B1944" s="103"/>
      <c r="C1944" s="104" t="e">
        <v>#REF!</v>
      </c>
      <c r="D1944" s="103"/>
      <c r="E1944" s="53"/>
      <c r="F1944" s="53"/>
      <c r="G1944" s="53"/>
      <c r="H1944" s="53"/>
      <c r="I1944" s="53"/>
      <c r="J1944" s="53"/>
      <c r="K1944" s="53"/>
      <c r="L1944" s="53"/>
      <c r="M1944" s="53"/>
      <c r="N1944" s="53"/>
      <c r="O1944" s="53"/>
      <c r="P1944" s="53"/>
      <c r="Q1944" s="53"/>
      <c r="R1944" s="53"/>
      <c r="S1944" s="53"/>
      <c r="T1944" s="53"/>
      <c r="U1944" s="53"/>
      <c r="V1944" s="53"/>
      <c r="W1944" s="53"/>
      <c r="X1944" s="53"/>
      <c r="Y1944" s="53"/>
      <c r="Z1944" s="53"/>
    </row>
    <row r="1945" spans="1:26" ht="15.75" customHeight="1">
      <c r="A1945" s="103"/>
      <c r="B1945" s="103"/>
      <c r="C1945" s="104" t="e">
        <v>#REF!</v>
      </c>
      <c r="D1945" s="103"/>
      <c r="E1945" s="53"/>
      <c r="F1945" s="53"/>
      <c r="G1945" s="53"/>
      <c r="H1945" s="53"/>
      <c r="I1945" s="53"/>
      <c r="J1945" s="53"/>
      <c r="K1945" s="53"/>
      <c r="L1945" s="53"/>
      <c r="M1945" s="53"/>
      <c r="N1945" s="53"/>
      <c r="O1945" s="53"/>
      <c r="P1945" s="53"/>
      <c r="Q1945" s="53"/>
      <c r="R1945" s="53"/>
      <c r="S1945" s="53"/>
      <c r="T1945" s="53"/>
      <c r="U1945" s="53"/>
      <c r="V1945" s="53"/>
      <c r="W1945" s="53"/>
      <c r="X1945" s="53"/>
      <c r="Y1945" s="53"/>
      <c r="Z1945" s="53"/>
    </row>
    <row r="1946" spans="1:26" ht="15.75" customHeight="1">
      <c r="A1946" s="103"/>
      <c r="B1946" s="103"/>
      <c r="C1946" s="104" t="e">
        <v>#REF!</v>
      </c>
      <c r="D1946" s="103"/>
      <c r="E1946" s="53"/>
      <c r="F1946" s="53"/>
      <c r="G1946" s="53"/>
      <c r="H1946" s="53"/>
      <c r="I1946" s="53"/>
      <c r="J1946" s="53"/>
      <c r="K1946" s="53"/>
      <c r="L1946" s="53"/>
      <c r="M1946" s="53"/>
      <c r="N1946" s="53"/>
      <c r="O1946" s="53"/>
      <c r="P1946" s="53"/>
      <c r="Q1946" s="53"/>
      <c r="R1946" s="53"/>
      <c r="S1946" s="53"/>
      <c r="T1946" s="53"/>
      <c r="U1946" s="53"/>
      <c r="V1946" s="53"/>
      <c r="W1946" s="53"/>
      <c r="X1946" s="53"/>
      <c r="Y1946" s="53"/>
      <c r="Z1946" s="53"/>
    </row>
    <row r="1947" spans="1:26" ht="15.75" customHeight="1">
      <c r="A1947" s="103"/>
      <c r="B1947" s="103"/>
      <c r="C1947" s="104" t="e">
        <v>#REF!</v>
      </c>
      <c r="D1947" s="103"/>
      <c r="E1947" s="53"/>
      <c r="F1947" s="53"/>
      <c r="G1947" s="53"/>
      <c r="H1947" s="53"/>
      <c r="I1947" s="53"/>
      <c r="J1947" s="53"/>
      <c r="K1947" s="53"/>
      <c r="L1947" s="53"/>
      <c r="M1947" s="53"/>
      <c r="N1947" s="53"/>
      <c r="O1947" s="53"/>
      <c r="P1947" s="53"/>
      <c r="Q1947" s="53"/>
      <c r="R1947" s="53"/>
      <c r="S1947" s="53"/>
      <c r="T1947" s="53"/>
      <c r="U1947" s="53"/>
      <c r="V1947" s="53"/>
      <c r="W1947" s="53"/>
      <c r="X1947" s="53"/>
      <c r="Y1947" s="53"/>
      <c r="Z1947" s="53"/>
    </row>
    <row r="1948" spans="1:26" ht="15.75" customHeight="1">
      <c r="A1948" s="103"/>
      <c r="B1948" s="103"/>
      <c r="C1948" s="104" t="e">
        <v>#REF!</v>
      </c>
      <c r="D1948" s="103"/>
      <c r="E1948" s="53"/>
      <c r="F1948" s="53"/>
      <c r="G1948" s="53"/>
      <c r="H1948" s="53"/>
      <c r="I1948" s="53"/>
      <c r="J1948" s="53"/>
      <c r="K1948" s="53"/>
      <c r="L1948" s="53"/>
      <c r="M1948" s="53"/>
      <c r="N1948" s="53"/>
      <c r="O1948" s="53"/>
      <c r="P1948" s="53"/>
      <c r="Q1948" s="53"/>
      <c r="R1948" s="53"/>
      <c r="S1948" s="53"/>
      <c r="T1948" s="53"/>
      <c r="U1948" s="53"/>
      <c r="V1948" s="53"/>
      <c r="W1948" s="53"/>
      <c r="X1948" s="53"/>
      <c r="Y1948" s="53"/>
      <c r="Z1948" s="53"/>
    </row>
    <row r="1949" spans="1:26" ht="15.75" customHeight="1">
      <c r="A1949" s="103"/>
      <c r="B1949" s="103"/>
      <c r="C1949" s="104" t="e">
        <v>#REF!</v>
      </c>
      <c r="D1949" s="103"/>
      <c r="E1949" s="53"/>
      <c r="F1949" s="53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53"/>
      <c r="T1949" s="53"/>
      <c r="U1949" s="53"/>
      <c r="V1949" s="53"/>
      <c r="W1949" s="53"/>
      <c r="X1949" s="53"/>
      <c r="Y1949" s="53"/>
      <c r="Z1949" s="53"/>
    </row>
    <row r="1950" spans="1:26" ht="15.75" customHeight="1">
      <c r="A1950" s="103"/>
      <c r="B1950" s="103"/>
      <c r="C1950" s="104" t="e">
        <v>#REF!</v>
      </c>
      <c r="D1950" s="103"/>
      <c r="E1950" s="53"/>
      <c r="F1950" s="53"/>
      <c r="G1950" s="53"/>
      <c r="H1950" s="53"/>
      <c r="I1950" s="53"/>
      <c r="J1950" s="53"/>
      <c r="K1950" s="53"/>
      <c r="L1950" s="53"/>
      <c r="M1950" s="53"/>
      <c r="N1950" s="53"/>
      <c r="O1950" s="53"/>
      <c r="P1950" s="53"/>
      <c r="Q1950" s="53"/>
      <c r="R1950" s="53"/>
      <c r="S1950" s="53"/>
      <c r="T1950" s="53"/>
      <c r="U1950" s="53"/>
      <c r="V1950" s="53"/>
      <c r="W1950" s="53"/>
      <c r="X1950" s="53"/>
      <c r="Y1950" s="53"/>
      <c r="Z1950" s="53"/>
    </row>
    <row r="1951" spans="1:26" ht="15.75" customHeight="1">
      <c r="A1951" s="103"/>
      <c r="B1951" s="103"/>
      <c r="C1951" s="104" t="e">
        <v>#REF!</v>
      </c>
      <c r="D1951" s="103"/>
      <c r="E1951" s="53"/>
      <c r="F1951" s="53"/>
      <c r="G1951" s="53"/>
      <c r="H1951" s="53"/>
      <c r="I1951" s="53"/>
      <c r="J1951" s="53"/>
      <c r="K1951" s="53"/>
      <c r="L1951" s="53"/>
      <c r="M1951" s="53"/>
      <c r="N1951" s="53"/>
      <c r="O1951" s="53"/>
      <c r="P1951" s="53"/>
      <c r="Q1951" s="53"/>
      <c r="R1951" s="53"/>
      <c r="S1951" s="53"/>
      <c r="T1951" s="53"/>
      <c r="U1951" s="53"/>
      <c r="V1951" s="53"/>
      <c r="W1951" s="53"/>
      <c r="X1951" s="53"/>
      <c r="Y1951" s="53"/>
      <c r="Z1951" s="53"/>
    </row>
    <row r="1952" spans="1:26" ht="15.75" customHeight="1">
      <c r="A1952" s="103"/>
      <c r="B1952" s="103"/>
      <c r="C1952" s="104" t="e">
        <v>#REF!</v>
      </c>
      <c r="D1952" s="103"/>
      <c r="E1952" s="53"/>
      <c r="F1952" s="53"/>
      <c r="G1952" s="53"/>
      <c r="H1952" s="53"/>
      <c r="I1952" s="53"/>
      <c r="J1952" s="53"/>
      <c r="K1952" s="53"/>
      <c r="L1952" s="53"/>
      <c r="M1952" s="53"/>
      <c r="N1952" s="53"/>
      <c r="O1952" s="53"/>
      <c r="P1952" s="53"/>
      <c r="Q1952" s="53"/>
      <c r="R1952" s="53"/>
      <c r="S1952" s="53"/>
      <c r="T1952" s="53"/>
      <c r="U1952" s="53"/>
      <c r="V1952" s="53"/>
      <c r="W1952" s="53"/>
      <c r="X1952" s="53"/>
      <c r="Y1952" s="53"/>
      <c r="Z1952" s="53"/>
    </row>
    <row r="1953" spans="1:26" ht="15.75" customHeight="1">
      <c r="A1953" s="103"/>
      <c r="B1953" s="103"/>
      <c r="C1953" s="104" t="e">
        <v>#REF!</v>
      </c>
      <c r="D1953" s="103"/>
      <c r="E1953" s="53"/>
      <c r="F1953" s="53"/>
      <c r="G1953" s="53"/>
      <c r="H1953" s="53"/>
      <c r="I1953" s="53"/>
      <c r="J1953" s="53"/>
      <c r="K1953" s="53"/>
      <c r="L1953" s="53"/>
      <c r="M1953" s="53"/>
      <c r="N1953" s="53"/>
      <c r="O1953" s="53"/>
      <c r="P1953" s="53"/>
      <c r="Q1953" s="53"/>
      <c r="R1953" s="53"/>
      <c r="S1953" s="53"/>
      <c r="T1953" s="53"/>
      <c r="U1953" s="53"/>
      <c r="V1953" s="53"/>
      <c r="W1953" s="53"/>
      <c r="X1953" s="53"/>
      <c r="Y1953" s="53"/>
      <c r="Z1953" s="53"/>
    </row>
    <row r="1954" spans="1:26" ht="15.75" customHeight="1">
      <c r="A1954" s="103"/>
      <c r="B1954" s="103"/>
      <c r="C1954" s="104" t="e">
        <v>#REF!</v>
      </c>
      <c r="D1954" s="103"/>
      <c r="E1954" s="53"/>
      <c r="F1954" s="53"/>
      <c r="G1954" s="53"/>
      <c r="H1954" s="53"/>
      <c r="I1954" s="53"/>
      <c r="J1954" s="53"/>
      <c r="K1954" s="53"/>
      <c r="L1954" s="53"/>
      <c r="M1954" s="53"/>
      <c r="N1954" s="53"/>
      <c r="O1954" s="53"/>
      <c r="P1954" s="53"/>
      <c r="Q1954" s="53"/>
      <c r="R1954" s="53"/>
      <c r="S1954" s="53"/>
      <c r="T1954" s="53"/>
      <c r="U1954" s="53"/>
      <c r="V1954" s="53"/>
      <c r="W1954" s="53"/>
      <c r="X1954" s="53"/>
      <c r="Y1954" s="53"/>
      <c r="Z1954" s="53"/>
    </row>
    <row r="1955" spans="1:26" ht="15.75" customHeight="1">
      <c r="A1955" s="103"/>
      <c r="B1955" s="103"/>
      <c r="C1955" s="104" t="e">
        <v>#REF!</v>
      </c>
      <c r="D1955" s="103"/>
      <c r="E1955" s="53"/>
      <c r="F1955" s="53"/>
      <c r="G1955" s="53"/>
      <c r="H1955" s="53"/>
      <c r="I1955" s="53"/>
      <c r="J1955" s="53"/>
      <c r="K1955" s="53"/>
      <c r="L1955" s="53"/>
      <c r="M1955" s="53"/>
      <c r="N1955" s="53"/>
      <c r="O1955" s="53"/>
      <c r="P1955" s="53"/>
      <c r="Q1955" s="53"/>
      <c r="R1955" s="53"/>
      <c r="S1955" s="53"/>
      <c r="T1955" s="53"/>
      <c r="U1955" s="53"/>
      <c r="V1955" s="53"/>
      <c r="W1955" s="53"/>
      <c r="X1955" s="53"/>
      <c r="Y1955" s="53"/>
      <c r="Z1955" s="53"/>
    </row>
    <row r="1956" spans="1:26" ht="15.75" customHeight="1">
      <c r="A1956" s="103"/>
      <c r="B1956" s="103"/>
      <c r="C1956" s="104" t="e">
        <v>#REF!</v>
      </c>
      <c r="D1956" s="103"/>
      <c r="E1956" s="53"/>
      <c r="F1956" s="53"/>
      <c r="G1956" s="53"/>
      <c r="H1956" s="53"/>
      <c r="I1956" s="53"/>
      <c r="J1956" s="53"/>
      <c r="K1956" s="53"/>
      <c r="L1956" s="53"/>
      <c r="M1956" s="53"/>
      <c r="N1956" s="53"/>
      <c r="O1956" s="53"/>
      <c r="P1956" s="53"/>
      <c r="Q1956" s="53"/>
      <c r="R1956" s="53"/>
      <c r="S1956" s="53"/>
      <c r="T1956" s="53"/>
      <c r="U1956" s="53"/>
      <c r="V1956" s="53"/>
      <c r="W1956" s="53"/>
      <c r="X1956" s="53"/>
      <c r="Y1956" s="53"/>
      <c r="Z1956" s="53"/>
    </row>
    <row r="1957" spans="1:26" ht="15.75" customHeight="1">
      <c r="A1957" s="103"/>
      <c r="B1957" s="103"/>
      <c r="C1957" s="104" t="e">
        <v>#REF!</v>
      </c>
      <c r="D1957" s="103"/>
      <c r="E1957" s="53"/>
      <c r="F1957" s="53"/>
      <c r="G1957" s="53"/>
      <c r="H1957" s="53"/>
      <c r="I1957" s="53"/>
      <c r="J1957" s="53"/>
      <c r="K1957" s="53"/>
      <c r="L1957" s="53"/>
      <c r="M1957" s="53"/>
      <c r="N1957" s="53"/>
      <c r="O1957" s="53"/>
      <c r="P1957" s="53"/>
      <c r="Q1957" s="53"/>
      <c r="R1957" s="53"/>
      <c r="S1957" s="53"/>
      <c r="T1957" s="53"/>
      <c r="U1957" s="53"/>
      <c r="V1957" s="53"/>
      <c r="W1957" s="53"/>
      <c r="X1957" s="53"/>
      <c r="Y1957" s="53"/>
      <c r="Z1957" s="53"/>
    </row>
    <row r="1958" spans="1:26" ht="15.75" customHeight="1">
      <c r="A1958" s="103"/>
      <c r="B1958" s="103"/>
      <c r="C1958" s="104" t="e">
        <v>#REF!</v>
      </c>
      <c r="D1958" s="103"/>
      <c r="E1958" s="53"/>
      <c r="F1958" s="53"/>
      <c r="G1958" s="53"/>
      <c r="H1958" s="53"/>
      <c r="I1958" s="53"/>
      <c r="J1958" s="53"/>
      <c r="K1958" s="53"/>
      <c r="L1958" s="53"/>
      <c r="M1958" s="53"/>
      <c r="N1958" s="53"/>
      <c r="O1958" s="53"/>
      <c r="P1958" s="53"/>
      <c r="Q1958" s="53"/>
      <c r="R1958" s="53"/>
      <c r="S1958" s="53"/>
      <c r="T1958" s="53"/>
      <c r="U1958" s="53"/>
      <c r="V1958" s="53"/>
      <c r="W1958" s="53"/>
      <c r="X1958" s="53"/>
      <c r="Y1958" s="53"/>
      <c r="Z1958" s="53"/>
    </row>
    <row r="1959" spans="1:26" ht="15.75" customHeight="1">
      <c r="A1959" s="103"/>
      <c r="B1959" s="103"/>
      <c r="C1959" s="104" t="e">
        <v>#REF!</v>
      </c>
      <c r="D1959" s="103"/>
      <c r="E1959" s="53"/>
      <c r="F1959" s="53"/>
      <c r="G1959" s="53"/>
      <c r="H1959" s="53"/>
      <c r="I1959" s="53"/>
      <c r="J1959" s="53"/>
      <c r="K1959" s="53"/>
      <c r="L1959" s="53"/>
      <c r="M1959" s="53"/>
      <c r="N1959" s="53"/>
      <c r="O1959" s="53"/>
      <c r="P1959" s="53"/>
      <c r="Q1959" s="53"/>
      <c r="R1959" s="53"/>
      <c r="S1959" s="53"/>
      <c r="T1959" s="53"/>
      <c r="U1959" s="53"/>
      <c r="V1959" s="53"/>
      <c r="W1959" s="53"/>
      <c r="X1959" s="53"/>
      <c r="Y1959" s="53"/>
      <c r="Z1959" s="53"/>
    </row>
    <row r="1960" spans="1:26" ht="15.75" customHeight="1">
      <c r="A1960" s="103"/>
      <c r="B1960" s="103"/>
      <c r="C1960" s="104" t="e">
        <v>#REF!</v>
      </c>
      <c r="D1960" s="103"/>
      <c r="E1960" s="53"/>
      <c r="F1960" s="53"/>
      <c r="G1960" s="53"/>
      <c r="H1960" s="53"/>
      <c r="I1960" s="53"/>
      <c r="J1960" s="53"/>
      <c r="K1960" s="53"/>
      <c r="L1960" s="53"/>
      <c r="M1960" s="53"/>
      <c r="N1960" s="53"/>
      <c r="O1960" s="53"/>
      <c r="P1960" s="53"/>
      <c r="Q1960" s="53"/>
      <c r="R1960" s="53"/>
      <c r="S1960" s="53"/>
      <c r="T1960" s="53"/>
      <c r="U1960" s="53"/>
      <c r="V1960" s="53"/>
      <c r="W1960" s="53"/>
      <c r="X1960" s="53"/>
      <c r="Y1960" s="53"/>
      <c r="Z1960" s="53"/>
    </row>
    <row r="1961" spans="1:26" ht="15.75" customHeight="1">
      <c r="A1961" s="103"/>
      <c r="B1961" s="103"/>
      <c r="C1961" s="104" t="e">
        <v>#REF!</v>
      </c>
      <c r="D1961" s="103"/>
      <c r="E1961" s="53"/>
      <c r="F1961" s="53"/>
      <c r="G1961" s="53"/>
      <c r="H1961" s="53"/>
      <c r="I1961" s="53"/>
      <c r="J1961" s="53"/>
      <c r="K1961" s="53"/>
      <c r="L1961" s="53"/>
      <c r="M1961" s="53"/>
      <c r="N1961" s="53"/>
      <c r="O1961" s="53"/>
      <c r="P1961" s="53"/>
      <c r="Q1961" s="53"/>
      <c r="R1961" s="53"/>
      <c r="S1961" s="53"/>
      <c r="T1961" s="53"/>
      <c r="U1961" s="53"/>
      <c r="V1961" s="53"/>
      <c r="W1961" s="53"/>
      <c r="X1961" s="53"/>
      <c r="Y1961" s="53"/>
      <c r="Z1961" s="53"/>
    </row>
    <row r="1962" spans="1:26" ht="15.75" customHeight="1">
      <c r="A1962" s="103"/>
      <c r="B1962" s="103"/>
      <c r="C1962" s="104" t="e">
        <v>#REF!</v>
      </c>
      <c r="D1962" s="103"/>
      <c r="E1962" s="53"/>
      <c r="F1962" s="53"/>
      <c r="G1962" s="53"/>
      <c r="H1962" s="53"/>
      <c r="I1962" s="53"/>
      <c r="J1962" s="53"/>
      <c r="K1962" s="53"/>
      <c r="L1962" s="53"/>
      <c r="M1962" s="53"/>
      <c r="N1962" s="53"/>
      <c r="O1962" s="53"/>
      <c r="P1962" s="53"/>
      <c r="Q1962" s="53"/>
      <c r="R1962" s="53"/>
      <c r="S1962" s="53"/>
      <c r="T1962" s="53"/>
      <c r="U1962" s="53"/>
      <c r="V1962" s="53"/>
      <c r="W1962" s="53"/>
      <c r="X1962" s="53"/>
      <c r="Y1962" s="53"/>
      <c r="Z1962" s="53"/>
    </row>
    <row r="1963" spans="1:26" ht="15.75" customHeight="1">
      <c r="A1963" s="103"/>
      <c r="B1963" s="103"/>
      <c r="C1963" s="104" t="e">
        <v>#REF!</v>
      </c>
      <c r="D1963" s="103"/>
      <c r="E1963" s="53"/>
      <c r="F1963" s="53"/>
      <c r="G1963" s="53"/>
      <c r="H1963" s="53"/>
      <c r="I1963" s="53"/>
      <c r="J1963" s="53"/>
      <c r="K1963" s="53"/>
      <c r="L1963" s="53"/>
      <c r="M1963" s="53"/>
      <c r="N1963" s="53"/>
      <c r="O1963" s="53"/>
      <c r="P1963" s="53"/>
      <c r="Q1963" s="53"/>
      <c r="R1963" s="53"/>
      <c r="S1963" s="53"/>
      <c r="T1963" s="53"/>
      <c r="U1963" s="53"/>
      <c r="V1963" s="53"/>
      <c r="W1963" s="53"/>
      <c r="X1963" s="53"/>
      <c r="Y1963" s="53"/>
      <c r="Z1963" s="53"/>
    </row>
    <row r="1964" spans="1:26" ht="15.75" customHeight="1">
      <c r="A1964" s="103"/>
      <c r="B1964" s="103"/>
      <c r="C1964" s="104" t="e">
        <v>#REF!</v>
      </c>
      <c r="D1964" s="103"/>
      <c r="E1964" s="53"/>
      <c r="F1964" s="53"/>
      <c r="G1964" s="53"/>
      <c r="H1964" s="53"/>
      <c r="I1964" s="53"/>
      <c r="J1964" s="53"/>
      <c r="K1964" s="53"/>
      <c r="L1964" s="53"/>
      <c r="M1964" s="53"/>
      <c r="N1964" s="53"/>
      <c r="O1964" s="53"/>
      <c r="P1964" s="53"/>
      <c r="Q1964" s="53"/>
      <c r="R1964" s="53"/>
      <c r="S1964" s="53"/>
      <c r="T1964" s="53"/>
      <c r="U1964" s="53"/>
      <c r="V1964" s="53"/>
      <c r="W1964" s="53"/>
      <c r="X1964" s="53"/>
      <c r="Y1964" s="53"/>
      <c r="Z1964" s="53"/>
    </row>
    <row r="1965" spans="1:26" ht="15.75" customHeight="1">
      <c r="A1965" s="103"/>
      <c r="B1965" s="103"/>
      <c r="C1965" s="104" t="e">
        <v>#REF!</v>
      </c>
      <c r="D1965" s="103"/>
      <c r="E1965" s="53"/>
      <c r="F1965" s="53"/>
      <c r="G1965" s="53"/>
      <c r="H1965" s="53"/>
      <c r="I1965" s="53"/>
      <c r="J1965" s="53"/>
      <c r="K1965" s="53"/>
      <c r="L1965" s="53"/>
      <c r="M1965" s="53"/>
      <c r="N1965" s="53"/>
      <c r="O1965" s="53"/>
      <c r="P1965" s="53"/>
      <c r="Q1965" s="53"/>
      <c r="R1965" s="53"/>
      <c r="S1965" s="53"/>
      <c r="T1965" s="53"/>
      <c r="U1965" s="53"/>
      <c r="V1965" s="53"/>
      <c r="W1965" s="53"/>
      <c r="X1965" s="53"/>
      <c r="Y1965" s="53"/>
      <c r="Z1965" s="53"/>
    </row>
    <row r="1966" spans="1:26" ht="15.75" customHeight="1">
      <c r="A1966" s="103"/>
      <c r="B1966" s="103"/>
      <c r="C1966" s="104" t="e">
        <v>#REF!</v>
      </c>
      <c r="D1966" s="103"/>
      <c r="E1966" s="53"/>
      <c r="F1966" s="53"/>
      <c r="G1966" s="53"/>
      <c r="H1966" s="53"/>
      <c r="I1966" s="53"/>
      <c r="J1966" s="53"/>
      <c r="K1966" s="53"/>
      <c r="L1966" s="53"/>
      <c r="M1966" s="53"/>
      <c r="N1966" s="53"/>
      <c r="O1966" s="53"/>
      <c r="P1966" s="53"/>
      <c r="Q1966" s="53"/>
      <c r="R1966" s="53"/>
      <c r="S1966" s="53"/>
      <c r="T1966" s="53"/>
      <c r="U1966" s="53"/>
      <c r="V1966" s="53"/>
      <c r="W1966" s="53"/>
      <c r="X1966" s="53"/>
      <c r="Y1966" s="53"/>
      <c r="Z1966" s="53"/>
    </row>
    <row r="1967" spans="1:26" ht="15.75" customHeight="1">
      <c r="A1967" s="103"/>
      <c r="B1967" s="103"/>
      <c r="C1967" s="104" t="e">
        <v>#REF!</v>
      </c>
      <c r="D1967" s="103"/>
      <c r="E1967" s="53"/>
      <c r="F1967" s="53"/>
      <c r="G1967" s="53"/>
      <c r="H1967" s="53"/>
      <c r="I1967" s="53"/>
      <c r="J1967" s="53"/>
      <c r="K1967" s="53"/>
      <c r="L1967" s="53"/>
      <c r="M1967" s="53"/>
      <c r="N1967" s="53"/>
      <c r="O1967" s="53"/>
      <c r="P1967" s="53"/>
      <c r="Q1967" s="53"/>
      <c r="R1967" s="53"/>
      <c r="S1967" s="53"/>
      <c r="T1967" s="53"/>
      <c r="U1967" s="53"/>
      <c r="V1967" s="53"/>
      <c r="W1967" s="53"/>
      <c r="X1967" s="53"/>
      <c r="Y1967" s="53"/>
      <c r="Z1967" s="53"/>
    </row>
    <row r="1968" spans="1:26" ht="15.75" customHeight="1">
      <c r="A1968" s="103"/>
      <c r="B1968" s="103"/>
      <c r="C1968" s="104" t="e">
        <v>#REF!</v>
      </c>
      <c r="D1968" s="103"/>
      <c r="E1968" s="53"/>
      <c r="F1968" s="53"/>
      <c r="G1968" s="53"/>
      <c r="H1968" s="53"/>
      <c r="I1968" s="53"/>
      <c r="J1968" s="53"/>
      <c r="K1968" s="53"/>
      <c r="L1968" s="53"/>
      <c r="M1968" s="53"/>
      <c r="N1968" s="53"/>
      <c r="O1968" s="53"/>
      <c r="P1968" s="53"/>
      <c r="Q1968" s="53"/>
      <c r="R1968" s="53"/>
      <c r="S1968" s="53"/>
      <c r="T1968" s="53"/>
      <c r="U1968" s="53"/>
      <c r="V1968" s="53"/>
      <c r="W1968" s="53"/>
      <c r="X1968" s="53"/>
      <c r="Y1968" s="53"/>
      <c r="Z1968" s="53"/>
    </row>
    <row r="1969" spans="1:26" ht="15.75" customHeight="1">
      <c r="A1969" s="103"/>
      <c r="B1969" s="103"/>
      <c r="C1969" s="104" t="e">
        <v>#REF!</v>
      </c>
      <c r="D1969" s="103"/>
      <c r="E1969" s="53"/>
      <c r="F1969" s="53"/>
      <c r="G1969" s="53"/>
      <c r="H1969" s="53"/>
      <c r="I1969" s="53"/>
      <c r="J1969" s="53"/>
      <c r="K1969" s="53"/>
      <c r="L1969" s="53"/>
      <c r="M1969" s="53"/>
      <c r="N1969" s="53"/>
      <c r="O1969" s="53"/>
      <c r="P1969" s="53"/>
      <c r="Q1969" s="53"/>
      <c r="R1969" s="53"/>
      <c r="S1969" s="53"/>
      <c r="T1969" s="53"/>
      <c r="U1969" s="53"/>
      <c r="V1969" s="53"/>
      <c r="W1969" s="53"/>
      <c r="X1969" s="53"/>
      <c r="Y1969" s="53"/>
      <c r="Z1969" s="53"/>
    </row>
    <row r="1970" spans="1:26" ht="15.75" customHeight="1">
      <c r="A1970" s="103"/>
      <c r="B1970" s="103"/>
      <c r="C1970" s="104" t="e">
        <v>#REF!</v>
      </c>
      <c r="D1970" s="103"/>
      <c r="E1970" s="53"/>
      <c r="F1970" s="53"/>
      <c r="G1970" s="53"/>
      <c r="H1970" s="53"/>
      <c r="I1970" s="53"/>
      <c r="J1970" s="53"/>
      <c r="K1970" s="53"/>
      <c r="L1970" s="53"/>
      <c r="M1970" s="53"/>
      <c r="N1970" s="53"/>
      <c r="O1970" s="53"/>
      <c r="P1970" s="53"/>
      <c r="Q1970" s="53"/>
      <c r="R1970" s="53"/>
      <c r="S1970" s="53"/>
      <c r="T1970" s="53"/>
      <c r="U1970" s="53"/>
      <c r="V1970" s="53"/>
      <c r="W1970" s="53"/>
      <c r="X1970" s="53"/>
      <c r="Y1970" s="53"/>
      <c r="Z1970" s="53"/>
    </row>
    <row r="1971" spans="1:26" ht="15.75" customHeight="1">
      <c r="A1971" s="103"/>
      <c r="B1971" s="103"/>
      <c r="C1971" s="104" t="e">
        <v>#REF!</v>
      </c>
      <c r="D1971" s="103"/>
      <c r="E1971" s="53"/>
      <c r="F1971" s="53"/>
      <c r="G1971" s="53"/>
      <c r="H1971" s="53"/>
      <c r="I1971" s="53"/>
      <c r="J1971" s="53"/>
      <c r="K1971" s="53"/>
      <c r="L1971" s="53"/>
      <c r="M1971" s="53"/>
      <c r="N1971" s="53"/>
      <c r="O1971" s="53"/>
      <c r="P1971" s="53"/>
      <c r="Q1971" s="53"/>
      <c r="R1971" s="53"/>
      <c r="S1971" s="53"/>
      <c r="T1971" s="53"/>
      <c r="U1971" s="53"/>
      <c r="V1971" s="53"/>
      <c r="W1971" s="53"/>
      <c r="X1971" s="53"/>
      <c r="Y1971" s="53"/>
      <c r="Z1971" s="53"/>
    </row>
    <row r="1972" spans="1:26" ht="15.75" customHeight="1">
      <c r="A1972" s="103"/>
      <c r="B1972" s="103"/>
      <c r="C1972" s="104" t="e">
        <v>#REF!</v>
      </c>
      <c r="D1972" s="103"/>
      <c r="E1972" s="53"/>
      <c r="F1972" s="53"/>
      <c r="G1972" s="53"/>
      <c r="H1972" s="53"/>
      <c r="I1972" s="53"/>
      <c r="J1972" s="53"/>
      <c r="K1972" s="53"/>
      <c r="L1972" s="53"/>
      <c r="M1972" s="53"/>
      <c r="N1972" s="53"/>
      <c r="O1972" s="53"/>
      <c r="P1972" s="53"/>
      <c r="Q1972" s="53"/>
      <c r="R1972" s="53"/>
      <c r="S1972" s="53"/>
      <c r="T1972" s="53"/>
      <c r="U1972" s="53"/>
      <c r="V1972" s="53"/>
      <c r="W1972" s="53"/>
      <c r="X1972" s="53"/>
      <c r="Y1972" s="53"/>
      <c r="Z1972" s="53"/>
    </row>
    <row r="1973" spans="1:26" ht="15.75" customHeight="1">
      <c r="A1973" s="103"/>
      <c r="B1973" s="103"/>
      <c r="C1973" s="104" t="e">
        <v>#REF!</v>
      </c>
      <c r="D1973" s="103"/>
      <c r="E1973" s="53"/>
      <c r="F1973" s="53"/>
      <c r="G1973" s="53"/>
      <c r="H1973" s="53"/>
      <c r="I1973" s="53"/>
      <c r="J1973" s="53"/>
      <c r="K1973" s="53"/>
      <c r="L1973" s="53"/>
      <c r="M1973" s="53"/>
      <c r="N1973" s="53"/>
      <c r="O1973" s="53"/>
      <c r="P1973" s="53"/>
      <c r="Q1973" s="53"/>
      <c r="R1973" s="53"/>
      <c r="S1973" s="53"/>
      <c r="T1973" s="53"/>
      <c r="U1973" s="53"/>
      <c r="V1973" s="53"/>
      <c r="W1973" s="53"/>
      <c r="X1973" s="53"/>
      <c r="Y1973" s="53"/>
      <c r="Z1973" s="53"/>
    </row>
    <row r="1974" spans="1:26" ht="15.75" customHeight="1">
      <c r="A1974" s="103"/>
      <c r="B1974" s="103"/>
      <c r="C1974" s="104" t="e">
        <v>#REF!</v>
      </c>
      <c r="D1974" s="103"/>
      <c r="E1974" s="53"/>
      <c r="F1974" s="53"/>
      <c r="G1974" s="53"/>
      <c r="H1974" s="53"/>
      <c r="I1974" s="53"/>
      <c r="J1974" s="53"/>
      <c r="K1974" s="53"/>
      <c r="L1974" s="53"/>
      <c r="M1974" s="53"/>
      <c r="N1974" s="53"/>
      <c r="O1974" s="53"/>
      <c r="P1974" s="53"/>
      <c r="Q1974" s="53"/>
      <c r="R1974" s="53"/>
      <c r="S1974" s="53"/>
      <c r="T1974" s="53"/>
      <c r="U1974" s="53"/>
      <c r="V1974" s="53"/>
      <c r="W1974" s="53"/>
      <c r="X1974" s="53"/>
      <c r="Y1974" s="53"/>
      <c r="Z1974" s="53"/>
    </row>
    <row r="1975" spans="1:26" ht="15.75" customHeight="1">
      <c r="A1975" s="103"/>
      <c r="B1975" s="103"/>
      <c r="C1975" s="104" t="e">
        <v>#REF!</v>
      </c>
      <c r="D1975" s="103"/>
      <c r="E1975" s="53"/>
      <c r="F1975" s="53"/>
      <c r="G1975" s="53"/>
      <c r="H1975" s="53"/>
      <c r="I1975" s="53"/>
      <c r="J1975" s="53"/>
      <c r="K1975" s="53"/>
      <c r="L1975" s="53"/>
      <c r="M1975" s="53"/>
      <c r="N1975" s="53"/>
      <c r="O1975" s="53"/>
      <c r="P1975" s="53"/>
      <c r="Q1975" s="53"/>
      <c r="R1975" s="53"/>
      <c r="S1975" s="53"/>
      <c r="T1975" s="53"/>
      <c r="U1975" s="53"/>
      <c r="V1975" s="53"/>
      <c r="W1975" s="53"/>
      <c r="X1975" s="53"/>
      <c r="Y1975" s="53"/>
      <c r="Z1975" s="53"/>
    </row>
    <row r="1976" spans="1:26" ht="15.75" customHeight="1">
      <c r="A1976" s="103"/>
      <c r="B1976" s="103"/>
      <c r="C1976" s="104" t="e">
        <v>#REF!</v>
      </c>
      <c r="D1976" s="103"/>
      <c r="E1976" s="53"/>
      <c r="F1976" s="53"/>
      <c r="G1976" s="53"/>
      <c r="H1976" s="53"/>
      <c r="I1976" s="53"/>
      <c r="J1976" s="53"/>
      <c r="K1976" s="53"/>
      <c r="L1976" s="53"/>
      <c r="M1976" s="53"/>
      <c r="N1976" s="53"/>
      <c r="O1976" s="53"/>
      <c r="P1976" s="53"/>
      <c r="Q1976" s="53"/>
      <c r="R1976" s="53"/>
      <c r="S1976" s="53"/>
      <c r="T1976" s="53"/>
      <c r="U1976" s="53"/>
      <c r="V1976" s="53"/>
      <c r="W1976" s="53"/>
      <c r="X1976" s="53"/>
      <c r="Y1976" s="53"/>
      <c r="Z1976" s="53"/>
    </row>
    <row r="1977" spans="1:26" ht="15.75" customHeight="1">
      <c r="A1977" s="103"/>
      <c r="B1977" s="103"/>
      <c r="C1977" s="104" t="e">
        <v>#REF!</v>
      </c>
      <c r="D1977" s="103"/>
      <c r="E1977" s="53"/>
      <c r="F1977" s="53"/>
      <c r="G1977" s="53"/>
      <c r="H1977" s="53"/>
      <c r="I1977" s="53"/>
      <c r="J1977" s="53"/>
      <c r="K1977" s="53"/>
      <c r="L1977" s="53"/>
      <c r="M1977" s="53"/>
      <c r="N1977" s="53"/>
      <c r="O1977" s="53"/>
      <c r="P1977" s="53"/>
      <c r="Q1977" s="53"/>
      <c r="R1977" s="53"/>
      <c r="S1977" s="53"/>
      <c r="T1977" s="53"/>
      <c r="U1977" s="53"/>
      <c r="V1977" s="53"/>
      <c r="W1977" s="53"/>
      <c r="X1977" s="53"/>
      <c r="Y1977" s="53"/>
      <c r="Z1977" s="53"/>
    </row>
    <row r="1978" spans="1:26" ht="15.75" customHeight="1">
      <c r="A1978" s="103"/>
      <c r="B1978" s="103"/>
      <c r="C1978" s="104" t="e">
        <v>#REF!</v>
      </c>
      <c r="D1978" s="103"/>
      <c r="E1978" s="53"/>
      <c r="F1978" s="53"/>
      <c r="G1978" s="53"/>
      <c r="H1978" s="53"/>
      <c r="I1978" s="53"/>
      <c r="J1978" s="53"/>
      <c r="K1978" s="53"/>
      <c r="L1978" s="53"/>
      <c r="M1978" s="53"/>
      <c r="N1978" s="53"/>
      <c r="O1978" s="53"/>
      <c r="P1978" s="53"/>
      <c r="Q1978" s="53"/>
      <c r="R1978" s="53"/>
      <c r="S1978" s="53"/>
      <c r="T1978" s="53"/>
      <c r="U1978" s="53"/>
      <c r="V1978" s="53"/>
      <c r="W1978" s="53"/>
      <c r="X1978" s="53"/>
      <c r="Y1978" s="53"/>
      <c r="Z1978" s="53"/>
    </row>
    <row r="1979" spans="1:26" ht="15.75" customHeight="1">
      <c r="A1979" s="103"/>
      <c r="B1979" s="103"/>
      <c r="C1979" s="104" t="e">
        <v>#REF!</v>
      </c>
      <c r="D1979" s="103"/>
      <c r="E1979" s="53"/>
      <c r="F1979" s="53"/>
      <c r="G1979" s="53"/>
      <c r="H1979" s="53"/>
      <c r="I1979" s="53"/>
      <c r="J1979" s="53"/>
      <c r="K1979" s="53"/>
      <c r="L1979" s="53"/>
      <c r="M1979" s="53"/>
      <c r="N1979" s="53"/>
      <c r="O1979" s="53"/>
      <c r="P1979" s="53"/>
      <c r="Q1979" s="53"/>
      <c r="R1979" s="53"/>
      <c r="S1979" s="53"/>
      <c r="T1979" s="53"/>
      <c r="U1979" s="53"/>
      <c r="V1979" s="53"/>
      <c r="W1979" s="53"/>
      <c r="X1979" s="53"/>
      <c r="Y1979" s="53"/>
      <c r="Z1979" s="53"/>
    </row>
    <row r="1980" spans="1:26" ht="15.75" customHeight="1">
      <c r="A1980" s="103"/>
      <c r="B1980" s="103"/>
      <c r="C1980" s="104" t="e">
        <v>#REF!</v>
      </c>
      <c r="D1980" s="103"/>
      <c r="E1980" s="53"/>
      <c r="F1980" s="53"/>
      <c r="G1980" s="53"/>
      <c r="H1980" s="53"/>
      <c r="I1980" s="53"/>
      <c r="J1980" s="53"/>
      <c r="K1980" s="53"/>
      <c r="L1980" s="53"/>
      <c r="M1980" s="53"/>
      <c r="N1980" s="53"/>
      <c r="O1980" s="53"/>
      <c r="P1980" s="53"/>
      <c r="Q1980" s="53"/>
      <c r="R1980" s="53"/>
      <c r="S1980" s="53"/>
      <c r="T1980" s="53"/>
      <c r="U1980" s="53"/>
      <c r="V1980" s="53"/>
      <c r="W1980" s="53"/>
      <c r="X1980" s="53"/>
      <c r="Y1980" s="53"/>
      <c r="Z1980" s="53"/>
    </row>
    <row r="1981" spans="1:26" ht="15.75" customHeight="1">
      <c r="A1981" s="103"/>
      <c r="B1981" s="103"/>
      <c r="C1981" s="104" t="e">
        <v>#REF!</v>
      </c>
      <c r="D1981" s="103"/>
      <c r="E1981" s="53"/>
      <c r="F1981" s="53"/>
      <c r="G1981" s="53"/>
      <c r="H1981" s="53"/>
      <c r="I1981" s="53"/>
      <c r="J1981" s="53"/>
      <c r="K1981" s="53"/>
      <c r="L1981" s="53"/>
      <c r="M1981" s="53"/>
      <c r="N1981" s="53"/>
      <c r="O1981" s="53"/>
      <c r="P1981" s="53"/>
      <c r="Q1981" s="53"/>
      <c r="R1981" s="53"/>
      <c r="S1981" s="53"/>
      <c r="T1981" s="53"/>
      <c r="U1981" s="53"/>
      <c r="V1981" s="53"/>
      <c r="W1981" s="53"/>
      <c r="X1981" s="53"/>
      <c r="Y1981" s="53"/>
      <c r="Z1981" s="53"/>
    </row>
    <row r="1982" spans="1:26" ht="15.75" customHeight="1">
      <c r="A1982" s="103"/>
      <c r="B1982" s="103"/>
      <c r="C1982" s="104" t="e">
        <v>#REF!</v>
      </c>
      <c r="D1982" s="103"/>
      <c r="E1982" s="53"/>
      <c r="F1982" s="53"/>
      <c r="G1982" s="53"/>
      <c r="H1982" s="53"/>
      <c r="I1982" s="53"/>
      <c r="J1982" s="53"/>
      <c r="K1982" s="53"/>
      <c r="L1982" s="53"/>
      <c r="M1982" s="53"/>
      <c r="N1982" s="53"/>
      <c r="O1982" s="53"/>
      <c r="P1982" s="53"/>
      <c r="Q1982" s="53"/>
      <c r="R1982" s="53"/>
      <c r="S1982" s="53"/>
      <c r="T1982" s="53"/>
      <c r="U1982" s="53"/>
      <c r="V1982" s="53"/>
      <c r="W1982" s="53"/>
      <c r="X1982" s="53"/>
      <c r="Y1982" s="53"/>
      <c r="Z1982" s="53"/>
    </row>
    <row r="1983" spans="1:26" ht="15.75" customHeight="1">
      <c r="A1983" s="103"/>
      <c r="B1983" s="103"/>
      <c r="C1983" s="104" t="e">
        <v>#REF!</v>
      </c>
      <c r="D1983" s="103"/>
      <c r="E1983" s="53"/>
      <c r="F1983" s="53"/>
      <c r="G1983" s="53"/>
      <c r="H1983" s="53"/>
      <c r="I1983" s="53"/>
      <c r="J1983" s="53"/>
      <c r="K1983" s="53"/>
      <c r="L1983" s="53"/>
      <c r="M1983" s="53"/>
      <c r="N1983" s="53"/>
      <c r="O1983" s="53"/>
      <c r="P1983" s="53"/>
      <c r="Q1983" s="53"/>
      <c r="R1983" s="53"/>
      <c r="S1983" s="53"/>
      <c r="T1983" s="53"/>
      <c r="U1983" s="53"/>
      <c r="V1983" s="53"/>
      <c r="W1983" s="53"/>
      <c r="X1983" s="53"/>
      <c r="Y1983" s="53"/>
      <c r="Z1983" s="53"/>
    </row>
    <row r="1984" spans="1:26" ht="15.75" customHeight="1">
      <c r="A1984" s="103"/>
      <c r="B1984" s="103"/>
      <c r="C1984" s="104" t="e">
        <v>#REF!</v>
      </c>
      <c r="D1984" s="103"/>
      <c r="E1984" s="53"/>
      <c r="F1984" s="53"/>
      <c r="G1984" s="53"/>
      <c r="H1984" s="53"/>
      <c r="I1984" s="53"/>
      <c r="J1984" s="53"/>
      <c r="K1984" s="53"/>
      <c r="L1984" s="53"/>
      <c r="M1984" s="53"/>
      <c r="N1984" s="53"/>
      <c r="O1984" s="53"/>
      <c r="P1984" s="53"/>
      <c r="Q1984" s="53"/>
      <c r="R1984" s="53"/>
      <c r="S1984" s="53"/>
      <c r="T1984" s="53"/>
      <c r="U1984" s="53"/>
      <c r="V1984" s="53"/>
      <c r="W1984" s="53"/>
      <c r="X1984" s="53"/>
      <c r="Y1984" s="53"/>
      <c r="Z1984" s="53"/>
    </row>
    <row r="1985" spans="1:26" ht="15.75" customHeight="1">
      <c r="A1985" s="103"/>
      <c r="B1985" s="103"/>
      <c r="C1985" s="104" t="e">
        <v>#REF!</v>
      </c>
      <c r="D1985" s="103"/>
      <c r="E1985" s="53"/>
      <c r="F1985" s="53"/>
      <c r="G1985" s="53"/>
      <c r="H1985" s="53"/>
      <c r="I1985" s="53"/>
      <c r="J1985" s="53"/>
      <c r="K1985" s="53"/>
      <c r="L1985" s="53"/>
      <c r="M1985" s="53"/>
      <c r="N1985" s="53"/>
      <c r="O1985" s="53"/>
      <c r="P1985" s="53"/>
      <c r="Q1985" s="53"/>
      <c r="R1985" s="53"/>
      <c r="S1985" s="53"/>
      <c r="T1985" s="53"/>
      <c r="U1985" s="53"/>
      <c r="V1985" s="53"/>
      <c r="W1985" s="53"/>
      <c r="X1985" s="53"/>
      <c r="Y1985" s="53"/>
      <c r="Z1985" s="53"/>
    </row>
    <row r="1986" spans="1:26" ht="15.75" customHeight="1">
      <c r="A1986" s="103"/>
      <c r="B1986" s="103"/>
      <c r="C1986" s="104" t="e">
        <v>#REF!</v>
      </c>
      <c r="D1986" s="103"/>
      <c r="E1986" s="53"/>
      <c r="F1986" s="53"/>
      <c r="G1986" s="53"/>
      <c r="H1986" s="53"/>
      <c r="I1986" s="53"/>
      <c r="J1986" s="53"/>
      <c r="K1986" s="53"/>
      <c r="L1986" s="53"/>
      <c r="M1986" s="53"/>
      <c r="N1986" s="53"/>
      <c r="O1986" s="53"/>
      <c r="P1986" s="53"/>
      <c r="Q1986" s="53"/>
      <c r="R1986" s="53"/>
      <c r="S1986" s="53"/>
      <c r="T1986" s="53"/>
      <c r="U1986" s="53"/>
      <c r="V1986" s="53"/>
      <c r="W1986" s="53"/>
      <c r="X1986" s="53"/>
      <c r="Y1986" s="53"/>
      <c r="Z1986" s="53"/>
    </row>
    <row r="1987" spans="1:26" ht="15.75" customHeight="1">
      <c r="A1987" s="103"/>
      <c r="B1987" s="103"/>
      <c r="C1987" s="104" t="e">
        <v>#REF!</v>
      </c>
      <c r="D1987" s="103"/>
      <c r="E1987" s="53"/>
      <c r="F1987" s="53"/>
      <c r="G1987" s="53"/>
      <c r="H1987" s="53"/>
      <c r="I1987" s="53"/>
      <c r="J1987" s="53"/>
      <c r="K1987" s="53"/>
      <c r="L1987" s="53"/>
      <c r="M1987" s="53"/>
      <c r="N1987" s="53"/>
      <c r="O1987" s="53"/>
      <c r="P1987" s="53"/>
      <c r="Q1987" s="53"/>
      <c r="R1987" s="53"/>
      <c r="S1987" s="53"/>
      <c r="T1987" s="53"/>
      <c r="U1987" s="53"/>
      <c r="V1987" s="53"/>
      <c r="W1987" s="53"/>
      <c r="X1987" s="53"/>
      <c r="Y1987" s="53"/>
      <c r="Z1987" s="53"/>
    </row>
    <row r="1988" spans="1:26" ht="15.75" customHeight="1">
      <c r="A1988" s="103"/>
      <c r="B1988" s="103"/>
      <c r="C1988" s="104" t="e">
        <v>#REF!</v>
      </c>
      <c r="D1988" s="103"/>
      <c r="E1988" s="53"/>
      <c r="F1988" s="53"/>
      <c r="G1988" s="53"/>
      <c r="H1988" s="53"/>
      <c r="I1988" s="53"/>
      <c r="J1988" s="53"/>
      <c r="K1988" s="53"/>
      <c r="L1988" s="53"/>
      <c r="M1988" s="53"/>
      <c r="N1988" s="53"/>
      <c r="O1988" s="53"/>
      <c r="P1988" s="53"/>
      <c r="Q1988" s="53"/>
      <c r="R1988" s="53"/>
      <c r="S1988" s="53"/>
      <c r="T1988" s="53"/>
      <c r="U1988" s="53"/>
      <c r="V1988" s="53"/>
      <c r="W1988" s="53"/>
      <c r="X1988" s="53"/>
      <c r="Y1988" s="53"/>
      <c r="Z1988" s="53"/>
    </row>
    <row r="1989" spans="1:26" ht="15.75" customHeight="1">
      <c r="A1989" s="103"/>
      <c r="B1989" s="103"/>
      <c r="C1989" s="104" t="e">
        <v>#REF!</v>
      </c>
      <c r="D1989" s="103"/>
      <c r="E1989" s="53"/>
      <c r="F1989" s="53"/>
      <c r="G1989" s="53"/>
      <c r="H1989" s="53"/>
      <c r="I1989" s="53"/>
      <c r="J1989" s="53"/>
      <c r="K1989" s="53"/>
      <c r="L1989" s="53"/>
      <c r="M1989" s="53"/>
      <c r="N1989" s="53"/>
      <c r="O1989" s="53"/>
      <c r="P1989" s="53"/>
      <c r="Q1989" s="53"/>
      <c r="R1989" s="53"/>
      <c r="S1989" s="53"/>
      <c r="T1989" s="53"/>
      <c r="U1989" s="53"/>
      <c r="V1989" s="53"/>
      <c r="W1989" s="53"/>
      <c r="X1989" s="53"/>
      <c r="Y1989" s="53"/>
      <c r="Z1989" s="53"/>
    </row>
    <row r="1990" spans="1:26" ht="15.75" customHeight="1">
      <c r="A1990" s="103"/>
      <c r="B1990" s="103"/>
      <c r="C1990" s="104" t="e">
        <v>#REF!</v>
      </c>
      <c r="D1990" s="103"/>
      <c r="E1990" s="53"/>
      <c r="F1990" s="53"/>
      <c r="G1990" s="53"/>
      <c r="H1990" s="53"/>
      <c r="I1990" s="53"/>
      <c r="J1990" s="53"/>
      <c r="K1990" s="53"/>
      <c r="L1990" s="53"/>
      <c r="M1990" s="53"/>
      <c r="N1990" s="53"/>
      <c r="O1990" s="53"/>
      <c r="P1990" s="53"/>
      <c r="Q1990" s="53"/>
      <c r="R1990" s="53"/>
      <c r="S1990" s="53"/>
      <c r="T1990" s="53"/>
      <c r="U1990" s="53"/>
      <c r="V1990" s="53"/>
      <c r="W1990" s="53"/>
      <c r="X1990" s="53"/>
      <c r="Y1990" s="53"/>
      <c r="Z1990" s="53"/>
    </row>
    <row r="1991" spans="1:26" ht="15.75" customHeight="1">
      <c r="A1991" s="103"/>
      <c r="B1991" s="103"/>
      <c r="C1991" s="104" t="e">
        <v>#REF!</v>
      </c>
      <c r="D1991" s="103"/>
      <c r="E1991" s="53"/>
      <c r="F1991" s="53"/>
      <c r="G1991" s="53"/>
      <c r="H1991" s="53"/>
      <c r="I1991" s="53"/>
      <c r="J1991" s="53"/>
      <c r="K1991" s="53"/>
      <c r="L1991" s="53"/>
      <c r="M1991" s="53"/>
      <c r="N1991" s="53"/>
      <c r="O1991" s="53"/>
      <c r="P1991" s="53"/>
      <c r="Q1991" s="53"/>
      <c r="R1991" s="53"/>
      <c r="S1991" s="53"/>
      <c r="T1991" s="53"/>
      <c r="U1991" s="53"/>
      <c r="V1991" s="53"/>
      <c r="W1991" s="53"/>
      <c r="X1991" s="53"/>
      <c r="Y1991" s="53"/>
      <c r="Z1991" s="53"/>
    </row>
    <row r="1992" spans="1:26" ht="15.75" customHeight="1">
      <c r="A1992" s="103"/>
      <c r="B1992" s="103"/>
      <c r="C1992" s="104" t="e">
        <v>#REF!</v>
      </c>
      <c r="D1992" s="103"/>
      <c r="E1992" s="53"/>
      <c r="F1992" s="53"/>
      <c r="G1992" s="53"/>
      <c r="H1992" s="53"/>
      <c r="I1992" s="53"/>
      <c r="J1992" s="53"/>
      <c r="K1992" s="53"/>
      <c r="L1992" s="53"/>
      <c r="M1992" s="53"/>
      <c r="N1992" s="53"/>
      <c r="O1992" s="53"/>
      <c r="P1992" s="53"/>
      <c r="Q1992" s="53"/>
      <c r="R1992" s="53"/>
      <c r="S1992" s="53"/>
      <c r="T1992" s="53"/>
      <c r="U1992" s="53"/>
      <c r="V1992" s="53"/>
      <c r="W1992" s="53"/>
      <c r="X1992" s="53"/>
      <c r="Y1992" s="53"/>
      <c r="Z1992" s="53"/>
    </row>
    <row r="1993" spans="1:26" ht="15.75" customHeight="1">
      <c r="A1993" s="103"/>
      <c r="B1993" s="103"/>
      <c r="C1993" s="104" t="e">
        <v>#REF!</v>
      </c>
      <c r="D1993" s="103"/>
      <c r="E1993" s="53"/>
      <c r="F1993" s="53"/>
      <c r="G1993" s="53"/>
      <c r="H1993" s="53"/>
      <c r="I1993" s="53"/>
      <c r="J1993" s="53"/>
      <c r="K1993" s="53"/>
      <c r="L1993" s="53"/>
      <c r="M1993" s="53"/>
      <c r="N1993" s="53"/>
      <c r="O1993" s="53"/>
      <c r="P1993" s="53"/>
      <c r="Q1993" s="53"/>
      <c r="R1993" s="53"/>
      <c r="S1993" s="53"/>
      <c r="T1993" s="53"/>
      <c r="U1993" s="53"/>
      <c r="V1993" s="53"/>
      <c r="W1993" s="53"/>
      <c r="X1993" s="53"/>
      <c r="Y1993" s="53"/>
      <c r="Z1993" s="53"/>
    </row>
    <row r="1994" spans="1:26" ht="15.75" customHeight="1">
      <c r="A1994" s="103"/>
      <c r="B1994" s="103"/>
      <c r="C1994" s="104" t="e">
        <v>#REF!</v>
      </c>
      <c r="D1994" s="103"/>
      <c r="E1994" s="53"/>
      <c r="F1994" s="53"/>
      <c r="G1994" s="53"/>
      <c r="H1994" s="53"/>
      <c r="I1994" s="53"/>
      <c r="J1994" s="53"/>
      <c r="K1994" s="53"/>
      <c r="L1994" s="53"/>
      <c r="M1994" s="53"/>
      <c r="N1994" s="53"/>
      <c r="O1994" s="53"/>
      <c r="P1994" s="53"/>
      <c r="Q1994" s="53"/>
      <c r="R1994" s="53"/>
      <c r="S1994" s="53"/>
      <c r="T1994" s="53"/>
      <c r="U1994" s="53"/>
      <c r="V1994" s="53"/>
      <c r="W1994" s="53"/>
      <c r="X1994" s="53"/>
      <c r="Y1994" s="53"/>
      <c r="Z1994" s="53"/>
    </row>
    <row r="1995" spans="1:26" ht="15.75" customHeight="1">
      <c r="A1995" s="103"/>
      <c r="B1995" s="103"/>
      <c r="C1995" s="104" t="e">
        <v>#REF!</v>
      </c>
      <c r="D1995" s="103"/>
      <c r="E1995" s="53"/>
      <c r="F1995" s="53"/>
      <c r="G1995" s="53"/>
      <c r="H1995" s="53"/>
      <c r="I1995" s="53"/>
      <c r="J1995" s="53"/>
      <c r="K1995" s="53"/>
      <c r="L1995" s="53"/>
      <c r="M1995" s="53"/>
      <c r="N1995" s="53"/>
      <c r="O1995" s="53"/>
      <c r="P1995" s="53"/>
      <c r="Q1995" s="53"/>
      <c r="R1995" s="53"/>
      <c r="S1995" s="53"/>
      <c r="T1995" s="53"/>
      <c r="U1995" s="53"/>
      <c r="V1995" s="53"/>
      <c r="W1995" s="53"/>
      <c r="X1995" s="53"/>
      <c r="Y1995" s="53"/>
      <c r="Z1995" s="53"/>
    </row>
    <row r="1996" spans="1:26" ht="15.75" customHeight="1">
      <c r="A1996" s="103"/>
      <c r="B1996" s="103"/>
      <c r="C1996" s="104" t="e">
        <v>#REF!</v>
      </c>
      <c r="D1996" s="103"/>
      <c r="E1996" s="53"/>
      <c r="F1996" s="53"/>
      <c r="G1996" s="53"/>
      <c r="H1996" s="53"/>
      <c r="I1996" s="53"/>
      <c r="J1996" s="53"/>
      <c r="K1996" s="53"/>
      <c r="L1996" s="53"/>
      <c r="M1996" s="53"/>
      <c r="N1996" s="53"/>
      <c r="O1996" s="53"/>
      <c r="P1996" s="53"/>
      <c r="Q1996" s="53"/>
      <c r="R1996" s="53"/>
      <c r="S1996" s="53"/>
      <c r="T1996" s="53"/>
      <c r="U1996" s="53"/>
      <c r="V1996" s="53"/>
      <c r="W1996" s="53"/>
      <c r="X1996" s="53"/>
      <c r="Y1996" s="53"/>
      <c r="Z1996" s="53"/>
    </row>
    <row r="1997" spans="1:26" ht="15.75" customHeight="1">
      <c r="A1997" s="103"/>
      <c r="B1997" s="103"/>
      <c r="C1997" s="104" t="e">
        <v>#REF!</v>
      </c>
      <c r="D1997" s="103"/>
      <c r="E1997" s="53"/>
      <c r="F1997" s="53"/>
      <c r="G1997" s="53"/>
      <c r="H1997" s="53"/>
      <c r="I1997" s="53"/>
      <c r="J1997" s="53"/>
      <c r="K1997" s="53"/>
      <c r="L1997" s="53"/>
      <c r="M1997" s="53"/>
      <c r="N1997" s="53"/>
      <c r="O1997" s="53"/>
      <c r="P1997" s="53"/>
      <c r="Q1997" s="53"/>
      <c r="R1997" s="53"/>
      <c r="S1997" s="53"/>
      <c r="T1997" s="53"/>
      <c r="U1997" s="53"/>
      <c r="V1997" s="53"/>
      <c r="W1997" s="53"/>
      <c r="X1997" s="53"/>
      <c r="Y1997" s="53"/>
      <c r="Z1997" s="53"/>
    </row>
    <row r="1998" spans="1:26" ht="15.75" customHeight="1">
      <c r="A1998" s="103"/>
      <c r="B1998" s="103"/>
      <c r="C1998" s="104" t="e">
        <v>#REF!</v>
      </c>
      <c r="D1998" s="103"/>
      <c r="E1998" s="53"/>
      <c r="F1998" s="53"/>
      <c r="G1998" s="53"/>
      <c r="H1998" s="53"/>
      <c r="I1998" s="53"/>
      <c r="J1998" s="53"/>
      <c r="K1998" s="53"/>
      <c r="L1998" s="53"/>
      <c r="M1998" s="53"/>
      <c r="N1998" s="53"/>
      <c r="O1998" s="53"/>
      <c r="P1998" s="53"/>
      <c r="Q1998" s="53"/>
      <c r="R1998" s="53"/>
      <c r="S1998" s="53"/>
      <c r="T1998" s="53"/>
      <c r="U1998" s="53"/>
      <c r="V1998" s="53"/>
      <c r="W1998" s="53"/>
      <c r="X1998" s="53"/>
      <c r="Y1998" s="53"/>
      <c r="Z1998" s="53"/>
    </row>
    <row r="1999" spans="1:26" ht="15.75" customHeight="1">
      <c r="A1999" s="103"/>
      <c r="B1999" s="103"/>
      <c r="C1999" s="104" t="e">
        <v>#REF!</v>
      </c>
      <c r="D1999" s="103"/>
      <c r="E1999" s="53"/>
      <c r="F1999" s="53"/>
      <c r="G1999" s="53"/>
      <c r="H1999" s="53"/>
      <c r="I1999" s="53"/>
      <c r="J1999" s="53"/>
      <c r="K1999" s="53"/>
      <c r="L1999" s="53"/>
      <c r="M1999" s="53"/>
      <c r="N1999" s="53"/>
      <c r="O1999" s="53"/>
      <c r="P1999" s="53"/>
      <c r="Q1999" s="53"/>
      <c r="R1999" s="53"/>
      <c r="S1999" s="53"/>
      <c r="T1999" s="53"/>
      <c r="U1999" s="53"/>
      <c r="V1999" s="53"/>
      <c r="W1999" s="53"/>
      <c r="X1999" s="53"/>
      <c r="Y1999" s="53"/>
      <c r="Z1999" s="53"/>
    </row>
    <row r="2000" spans="1:26" ht="15.75" customHeight="1">
      <c r="A2000" s="103"/>
      <c r="B2000" s="103"/>
      <c r="C2000" s="104" t="e">
        <v>#REF!</v>
      </c>
      <c r="D2000" s="103"/>
      <c r="E2000" s="53"/>
      <c r="F2000" s="53"/>
      <c r="G2000" s="53"/>
      <c r="H2000" s="53"/>
      <c r="I2000" s="53"/>
      <c r="J2000" s="53"/>
      <c r="K2000" s="53"/>
      <c r="L2000" s="53"/>
      <c r="M2000" s="53"/>
      <c r="N2000" s="53"/>
      <c r="O2000" s="53"/>
      <c r="P2000" s="53"/>
      <c r="Q2000" s="53"/>
      <c r="R2000" s="53"/>
      <c r="S2000" s="53"/>
      <c r="T2000" s="53"/>
      <c r="U2000" s="53"/>
      <c r="V2000" s="53"/>
      <c r="W2000" s="53"/>
      <c r="X2000" s="53"/>
      <c r="Y2000" s="53"/>
      <c r="Z2000" s="53"/>
    </row>
    <row r="2001" spans="1:26" ht="15.75" customHeight="1">
      <c r="A2001" s="103"/>
      <c r="B2001" s="103"/>
      <c r="C2001" s="104" t="e">
        <v>#REF!</v>
      </c>
      <c r="D2001" s="103"/>
      <c r="E2001" s="53"/>
      <c r="F2001" s="53"/>
      <c r="G2001" s="53"/>
      <c r="H2001" s="53"/>
      <c r="I2001" s="53"/>
      <c r="J2001" s="53"/>
      <c r="K2001" s="53"/>
      <c r="L2001" s="53"/>
      <c r="M2001" s="53"/>
      <c r="N2001" s="53"/>
      <c r="O2001" s="53"/>
      <c r="P2001" s="53"/>
      <c r="Q2001" s="53"/>
      <c r="R2001" s="53"/>
      <c r="S2001" s="53"/>
      <c r="T2001" s="53"/>
      <c r="U2001" s="53"/>
      <c r="V2001" s="53"/>
      <c r="W2001" s="53"/>
      <c r="X2001" s="53"/>
      <c r="Y2001" s="53"/>
      <c r="Z2001" s="53"/>
    </row>
    <row r="2002" spans="1:26" ht="15.75" customHeight="1">
      <c r="A2002" s="103"/>
      <c r="B2002" s="103"/>
      <c r="C2002" s="104" t="e">
        <v>#REF!</v>
      </c>
      <c r="D2002" s="103"/>
      <c r="E2002" s="53"/>
      <c r="F2002" s="53"/>
      <c r="G2002" s="53"/>
      <c r="H2002" s="53"/>
      <c r="I2002" s="53"/>
      <c r="J2002" s="53"/>
      <c r="K2002" s="53"/>
      <c r="L2002" s="53"/>
      <c r="M2002" s="53"/>
      <c r="N2002" s="53"/>
      <c r="O2002" s="53"/>
      <c r="P2002" s="53"/>
      <c r="Q2002" s="53"/>
      <c r="R2002" s="53"/>
      <c r="S2002" s="53"/>
      <c r="T2002" s="53"/>
      <c r="U2002" s="53"/>
      <c r="V2002" s="53"/>
      <c r="W2002" s="53"/>
      <c r="X2002" s="53"/>
      <c r="Y2002" s="53"/>
      <c r="Z2002" s="53"/>
    </row>
    <row r="2003" spans="1:26" ht="15.75" customHeight="1">
      <c r="A2003" s="103"/>
      <c r="B2003" s="103"/>
      <c r="C2003" s="104" t="e">
        <v>#REF!</v>
      </c>
      <c r="D2003" s="103"/>
      <c r="E2003" s="53"/>
      <c r="F2003" s="53"/>
      <c r="G2003" s="53"/>
      <c r="H2003" s="53"/>
      <c r="I2003" s="53"/>
      <c r="J2003" s="53"/>
      <c r="K2003" s="53"/>
      <c r="L2003" s="53"/>
      <c r="M2003" s="53"/>
      <c r="N2003" s="53"/>
      <c r="O2003" s="53"/>
      <c r="P2003" s="53"/>
      <c r="Q2003" s="53"/>
      <c r="R2003" s="53"/>
      <c r="S2003" s="53"/>
      <c r="T2003" s="53"/>
      <c r="U2003" s="53"/>
      <c r="V2003" s="53"/>
      <c r="W2003" s="53"/>
      <c r="X2003" s="53"/>
      <c r="Y2003" s="53"/>
      <c r="Z2003" s="53"/>
    </row>
    <row r="2004" spans="1:26" ht="15.75" customHeight="1">
      <c r="A2004" s="103"/>
      <c r="B2004" s="103"/>
      <c r="C2004" s="104" t="e">
        <v>#REF!</v>
      </c>
      <c r="D2004" s="103"/>
      <c r="E2004" s="53"/>
      <c r="F2004" s="53"/>
      <c r="G2004" s="53"/>
      <c r="H2004" s="53"/>
      <c r="I2004" s="53"/>
      <c r="J2004" s="53"/>
      <c r="K2004" s="53"/>
      <c r="L2004" s="53"/>
      <c r="M2004" s="53"/>
      <c r="N2004" s="53"/>
      <c r="O2004" s="53"/>
      <c r="P2004" s="53"/>
      <c r="Q2004" s="53"/>
      <c r="R2004" s="53"/>
      <c r="S2004" s="53"/>
      <c r="T2004" s="53"/>
      <c r="U2004" s="53"/>
      <c r="V2004" s="53"/>
      <c r="W2004" s="53"/>
      <c r="X2004" s="53"/>
      <c r="Y2004" s="53"/>
      <c r="Z2004" s="53"/>
    </row>
    <row r="2005" spans="1:26" ht="15.75" customHeight="1">
      <c r="A2005" s="103"/>
      <c r="B2005" s="103"/>
      <c r="C2005" s="104" t="e">
        <v>#REF!</v>
      </c>
      <c r="D2005" s="103"/>
      <c r="E2005" s="53"/>
      <c r="F2005" s="53"/>
      <c r="G2005" s="53"/>
      <c r="H2005" s="53"/>
      <c r="I2005" s="53"/>
      <c r="J2005" s="53"/>
      <c r="K2005" s="53"/>
      <c r="L2005" s="53"/>
      <c r="M2005" s="53"/>
      <c r="N2005" s="53"/>
      <c r="O2005" s="53"/>
      <c r="P2005" s="53"/>
      <c r="Q2005" s="53"/>
      <c r="R2005" s="53"/>
      <c r="S2005" s="53"/>
      <c r="T2005" s="53"/>
      <c r="U2005" s="53"/>
      <c r="V2005" s="53"/>
      <c r="W2005" s="53"/>
      <c r="X2005" s="53"/>
      <c r="Y2005" s="53"/>
      <c r="Z2005" s="53"/>
    </row>
    <row r="2006" spans="1:26" ht="15.75" customHeight="1">
      <c r="A2006" s="103"/>
      <c r="B2006" s="103"/>
      <c r="C2006" s="104" t="e">
        <v>#REF!</v>
      </c>
      <c r="D2006" s="103"/>
      <c r="E2006" s="53"/>
      <c r="F2006" s="53"/>
      <c r="G2006" s="53"/>
      <c r="H2006" s="53"/>
      <c r="I2006" s="53"/>
      <c r="J2006" s="53"/>
      <c r="K2006" s="53"/>
      <c r="L2006" s="53"/>
      <c r="M2006" s="53"/>
      <c r="N2006" s="53"/>
      <c r="O2006" s="53"/>
      <c r="P2006" s="53"/>
      <c r="Q2006" s="53"/>
      <c r="R2006" s="53"/>
      <c r="S2006" s="53"/>
      <c r="T2006" s="53"/>
      <c r="U2006" s="53"/>
      <c r="V2006" s="53"/>
      <c r="W2006" s="53"/>
      <c r="X2006" s="53"/>
      <c r="Y2006" s="53"/>
      <c r="Z2006" s="53"/>
    </row>
    <row r="2007" spans="1:26" ht="15.75" customHeight="1">
      <c r="A2007" s="103"/>
      <c r="B2007" s="103"/>
      <c r="C2007" s="104" t="e">
        <v>#REF!</v>
      </c>
      <c r="D2007" s="103"/>
      <c r="E2007" s="53"/>
      <c r="F2007" s="53"/>
      <c r="G2007" s="53"/>
      <c r="H2007" s="53"/>
      <c r="I2007" s="53"/>
      <c r="J2007" s="53"/>
      <c r="K2007" s="53"/>
      <c r="L2007" s="53"/>
      <c r="M2007" s="53"/>
      <c r="N2007" s="53"/>
      <c r="O2007" s="53"/>
      <c r="P2007" s="53"/>
      <c r="Q2007" s="53"/>
      <c r="R2007" s="53"/>
      <c r="S2007" s="53"/>
      <c r="T2007" s="53"/>
      <c r="U2007" s="53"/>
      <c r="V2007" s="53"/>
      <c r="W2007" s="53"/>
      <c r="X2007" s="53"/>
      <c r="Y2007" s="53"/>
      <c r="Z2007" s="53"/>
    </row>
    <row r="2008" spans="1:26" ht="15.75" customHeight="1">
      <c r="A2008" s="103"/>
      <c r="B2008" s="103"/>
      <c r="C2008" s="104" t="e">
        <v>#REF!</v>
      </c>
      <c r="D2008" s="103"/>
      <c r="E2008" s="53"/>
      <c r="F2008" s="53"/>
      <c r="G2008" s="53"/>
      <c r="H2008" s="53"/>
      <c r="I2008" s="53"/>
      <c r="J2008" s="53"/>
      <c r="K2008" s="53"/>
      <c r="L2008" s="53"/>
      <c r="M2008" s="53"/>
      <c r="N2008" s="53"/>
      <c r="O2008" s="53"/>
      <c r="P2008" s="53"/>
      <c r="Q2008" s="53"/>
      <c r="R2008" s="53"/>
      <c r="S2008" s="53"/>
      <c r="T2008" s="53"/>
      <c r="U2008" s="53"/>
      <c r="V2008" s="53"/>
      <c r="W2008" s="53"/>
      <c r="X2008" s="53"/>
      <c r="Y2008" s="53"/>
      <c r="Z2008" s="53"/>
    </row>
    <row r="2009" spans="1:26" ht="15.75" customHeight="1">
      <c r="A2009" s="103"/>
      <c r="B2009" s="103"/>
      <c r="C2009" s="104" t="e">
        <v>#REF!</v>
      </c>
      <c r="D2009" s="103"/>
      <c r="E2009" s="53"/>
      <c r="F2009" s="53"/>
      <c r="G2009" s="53"/>
      <c r="H2009" s="53"/>
      <c r="I2009" s="53"/>
      <c r="J2009" s="53"/>
      <c r="K2009" s="53"/>
      <c r="L2009" s="53"/>
      <c r="M2009" s="53"/>
      <c r="N2009" s="53"/>
      <c r="O2009" s="53"/>
      <c r="P2009" s="53"/>
      <c r="Q2009" s="53"/>
      <c r="R2009" s="53"/>
      <c r="S2009" s="53"/>
      <c r="T2009" s="53"/>
      <c r="U2009" s="53"/>
      <c r="V2009" s="53"/>
      <c r="W2009" s="53"/>
      <c r="X2009" s="53"/>
      <c r="Y2009" s="53"/>
      <c r="Z2009" s="53"/>
    </row>
    <row r="2010" spans="1:26" ht="15.75" customHeight="1">
      <c r="A2010" s="103"/>
      <c r="B2010" s="103"/>
      <c r="C2010" s="104" t="e">
        <v>#REF!</v>
      </c>
      <c r="D2010" s="103"/>
      <c r="E2010" s="53"/>
      <c r="F2010" s="53"/>
      <c r="G2010" s="53"/>
      <c r="H2010" s="53"/>
      <c r="I2010" s="53"/>
      <c r="J2010" s="53"/>
      <c r="K2010" s="53"/>
      <c r="L2010" s="53"/>
      <c r="M2010" s="53"/>
      <c r="N2010" s="53"/>
      <c r="O2010" s="53"/>
      <c r="P2010" s="53"/>
      <c r="Q2010" s="53"/>
      <c r="R2010" s="53"/>
      <c r="S2010" s="53"/>
      <c r="T2010" s="53"/>
      <c r="U2010" s="53"/>
      <c r="V2010" s="53"/>
      <c r="W2010" s="53"/>
      <c r="X2010" s="53"/>
      <c r="Y2010" s="53"/>
      <c r="Z2010" s="53"/>
    </row>
    <row r="2011" spans="1:26" ht="15.75" customHeight="1">
      <c r="A2011" s="103"/>
      <c r="B2011" s="103"/>
      <c r="C2011" s="104" t="e">
        <v>#REF!</v>
      </c>
      <c r="D2011" s="103"/>
      <c r="E2011" s="53"/>
      <c r="F2011" s="53"/>
      <c r="G2011" s="53"/>
      <c r="H2011" s="53"/>
      <c r="I2011" s="53"/>
      <c r="J2011" s="53"/>
      <c r="K2011" s="53"/>
      <c r="L2011" s="53"/>
      <c r="M2011" s="53"/>
      <c r="N2011" s="53"/>
      <c r="O2011" s="53"/>
      <c r="P2011" s="53"/>
      <c r="Q2011" s="53"/>
      <c r="R2011" s="53"/>
      <c r="S2011" s="53"/>
      <c r="T2011" s="53"/>
      <c r="U2011" s="53"/>
      <c r="V2011" s="53"/>
      <c r="W2011" s="53"/>
      <c r="X2011" s="53"/>
      <c r="Y2011" s="53"/>
      <c r="Z2011" s="53"/>
    </row>
    <row r="2012" spans="1:26" ht="15.75" customHeight="1">
      <c r="A2012" s="103"/>
      <c r="B2012" s="103"/>
      <c r="C2012" s="104" t="e">
        <v>#REF!</v>
      </c>
      <c r="D2012" s="103"/>
      <c r="E2012" s="53"/>
      <c r="F2012" s="53"/>
      <c r="G2012" s="53"/>
      <c r="H2012" s="53"/>
      <c r="I2012" s="53"/>
      <c r="J2012" s="53"/>
      <c r="K2012" s="53"/>
      <c r="L2012" s="53"/>
      <c r="M2012" s="53"/>
      <c r="N2012" s="53"/>
      <c r="O2012" s="53"/>
      <c r="P2012" s="53"/>
      <c r="Q2012" s="53"/>
      <c r="R2012" s="53"/>
      <c r="S2012" s="53"/>
      <c r="T2012" s="53"/>
      <c r="U2012" s="53"/>
      <c r="V2012" s="53"/>
      <c r="W2012" s="53"/>
      <c r="X2012" s="53"/>
      <c r="Y2012" s="53"/>
      <c r="Z2012" s="53"/>
    </row>
    <row r="2013" spans="1:26" ht="15.75" customHeight="1">
      <c r="A2013" s="103"/>
      <c r="B2013" s="103"/>
      <c r="C2013" s="104" t="e">
        <v>#REF!</v>
      </c>
      <c r="D2013" s="103"/>
      <c r="E2013" s="53"/>
      <c r="F2013" s="53"/>
      <c r="G2013" s="53"/>
      <c r="H2013" s="53"/>
      <c r="I2013" s="53"/>
      <c r="J2013" s="53"/>
      <c r="K2013" s="53"/>
      <c r="L2013" s="53"/>
      <c r="M2013" s="53"/>
      <c r="N2013" s="53"/>
      <c r="O2013" s="53"/>
      <c r="P2013" s="53"/>
      <c r="Q2013" s="53"/>
      <c r="R2013" s="53"/>
      <c r="S2013" s="53"/>
      <c r="T2013" s="53"/>
      <c r="U2013" s="53"/>
      <c r="V2013" s="53"/>
      <c r="W2013" s="53"/>
      <c r="X2013" s="53"/>
      <c r="Y2013" s="53"/>
      <c r="Z2013" s="53"/>
    </row>
    <row r="2014" spans="1:26" ht="15.75" customHeight="1">
      <c r="A2014" s="103"/>
      <c r="B2014" s="103"/>
      <c r="C2014" s="104" t="e">
        <v>#REF!</v>
      </c>
      <c r="D2014" s="103"/>
      <c r="E2014" s="53"/>
      <c r="F2014" s="53"/>
      <c r="G2014" s="53"/>
      <c r="H2014" s="53"/>
      <c r="I2014" s="53"/>
      <c r="J2014" s="53"/>
      <c r="K2014" s="53"/>
      <c r="L2014" s="53"/>
      <c r="M2014" s="53"/>
      <c r="N2014" s="53"/>
      <c r="O2014" s="53"/>
      <c r="P2014" s="53"/>
      <c r="Q2014" s="53"/>
      <c r="R2014" s="53"/>
      <c r="S2014" s="53"/>
      <c r="T2014" s="53"/>
      <c r="U2014" s="53"/>
      <c r="V2014" s="53"/>
      <c r="W2014" s="53"/>
      <c r="X2014" s="53"/>
      <c r="Y2014" s="53"/>
      <c r="Z2014" s="53"/>
    </row>
    <row r="2015" spans="1:26" ht="15.75" customHeight="1">
      <c r="A2015" s="103"/>
      <c r="B2015" s="103"/>
      <c r="C2015" s="104" t="e">
        <v>#REF!</v>
      </c>
      <c r="D2015" s="103"/>
      <c r="E2015" s="53"/>
      <c r="F2015" s="53"/>
      <c r="G2015" s="53"/>
      <c r="H2015" s="53"/>
      <c r="I2015" s="53"/>
      <c r="J2015" s="53"/>
      <c r="K2015" s="53"/>
      <c r="L2015" s="53"/>
      <c r="M2015" s="53"/>
      <c r="N2015" s="53"/>
      <c r="O2015" s="53"/>
      <c r="P2015" s="53"/>
      <c r="Q2015" s="53"/>
      <c r="R2015" s="53"/>
      <c r="S2015" s="53"/>
      <c r="T2015" s="53"/>
      <c r="U2015" s="53"/>
      <c r="V2015" s="53"/>
      <c r="W2015" s="53"/>
      <c r="X2015" s="53"/>
      <c r="Y2015" s="53"/>
      <c r="Z2015" s="53"/>
    </row>
    <row r="2016" spans="1:26" ht="15.75" customHeight="1">
      <c r="A2016" s="103"/>
      <c r="B2016" s="103"/>
      <c r="C2016" s="104" t="e">
        <v>#REF!</v>
      </c>
      <c r="D2016" s="103"/>
      <c r="E2016" s="53"/>
      <c r="F2016" s="53"/>
      <c r="G2016" s="53"/>
      <c r="H2016" s="53"/>
      <c r="I2016" s="53"/>
      <c r="J2016" s="53"/>
      <c r="K2016" s="53"/>
      <c r="L2016" s="53"/>
      <c r="M2016" s="53"/>
      <c r="N2016" s="53"/>
      <c r="O2016" s="53"/>
      <c r="P2016" s="53"/>
      <c r="Q2016" s="53"/>
      <c r="R2016" s="53"/>
      <c r="S2016" s="53"/>
      <c r="T2016" s="53"/>
      <c r="U2016" s="53"/>
      <c r="V2016" s="53"/>
      <c r="W2016" s="53"/>
      <c r="X2016" s="53"/>
      <c r="Y2016" s="53"/>
      <c r="Z2016" s="53"/>
    </row>
    <row r="2017" spans="1:26" ht="15.75" customHeight="1">
      <c r="A2017" s="103"/>
      <c r="B2017" s="103"/>
      <c r="C2017" s="104" t="e">
        <v>#REF!</v>
      </c>
      <c r="D2017" s="103"/>
      <c r="E2017" s="53"/>
      <c r="F2017" s="53"/>
      <c r="G2017" s="53"/>
      <c r="H2017" s="53"/>
      <c r="I2017" s="53"/>
      <c r="J2017" s="53"/>
      <c r="K2017" s="53"/>
      <c r="L2017" s="53"/>
      <c r="M2017" s="53"/>
      <c r="N2017" s="53"/>
      <c r="O2017" s="53"/>
      <c r="P2017" s="53"/>
      <c r="Q2017" s="53"/>
      <c r="R2017" s="53"/>
      <c r="S2017" s="53"/>
      <c r="T2017" s="53"/>
      <c r="U2017" s="53"/>
      <c r="V2017" s="53"/>
      <c r="W2017" s="53"/>
      <c r="X2017" s="53"/>
      <c r="Y2017" s="53"/>
      <c r="Z2017" s="53"/>
    </row>
    <row r="2018" spans="1:26" ht="15.75" customHeight="1">
      <c r="A2018" s="103"/>
      <c r="B2018" s="103"/>
      <c r="C2018" s="104" t="e">
        <v>#REF!</v>
      </c>
      <c r="D2018" s="103"/>
      <c r="E2018" s="53"/>
      <c r="F2018" s="53"/>
      <c r="G2018" s="53"/>
      <c r="H2018" s="53"/>
      <c r="I2018" s="53"/>
      <c r="J2018" s="53"/>
      <c r="K2018" s="53"/>
      <c r="L2018" s="53"/>
      <c r="M2018" s="53"/>
      <c r="N2018" s="53"/>
      <c r="O2018" s="53"/>
      <c r="P2018" s="53"/>
      <c r="Q2018" s="53"/>
      <c r="R2018" s="53"/>
      <c r="S2018" s="53"/>
      <c r="T2018" s="53"/>
      <c r="U2018" s="53"/>
      <c r="V2018" s="53"/>
      <c r="W2018" s="53"/>
      <c r="X2018" s="53"/>
      <c r="Y2018" s="53"/>
      <c r="Z2018" s="53"/>
    </row>
    <row r="2019" spans="1:26" ht="15.75" customHeight="1">
      <c r="A2019" s="103"/>
      <c r="B2019" s="103"/>
      <c r="C2019" s="104" t="e">
        <v>#REF!</v>
      </c>
      <c r="D2019" s="103"/>
      <c r="E2019" s="53"/>
      <c r="F2019" s="53"/>
      <c r="G2019" s="53"/>
      <c r="H2019" s="53"/>
      <c r="I2019" s="53"/>
      <c r="J2019" s="53"/>
      <c r="K2019" s="53"/>
      <c r="L2019" s="53"/>
      <c r="M2019" s="53"/>
      <c r="N2019" s="53"/>
      <c r="O2019" s="53"/>
      <c r="P2019" s="53"/>
      <c r="Q2019" s="53"/>
      <c r="R2019" s="53"/>
      <c r="S2019" s="53"/>
      <c r="T2019" s="53"/>
      <c r="U2019" s="53"/>
      <c r="V2019" s="53"/>
      <c r="W2019" s="53"/>
      <c r="X2019" s="53"/>
      <c r="Y2019" s="53"/>
      <c r="Z2019" s="53"/>
    </row>
    <row r="2020" spans="1:26" ht="15.75" customHeight="1">
      <c r="A2020" s="103"/>
      <c r="B2020" s="103"/>
      <c r="C2020" s="104" t="e">
        <v>#REF!</v>
      </c>
      <c r="D2020" s="103"/>
      <c r="E2020" s="53"/>
      <c r="F2020" s="53"/>
      <c r="G2020" s="53"/>
      <c r="H2020" s="53"/>
      <c r="I2020" s="53"/>
      <c r="J2020" s="53"/>
      <c r="K2020" s="53"/>
      <c r="L2020" s="53"/>
      <c r="M2020" s="53"/>
      <c r="N2020" s="53"/>
      <c r="O2020" s="53"/>
      <c r="P2020" s="53"/>
      <c r="Q2020" s="53"/>
      <c r="R2020" s="53"/>
      <c r="S2020" s="53"/>
      <c r="T2020" s="53"/>
      <c r="U2020" s="53"/>
      <c r="V2020" s="53"/>
      <c r="W2020" s="53"/>
      <c r="X2020" s="53"/>
      <c r="Y2020" s="53"/>
      <c r="Z2020" s="53"/>
    </row>
    <row r="2021" spans="1:26" ht="15.75" customHeight="1">
      <c r="A2021" s="103"/>
      <c r="B2021" s="103"/>
      <c r="C2021" s="104" t="e">
        <v>#REF!</v>
      </c>
      <c r="D2021" s="103"/>
      <c r="E2021" s="53"/>
      <c r="F2021" s="53"/>
      <c r="G2021" s="53"/>
      <c r="H2021" s="53"/>
      <c r="I2021" s="53"/>
      <c r="J2021" s="53"/>
      <c r="K2021" s="53"/>
      <c r="L2021" s="53"/>
      <c r="M2021" s="53"/>
      <c r="N2021" s="53"/>
      <c r="O2021" s="53"/>
      <c r="P2021" s="53"/>
      <c r="Q2021" s="53"/>
      <c r="R2021" s="53"/>
      <c r="S2021" s="53"/>
      <c r="T2021" s="53"/>
      <c r="U2021" s="53"/>
      <c r="V2021" s="53"/>
      <c r="W2021" s="53"/>
      <c r="X2021" s="53"/>
      <c r="Y2021" s="53"/>
      <c r="Z2021" s="53"/>
    </row>
    <row r="2022" spans="1:26" ht="15.75" customHeight="1">
      <c r="A2022" s="103"/>
      <c r="B2022" s="103"/>
      <c r="C2022" s="104" t="e">
        <v>#REF!</v>
      </c>
      <c r="D2022" s="103"/>
      <c r="E2022" s="53"/>
      <c r="F2022" s="53"/>
      <c r="G2022" s="53"/>
      <c r="H2022" s="53"/>
      <c r="I2022" s="53"/>
      <c r="J2022" s="53"/>
      <c r="K2022" s="53"/>
      <c r="L2022" s="53"/>
      <c r="M2022" s="53"/>
      <c r="N2022" s="53"/>
      <c r="O2022" s="53"/>
      <c r="P2022" s="53"/>
      <c r="Q2022" s="53"/>
      <c r="R2022" s="53"/>
      <c r="S2022" s="53"/>
      <c r="T2022" s="53"/>
      <c r="U2022" s="53"/>
      <c r="V2022" s="53"/>
      <c r="W2022" s="53"/>
      <c r="X2022" s="53"/>
      <c r="Y2022" s="53"/>
      <c r="Z2022" s="53"/>
    </row>
    <row r="2023" spans="1:26" ht="15.75" customHeight="1">
      <c r="A2023" s="103"/>
      <c r="B2023" s="103"/>
      <c r="C2023" s="104" t="e">
        <v>#REF!</v>
      </c>
      <c r="D2023" s="103"/>
      <c r="E2023" s="53"/>
      <c r="F2023" s="53"/>
      <c r="G2023" s="53"/>
      <c r="H2023" s="53"/>
      <c r="I2023" s="53"/>
      <c r="J2023" s="53"/>
      <c r="K2023" s="53"/>
      <c r="L2023" s="53"/>
      <c r="M2023" s="53"/>
      <c r="N2023" s="53"/>
      <c r="O2023" s="53"/>
      <c r="P2023" s="53"/>
      <c r="Q2023" s="53"/>
      <c r="R2023" s="53"/>
      <c r="S2023" s="53"/>
      <c r="T2023" s="53"/>
      <c r="U2023" s="53"/>
      <c r="V2023" s="53"/>
      <c r="W2023" s="53"/>
      <c r="X2023" s="53"/>
      <c r="Y2023" s="53"/>
      <c r="Z2023" s="53"/>
    </row>
    <row r="2024" spans="1:26" ht="15.75" customHeight="1">
      <c r="A2024" s="103"/>
      <c r="B2024" s="103"/>
      <c r="C2024" s="104" t="e">
        <v>#REF!</v>
      </c>
      <c r="D2024" s="103"/>
      <c r="E2024" s="53"/>
      <c r="F2024" s="53"/>
      <c r="G2024" s="53"/>
      <c r="H2024" s="53"/>
      <c r="I2024" s="53"/>
      <c r="J2024" s="53"/>
      <c r="K2024" s="53"/>
      <c r="L2024" s="53"/>
      <c r="M2024" s="53"/>
      <c r="N2024" s="53"/>
      <c r="O2024" s="53"/>
      <c r="P2024" s="53"/>
      <c r="Q2024" s="53"/>
      <c r="R2024" s="53"/>
      <c r="S2024" s="53"/>
      <c r="T2024" s="53"/>
      <c r="U2024" s="53"/>
      <c r="V2024" s="53"/>
      <c r="W2024" s="53"/>
      <c r="X2024" s="53"/>
      <c r="Y2024" s="53"/>
      <c r="Z2024" s="53"/>
    </row>
    <row r="2025" spans="1:26" ht="15.75" customHeight="1">
      <c r="A2025" s="103"/>
      <c r="B2025" s="103"/>
      <c r="C2025" s="104" t="e">
        <v>#REF!</v>
      </c>
      <c r="D2025" s="103"/>
      <c r="E2025" s="53"/>
      <c r="F2025" s="53"/>
      <c r="G2025" s="53"/>
      <c r="H2025" s="53"/>
      <c r="I2025" s="53"/>
      <c r="J2025" s="53"/>
      <c r="K2025" s="53"/>
      <c r="L2025" s="53"/>
      <c r="M2025" s="53"/>
      <c r="N2025" s="53"/>
      <c r="O2025" s="53"/>
      <c r="P2025" s="53"/>
      <c r="Q2025" s="53"/>
      <c r="R2025" s="53"/>
      <c r="S2025" s="53"/>
      <c r="T2025" s="53"/>
      <c r="U2025" s="53"/>
      <c r="V2025" s="53"/>
      <c r="W2025" s="53"/>
      <c r="X2025" s="53"/>
      <c r="Y2025" s="53"/>
      <c r="Z2025" s="53"/>
    </row>
    <row r="2026" spans="1:26" ht="15.75" customHeight="1">
      <c r="A2026" s="103"/>
      <c r="B2026" s="103"/>
      <c r="C2026" s="104" t="e">
        <v>#REF!</v>
      </c>
      <c r="D2026" s="103"/>
      <c r="E2026" s="53"/>
      <c r="F2026" s="53"/>
      <c r="G2026" s="53"/>
      <c r="H2026" s="53"/>
      <c r="I2026" s="53"/>
      <c r="J2026" s="53"/>
      <c r="K2026" s="53"/>
      <c r="L2026" s="53"/>
      <c r="M2026" s="53"/>
      <c r="N2026" s="53"/>
      <c r="O2026" s="53"/>
      <c r="P2026" s="53"/>
      <c r="Q2026" s="53"/>
      <c r="R2026" s="53"/>
      <c r="S2026" s="53"/>
      <c r="T2026" s="53"/>
      <c r="U2026" s="53"/>
      <c r="V2026" s="53"/>
      <c r="W2026" s="53"/>
      <c r="X2026" s="53"/>
      <c r="Y2026" s="53"/>
      <c r="Z2026" s="53"/>
    </row>
    <row r="2027" spans="1:26" ht="15.75" customHeight="1">
      <c r="A2027" s="103"/>
      <c r="B2027" s="103"/>
      <c r="C2027" s="104" t="e">
        <v>#REF!</v>
      </c>
      <c r="D2027" s="103"/>
      <c r="E2027" s="53"/>
      <c r="F2027" s="53"/>
      <c r="G2027" s="53"/>
      <c r="H2027" s="53"/>
      <c r="I2027" s="53"/>
      <c r="J2027" s="53"/>
      <c r="K2027" s="53"/>
      <c r="L2027" s="53"/>
      <c r="M2027" s="53"/>
      <c r="N2027" s="53"/>
      <c r="O2027" s="53"/>
      <c r="P2027" s="53"/>
      <c r="Q2027" s="53"/>
      <c r="R2027" s="53"/>
      <c r="S2027" s="53"/>
      <c r="T2027" s="53"/>
      <c r="U2027" s="53"/>
      <c r="V2027" s="53"/>
      <c r="W2027" s="53"/>
      <c r="X2027" s="53"/>
      <c r="Y2027" s="53"/>
      <c r="Z2027" s="53"/>
    </row>
    <row r="2028" spans="1:26" ht="15.75" customHeight="1">
      <c r="A2028" s="103"/>
      <c r="B2028" s="103"/>
      <c r="C2028" s="104" t="e">
        <v>#REF!</v>
      </c>
      <c r="D2028" s="103"/>
      <c r="E2028" s="53"/>
      <c r="F2028" s="53"/>
      <c r="G2028" s="53"/>
      <c r="H2028" s="53"/>
      <c r="I2028" s="53"/>
      <c r="J2028" s="53"/>
      <c r="K2028" s="53"/>
      <c r="L2028" s="53"/>
      <c r="M2028" s="53"/>
      <c r="N2028" s="53"/>
      <c r="O2028" s="53"/>
      <c r="P2028" s="53"/>
      <c r="Q2028" s="53"/>
      <c r="R2028" s="53"/>
      <c r="S2028" s="53"/>
      <c r="T2028" s="53"/>
      <c r="U2028" s="53"/>
      <c r="V2028" s="53"/>
      <c r="W2028" s="53"/>
      <c r="X2028" s="53"/>
      <c r="Y2028" s="53"/>
      <c r="Z2028" s="53"/>
    </row>
    <row r="2029" spans="1:26" ht="15.75" customHeight="1">
      <c r="A2029" s="103"/>
      <c r="B2029" s="103"/>
      <c r="C2029" s="104" t="e">
        <v>#REF!</v>
      </c>
      <c r="D2029" s="103"/>
      <c r="E2029" s="53"/>
      <c r="F2029" s="53"/>
      <c r="G2029" s="53"/>
      <c r="H2029" s="53"/>
      <c r="I2029" s="53"/>
      <c r="J2029" s="53"/>
      <c r="K2029" s="53"/>
      <c r="L2029" s="53"/>
      <c r="M2029" s="53"/>
      <c r="N2029" s="53"/>
      <c r="O2029" s="53"/>
      <c r="P2029" s="53"/>
      <c r="Q2029" s="53"/>
      <c r="R2029" s="53"/>
      <c r="S2029" s="53"/>
      <c r="T2029" s="53"/>
      <c r="U2029" s="53"/>
      <c r="V2029" s="53"/>
      <c r="W2029" s="53"/>
      <c r="X2029" s="53"/>
      <c r="Y2029" s="53"/>
      <c r="Z2029" s="53"/>
    </row>
    <row r="2030" spans="1:26" ht="15.75" customHeight="1">
      <c r="A2030" s="103"/>
      <c r="B2030" s="103"/>
      <c r="C2030" s="104" t="e">
        <v>#REF!</v>
      </c>
      <c r="D2030" s="103"/>
      <c r="E2030" s="53"/>
      <c r="F2030" s="53"/>
      <c r="G2030" s="53"/>
      <c r="H2030" s="53"/>
      <c r="I2030" s="53"/>
      <c r="J2030" s="53"/>
      <c r="K2030" s="53"/>
      <c r="L2030" s="53"/>
      <c r="M2030" s="53"/>
      <c r="N2030" s="53"/>
      <c r="O2030" s="53"/>
      <c r="P2030" s="53"/>
      <c r="Q2030" s="53"/>
      <c r="R2030" s="53"/>
      <c r="S2030" s="53"/>
      <c r="T2030" s="53"/>
      <c r="U2030" s="53"/>
      <c r="V2030" s="53"/>
      <c r="W2030" s="53"/>
      <c r="X2030" s="53"/>
      <c r="Y2030" s="53"/>
      <c r="Z2030" s="53"/>
    </row>
    <row r="2031" spans="1:26" ht="15.75" customHeight="1">
      <c r="A2031" s="103"/>
      <c r="B2031" s="103"/>
      <c r="C2031" s="104" t="e">
        <v>#REF!</v>
      </c>
      <c r="D2031" s="103"/>
      <c r="E2031" s="53"/>
      <c r="F2031" s="53"/>
      <c r="G2031" s="53"/>
      <c r="H2031" s="53"/>
      <c r="I2031" s="53"/>
      <c r="J2031" s="53"/>
      <c r="K2031" s="53"/>
      <c r="L2031" s="53"/>
      <c r="M2031" s="53"/>
      <c r="N2031" s="53"/>
      <c r="O2031" s="53"/>
      <c r="P2031" s="53"/>
      <c r="Q2031" s="53"/>
      <c r="R2031" s="53"/>
      <c r="S2031" s="53"/>
      <c r="T2031" s="53"/>
      <c r="U2031" s="53"/>
      <c r="V2031" s="53"/>
      <c r="W2031" s="53"/>
      <c r="X2031" s="53"/>
      <c r="Y2031" s="53"/>
      <c r="Z2031" s="53"/>
    </row>
    <row r="2032" spans="1:26" ht="15.75" customHeight="1">
      <c r="A2032" s="103"/>
      <c r="B2032" s="103"/>
      <c r="C2032" s="104" t="e">
        <v>#REF!</v>
      </c>
      <c r="D2032" s="103"/>
      <c r="E2032" s="53"/>
      <c r="F2032" s="53"/>
      <c r="G2032" s="53"/>
      <c r="H2032" s="53"/>
      <c r="I2032" s="53"/>
      <c r="J2032" s="53"/>
      <c r="K2032" s="53"/>
      <c r="L2032" s="53"/>
      <c r="M2032" s="53"/>
      <c r="N2032" s="53"/>
      <c r="O2032" s="53"/>
      <c r="P2032" s="53"/>
      <c r="Q2032" s="53"/>
      <c r="R2032" s="53"/>
      <c r="S2032" s="53"/>
      <c r="T2032" s="53"/>
      <c r="U2032" s="53"/>
      <c r="V2032" s="53"/>
      <c r="W2032" s="53"/>
      <c r="X2032" s="53"/>
      <c r="Y2032" s="53"/>
      <c r="Z2032" s="53"/>
    </row>
    <row r="2033" spans="1:26" ht="15.75" customHeight="1">
      <c r="A2033" s="103"/>
      <c r="B2033" s="103"/>
      <c r="C2033" s="104" t="e">
        <v>#REF!</v>
      </c>
      <c r="D2033" s="103"/>
      <c r="E2033" s="53"/>
      <c r="F2033" s="53"/>
      <c r="G2033" s="53"/>
      <c r="H2033" s="53"/>
      <c r="I2033" s="53"/>
      <c r="J2033" s="53"/>
      <c r="K2033" s="53"/>
      <c r="L2033" s="53"/>
      <c r="M2033" s="53"/>
      <c r="N2033" s="53"/>
      <c r="O2033" s="53"/>
      <c r="P2033" s="53"/>
      <c r="Q2033" s="53"/>
      <c r="R2033" s="53"/>
      <c r="S2033" s="53"/>
      <c r="T2033" s="53"/>
      <c r="U2033" s="53"/>
      <c r="V2033" s="53"/>
      <c r="W2033" s="53"/>
      <c r="X2033" s="53"/>
      <c r="Y2033" s="53"/>
      <c r="Z2033" s="53"/>
    </row>
    <row r="2034" spans="1:26" ht="15.75" customHeight="1">
      <c r="A2034" s="103"/>
      <c r="B2034" s="103"/>
      <c r="C2034" s="104" t="e">
        <v>#REF!</v>
      </c>
      <c r="D2034" s="103"/>
      <c r="E2034" s="53"/>
      <c r="F2034" s="53"/>
      <c r="G2034" s="53"/>
      <c r="H2034" s="53"/>
      <c r="I2034" s="53"/>
      <c r="J2034" s="53"/>
      <c r="K2034" s="53"/>
      <c r="L2034" s="53"/>
      <c r="M2034" s="53"/>
      <c r="N2034" s="53"/>
      <c r="O2034" s="53"/>
      <c r="P2034" s="53"/>
      <c r="Q2034" s="53"/>
      <c r="R2034" s="53"/>
      <c r="S2034" s="53"/>
      <c r="T2034" s="53"/>
      <c r="U2034" s="53"/>
      <c r="V2034" s="53"/>
      <c r="W2034" s="53"/>
      <c r="X2034" s="53"/>
      <c r="Y2034" s="53"/>
      <c r="Z2034" s="53"/>
    </row>
    <row r="2035" spans="1:26" ht="15.75" customHeight="1">
      <c r="A2035" s="103"/>
      <c r="B2035" s="103"/>
      <c r="C2035" s="104" t="e">
        <v>#REF!</v>
      </c>
      <c r="D2035" s="103"/>
      <c r="E2035" s="53"/>
      <c r="F2035" s="53"/>
      <c r="G2035" s="53"/>
      <c r="H2035" s="53"/>
      <c r="I2035" s="53"/>
      <c r="J2035" s="53"/>
      <c r="K2035" s="53"/>
      <c r="L2035" s="53"/>
      <c r="M2035" s="53"/>
      <c r="N2035" s="53"/>
      <c r="O2035" s="53"/>
      <c r="P2035" s="53"/>
      <c r="Q2035" s="53"/>
      <c r="R2035" s="53"/>
      <c r="S2035" s="53"/>
      <c r="T2035" s="53"/>
      <c r="U2035" s="53"/>
      <c r="V2035" s="53"/>
      <c r="W2035" s="53"/>
      <c r="X2035" s="53"/>
      <c r="Y2035" s="53"/>
      <c r="Z2035" s="53"/>
    </row>
    <row r="2036" spans="1:26" ht="15.75" customHeight="1">
      <c r="A2036" s="103"/>
      <c r="B2036" s="103"/>
      <c r="C2036" s="104" t="e">
        <v>#REF!</v>
      </c>
      <c r="D2036" s="103"/>
      <c r="E2036" s="53"/>
      <c r="F2036" s="53"/>
      <c r="G2036" s="53"/>
      <c r="H2036" s="53"/>
      <c r="I2036" s="53"/>
      <c r="J2036" s="53"/>
      <c r="K2036" s="53"/>
      <c r="L2036" s="53"/>
      <c r="M2036" s="53"/>
      <c r="N2036" s="53"/>
      <c r="O2036" s="53"/>
      <c r="P2036" s="53"/>
      <c r="Q2036" s="53"/>
      <c r="R2036" s="53"/>
      <c r="S2036" s="53"/>
      <c r="T2036" s="53"/>
      <c r="U2036" s="53"/>
      <c r="V2036" s="53"/>
      <c r="W2036" s="53"/>
      <c r="X2036" s="53"/>
      <c r="Y2036" s="53"/>
      <c r="Z2036" s="53"/>
    </row>
    <row r="2037" spans="1:26" ht="15.75" customHeight="1">
      <c r="A2037" s="103"/>
      <c r="B2037" s="103"/>
      <c r="C2037" s="104" t="e">
        <v>#REF!</v>
      </c>
      <c r="D2037" s="103"/>
      <c r="E2037" s="53"/>
      <c r="F2037" s="53"/>
      <c r="G2037" s="53"/>
      <c r="H2037" s="53"/>
      <c r="I2037" s="53"/>
      <c r="J2037" s="53"/>
      <c r="K2037" s="53"/>
      <c r="L2037" s="53"/>
      <c r="M2037" s="53"/>
      <c r="N2037" s="53"/>
      <c r="O2037" s="53"/>
      <c r="P2037" s="53"/>
      <c r="Q2037" s="53"/>
      <c r="R2037" s="53"/>
      <c r="S2037" s="53"/>
      <c r="T2037" s="53"/>
      <c r="U2037" s="53"/>
      <c r="V2037" s="53"/>
      <c r="W2037" s="53"/>
      <c r="X2037" s="53"/>
      <c r="Y2037" s="53"/>
      <c r="Z2037" s="53"/>
    </row>
    <row r="2038" spans="1:26" ht="15.75" customHeight="1">
      <c r="A2038" s="103"/>
      <c r="B2038" s="103"/>
      <c r="C2038" s="104" t="e">
        <v>#REF!</v>
      </c>
      <c r="D2038" s="103"/>
      <c r="E2038" s="53"/>
      <c r="F2038" s="53"/>
      <c r="G2038" s="53"/>
      <c r="H2038" s="53"/>
      <c r="I2038" s="53"/>
      <c r="J2038" s="53"/>
      <c r="K2038" s="53"/>
      <c r="L2038" s="53"/>
      <c r="M2038" s="53"/>
      <c r="N2038" s="53"/>
      <c r="O2038" s="53"/>
      <c r="P2038" s="53"/>
      <c r="Q2038" s="53"/>
      <c r="R2038" s="53"/>
      <c r="S2038" s="53"/>
      <c r="T2038" s="53"/>
      <c r="U2038" s="53"/>
      <c r="V2038" s="53"/>
      <c r="W2038" s="53"/>
      <c r="X2038" s="53"/>
      <c r="Y2038" s="53"/>
      <c r="Z2038" s="53"/>
    </row>
    <row r="2039" spans="1:26" ht="15.75" customHeight="1">
      <c r="A2039" s="103"/>
      <c r="B2039" s="103"/>
      <c r="C2039" s="104" t="e">
        <v>#REF!</v>
      </c>
      <c r="D2039" s="103"/>
      <c r="E2039" s="53"/>
      <c r="F2039" s="53"/>
      <c r="G2039" s="53"/>
      <c r="H2039" s="53"/>
      <c r="I2039" s="53"/>
      <c r="J2039" s="53"/>
      <c r="K2039" s="53"/>
      <c r="L2039" s="53"/>
      <c r="M2039" s="53"/>
      <c r="N2039" s="53"/>
      <c r="O2039" s="53"/>
      <c r="P2039" s="53"/>
      <c r="Q2039" s="53"/>
      <c r="R2039" s="53"/>
      <c r="S2039" s="53"/>
      <c r="T2039" s="53"/>
      <c r="U2039" s="53"/>
      <c r="V2039" s="53"/>
      <c r="W2039" s="53"/>
      <c r="X2039" s="53"/>
      <c r="Y2039" s="53"/>
      <c r="Z2039" s="53"/>
    </row>
    <row r="2040" spans="1:26" ht="15.75" customHeight="1">
      <c r="A2040" s="103"/>
      <c r="B2040" s="103"/>
      <c r="C2040" s="104" t="e">
        <v>#REF!</v>
      </c>
      <c r="D2040" s="103"/>
      <c r="E2040" s="53"/>
      <c r="F2040" s="53"/>
      <c r="G2040" s="53"/>
      <c r="H2040" s="53"/>
      <c r="I2040" s="53"/>
      <c r="J2040" s="53"/>
      <c r="K2040" s="53"/>
      <c r="L2040" s="53"/>
      <c r="M2040" s="53"/>
      <c r="N2040" s="53"/>
      <c r="O2040" s="53"/>
      <c r="P2040" s="53"/>
      <c r="Q2040" s="53"/>
      <c r="R2040" s="53"/>
      <c r="S2040" s="53"/>
      <c r="T2040" s="53"/>
      <c r="U2040" s="53"/>
      <c r="V2040" s="53"/>
      <c r="W2040" s="53"/>
      <c r="X2040" s="53"/>
      <c r="Y2040" s="53"/>
      <c r="Z2040" s="53"/>
    </row>
    <row r="2041" spans="1:26" ht="15.75" customHeight="1">
      <c r="A2041" s="103"/>
      <c r="B2041" s="103"/>
      <c r="C2041" s="104" t="e">
        <v>#REF!</v>
      </c>
      <c r="D2041" s="103"/>
      <c r="E2041" s="53"/>
      <c r="F2041" s="53"/>
      <c r="G2041" s="53"/>
      <c r="H2041" s="53"/>
      <c r="I2041" s="53"/>
      <c r="J2041" s="53"/>
      <c r="K2041" s="53"/>
      <c r="L2041" s="53"/>
      <c r="M2041" s="53"/>
      <c r="N2041" s="53"/>
      <c r="O2041" s="53"/>
      <c r="P2041" s="53"/>
      <c r="Q2041" s="53"/>
      <c r="R2041" s="53"/>
      <c r="S2041" s="53"/>
      <c r="T2041" s="53"/>
      <c r="U2041" s="53"/>
      <c r="V2041" s="53"/>
      <c r="W2041" s="53"/>
      <c r="X2041" s="53"/>
      <c r="Y2041" s="53"/>
      <c r="Z2041" s="53"/>
    </row>
    <row r="2042" spans="1:26" ht="15.75" customHeight="1">
      <c r="A2042" s="103"/>
      <c r="B2042" s="103"/>
      <c r="C2042" s="104" t="e">
        <v>#REF!</v>
      </c>
      <c r="D2042" s="103"/>
      <c r="E2042" s="53"/>
      <c r="F2042" s="53"/>
      <c r="G2042" s="53"/>
      <c r="H2042" s="53"/>
      <c r="I2042" s="53"/>
      <c r="J2042" s="53"/>
      <c r="K2042" s="53"/>
      <c r="L2042" s="53"/>
      <c r="M2042" s="53"/>
      <c r="N2042" s="53"/>
      <c r="O2042" s="53"/>
      <c r="P2042" s="53"/>
      <c r="Q2042" s="53"/>
      <c r="R2042" s="53"/>
      <c r="S2042" s="53"/>
      <c r="T2042" s="53"/>
      <c r="U2042" s="53"/>
      <c r="V2042" s="53"/>
      <c r="W2042" s="53"/>
      <c r="X2042" s="53"/>
      <c r="Y2042" s="53"/>
      <c r="Z2042" s="53"/>
    </row>
    <row r="2043" spans="1:26" ht="15.75" customHeight="1">
      <c r="A2043" s="103"/>
      <c r="B2043" s="103"/>
      <c r="C2043" s="104" t="e">
        <v>#REF!</v>
      </c>
      <c r="D2043" s="103"/>
      <c r="E2043" s="53"/>
      <c r="F2043" s="53"/>
      <c r="G2043" s="53"/>
      <c r="H2043" s="53"/>
      <c r="I2043" s="53"/>
      <c r="J2043" s="53"/>
      <c r="K2043" s="53"/>
      <c r="L2043" s="53"/>
      <c r="M2043" s="53"/>
      <c r="N2043" s="53"/>
      <c r="O2043" s="53"/>
      <c r="P2043" s="53"/>
      <c r="Q2043" s="53"/>
      <c r="R2043" s="53"/>
      <c r="S2043" s="53"/>
      <c r="T2043" s="53"/>
      <c r="U2043" s="53"/>
      <c r="V2043" s="53"/>
      <c r="W2043" s="53"/>
      <c r="X2043" s="53"/>
      <c r="Y2043" s="53"/>
      <c r="Z2043" s="53"/>
    </row>
    <row r="2044" spans="1:26" ht="15.75" customHeight="1">
      <c r="A2044" s="103"/>
      <c r="B2044" s="103"/>
      <c r="C2044" s="104" t="e">
        <v>#REF!</v>
      </c>
      <c r="D2044" s="103"/>
      <c r="E2044" s="53"/>
      <c r="F2044" s="53"/>
      <c r="G2044" s="53"/>
      <c r="H2044" s="53"/>
      <c r="I2044" s="53"/>
      <c r="J2044" s="53"/>
      <c r="K2044" s="53"/>
      <c r="L2044" s="53"/>
      <c r="M2044" s="53"/>
      <c r="N2044" s="53"/>
      <c r="O2044" s="53"/>
      <c r="P2044" s="53"/>
      <c r="Q2044" s="53"/>
      <c r="R2044" s="53"/>
      <c r="S2044" s="53"/>
      <c r="T2044" s="53"/>
      <c r="U2044" s="53"/>
      <c r="V2044" s="53"/>
      <c r="W2044" s="53"/>
      <c r="X2044" s="53"/>
      <c r="Y2044" s="53"/>
      <c r="Z2044" s="53"/>
    </row>
    <row r="2045" spans="1:26" ht="15.75" customHeight="1">
      <c r="A2045" s="103"/>
      <c r="B2045" s="103"/>
      <c r="C2045" s="104" t="e">
        <v>#REF!</v>
      </c>
      <c r="D2045" s="103"/>
      <c r="E2045" s="53"/>
      <c r="F2045" s="53"/>
      <c r="G2045" s="53"/>
      <c r="H2045" s="53"/>
      <c r="I2045" s="53"/>
      <c r="J2045" s="53"/>
      <c r="K2045" s="53"/>
      <c r="L2045" s="53"/>
      <c r="M2045" s="53"/>
      <c r="N2045" s="53"/>
      <c r="O2045" s="53"/>
      <c r="P2045" s="53"/>
      <c r="Q2045" s="53"/>
      <c r="R2045" s="53"/>
      <c r="S2045" s="53"/>
      <c r="T2045" s="53"/>
      <c r="U2045" s="53"/>
      <c r="V2045" s="53"/>
      <c r="W2045" s="53"/>
      <c r="X2045" s="53"/>
      <c r="Y2045" s="53"/>
      <c r="Z2045" s="53"/>
    </row>
    <row r="2046" spans="1:26" ht="15.75" customHeight="1">
      <c r="A2046" s="103"/>
      <c r="B2046" s="103"/>
      <c r="C2046" s="104" t="e">
        <v>#REF!</v>
      </c>
      <c r="D2046" s="103"/>
      <c r="E2046" s="53"/>
      <c r="F2046" s="53"/>
      <c r="G2046" s="53"/>
      <c r="H2046" s="53"/>
      <c r="I2046" s="53"/>
      <c r="J2046" s="53"/>
      <c r="K2046" s="53"/>
      <c r="L2046" s="53"/>
      <c r="M2046" s="53"/>
      <c r="N2046" s="53"/>
      <c r="O2046" s="53"/>
      <c r="P2046" s="53"/>
      <c r="Q2046" s="53"/>
      <c r="R2046" s="53"/>
      <c r="S2046" s="53"/>
      <c r="T2046" s="53"/>
      <c r="U2046" s="53"/>
      <c r="V2046" s="53"/>
      <c r="W2046" s="53"/>
      <c r="X2046" s="53"/>
      <c r="Y2046" s="53"/>
      <c r="Z2046" s="53"/>
    </row>
    <row r="2047" spans="1:26" ht="15.75" customHeight="1">
      <c r="A2047" s="103"/>
      <c r="B2047" s="103"/>
      <c r="C2047" s="104" t="e">
        <v>#REF!</v>
      </c>
      <c r="D2047" s="103"/>
      <c r="E2047" s="53"/>
      <c r="F2047" s="53"/>
      <c r="G2047" s="53"/>
      <c r="H2047" s="53"/>
      <c r="I2047" s="53"/>
      <c r="J2047" s="53"/>
      <c r="K2047" s="53"/>
      <c r="L2047" s="53"/>
      <c r="M2047" s="53"/>
      <c r="N2047" s="53"/>
      <c r="O2047" s="53"/>
      <c r="P2047" s="53"/>
      <c r="Q2047" s="53"/>
      <c r="R2047" s="53"/>
      <c r="S2047" s="53"/>
      <c r="T2047" s="53"/>
      <c r="U2047" s="53"/>
      <c r="V2047" s="53"/>
      <c r="W2047" s="53"/>
      <c r="X2047" s="53"/>
      <c r="Y2047" s="53"/>
      <c r="Z2047" s="53"/>
    </row>
    <row r="2048" spans="1:26" ht="15.75" customHeight="1">
      <c r="A2048" s="103"/>
      <c r="B2048" s="103"/>
      <c r="C2048" s="104" t="e">
        <v>#REF!</v>
      </c>
      <c r="D2048" s="103"/>
      <c r="E2048" s="53"/>
      <c r="F2048" s="53"/>
      <c r="G2048" s="53"/>
      <c r="H2048" s="53"/>
      <c r="I2048" s="53"/>
      <c r="J2048" s="53"/>
      <c r="K2048" s="53"/>
      <c r="L2048" s="53"/>
      <c r="M2048" s="53"/>
      <c r="N2048" s="53"/>
      <c r="O2048" s="53"/>
      <c r="P2048" s="53"/>
      <c r="Q2048" s="53"/>
      <c r="R2048" s="53"/>
      <c r="S2048" s="53"/>
      <c r="T2048" s="53"/>
      <c r="U2048" s="53"/>
      <c r="V2048" s="53"/>
      <c r="W2048" s="53"/>
      <c r="X2048" s="53"/>
      <c r="Y2048" s="53"/>
      <c r="Z2048" s="53"/>
    </row>
    <row r="2049" spans="1:26" ht="15.75" customHeight="1">
      <c r="A2049" s="103"/>
      <c r="B2049" s="103"/>
      <c r="C2049" s="104" t="e">
        <v>#REF!</v>
      </c>
      <c r="D2049" s="103"/>
      <c r="E2049" s="53"/>
      <c r="F2049" s="53"/>
      <c r="G2049" s="53"/>
      <c r="H2049" s="53"/>
      <c r="I2049" s="53"/>
      <c r="J2049" s="53"/>
      <c r="K2049" s="53"/>
      <c r="L2049" s="53"/>
      <c r="M2049" s="53"/>
      <c r="N2049" s="53"/>
      <c r="O2049" s="53"/>
      <c r="P2049" s="53"/>
      <c r="Q2049" s="53"/>
      <c r="R2049" s="53"/>
      <c r="S2049" s="53"/>
      <c r="T2049" s="53"/>
      <c r="U2049" s="53"/>
      <c r="V2049" s="53"/>
      <c r="W2049" s="53"/>
      <c r="X2049" s="53"/>
      <c r="Y2049" s="53"/>
      <c r="Z2049" s="53"/>
    </row>
    <row r="2050" spans="1:26" ht="15.75" customHeight="1">
      <c r="A2050" s="103"/>
      <c r="B2050" s="103"/>
      <c r="C2050" s="104" t="e">
        <v>#REF!</v>
      </c>
      <c r="D2050" s="103"/>
      <c r="E2050" s="53"/>
      <c r="F2050" s="53"/>
      <c r="G2050" s="53"/>
      <c r="H2050" s="53"/>
      <c r="I2050" s="53"/>
      <c r="J2050" s="53"/>
      <c r="K2050" s="53"/>
      <c r="L2050" s="53"/>
      <c r="M2050" s="53"/>
      <c r="N2050" s="53"/>
      <c r="O2050" s="53"/>
      <c r="P2050" s="53"/>
      <c r="Q2050" s="53"/>
      <c r="R2050" s="53"/>
      <c r="S2050" s="53"/>
      <c r="T2050" s="53"/>
      <c r="U2050" s="53"/>
      <c r="V2050" s="53"/>
      <c r="W2050" s="53"/>
      <c r="X2050" s="53"/>
      <c r="Y2050" s="53"/>
      <c r="Z2050" s="53"/>
    </row>
    <row r="2051" spans="1:26" ht="15.75" customHeight="1">
      <c r="A2051" s="103"/>
      <c r="B2051" s="103"/>
      <c r="C2051" s="104" t="e">
        <v>#REF!</v>
      </c>
      <c r="D2051" s="103"/>
      <c r="E2051" s="53"/>
      <c r="F2051" s="53"/>
      <c r="G2051" s="53"/>
      <c r="H2051" s="53"/>
      <c r="I2051" s="53"/>
      <c r="J2051" s="53"/>
      <c r="K2051" s="53"/>
      <c r="L2051" s="53"/>
      <c r="M2051" s="53"/>
      <c r="N2051" s="53"/>
      <c r="O2051" s="53"/>
      <c r="P2051" s="53"/>
      <c r="Q2051" s="53"/>
      <c r="R2051" s="53"/>
      <c r="S2051" s="53"/>
      <c r="T2051" s="53"/>
      <c r="U2051" s="53"/>
      <c r="V2051" s="53"/>
      <c r="W2051" s="53"/>
      <c r="X2051" s="53"/>
      <c r="Y2051" s="53"/>
      <c r="Z2051" s="53"/>
    </row>
    <row r="2052" spans="1:26" ht="15.75" customHeight="1">
      <c r="A2052" s="103"/>
      <c r="B2052" s="103"/>
      <c r="C2052" s="104" t="e">
        <v>#REF!</v>
      </c>
      <c r="D2052" s="103"/>
      <c r="E2052" s="53"/>
      <c r="F2052" s="53"/>
      <c r="G2052" s="53"/>
      <c r="H2052" s="53"/>
      <c r="I2052" s="53"/>
      <c r="J2052" s="53"/>
      <c r="K2052" s="53"/>
      <c r="L2052" s="53"/>
      <c r="M2052" s="53"/>
      <c r="N2052" s="53"/>
      <c r="O2052" s="53"/>
      <c r="P2052" s="53"/>
      <c r="Q2052" s="53"/>
      <c r="R2052" s="53"/>
      <c r="S2052" s="53"/>
      <c r="T2052" s="53"/>
      <c r="U2052" s="53"/>
      <c r="V2052" s="53"/>
      <c r="W2052" s="53"/>
      <c r="X2052" s="53"/>
      <c r="Y2052" s="53"/>
      <c r="Z2052" s="53"/>
    </row>
    <row r="2053" spans="1:26" ht="15.75" customHeight="1">
      <c r="A2053" s="103"/>
      <c r="B2053" s="103"/>
      <c r="C2053" s="104" t="e">
        <v>#REF!</v>
      </c>
      <c r="D2053" s="103"/>
      <c r="E2053" s="53"/>
      <c r="F2053" s="53"/>
      <c r="G2053" s="53"/>
      <c r="H2053" s="53"/>
      <c r="I2053" s="53"/>
      <c r="J2053" s="53"/>
      <c r="K2053" s="53"/>
      <c r="L2053" s="53"/>
      <c r="M2053" s="53"/>
      <c r="N2053" s="53"/>
      <c r="O2053" s="53"/>
      <c r="P2053" s="53"/>
      <c r="Q2053" s="53"/>
      <c r="R2053" s="53"/>
      <c r="S2053" s="53"/>
      <c r="T2053" s="53"/>
      <c r="U2053" s="53"/>
      <c r="V2053" s="53"/>
      <c r="W2053" s="53"/>
      <c r="X2053" s="53"/>
      <c r="Y2053" s="53"/>
      <c r="Z2053" s="53"/>
    </row>
    <row r="2054" spans="1:26" ht="15.75" customHeight="1">
      <c r="A2054" s="103"/>
      <c r="B2054" s="103"/>
      <c r="C2054" s="104" t="e">
        <v>#REF!</v>
      </c>
      <c r="D2054" s="103"/>
      <c r="E2054" s="53"/>
      <c r="F2054" s="53"/>
      <c r="G2054" s="53"/>
      <c r="H2054" s="53"/>
      <c r="I2054" s="53"/>
      <c r="J2054" s="53"/>
      <c r="K2054" s="53"/>
      <c r="L2054" s="53"/>
      <c r="M2054" s="53"/>
      <c r="N2054" s="53"/>
      <c r="O2054" s="53"/>
      <c r="P2054" s="53"/>
      <c r="Q2054" s="53"/>
      <c r="R2054" s="53"/>
      <c r="S2054" s="53"/>
      <c r="T2054" s="53"/>
      <c r="U2054" s="53"/>
      <c r="V2054" s="53"/>
      <c r="W2054" s="53"/>
      <c r="X2054" s="53"/>
      <c r="Y2054" s="53"/>
      <c r="Z2054" s="53"/>
    </row>
    <row r="2055" spans="1:26" ht="15.75" customHeight="1">
      <c r="A2055" s="103"/>
      <c r="B2055" s="103"/>
      <c r="C2055" s="104" t="e">
        <v>#REF!</v>
      </c>
      <c r="D2055" s="103"/>
      <c r="E2055" s="53"/>
      <c r="F2055" s="53"/>
      <c r="G2055" s="53"/>
      <c r="H2055" s="53"/>
      <c r="I2055" s="53"/>
      <c r="J2055" s="53"/>
      <c r="K2055" s="53"/>
      <c r="L2055" s="53"/>
      <c r="M2055" s="53"/>
      <c r="N2055" s="53"/>
      <c r="O2055" s="53"/>
      <c r="P2055" s="53"/>
      <c r="Q2055" s="53"/>
      <c r="R2055" s="53"/>
      <c r="S2055" s="53"/>
      <c r="T2055" s="53"/>
      <c r="U2055" s="53"/>
      <c r="V2055" s="53"/>
      <c r="W2055" s="53"/>
      <c r="X2055" s="53"/>
      <c r="Y2055" s="53"/>
      <c r="Z2055" s="53"/>
    </row>
    <row r="2056" spans="1:26" ht="15.75" customHeight="1">
      <c r="A2056" s="103"/>
      <c r="B2056" s="103"/>
      <c r="C2056" s="104" t="e">
        <v>#REF!</v>
      </c>
      <c r="D2056" s="103"/>
      <c r="E2056" s="53"/>
      <c r="F2056" s="53"/>
      <c r="G2056" s="53"/>
      <c r="H2056" s="53"/>
      <c r="I2056" s="53"/>
      <c r="J2056" s="53"/>
      <c r="K2056" s="53"/>
      <c r="L2056" s="53"/>
      <c r="M2056" s="53"/>
      <c r="N2056" s="53"/>
      <c r="O2056" s="53"/>
      <c r="P2056" s="53"/>
      <c r="Q2056" s="53"/>
      <c r="R2056" s="53"/>
      <c r="S2056" s="53"/>
      <c r="T2056" s="53"/>
      <c r="U2056" s="53"/>
      <c r="V2056" s="53"/>
      <c r="W2056" s="53"/>
      <c r="X2056" s="53"/>
      <c r="Y2056" s="53"/>
      <c r="Z2056" s="53"/>
    </row>
    <row r="2057" spans="1:26" ht="15.75" customHeight="1">
      <c r="A2057" s="103"/>
      <c r="B2057" s="103"/>
      <c r="C2057" s="104" t="e">
        <v>#REF!</v>
      </c>
      <c r="D2057" s="103"/>
      <c r="E2057" s="53"/>
      <c r="F2057" s="53"/>
      <c r="G2057" s="53"/>
      <c r="H2057" s="53"/>
      <c r="I2057" s="53"/>
      <c r="J2057" s="53"/>
      <c r="K2057" s="53"/>
      <c r="L2057" s="53"/>
      <c r="M2057" s="53"/>
      <c r="N2057" s="53"/>
      <c r="O2057" s="53"/>
      <c r="P2057" s="53"/>
      <c r="Q2057" s="53"/>
      <c r="R2057" s="53"/>
      <c r="S2057" s="53"/>
      <c r="T2057" s="53"/>
      <c r="U2057" s="53"/>
      <c r="V2057" s="53"/>
      <c r="W2057" s="53"/>
      <c r="X2057" s="53"/>
      <c r="Y2057" s="53"/>
      <c r="Z2057" s="53"/>
    </row>
    <row r="2058" spans="1:26" ht="15.75" customHeight="1">
      <c r="A2058" s="103"/>
      <c r="B2058" s="103"/>
      <c r="C2058" s="104" t="e">
        <v>#REF!</v>
      </c>
      <c r="D2058" s="103"/>
      <c r="E2058" s="53"/>
      <c r="F2058" s="53"/>
      <c r="G2058" s="53"/>
      <c r="H2058" s="53"/>
      <c r="I2058" s="53"/>
      <c r="J2058" s="53"/>
      <c r="K2058" s="53"/>
      <c r="L2058" s="53"/>
      <c r="M2058" s="53"/>
      <c r="N2058" s="53"/>
      <c r="O2058" s="53"/>
      <c r="P2058" s="53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</row>
    <row r="2059" spans="1:26" ht="15.75" customHeight="1">
      <c r="A2059" s="103"/>
      <c r="B2059" s="103"/>
      <c r="C2059" s="104" t="e">
        <v>#REF!</v>
      </c>
      <c r="D2059" s="103"/>
      <c r="E2059" s="53"/>
      <c r="F2059" s="53"/>
      <c r="G2059" s="53"/>
      <c r="H2059" s="53"/>
      <c r="I2059" s="53"/>
      <c r="J2059" s="53"/>
      <c r="K2059" s="53"/>
      <c r="L2059" s="53"/>
      <c r="M2059" s="53"/>
      <c r="N2059" s="53"/>
      <c r="O2059" s="53"/>
      <c r="P2059" s="53"/>
      <c r="Q2059" s="53"/>
      <c r="R2059" s="53"/>
      <c r="S2059" s="53"/>
      <c r="T2059" s="53"/>
      <c r="U2059" s="53"/>
      <c r="V2059" s="53"/>
      <c r="W2059" s="53"/>
      <c r="X2059" s="53"/>
      <c r="Y2059" s="53"/>
      <c r="Z2059" s="53"/>
    </row>
    <row r="2060" spans="1:26" ht="15.75" customHeight="1">
      <c r="A2060" s="103"/>
      <c r="B2060" s="103"/>
      <c r="C2060" s="104" t="e">
        <v>#REF!</v>
      </c>
      <c r="D2060" s="103"/>
      <c r="E2060" s="53"/>
      <c r="F2060" s="53"/>
      <c r="G2060" s="53"/>
      <c r="H2060" s="53"/>
      <c r="I2060" s="53"/>
      <c r="J2060" s="53"/>
      <c r="K2060" s="53"/>
      <c r="L2060" s="53"/>
      <c r="M2060" s="53"/>
      <c r="N2060" s="53"/>
      <c r="O2060" s="53"/>
      <c r="P2060" s="53"/>
      <c r="Q2060" s="53"/>
      <c r="R2060" s="53"/>
      <c r="S2060" s="53"/>
      <c r="T2060" s="53"/>
      <c r="U2060" s="53"/>
      <c r="V2060" s="53"/>
      <c r="W2060" s="53"/>
      <c r="X2060" s="53"/>
      <c r="Y2060" s="53"/>
      <c r="Z2060" s="53"/>
    </row>
    <row r="2061" spans="1:26" ht="15.75" customHeight="1">
      <c r="A2061" s="103"/>
      <c r="B2061" s="103"/>
      <c r="C2061" s="104" t="e">
        <v>#REF!</v>
      </c>
      <c r="D2061" s="103"/>
      <c r="E2061" s="53"/>
      <c r="F2061" s="53"/>
      <c r="G2061" s="53"/>
      <c r="H2061" s="53"/>
      <c r="I2061" s="53"/>
      <c r="J2061" s="53"/>
      <c r="K2061" s="53"/>
      <c r="L2061" s="53"/>
      <c r="M2061" s="53"/>
      <c r="N2061" s="53"/>
      <c r="O2061" s="53"/>
      <c r="P2061" s="53"/>
      <c r="Q2061" s="53"/>
      <c r="R2061" s="53"/>
      <c r="S2061" s="53"/>
      <c r="T2061" s="53"/>
      <c r="U2061" s="53"/>
      <c r="V2061" s="53"/>
      <c r="W2061" s="53"/>
      <c r="X2061" s="53"/>
      <c r="Y2061" s="53"/>
      <c r="Z2061" s="53"/>
    </row>
    <row r="2062" spans="1:26" ht="15.75" customHeight="1">
      <c r="A2062" s="103"/>
      <c r="B2062" s="103"/>
      <c r="C2062" s="104" t="e">
        <v>#REF!</v>
      </c>
      <c r="D2062" s="103"/>
      <c r="E2062" s="53"/>
      <c r="F2062" s="53"/>
      <c r="G2062" s="53"/>
      <c r="H2062" s="53"/>
      <c r="I2062" s="53"/>
      <c r="J2062" s="53"/>
      <c r="K2062" s="53"/>
      <c r="L2062" s="53"/>
      <c r="M2062" s="53"/>
      <c r="N2062" s="53"/>
      <c r="O2062" s="53"/>
      <c r="P2062" s="53"/>
      <c r="Q2062" s="53"/>
      <c r="R2062" s="53"/>
      <c r="S2062" s="53"/>
      <c r="T2062" s="53"/>
      <c r="U2062" s="53"/>
      <c r="V2062" s="53"/>
      <c r="W2062" s="53"/>
      <c r="X2062" s="53"/>
      <c r="Y2062" s="53"/>
      <c r="Z2062" s="53"/>
    </row>
    <row r="2063" spans="1:26" ht="15.75" customHeight="1">
      <c r="A2063" s="103"/>
      <c r="B2063" s="103"/>
      <c r="C2063" s="104" t="e">
        <v>#REF!</v>
      </c>
      <c r="D2063" s="103"/>
      <c r="E2063" s="53"/>
      <c r="F2063" s="53"/>
      <c r="G2063" s="53"/>
      <c r="H2063" s="53"/>
      <c r="I2063" s="53"/>
      <c r="J2063" s="53"/>
      <c r="K2063" s="53"/>
      <c r="L2063" s="53"/>
      <c r="M2063" s="53"/>
      <c r="N2063" s="53"/>
      <c r="O2063" s="53"/>
      <c r="P2063" s="53"/>
      <c r="Q2063" s="53"/>
      <c r="R2063" s="53"/>
      <c r="S2063" s="53"/>
      <c r="T2063" s="53"/>
      <c r="U2063" s="53"/>
      <c r="V2063" s="53"/>
      <c r="W2063" s="53"/>
      <c r="X2063" s="53"/>
      <c r="Y2063" s="53"/>
      <c r="Z2063" s="53"/>
    </row>
    <row r="2064" spans="1:26" ht="15.75" customHeight="1">
      <c r="A2064" s="103"/>
      <c r="B2064" s="103"/>
      <c r="C2064" s="104" t="e">
        <v>#REF!</v>
      </c>
      <c r="D2064" s="103"/>
      <c r="E2064" s="53"/>
      <c r="F2064" s="53"/>
      <c r="G2064" s="53"/>
      <c r="H2064" s="53"/>
      <c r="I2064" s="53"/>
      <c r="J2064" s="53"/>
      <c r="K2064" s="53"/>
      <c r="L2064" s="53"/>
      <c r="M2064" s="53"/>
      <c r="N2064" s="53"/>
      <c r="O2064" s="53"/>
      <c r="P2064" s="53"/>
      <c r="Q2064" s="53"/>
      <c r="R2064" s="53"/>
      <c r="S2064" s="53"/>
      <c r="T2064" s="53"/>
      <c r="U2064" s="53"/>
      <c r="V2064" s="53"/>
      <c r="W2064" s="53"/>
      <c r="X2064" s="53"/>
      <c r="Y2064" s="53"/>
      <c r="Z2064" s="53"/>
    </row>
    <row r="2065" spans="1:26" ht="15.75" customHeight="1">
      <c r="A2065" s="103"/>
      <c r="B2065" s="103"/>
      <c r="C2065" s="104" t="e">
        <v>#REF!</v>
      </c>
      <c r="D2065" s="103"/>
      <c r="E2065" s="53"/>
      <c r="F2065" s="53"/>
      <c r="G2065" s="53"/>
      <c r="H2065" s="53"/>
      <c r="I2065" s="53"/>
      <c r="J2065" s="53"/>
      <c r="K2065" s="53"/>
      <c r="L2065" s="53"/>
      <c r="M2065" s="53"/>
      <c r="N2065" s="53"/>
      <c r="O2065" s="53"/>
      <c r="P2065" s="53"/>
      <c r="Q2065" s="53"/>
      <c r="R2065" s="53"/>
      <c r="S2065" s="53"/>
      <c r="T2065" s="53"/>
      <c r="U2065" s="53"/>
      <c r="V2065" s="53"/>
      <c r="W2065" s="53"/>
      <c r="X2065" s="53"/>
      <c r="Y2065" s="53"/>
      <c r="Z2065" s="53"/>
    </row>
    <row r="2066" spans="1:26" ht="15.75" customHeight="1">
      <c r="A2066" s="103"/>
      <c r="B2066" s="103"/>
      <c r="C2066" s="104" t="e">
        <v>#REF!</v>
      </c>
      <c r="D2066" s="103"/>
      <c r="E2066" s="53"/>
      <c r="F2066" s="53"/>
      <c r="G2066" s="53"/>
      <c r="H2066" s="53"/>
      <c r="I2066" s="53"/>
      <c r="J2066" s="53"/>
      <c r="K2066" s="53"/>
      <c r="L2066" s="53"/>
      <c r="M2066" s="53"/>
      <c r="N2066" s="53"/>
      <c r="O2066" s="53"/>
      <c r="P2066" s="53"/>
      <c r="Q2066" s="53"/>
      <c r="R2066" s="53"/>
      <c r="S2066" s="53"/>
      <c r="T2066" s="53"/>
      <c r="U2066" s="53"/>
      <c r="V2066" s="53"/>
      <c r="W2066" s="53"/>
      <c r="X2066" s="53"/>
      <c r="Y2066" s="53"/>
      <c r="Z2066" s="53"/>
    </row>
    <row r="2067" spans="1:26" ht="15.75" customHeight="1">
      <c r="A2067" s="103"/>
      <c r="B2067" s="103"/>
      <c r="C2067" s="104" t="e">
        <v>#REF!</v>
      </c>
      <c r="D2067" s="103"/>
      <c r="E2067" s="53"/>
      <c r="F2067" s="53"/>
      <c r="G2067" s="53"/>
      <c r="H2067" s="53"/>
      <c r="I2067" s="53"/>
      <c r="J2067" s="53"/>
      <c r="K2067" s="53"/>
      <c r="L2067" s="53"/>
      <c r="M2067" s="53"/>
      <c r="N2067" s="53"/>
      <c r="O2067" s="53"/>
      <c r="P2067" s="53"/>
      <c r="Q2067" s="53"/>
      <c r="R2067" s="53"/>
      <c r="S2067" s="53"/>
      <c r="T2067" s="53"/>
      <c r="U2067" s="53"/>
      <c r="V2067" s="53"/>
      <c r="W2067" s="53"/>
      <c r="X2067" s="53"/>
      <c r="Y2067" s="53"/>
      <c r="Z2067" s="53"/>
    </row>
    <row r="2068" spans="1:26" ht="15.75" customHeight="1">
      <c r="A2068" s="103"/>
      <c r="B2068" s="103"/>
      <c r="C2068" s="104" t="e">
        <v>#REF!</v>
      </c>
      <c r="D2068" s="103"/>
      <c r="E2068" s="53"/>
      <c r="F2068" s="53"/>
      <c r="G2068" s="53"/>
      <c r="H2068" s="53"/>
      <c r="I2068" s="53"/>
      <c r="J2068" s="53"/>
      <c r="K2068" s="53"/>
      <c r="L2068" s="53"/>
      <c r="M2068" s="53"/>
      <c r="N2068" s="53"/>
      <c r="O2068" s="53"/>
      <c r="P2068" s="53"/>
      <c r="Q2068" s="53"/>
      <c r="R2068" s="53"/>
      <c r="S2068" s="53"/>
      <c r="T2068" s="53"/>
      <c r="U2068" s="53"/>
      <c r="V2068" s="53"/>
      <c r="W2068" s="53"/>
      <c r="X2068" s="53"/>
      <c r="Y2068" s="53"/>
      <c r="Z2068" s="53"/>
    </row>
    <row r="2069" spans="1:26" ht="15.75" customHeight="1">
      <c r="A2069" s="103"/>
      <c r="B2069" s="103"/>
      <c r="C2069" s="104" t="e">
        <v>#REF!</v>
      </c>
      <c r="D2069" s="103"/>
      <c r="E2069" s="53"/>
      <c r="F2069" s="53"/>
      <c r="G2069" s="53"/>
      <c r="H2069" s="53"/>
      <c r="I2069" s="53"/>
      <c r="J2069" s="53"/>
      <c r="K2069" s="53"/>
      <c r="L2069" s="53"/>
      <c r="M2069" s="53"/>
      <c r="N2069" s="53"/>
      <c r="O2069" s="53"/>
      <c r="P2069" s="53"/>
      <c r="Q2069" s="53"/>
      <c r="R2069" s="53"/>
      <c r="S2069" s="53"/>
      <c r="T2069" s="53"/>
      <c r="U2069" s="53"/>
      <c r="V2069" s="53"/>
      <c r="W2069" s="53"/>
      <c r="X2069" s="53"/>
      <c r="Y2069" s="53"/>
      <c r="Z2069" s="53"/>
    </row>
    <row r="2070" spans="1:26" ht="15.75" customHeight="1">
      <c r="A2070" s="103"/>
      <c r="B2070" s="103"/>
      <c r="C2070" s="104" t="e">
        <v>#REF!</v>
      </c>
      <c r="D2070" s="103"/>
      <c r="E2070" s="53"/>
      <c r="F2070" s="53"/>
      <c r="G2070" s="53"/>
      <c r="H2070" s="53"/>
      <c r="I2070" s="53"/>
      <c r="J2070" s="53"/>
      <c r="K2070" s="53"/>
      <c r="L2070" s="53"/>
      <c r="M2070" s="53"/>
      <c r="N2070" s="53"/>
      <c r="O2070" s="53"/>
      <c r="P2070" s="53"/>
      <c r="Q2070" s="53"/>
      <c r="R2070" s="53"/>
      <c r="S2070" s="53"/>
      <c r="T2070" s="53"/>
      <c r="U2070" s="53"/>
      <c r="V2070" s="53"/>
      <c r="W2070" s="53"/>
      <c r="X2070" s="53"/>
      <c r="Y2070" s="53"/>
      <c r="Z2070" s="53"/>
    </row>
    <row r="2071" spans="1:26" ht="15.75" customHeight="1">
      <c r="A2071" s="103"/>
      <c r="B2071" s="103"/>
      <c r="C2071" s="104" t="e">
        <v>#REF!</v>
      </c>
      <c r="D2071" s="103"/>
      <c r="E2071" s="53"/>
      <c r="F2071" s="53"/>
      <c r="G2071" s="53"/>
      <c r="H2071" s="53"/>
      <c r="I2071" s="53"/>
      <c r="J2071" s="53"/>
      <c r="K2071" s="53"/>
      <c r="L2071" s="53"/>
      <c r="M2071" s="53"/>
      <c r="N2071" s="53"/>
      <c r="O2071" s="53"/>
      <c r="P2071" s="53"/>
      <c r="Q2071" s="53"/>
      <c r="R2071" s="53"/>
      <c r="S2071" s="53"/>
      <c r="T2071" s="53"/>
      <c r="U2071" s="53"/>
      <c r="V2071" s="53"/>
      <c r="W2071" s="53"/>
      <c r="X2071" s="53"/>
      <c r="Y2071" s="53"/>
      <c r="Z2071" s="53"/>
    </row>
    <row r="2072" spans="1:26" ht="15.75" customHeight="1">
      <c r="A2072" s="103"/>
      <c r="B2072" s="103"/>
      <c r="C2072" s="104" t="e">
        <v>#REF!</v>
      </c>
      <c r="D2072" s="103"/>
      <c r="E2072" s="53"/>
      <c r="F2072" s="53"/>
      <c r="G2072" s="53"/>
      <c r="H2072" s="53"/>
      <c r="I2072" s="53"/>
      <c r="J2072" s="53"/>
      <c r="K2072" s="53"/>
      <c r="L2072" s="53"/>
      <c r="M2072" s="53"/>
      <c r="N2072" s="53"/>
      <c r="O2072" s="53"/>
      <c r="P2072" s="53"/>
      <c r="Q2072" s="53"/>
      <c r="R2072" s="53"/>
      <c r="S2072" s="53"/>
      <c r="T2072" s="53"/>
      <c r="U2072" s="53"/>
      <c r="V2072" s="53"/>
      <c r="W2072" s="53"/>
      <c r="X2072" s="53"/>
      <c r="Y2072" s="53"/>
      <c r="Z2072" s="53"/>
    </row>
    <row r="2073" spans="1:26" ht="15.75" customHeight="1">
      <c r="A2073" s="103"/>
      <c r="B2073" s="103"/>
      <c r="C2073" s="104" t="e">
        <v>#REF!</v>
      </c>
      <c r="D2073" s="103"/>
      <c r="E2073" s="53"/>
      <c r="F2073" s="53"/>
      <c r="G2073" s="53"/>
      <c r="H2073" s="53"/>
      <c r="I2073" s="53"/>
      <c r="J2073" s="53"/>
      <c r="K2073" s="53"/>
      <c r="L2073" s="53"/>
      <c r="M2073" s="53"/>
      <c r="N2073" s="53"/>
      <c r="O2073" s="53"/>
      <c r="P2073" s="53"/>
      <c r="Q2073" s="53"/>
      <c r="R2073" s="53"/>
      <c r="S2073" s="53"/>
      <c r="T2073" s="53"/>
      <c r="U2073" s="53"/>
      <c r="V2073" s="53"/>
      <c r="W2073" s="53"/>
      <c r="X2073" s="53"/>
      <c r="Y2073" s="53"/>
      <c r="Z2073" s="53"/>
    </row>
    <row r="2074" spans="1:26" ht="15.75" customHeight="1">
      <c r="A2074" s="103"/>
      <c r="B2074" s="103"/>
      <c r="C2074" s="104" t="e">
        <v>#REF!</v>
      </c>
      <c r="D2074" s="103"/>
      <c r="E2074" s="53"/>
      <c r="F2074" s="53"/>
      <c r="G2074" s="53"/>
      <c r="H2074" s="53"/>
      <c r="I2074" s="53"/>
      <c r="J2074" s="53"/>
      <c r="K2074" s="53"/>
      <c r="L2074" s="53"/>
      <c r="M2074" s="53"/>
      <c r="N2074" s="53"/>
      <c r="O2074" s="53"/>
      <c r="P2074" s="53"/>
      <c r="Q2074" s="53"/>
      <c r="R2074" s="53"/>
      <c r="S2074" s="53"/>
      <c r="T2074" s="53"/>
      <c r="U2074" s="53"/>
      <c r="V2074" s="53"/>
      <c r="W2074" s="53"/>
      <c r="X2074" s="53"/>
      <c r="Y2074" s="53"/>
      <c r="Z2074" s="53"/>
    </row>
    <row r="2075" spans="1:26" ht="15.75" customHeight="1">
      <c r="A2075" s="103"/>
      <c r="B2075" s="103"/>
      <c r="C2075" s="104" t="e">
        <v>#REF!</v>
      </c>
      <c r="D2075" s="103"/>
      <c r="E2075" s="53"/>
      <c r="F2075" s="53"/>
      <c r="G2075" s="53"/>
      <c r="H2075" s="53"/>
      <c r="I2075" s="53"/>
      <c r="J2075" s="53"/>
      <c r="K2075" s="53"/>
      <c r="L2075" s="53"/>
      <c r="M2075" s="53"/>
      <c r="N2075" s="53"/>
      <c r="O2075" s="53"/>
      <c r="P2075" s="53"/>
      <c r="Q2075" s="53"/>
      <c r="R2075" s="53"/>
      <c r="S2075" s="53"/>
      <c r="T2075" s="53"/>
      <c r="U2075" s="53"/>
      <c r="V2075" s="53"/>
      <c r="W2075" s="53"/>
      <c r="X2075" s="53"/>
      <c r="Y2075" s="53"/>
      <c r="Z2075" s="53"/>
    </row>
    <row r="2076" spans="1:26" ht="15.75" customHeight="1">
      <c r="A2076" s="103"/>
      <c r="B2076" s="103"/>
      <c r="C2076" s="104" t="e">
        <v>#REF!</v>
      </c>
      <c r="D2076" s="103"/>
      <c r="E2076" s="53"/>
      <c r="F2076" s="53"/>
      <c r="G2076" s="53"/>
      <c r="H2076" s="53"/>
      <c r="I2076" s="53"/>
      <c r="J2076" s="53"/>
      <c r="K2076" s="53"/>
      <c r="L2076" s="53"/>
      <c r="M2076" s="53"/>
      <c r="N2076" s="53"/>
      <c r="O2076" s="53"/>
      <c r="P2076" s="53"/>
      <c r="Q2076" s="53"/>
      <c r="R2076" s="53"/>
      <c r="S2076" s="53"/>
      <c r="T2076" s="53"/>
      <c r="U2076" s="53"/>
      <c r="V2076" s="53"/>
      <c r="W2076" s="53"/>
      <c r="X2076" s="53"/>
      <c r="Y2076" s="53"/>
      <c r="Z2076" s="53"/>
    </row>
    <row r="2077" spans="1:26" ht="15.75" customHeight="1">
      <c r="A2077" s="103"/>
      <c r="B2077" s="103"/>
      <c r="C2077" s="104" t="e">
        <v>#REF!</v>
      </c>
      <c r="D2077" s="103"/>
      <c r="E2077" s="53"/>
      <c r="F2077" s="53"/>
      <c r="G2077" s="53"/>
      <c r="H2077" s="53"/>
      <c r="I2077" s="53"/>
      <c r="J2077" s="53"/>
      <c r="K2077" s="53"/>
      <c r="L2077" s="53"/>
      <c r="M2077" s="53"/>
      <c r="N2077" s="53"/>
      <c r="O2077" s="53"/>
      <c r="P2077" s="53"/>
      <c r="Q2077" s="53"/>
      <c r="R2077" s="53"/>
      <c r="S2077" s="53"/>
      <c r="T2077" s="53"/>
      <c r="U2077" s="53"/>
      <c r="V2077" s="53"/>
      <c r="W2077" s="53"/>
      <c r="X2077" s="53"/>
      <c r="Y2077" s="53"/>
      <c r="Z2077" s="53"/>
    </row>
    <row r="2078" spans="1:26" ht="15.75" customHeight="1">
      <c r="A2078" s="103"/>
      <c r="B2078" s="103"/>
      <c r="C2078" s="104" t="e">
        <v>#REF!</v>
      </c>
      <c r="D2078" s="103"/>
      <c r="E2078" s="53"/>
      <c r="F2078" s="53"/>
      <c r="G2078" s="53"/>
      <c r="H2078" s="53"/>
      <c r="I2078" s="53"/>
      <c r="J2078" s="53"/>
      <c r="K2078" s="53"/>
      <c r="L2078" s="53"/>
      <c r="M2078" s="53"/>
      <c r="N2078" s="53"/>
      <c r="O2078" s="53"/>
      <c r="P2078" s="53"/>
      <c r="Q2078" s="53"/>
      <c r="R2078" s="53"/>
      <c r="S2078" s="53"/>
      <c r="T2078" s="53"/>
      <c r="U2078" s="53"/>
      <c r="V2078" s="53"/>
      <c r="W2078" s="53"/>
      <c r="X2078" s="53"/>
      <c r="Y2078" s="53"/>
      <c r="Z2078" s="53"/>
    </row>
    <row r="2079" spans="1:26" ht="15.75" customHeight="1">
      <c r="A2079" s="103"/>
      <c r="B2079" s="103"/>
      <c r="C2079" s="104" t="e">
        <v>#REF!</v>
      </c>
      <c r="D2079" s="103"/>
      <c r="E2079" s="53"/>
      <c r="F2079" s="53"/>
      <c r="G2079" s="53"/>
      <c r="H2079" s="53"/>
      <c r="I2079" s="53"/>
      <c r="J2079" s="53"/>
      <c r="K2079" s="53"/>
      <c r="L2079" s="53"/>
      <c r="M2079" s="53"/>
      <c r="N2079" s="53"/>
      <c r="O2079" s="53"/>
      <c r="P2079" s="53"/>
      <c r="Q2079" s="53"/>
      <c r="R2079" s="53"/>
      <c r="S2079" s="53"/>
      <c r="T2079" s="53"/>
      <c r="U2079" s="53"/>
      <c r="V2079" s="53"/>
      <c r="W2079" s="53"/>
      <c r="X2079" s="53"/>
      <c r="Y2079" s="53"/>
      <c r="Z2079" s="53"/>
    </row>
    <row r="2080" spans="1:26" ht="15.75" customHeight="1">
      <c r="A2080" s="103"/>
      <c r="B2080" s="103"/>
      <c r="C2080" s="104" t="e">
        <v>#REF!</v>
      </c>
      <c r="D2080" s="103"/>
      <c r="E2080" s="53"/>
      <c r="F2080" s="53"/>
      <c r="G2080" s="53"/>
      <c r="H2080" s="53"/>
      <c r="I2080" s="53"/>
      <c r="J2080" s="53"/>
      <c r="K2080" s="53"/>
      <c r="L2080" s="53"/>
      <c r="M2080" s="53"/>
      <c r="N2080" s="53"/>
      <c r="O2080" s="53"/>
      <c r="P2080" s="53"/>
      <c r="Q2080" s="53"/>
      <c r="R2080" s="53"/>
      <c r="S2080" s="53"/>
      <c r="T2080" s="53"/>
      <c r="U2080" s="53"/>
      <c r="V2080" s="53"/>
      <c r="W2080" s="53"/>
      <c r="X2080" s="53"/>
      <c r="Y2080" s="53"/>
      <c r="Z2080" s="53"/>
    </row>
    <row r="2081" spans="1:26" ht="15.75" customHeight="1">
      <c r="A2081" s="103"/>
      <c r="B2081" s="103"/>
      <c r="C2081" s="104" t="e">
        <v>#REF!</v>
      </c>
      <c r="D2081" s="103"/>
      <c r="E2081" s="53"/>
      <c r="F2081" s="53"/>
      <c r="G2081" s="53"/>
      <c r="H2081" s="53"/>
      <c r="I2081" s="53"/>
      <c r="J2081" s="53"/>
      <c r="K2081" s="53"/>
      <c r="L2081" s="53"/>
      <c r="M2081" s="53"/>
      <c r="N2081" s="53"/>
      <c r="O2081" s="53"/>
      <c r="P2081" s="53"/>
      <c r="Q2081" s="53"/>
      <c r="R2081" s="53"/>
      <c r="S2081" s="53"/>
      <c r="T2081" s="53"/>
      <c r="U2081" s="53"/>
      <c r="V2081" s="53"/>
      <c r="W2081" s="53"/>
      <c r="X2081" s="53"/>
      <c r="Y2081" s="53"/>
      <c r="Z2081" s="53"/>
    </row>
    <row r="2082" spans="1:26" ht="15.75" customHeight="1">
      <c r="A2082" s="103"/>
      <c r="B2082" s="103"/>
      <c r="C2082" s="104" t="e">
        <v>#REF!</v>
      </c>
      <c r="D2082" s="103"/>
      <c r="E2082" s="53"/>
      <c r="F2082" s="53"/>
      <c r="G2082" s="53"/>
      <c r="H2082" s="53"/>
      <c r="I2082" s="53"/>
      <c r="J2082" s="53"/>
      <c r="K2082" s="53"/>
      <c r="L2082" s="53"/>
      <c r="M2082" s="53"/>
      <c r="N2082" s="53"/>
      <c r="O2082" s="53"/>
      <c r="P2082" s="53"/>
      <c r="Q2082" s="53"/>
      <c r="R2082" s="53"/>
      <c r="S2082" s="53"/>
      <c r="T2082" s="53"/>
      <c r="U2082" s="53"/>
      <c r="V2082" s="53"/>
      <c r="W2082" s="53"/>
      <c r="X2082" s="53"/>
      <c r="Y2082" s="53"/>
      <c r="Z2082" s="53"/>
    </row>
    <row r="2083" spans="1:26" ht="15.75" customHeight="1">
      <c r="A2083" s="103"/>
      <c r="B2083" s="103"/>
      <c r="C2083" s="104" t="e">
        <v>#REF!</v>
      </c>
      <c r="D2083" s="103"/>
      <c r="E2083" s="53"/>
      <c r="F2083" s="53"/>
      <c r="G2083" s="53"/>
      <c r="H2083" s="53"/>
      <c r="I2083" s="53"/>
      <c r="J2083" s="53"/>
      <c r="K2083" s="53"/>
      <c r="L2083" s="53"/>
      <c r="M2083" s="53"/>
      <c r="N2083" s="53"/>
      <c r="O2083" s="53"/>
      <c r="P2083" s="53"/>
      <c r="Q2083" s="53"/>
      <c r="R2083" s="53"/>
      <c r="S2083" s="53"/>
      <c r="T2083" s="53"/>
      <c r="U2083" s="53"/>
      <c r="V2083" s="53"/>
      <c r="W2083" s="53"/>
      <c r="X2083" s="53"/>
      <c r="Y2083" s="53"/>
      <c r="Z2083" s="53"/>
    </row>
    <row r="2084" spans="1:26" ht="15.75" customHeight="1">
      <c r="A2084" s="103"/>
      <c r="B2084" s="103"/>
      <c r="C2084" s="104" t="e">
        <v>#REF!</v>
      </c>
      <c r="D2084" s="103"/>
      <c r="E2084" s="53"/>
      <c r="F2084" s="53"/>
      <c r="G2084" s="53"/>
      <c r="H2084" s="53"/>
      <c r="I2084" s="53"/>
      <c r="J2084" s="53"/>
      <c r="K2084" s="53"/>
      <c r="L2084" s="53"/>
      <c r="M2084" s="53"/>
      <c r="N2084" s="53"/>
      <c r="O2084" s="53"/>
      <c r="P2084" s="53"/>
      <c r="Q2084" s="53"/>
      <c r="R2084" s="53"/>
      <c r="S2084" s="53"/>
      <c r="T2084" s="53"/>
      <c r="U2084" s="53"/>
      <c r="V2084" s="53"/>
      <c r="W2084" s="53"/>
      <c r="X2084" s="53"/>
      <c r="Y2084" s="53"/>
      <c r="Z2084" s="53"/>
    </row>
    <row r="2085" spans="1:26" ht="15.75" customHeight="1">
      <c r="A2085" s="103"/>
      <c r="B2085" s="103"/>
      <c r="C2085" s="104" t="e">
        <v>#REF!</v>
      </c>
      <c r="D2085" s="103"/>
      <c r="E2085" s="53"/>
      <c r="F2085" s="53"/>
      <c r="G2085" s="53"/>
      <c r="H2085" s="53"/>
      <c r="I2085" s="53"/>
      <c r="J2085" s="53"/>
      <c r="K2085" s="53"/>
      <c r="L2085" s="53"/>
      <c r="M2085" s="53"/>
      <c r="N2085" s="53"/>
      <c r="O2085" s="53"/>
      <c r="P2085" s="53"/>
      <c r="Q2085" s="53"/>
      <c r="R2085" s="53"/>
      <c r="S2085" s="53"/>
      <c r="T2085" s="53"/>
      <c r="U2085" s="53"/>
      <c r="V2085" s="53"/>
      <c r="W2085" s="53"/>
      <c r="X2085" s="53"/>
      <c r="Y2085" s="53"/>
      <c r="Z2085" s="53"/>
    </row>
    <row r="2086" spans="1:26" ht="15.75" customHeight="1">
      <c r="A2086" s="103"/>
      <c r="B2086" s="103"/>
      <c r="C2086" s="104" t="e">
        <v>#REF!</v>
      </c>
      <c r="D2086" s="103"/>
      <c r="E2086" s="53"/>
      <c r="F2086" s="53"/>
      <c r="G2086" s="53"/>
      <c r="H2086" s="53"/>
      <c r="I2086" s="53"/>
      <c r="J2086" s="53"/>
      <c r="K2086" s="53"/>
      <c r="L2086" s="53"/>
      <c r="M2086" s="53"/>
      <c r="N2086" s="53"/>
      <c r="O2086" s="53"/>
      <c r="P2086" s="53"/>
      <c r="Q2086" s="53"/>
      <c r="R2086" s="53"/>
      <c r="S2086" s="53"/>
      <c r="T2086" s="53"/>
      <c r="U2086" s="53"/>
      <c r="V2086" s="53"/>
      <c r="W2086" s="53"/>
      <c r="X2086" s="53"/>
      <c r="Y2086" s="53"/>
      <c r="Z2086" s="53"/>
    </row>
    <row r="2087" spans="1:26" ht="15.75" customHeight="1">
      <c r="A2087" s="103"/>
      <c r="B2087" s="103"/>
      <c r="C2087" s="104" t="e">
        <v>#REF!</v>
      </c>
      <c r="D2087" s="103"/>
      <c r="E2087" s="53"/>
      <c r="F2087" s="53"/>
      <c r="G2087" s="53"/>
      <c r="H2087" s="53"/>
      <c r="I2087" s="53"/>
      <c r="J2087" s="53"/>
      <c r="K2087" s="53"/>
      <c r="L2087" s="53"/>
      <c r="M2087" s="53"/>
      <c r="N2087" s="53"/>
      <c r="O2087" s="53"/>
      <c r="P2087" s="53"/>
      <c r="Q2087" s="53"/>
      <c r="R2087" s="53"/>
      <c r="S2087" s="53"/>
      <c r="T2087" s="53"/>
      <c r="U2087" s="53"/>
      <c r="V2087" s="53"/>
      <c r="W2087" s="53"/>
      <c r="X2087" s="53"/>
      <c r="Y2087" s="53"/>
      <c r="Z2087" s="53"/>
    </row>
    <row r="2088" spans="1:26" ht="15.75" customHeight="1">
      <c r="A2088" s="103"/>
      <c r="B2088" s="103"/>
      <c r="C2088" s="104" t="e">
        <v>#REF!</v>
      </c>
      <c r="D2088" s="103"/>
      <c r="E2088" s="53"/>
      <c r="F2088" s="53"/>
      <c r="G2088" s="53"/>
      <c r="H2088" s="53"/>
      <c r="I2088" s="53"/>
      <c r="J2088" s="53"/>
      <c r="K2088" s="53"/>
      <c r="L2088" s="53"/>
      <c r="M2088" s="53"/>
      <c r="N2088" s="53"/>
      <c r="O2088" s="53"/>
      <c r="P2088" s="53"/>
      <c r="Q2088" s="53"/>
      <c r="R2088" s="53"/>
      <c r="S2088" s="53"/>
      <c r="T2088" s="53"/>
      <c r="U2088" s="53"/>
      <c r="V2088" s="53"/>
      <c r="W2088" s="53"/>
      <c r="X2088" s="53"/>
      <c r="Y2088" s="53"/>
      <c r="Z2088" s="53"/>
    </row>
    <row r="2089" spans="1:26" ht="15.75" customHeight="1">
      <c r="A2089" s="103"/>
      <c r="B2089" s="103"/>
      <c r="C2089" s="104" t="e">
        <v>#REF!</v>
      </c>
      <c r="D2089" s="103"/>
      <c r="E2089" s="53"/>
      <c r="F2089" s="53"/>
      <c r="G2089" s="53"/>
      <c r="H2089" s="53"/>
      <c r="I2089" s="53"/>
      <c r="J2089" s="53"/>
      <c r="K2089" s="53"/>
      <c r="L2089" s="53"/>
      <c r="M2089" s="53"/>
      <c r="N2089" s="53"/>
      <c r="O2089" s="53"/>
      <c r="P2089" s="53"/>
      <c r="Q2089" s="53"/>
      <c r="R2089" s="53"/>
      <c r="S2089" s="53"/>
      <c r="T2089" s="53"/>
      <c r="U2089" s="53"/>
      <c r="V2089" s="53"/>
      <c r="W2089" s="53"/>
      <c r="X2089" s="53"/>
      <c r="Y2089" s="53"/>
      <c r="Z2089" s="53"/>
    </row>
    <row r="2090" spans="1:26" ht="15.75" customHeight="1">
      <c r="A2090" s="103"/>
      <c r="B2090" s="103"/>
      <c r="C2090" s="104" t="e">
        <v>#REF!</v>
      </c>
      <c r="D2090" s="103"/>
      <c r="E2090" s="53"/>
      <c r="F2090" s="53"/>
      <c r="G2090" s="53"/>
      <c r="H2090" s="53"/>
      <c r="I2090" s="53"/>
      <c r="J2090" s="53"/>
      <c r="K2090" s="53"/>
      <c r="L2090" s="53"/>
      <c r="M2090" s="53"/>
      <c r="N2090" s="53"/>
      <c r="O2090" s="53"/>
      <c r="P2090" s="53"/>
      <c r="Q2090" s="53"/>
      <c r="R2090" s="53"/>
      <c r="S2090" s="53"/>
      <c r="T2090" s="53"/>
      <c r="U2090" s="53"/>
      <c r="V2090" s="53"/>
      <c r="W2090" s="53"/>
      <c r="X2090" s="53"/>
      <c r="Y2090" s="53"/>
      <c r="Z2090" s="53"/>
    </row>
    <row r="2091" spans="1:26" ht="15.75" customHeight="1">
      <c r="A2091" s="103"/>
      <c r="B2091" s="103"/>
      <c r="C2091" s="104" t="e">
        <v>#REF!</v>
      </c>
      <c r="D2091" s="103"/>
      <c r="E2091" s="53"/>
      <c r="F2091" s="53"/>
      <c r="G2091" s="53"/>
      <c r="H2091" s="53"/>
      <c r="I2091" s="53"/>
      <c r="J2091" s="53"/>
      <c r="K2091" s="53"/>
      <c r="L2091" s="53"/>
      <c r="M2091" s="53"/>
      <c r="N2091" s="53"/>
      <c r="O2091" s="53"/>
      <c r="P2091" s="53"/>
      <c r="Q2091" s="53"/>
      <c r="R2091" s="53"/>
      <c r="S2091" s="53"/>
      <c r="T2091" s="53"/>
      <c r="U2091" s="53"/>
      <c r="V2091" s="53"/>
      <c r="W2091" s="53"/>
      <c r="X2091" s="53"/>
      <c r="Y2091" s="53"/>
      <c r="Z2091" s="53"/>
    </row>
    <row r="2092" spans="1:26" ht="15.75" customHeight="1">
      <c r="A2092" s="103"/>
      <c r="B2092" s="103"/>
      <c r="C2092" s="104" t="e">
        <v>#REF!</v>
      </c>
      <c r="D2092" s="103"/>
      <c r="E2092" s="53"/>
      <c r="F2092" s="53"/>
      <c r="G2092" s="53"/>
      <c r="H2092" s="53"/>
      <c r="I2092" s="53"/>
      <c r="J2092" s="53"/>
      <c r="K2092" s="53"/>
      <c r="L2092" s="53"/>
      <c r="M2092" s="53"/>
      <c r="N2092" s="53"/>
      <c r="O2092" s="53"/>
      <c r="P2092" s="53"/>
      <c r="Q2092" s="53"/>
      <c r="R2092" s="53"/>
      <c r="S2092" s="53"/>
      <c r="T2092" s="53"/>
      <c r="U2092" s="53"/>
      <c r="V2092" s="53"/>
      <c r="W2092" s="53"/>
      <c r="X2092" s="53"/>
      <c r="Y2092" s="53"/>
      <c r="Z2092" s="53"/>
    </row>
    <row r="2093" spans="1:26" ht="15.75" customHeight="1">
      <c r="A2093" s="103"/>
      <c r="B2093" s="103"/>
      <c r="C2093" s="104" t="e">
        <v>#REF!</v>
      </c>
      <c r="D2093" s="103"/>
      <c r="E2093" s="53"/>
      <c r="F2093" s="53"/>
      <c r="G2093" s="53"/>
      <c r="H2093" s="53"/>
      <c r="I2093" s="53"/>
      <c r="J2093" s="53"/>
      <c r="K2093" s="53"/>
      <c r="L2093" s="53"/>
      <c r="M2093" s="53"/>
      <c r="N2093" s="53"/>
      <c r="O2093" s="53"/>
      <c r="P2093" s="53"/>
      <c r="Q2093" s="53"/>
      <c r="R2093" s="53"/>
      <c r="S2093" s="53"/>
      <c r="T2093" s="53"/>
      <c r="U2093" s="53"/>
      <c r="V2093" s="53"/>
      <c r="W2093" s="53"/>
      <c r="X2093" s="53"/>
      <c r="Y2093" s="53"/>
      <c r="Z2093" s="53"/>
    </row>
    <row r="2094" spans="1:26" ht="15.75" customHeight="1">
      <c r="A2094" s="103"/>
      <c r="B2094" s="103"/>
      <c r="C2094" s="104" t="e">
        <v>#REF!</v>
      </c>
      <c r="D2094" s="103"/>
      <c r="E2094" s="53"/>
      <c r="F2094" s="53"/>
      <c r="G2094" s="53"/>
      <c r="H2094" s="53"/>
      <c r="I2094" s="53"/>
      <c r="J2094" s="53"/>
      <c r="K2094" s="53"/>
      <c r="L2094" s="53"/>
      <c r="M2094" s="53"/>
      <c r="N2094" s="53"/>
      <c r="O2094" s="53"/>
      <c r="P2094" s="53"/>
      <c r="Q2094" s="53"/>
      <c r="R2094" s="53"/>
      <c r="S2094" s="53"/>
      <c r="T2094" s="53"/>
      <c r="U2094" s="53"/>
      <c r="V2094" s="53"/>
      <c r="W2094" s="53"/>
      <c r="X2094" s="53"/>
      <c r="Y2094" s="53"/>
      <c r="Z2094" s="53"/>
    </row>
    <row r="2095" spans="1:26" ht="15.75" customHeight="1">
      <c r="A2095" s="103"/>
      <c r="B2095" s="103"/>
      <c r="C2095" s="104" t="e">
        <v>#REF!</v>
      </c>
      <c r="D2095" s="103"/>
      <c r="E2095" s="53"/>
      <c r="F2095" s="53"/>
      <c r="G2095" s="53"/>
      <c r="H2095" s="53"/>
      <c r="I2095" s="53"/>
      <c r="J2095" s="53"/>
      <c r="K2095" s="53"/>
      <c r="L2095" s="53"/>
      <c r="M2095" s="53"/>
      <c r="N2095" s="53"/>
      <c r="O2095" s="53"/>
      <c r="P2095" s="53"/>
      <c r="Q2095" s="53"/>
      <c r="R2095" s="53"/>
      <c r="S2095" s="53"/>
      <c r="T2095" s="53"/>
      <c r="U2095" s="53"/>
      <c r="V2095" s="53"/>
      <c r="W2095" s="53"/>
      <c r="X2095" s="53"/>
      <c r="Y2095" s="53"/>
      <c r="Z2095" s="53"/>
    </row>
    <row r="2096" spans="1:26" ht="15.75" customHeight="1">
      <c r="A2096" s="103"/>
      <c r="B2096" s="103"/>
      <c r="C2096" s="104" t="e">
        <v>#REF!</v>
      </c>
      <c r="D2096" s="103"/>
      <c r="E2096" s="53"/>
      <c r="F2096" s="53"/>
      <c r="G2096" s="53"/>
      <c r="H2096" s="53"/>
      <c r="I2096" s="53"/>
      <c r="J2096" s="53"/>
      <c r="K2096" s="53"/>
      <c r="L2096" s="53"/>
      <c r="M2096" s="53"/>
      <c r="N2096" s="53"/>
      <c r="O2096" s="53"/>
      <c r="P2096" s="53"/>
      <c r="Q2096" s="53"/>
      <c r="R2096" s="53"/>
      <c r="S2096" s="53"/>
      <c r="T2096" s="53"/>
      <c r="U2096" s="53"/>
      <c r="V2096" s="53"/>
      <c r="W2096" s="53"/>
      <c r="X2096" s="53"/>
      <c r="Y2096" s="53"/>
      <c r="Z2096" s="53"/>
    </row>
    <row r="2097" spans="1:26" ht="15.75" customHeight="1">
      <c r="A2097" s="103"/>
      <c r="B2097" s="103"/>
      <c r="C2097" s="104" t="e">
        <v>#REF!</v>
      </c>
      <c r="D2097" s="103"/>
      <c r="E2097" s="53"/>
      <c r="F2097" s="53"/>
      <c r="G2097" s="53"/>
      <c r="H2097" s="53"/>
      <c r="I2097" s="53"/>
      <c r="J2097" s="53"/>
      <c r="K2097" s="53"/>
      <c r="L2097" s="53"/>
      <c r="M2097" s="53"/>
      <c r="N2097" s="53"/>
      <c r="O2097" s="53"/>
      <c r="P2097" s="53"/>
      <c r="Q2097" s="53"/>
      <c r="R2097" s="53"/>
      <c r="S2097" s="53"/>
      <c r="T2097" s="53"/>
      <c r="U2097" s="53"/>
      <c r="V2097" s="53"/>
      <c r="W2097" s="53"/>
      <c r="X2097" s="53"/>
      <c r="Y2097" s="53"/>
      <c r="Z2097" s="53"/>
    </row>
    <row r="2098" spans="1:26" ht="15.75" customHeight="1">
      <c r="A2098" s="103"/>
      <c r="B2098" s="103"/>
      <c r="C2098" s="104" t="e">
        <v>#REF!</v>
      </c>
      <c r="D2098" s="103"/>
      <c r="E2098" s="53"/>
      <c r="F2098" s="53"/>
      <c r="G2098" s="53"/>
      <c r="H2098" s="53"/>
      <c r="I2098" s="53"/>
      <c r="J2098" s="53"/>
      <c r="K2098" s="53"/>
      <c r="L2098" s="53"/>
      <c r="M2098" s="53"/>
      <c r="N2098" s="53"/>
      <c r="O2098" s="53"/>
      <c r="P2098" s="53"/>
      <c r="Q2098" s="53"/>
      <c r="R2098" s="53"/>
      <c r="S2098" s="53"/>
      <c r="T2098" s="53"/>
      <c r="U2098" s="53"/>
      <c r="V2098" s="53"/>
      <c r="W2098" s="53"/>
      <c r="X2098" s="53"/>
      <c r="Y2098" s="53"/>
      <c r="Z2098" s="53"/>
    </row>
    <row r="2099" spans="1:26" ht="15.75" customHeight="1">
      <c r="A2099" s="103"/>
      <c r="B2099" s="103"/>
      <c r="C2099" s="104" t="e">
        <v>#REF!</v>
      </c>
      <c r="D2099" s="103"/>
      <c r="E2099" s="53"/>
      <c r="F2099" s="53"/>
      <c r="G2099" s="53"/>
      <c r="H2099" s="53"/>
      <c r="I2099" s="53"/>
      <c r="J2099" s="53"/>
      <c r="K2099" s="53"/>
      <c r="L2099" s="53"/>
      <c r="M2099" s="53"/>
      <c r="N2099" s="53"/>
      <c r="O2099" s="53"/>
      <c r="P2099" s="53"/>
      <c r="Q2099" s="53"/>
      <c r="R2099" s="53"/>
      <c r="S2099" s="53"/>
      <c r="T2099" s="53"/>
      <c r="U2099" s="53"/>
      <c r="V2099" s="53"/>
      <c r="W2099" s="53"/>
      <c r="X2099" s="53"/>
      <c r="Y2099" s="53"/>
      <c r="Z2099" s="53"/>
    </row>
    <row r="2100" spans="1:26" ht="15.75" customHeight="1">
      <c r="A2100" s="103"/>
      <c r="B2100" s="103"/>
      <c r="C2100" s="104" t="e">
        <v>#REF!</v>
      </c>
      <c r="D2100" s="103"/>
      <c r="E2100" s="53"/>
      <c r="F2100" s="53"/>
      <c r="G2100" s="53"/>
      <c r="H2100" s="53"/>
      <c r="I2100" s="53"/>
      <c r="J2100" s="53"/>
      <c r="K2100" s="53"/>
      <c r="L2100" s="53"/>
      <c r="M2100" s="53"/>
      <c r="N2100" s="53"/>
      <c r="O2100" s="53"/>
      <c r="P2100" s="53"/>
      <c r="Q2100" s="53"/>
      <c r="R2100" s="53"/>
      <c r="S2100" s="53"/>
      <c r="T2100" s="53"/>
      <c r="U2100" s="53"/>
      <c r="V2100" s="53"/>
      <c r="W2100" s="53"/>
      <c r="X2100" s="53"/>
      <c r="Y2100" s="53"/>
      <c r="Z2100" s="53"/>
    </row>
    <row r="2101" spans="1:26" ht="15.75" customHeight="1">
      <c r="A2101" s="103"/>
      <c r="B2101" s="103"/>
      <c r="C2101" s="104" t="e">
        <v>#REF!</v>
      </c>
      <c r="D2101" s="103"/>
      <c r="E2101" s="53"/>
      <c r="F2101" s="53"/>
      <c r="G2101" s="53"/>
      <c r="H2101" s="53"/>
      <c r="I2101" s="53"/>
      <c r="J2101" s="53"/>
      <c r="K2101" s="53"/>
      <c r="L2101" s="53"/>
      <c r="M2101" s="53"/>
      <c r="N2101" s="53"/>
      <c r="O2101" s="53"/>
      <c r="P2101" s="53"/>
      <c r="Q2101" s="53"/>
      <c r="R2101" s="53"/>
      <c r="S2101" s="53"/>
      <c r="T2101" s="53"/>
      <c r="U2101" s="53"/>
      <c r="V2101" s="53"/>
      <c r="W2101" s="53"/>
      <c r="X2101" s="53"/>
      <c r="Y2101" s="53"/>
      <c r="Z2101" s="53"/>
    </row>
    <row r="2102" spans="1:26" ht="15.75" customHeight="1">
      <c r="A2102" s="103"/>
      <c r="B2102" s="103"/>
      <c r="C2102" s="104" t="e">
        <v>#REF!</v>
      </c>
      <c r="D2102" s="103"/>
      <c r="E2102" s="53"/>
      <c r="F2102" s="53"/>
      <c r="G2102" s="53"/>
      <c r="H2102" s="53"/>
      <c r="I2102" s="53"/>
      <c r="J2102" s="53"/>
      <c r="K2102" s="53"/>
      <c r="L2102" s="53"/>
      <c r="M2102" s="53"/>
      <c r="N2102" s="53"/>
      <c r="O2102" s="53"/>
      <c r="P2102" s="53"/>
      <c r="Q2102" s="53"/>
      <c r="R2102" s="53"/>
      <c r="S2102" s="53"/>
      <c r="T2102" s="53"/>
      <c r="U2102" s="53"/>
      <c r="V2102" s="53"/>
      <c r="W2102" s="53"/>
      <c r="X2102" s="53"/>
      <c r="Y2102" s="53"/>
      <c r="Z2102" s="53"/>
    </row>
    <row r="2103" spans="1:26" ht="15.75" customHeight="1">
      <c r="A2103" s="103"/>
      <c r="B2103" s="103"/>
      <c r="C2103" s="104" t="e">
        <v>#REF!</v>
      </c>
      <c r="D2103" s="103"/>
      <c r="E2103" s="53"/>
      <c r="F2103" s="53"/>
      <c r="G2103" s="53"/>
      <c r="H2103" s="53"/>
      <c r="I2103" s="53"/>
      <c r="J2103" s="53"/>
      <c r="K2103" s="53"/>
      <c r="L2103" s="53"/>
      <c r="M2103" s="53"/>
      <c r="N2103" s="53"/>
      <c r="O2103" s="53"/>
      <c r="P2103" s="53"/>
      <c r="Q2103" s="53"/>
      <c r="R2103" s="53"/>
      <c r="S2103" s="53"/>
      <c r="T2103" s="53"/>
      <c r="U2103" s="53"/>
      <c r="V2103" s="53"/>
      <c r="W2103" s="53"/>
      <c r="X2103" s="53"/>
      <c r="Y2103" s="53"/>
      <c r="Z2103" s="53"/>
    </row>
    <row r="2104" spans="1:26" ht="15.75" customHeight="1">
      <c r="A2104" s="103"/>
      <c r="B2104" s="103"/>
      <c r="C2104" s="104" t="e">
        <v>#REF!</v>
      </c>
      <c r="D2104" s="103"/>
      <c r="E2104" s="53"/>
      <c r="F2104" s="53"/>
      <c r="G2104" s="53"/>
      <c r="H2104" s="53"/>
      <c r="I2104" s="53"/>
      <c r="J2104" s="53"/>
      <c r="K2104" s="53"/>
      <c r="L2104" s="53"/>
      <c r="M2104" s="53"/>
      <c r="N2104" s="53"/>
      <c r="O2104" s="53"/>
      <c r="P2104" s="53"/>
      <c r="Q2104" s="53"/>
      <c r="R2104" s="53"/>
      <c r="S2104" s="53"/>
      <c r="T2104" s="53"/>
      <c r="U2104" s="53"/>
      <c r="V2104" s="53"/>
      <c r="W2104" s="53"/>
      <c r="X2104" s="53"/>
      <c r="Y2104" s="53"/>
      <c r="Z2104" s="53"/>
    </row>
    <row r="2105" spans="1:26" ht="15.75" customHeight="1">
      <c r="A2105" s="103"/>
      <c r="B2105" s="103"/>
      <c r="C2105" s="104" t="e">
        <v>#REF!</v>
      </c>
      <c r="D2105" s="103"/>
      <c r="E2105" s="53"/>
      <c r="F2105" s="53"/>
      <c r="G2105" s="53"/>
      <c r="H2105" s="53"/>
      <c r="I2105" s="53"/>
      <c r="J2105" s="53"/>
      <c r="K2105" s="53"/>
      <c r="L2105" s="53"/>
      <c r="M2105" s="53"/>
      <c r="N2105" s="53"/>
      <c r="O2105" s="53"/>
      <c r="P2105" s="53"/>
      <c r="Q2105" s="53"/>
      <c r="R2105" s="53"/>
      <c r="S2105" s="53"/>
      <c r="T2105" s="53"/>
      <c r="U2105" s="53"/>
      <c r="V2105" s="53"/>
      <c r="W2105" s="53"/>
      <c r="X2105" s="53"/>
      <c r="Y2105" s="53"/>
      <c r="Z2105" s="53"/>
    </row>
    <row r="2106" spans="1:26" ht="15.75" customHeight="1">
      <c r="A2106" s="103"/>
      <c r="B2106" s="103"/>
      <c r="C2106" s="104" t="e">
        <v>#REF!</v>
      </c>
      <c r="D2106" s="103"/>
      <c r="E2106" s="53"/>
      <c r="F2106" s="53"/>
      <c r="G2106" s="53"/>
      <c r="H2106" s="53"/>
      <c r="I2106" s="53"/>
      <c r="J2106" s="53"/>
      <c r="K2106" s="53"/>
      <c r="L2106" s="53"/>
      <c r="M2106" s="53"/>
      <c r="N2106" s="53"/>
      <c r="O2106" s="53"/>
      <c r="P2106" s="53"/>
      <c r="Q2106" s="53"/>
      <c r="R2106" s="53"/>
      <c r="S2106" s="53"/>
      <c r="T2106" s="53"/>
      <c r="U2106" s="53"/>
      <c r="V2106" s="53"/>
      <c r="W2106" s="53"/>
      <c r="X2106" s="53"/>
      <c r="Y2106" s="53"/>
      <c r="Z2106" s="53"/>
    </row>
    <row r="2107" spans="1:26" ht="15.75" customHeight="1">
      <c r="A2107" s="103"/>
      <c r="B2107" s="103"/>
      <c r="C2107" s="104" t="e">
        <v>#REF!</v>
      </c>
      <c r="D2107" s="103"/>
      <c r="E2107" s="53"/>
      <c r="F2107" s="53"/>
      <c r="G2107" s="53"/>
      <c r="H2107" s="53"/>
      <c r="I2107" s="53"/>
      <c r="J2107" s="53"/>
      <c r="K2107" s="53"/>
      <c r="L2107" s="53"/>
      <c r="M2107" s="53"/>
      <c r="N2107" s="53"/>
      <c r="O2107" s="53"/>
      <c r="P2107" s="53"/>
      <c r="Q2107" s="53"/>
      <c r="R2107" s="53"/>
      <c r="S2107" s="53"/>
      <c r="T2107" s="53"/>
      <c r="U2107" s="53"/>
      <c r="V2107" s="53"/>
      <c r="W2107" s="53"/>
      <c r="X2107" s="53"/>
      <c r="Y2107" s="53"/>
      <c r="Z2107" s="53"/>
    </row>
    <row r="2108" spans="1:26" ht="15.75" customHeight="1">
      <c r="A2108" s="103"/>
      <c r="B2108" s="103"/>
      <c r="C2108" s="104" t="e">
        <v>#REF!</v>
      </c>
      <c r="D2108" s="103"/>
      <c r="E2108" s="53"/>
      <c r="F2108" s="53"/>
      <c r="G2108" s="53"/>
      <c r="H2108" s="53"/>
      <c r="I2108" s="53"/>
      <c r="J2108" s="53"/>
      <c r="K2108" s="53"/>
      <c r="L2108" s="53"/>
      <c r="M2108" s="53"/>
      <c r="N2108" s="53"/>
      <c r="O2108" s="53"/>
      <c r="P2108" s="53"/>
      <c r="Q2108" s="53"/>
      <c r="R2108" s="53"/>
      <c r="S2108" s="53"/>
      <c r="T2108" s="53"/>
      <c r="U2108" s="53"/>
      <c r="V2108" s="53"/>
      <c r="W2108" s="53"/>
      <c r="X2108" s="53"/>
      <c r="Y2108" s="53"/>
      <c r="Z2108" s="53"/>
    </row>
    <row r="2109" spans="1:26" ht="15.75" customHeight="1">
      <c r="A2109" s="103"/>
      <c r="B2109" s="103"/>
      <c r="C2109" s="104" t="e">
        <v>#REF!</v>
      </c>
      <c r="D2109" s="103"/>
      <c r="E2109" s="53"/>
      <c r="F2109" s="53"/>
      <c r="G2109" s="53"/>
      <c r="H2109" s="53"/>
      <c r="I2109" s="53"/>
      <c r="J2109" s="53"/>
      <c r="K2109" s="53"/>
      <c r="L2109" s="53"/>
      <c r="M2109" s="53"/>
      <c r="N2109" s="53"/>
      <c r="O2109" s="53"/>
      <c r="P2109" s="53"/>
      <c r="Q2109" s="53"/>
      <c r="R2109" s="53"/>
      <c r="S2109" s="53"/>
      <c r="T2109" s="53"/>
      <c r="U2109" s="53"/>
      <c r="V2109" s="53"/>
      <c r="W2109" s="53"/>
      <c r="X2109" s="53"/>
      <c r="Y2109" s="53"/>
      <c r="Z2109" s="53"/>
    </row>
    <row r="2110" spans="1:26" ht="15.75" customHeight="1">
      <c r="A2110" s="103"/>
      <c r="B2110" s="103"/>
      <c r="C2110" s="104" t="e">
        <v>#REF!</v>
      </c>
      <c r="D2110" s="103"/>
      <c r="E2110" s="53"/>
      <c r="F2110" s="53"/>
      <c r="G2110" s="53"/>
      <c r="H2110" s="53"/>
      <c r="I2110" s="53"/>
      <c r="J2110" s="53"/>
      <c r="K2110" s="53"/>
      <c r="L2110" s="53"/>
      <c r="M2110" s="53"/>
      <c r="N2110" s="53"/>
      <c r="O2110" s="53"/>
      <c r="P2110" s="53"/>
      <c r="Q2110" s="53"/>
      <c r="R2110" s="53"/>
      <c r="S2110" s="53"/>
      <c r="T2110" s="53"/>
      <c r="U2110" s="53"/>
      <c r="V2110" s="53"/>
      <c r="W2110" s="53"/>
      <c r="X2110" s="53"/>
      <c r="Y2110" s="53"/>
      <c r="Z2110" s="53"/>
    </row>
    <row r="2111" spans="1:26" ht="15.75" customHeight="1">
      <c r="A2111" s="103"/>
      <c r="B2111" s="103"/>
      <c r="C2111" s="104" t="e">
        <v>#REF!</v>
      </c>
      <c r="D2111" s="103"/>
      <c r="E2111" s="53"/>
      <c r="F2111" s="53"/>
      <c r="G2111" s="53"/>
      <c r="H2111" s="53"/>
      <c r="I2111" s="53"/>
      <c r="J2111" s="53"/>
      <c r="K2111" s="53"/>
      <c r="L2111" s="53"/>
      <c r="M2111" s="53"/>
      <c r="N2111" s="53"/>
      <c r="O2111" s="53"/>
      <c r="P2111" s="53"/>
      <c r="Q2111" s="53"/>
      <c r="R2111" s="53"/>
      <c r="S2111" s="53"/>
      <c r="T2111" s="53"/>
      <c r="U2111" s="53"/>
      <c r="V2111" s="53"/>
      <c r="W2111" s="53"/>
      <c r="X2111" s="53"/>
      <c r="Y2111" s="53"/>
      <c r="Z2111" s="53"/>
    </row>
    <row r="2112" spans="1:26" ht="15.75" customHeight="1">
      <c r="A2112" s="103"/>
      <c r="B2112" s="103"/>
      <c r="C2112" s="104" t="e">
        <v>#REF!</v>
      </c>
      <c r="D2112" s="103"/>
      <c r="E2112" s="53"/>
      <c r="F2112" s="53"/>
      <c r="G2112" s="53"/>
      <c r="H2112" s="53"/>
      <c r="I2112" s="53"/>
      <c r="J2112" s="53"/>
      <c r="K2112" s="53"/>
      <c r="L2112" s="53"/>
      <c r="M2112" s="53"/>
      <c r="N2112" s="53"/>
      <c r="O2112" s="53"/>
      <c r="P2112" s="53"/>
      <c r="Q2112" s="53"/>
      <c r="R2112" s="53"/>
      <c r="S2112" s="53"/>
      <c r="T2112" s="53"/>
      <c r="U2112" s="53"/>
      <c r="V2112" s="53"/>
      <c r="W2112" s="53"/>
      <c r="X2112" s="53"/>
      <c r="Y2112" s="53"/>
      <c r="Z2112" s="53"/>
    </row>
    <row r="2113" spans="1:26" ht="15.75" customHeight="1">
      <c r="A2113" s="103"/>
      <c r="B2113" s="103"/>
      <c r="C2113" s="104" t="e">
        <v>#REF!</v>
      </c>
      <c r="D2113" s="103"/>
      <c r="E2113" s="53"/>
      <c r="F2113" s="53"/>
      <c r="G2113" s="53"/>
      <c r="H2113" s="53"/>
      <c r="I2113" s="53"/>
      <c r="J2113" s="53"/>
      <c r="K2113" s="53"/>
      <c r="L2113" s="53"/>
      <c r="M2113" s="53"/>
      <c r="N2113" s="53"/>
      <c r="O2113" s="53"/>
      <c r="P2113" s="53"/>
      <c r="Q2113" s="53"/>
      <c r="R2113" s="53"/>
      <c r="S2113" s="53"/>
      <c r="T2113" s="53"/>
      <c r="U2113" s="53"/>
      <c r="V2113" s="53"/>
      <c r="W2113" s="53"/>
      <c r="X2113" s="53"/>
      <c r="Y2113" s="53"/>
      <c r="Z2113" s="53"/>
    </row>
    <row r="2114" spans="1:26" ht="15.75" customHeight="1">
      <c r="A2114" s="103"/>
      <c r="B2114" s="103"/>
      <c r="C2114" s="104" t="e">
        <v>#REF!</v>
      </c>
      <c r="D2114" s="103"/>
      <c r="E2114" s="53"/>
      <c r="F2114" s="53"/>
      <c r="G2114" s="53"/>
      <c r="H2114" s="53"/>
      <c r="I2114" s="53"/>
      <c r="J2114" s="53"/>
      <c r="K2114" s="53"/>
      <c r="L2114" s="53"/>
      <c r="M2114" s="53"/>
      <c r="N2114" s="53"/>
      <c r="O2114" s="53"/>
      <c r="P2114" s="53"/>
      <c r="Q2114" s="53"/>
      <c r="R2114" s="53"/>
      <c r="S2114" s="53"/>
      <c r="T2114" s="53"/>
      <c r="U2114" s="53"/>
      <c r="V2114" s="53"/>
      <c r="W2114" s="53"/>
      <c r="X2114" s="53"/>
      <c r="Y2114" s="53"/>
      <c r="Z2114" s="53"/>
    </row>
    <row r="2115" spans="1:26" ht="15.75" customHeight="1">
      <c r="A2115" s="103"/>
      <c r="B2115" s="103"/>
      <c r="C2115" s="104" t="e">
        <v>#REF!</v>
      </c>
      <c r="D2115" s="103"/>
      <c r="E2115" s="53"/>
      <c r="F2115" s="53"/>
      <c r="G2115" s="53"/>
      <c r="H2115" s="53"/>
      <c r="I2115" s="53"/>
      <c r="J2115" s="53"/>
      <c r="K2115" s="53"/>
      <c r="L2115" s="53"/>
      <c r="M2115" s="53"/>
      <c r="N2115" s="53"/>
      <c r="O2115" s="53"/>
      <c r="P2115" s="53"/>
      <c r="Q2115" s="53"/>
      <c r="R2115" s="53"/>
      <c r="S2115" s="53"/>
      <c r="T2115" s="53"/>
      <c r="U2115" s="53"/>
      <c r="V2115" s="53"/>
      <c r="W2115" s="53"/>
      <c r="X2115" s="53"/>
      <c r="Y2115" s="53"/>
      <c r="Z2115" s="53"/>
    </row>
    <row r="2116" spans="1:26" ht="15.75" customHeight="1">
      <c r="A2116" s="103"/>
      <c r="B2116" s="103"/>
      <c r="C2116" s="104" t="e">
        <v>#REF!</v>
      </c>
      <c r="D2116" s="103"/>
      <c r="E2116" s="53"/>
      <c r="F2116" s="53"/>
      <c r="G2116" s="53"/>
      <c r="H2116" s="53"/>
      <c r="I2116" s="53"/>
      <c r="J2116" s="53"/>
      <c r="K2116" s="53"/>
      <c r="L2116" s="53"/>
      <c r="M2116" s="53"/>
      <c r="N2116" s="53"/>
      <c r="O2116" s="53"/>
      <c r="P2116" s="53"/>
      <c r="Q2116" s="53"/>
      <c r="R2116" s="53"/>
      <c r="S2116" s="53"/>
      <c r="T2116" s="53"/>
      <c r="U2116" s="53"/>
      <c r="V2116" s="53"/>
      <c r="W2116" s="53"/>
      <c r="X2116" s="53"/>
      <c r="Y2116" s="53"/>
      <c r="Z2116" s="53"/>
    </row>
    <row r="2117" spans="1:26" ht="15.75" customHeight="1">
      <c r="A2117" s="103"/>
      <c r="B2117" s="103"/>
      <c r="C2117" s="104" t="e">
        <v>#REF!</v>
      </c>
      <c r="D2117" s="103"/>
      <c r="E2117" s="53"/>
      <c r="F2117" s="53"/>
      <c r="G2117" s="53"/>
      <c r="H2117" s="53"/>
      <c r="I2117" s="53"/>
      <c r="J2117" s="53"/>
      <c r="K2117" s="53"/>
      <c r="L2117" s="53"/>
      <c r="M2117" s="53"/>
      <c r="N2117" s="53"/>
      <c r="O2117" s="53"/>
      <c r="P2117" s="53"/>
      <c r="Q2117" s="53"/>
      <c r="R2117" s="53"/>
      <c r="S2117" s="53"/>
      <c r="T2117" s="53"/>
      <c r="U2117" s="53"/>
      <c r="V2117" s="53"/>
      <c r="W2117" s="53"/>
      <c r="X2117" s="53"/>
      <c r="Y2117" s="53"/>
      <c r="Z2117" s="53"/>
    </row>
    <row r="2118" spans="1:26" ht="15.75" customHeight="1">
      <c r="A2118" s="103"/>
      <c r="B2118" s="103"/>
      <c r="C2118" s="104" t="e">
        <v>#REF!</v>
      </c>
      <c r="D2118" s="103"/>
      <c r="E2118" s="53"/>
      <c r="F2118" s="53"/>
      <c r="G2118" s="53"/>
      <c r="H2118" s="53"/>
      <c r="I2118" s="53"/>
      <c r="J2118" s="53"/>
      <c r="K2118" s="53"/>
      <c r="L2118" s="53"/>
      <c r="M2118" s="53"/>
      <c r="N2118" s="53"/>
      <c r="O2118" s="53"/>
      <c r="P2118" s="53"/>
      <c r="Q2118" s="53"/>
      <c r="R2118" s="53"/>
      <c r="S2118" s="53"/>
      <c r="T2118" s="53"/>
      <c r="U2118" s="53"/>
      <c r="V2118" s="53"/>
      <c r="W2118" s="53"/>
      <c r="X2118" s="53"/>
      <c r="Y2118" s="53"/>
      <c r="Z2118" s="53"/>
    </row>
    <row r="2119" spans="1:26" ht="15.75" customHeight="1">
      <c r="A2119" s="103"/>
      <c r="B2119" s="103"/>
      <c r="C2119" s="104" t="e">
        <v>#REF!</v>
      </c>
      <c r="D2119" s="103"/>
      <c r="E2119" s="53"/>
      <c r="F2119" s="53"/>
      <c r="G2119" s="53"/>
      <c r="H2119" s="53"/>
      <c r="I2119" s="53"/>
      <c r="J2119" s="53"/>
      <c r="K2119" s="53"/>
      <c r="L2119" s="53"/>
      <c r="M2119" s="53"/>
      <c r="N2119" s="53"/>
      <c r="O2119" s="53"/>
      <c r="P2119" s="53"/>
      <c r="Q2119" s="53"/>
      <c r="R2119" s="53"/>
      <c r="S2119" s="53"/>
      <c r="T2119" s="53"/>
      <c r="U2119" s="53"/>
      <c r="V2119" s="53"/>
      <c r="W2119" s="53"/>
      <c r="X2119" s="53"/>
      <c r="Y2119" s="53"/>
      <c r="Z2119" s="53"/>
    </row>
    <row r="2120" spans="1:26" ht="15.75" customHeight="1">
      <c r="A2120" s="103"/>
      <c r="B2120" s="103"/>
      <c r="C2120" s="104" t="e">
        <v>#REF!</v>
      </c>
      <c r="D2120" s="103"/>
      <c r="E2120" s="53"/>
      <c r="F2120" s="53"/>
      <c r="G2120" s="53"/>
      <c r="H2120" s="53"/>
      <c r="I2120" s="53"/>
      <c r="J2120" s="53"/>
      <c r="K2120" s="53"/>
      <c r="L2120" s="53"/>
      <c r="M2120" s="53"/>
      <c r="N2120" s="53"/>
      <c r="O2120" s="53"/>
      <c r="P2120" s="53"/>
      <c r="Q2120" s="53"/>
      <c r="R2120" s="53"/>
      <c r="S2120" s="53"/>
      <c r="T2120" s="53"/>
      <c r="U2120" s="53"/>
      <c r="V2120" s="53"/>
      <c r="W2120" s="53"/>
      <c r="X2120" s="53"/>
      <c r="Y2120" s="53"/>
      <c r="Z2120" s="53"/>
    </row>
    <row r="2121" spans="1:26" ht="15.75" customHeight="1">
      <c r="A2121" s="103"/>
      <c r="B2121" s="103"/>
      <c r="C2121" s="104" t="e">
        <v>#REF!</v>
      </c>
      <c r="D2121" s="103"/>
      <c r="E2121" s="53"/>
      <c r="F2121" s="53"/>
      <c r="G2121" s="53"/>
      <c r="H2121" s="53"/>
      <c r="I2121" s="53"/>
      <c r="J2121" s="53"/>
      <c r="K2121" s="53"/>
      <c r="L2121" s="53"/>
      <c r="M2121" s="53"/>
      <c r="N2121" s="53"/>
      <c r="O2121" s="53"/>
      <c r="P2121" s="53"/>
      <c r="Q2121" s="53"/>
      <c r="R2121" s="53"/>
      <c r="S2121" s="53"/>
      <c r="T2121" s="53"/>
      <c r="U2121" s="53"/>
      <c r="V2121" s="53"/>
      <c r="W2121" s="53"/>
      <c r="X2121" s="53"/>
      <c r="Y2121" s="53"/>
      <c r="Z2121" s="53"/>
    </row>
    <row r="2122" spans="1:26" ht="15.75" customHeight="1">
      <c r="A2122" s="103"/>
      <c r="B2122" s="103"/>
      <c r="C2122" s="104" t="e">
        <v>#REF!</v>
      </c>
      <c r="D2122" s="103"/>
      <c r="E2122" s="53"/>
      <c r="F2122" s="53"/>
      <c r="G2122" s="53"/>
      <c r="H2122" s="53"/>
      <c r="I2122" s="53"/>
      <c r="J2122" s="53"/>
      <c r="K2122" s="53"/>
      <c r="L2122" s="53"/>
      <c r="M2122" s="53"/>
      <c r="N2122" s="53"/>
      <c r="O2122" s="53"/>
      <c r="P2122" s="53"/>
      <c r="Q2122" s="53"/>
      <c r="R2122" s="53"/>
      <c r="S2122" s="53"/>
      <c r="T2122" s="53"/>
      <c r="U2122" s="53"/>
      <c r="V2122" s="53"/>
      <c r="W2122" s="53"/>
      <c r="X2122" s="53"/>
      <c r="Y2122" s="53"/>
      <c r="Z2122" s="53"/>
    </row>
    <row r="2123" spans="1:26" ht="15.75" customHeight="1">
      <c r="A2123" s="103"/>
      <c r="B2123" s="103"/>
      <c r="C2123" s="104" t="e">
        <v>#REF!</v>
      </c>
      <c r="D2123" s="103"/>
      <c r="E2123" s="53"/>
      <c r="F2123" s="53"/>
      <c r="G2123" s="53"/>
      <c r="H2123" s="53"/>
      <c r="I2123" s="53"/>
      <c r="J2123" s="53"/>
      <c r="K2123" s="53"/>
      <c r="L2123" s="53"/>
      <c r="M2123" s="53"/>
      <c r="N2123" s="53"/>
      <c r="O2123" s="53"/>
      <c r="P2123" s="53"/>
      <c r="Q2123" s="53"/>
      <c r="R2123" s="53"/>
      <c r="S2123" s="53"/>
      <c r="T2123" s="53"/>
      <c r="U2123" s="53"/>
      <c r="V2123" s="53"/>
      <c r="W2123" s="53"/>
      <c r="X2123" s="53"/>
      <c r="Y2123" s="53"/>
      <c r="Z2123" s="53"/>
    </row>
    <row r="2124" spans="1:26" ht="15.75" customHeight="1">
      <c r="A2124" s="103"/>
      <c r="B2124" s="103"/>
      <c r="C2124" s="104" t="e">
        <v>#REF!</v>
      </c>
      <c r="D2124" s="103"/>
      <c r="E2124" s="53"/>
      <c r="F2124" s="53"/>
      <c r="G2124" s="53"/>
      <c r="H2124" s="53"/>
      <c r="I2124" s="53"/>
      <c r="J2124" s="53"/>
      <c r="K2124" s="53"/>
      <c r="L2124" s="53"/>
      <c r="M2124" s="53"/>
      <c r="N2124" s="53"/>
      <c r="O2124" s="53"/>
      <c r="P2124" s="53"/>
      <c r="Q2124" s="53"/>
      <c r="R2124" s="53"/>
      <c r="S2124" s="53"/>
      <c r="T2124" s="53"/>
      <c r="U2124" s="53"/>
      <c r="V2124" s="53"/>
      <c r="W2124" s="53"/>
      <c r="X2124" s="53"/>
      <c r="Y2124" s="53"/>
      <c r="Z2124" s="53"/>
    </row>
    <row r="2125" spans="1:26" ht="15.75" customHeight="1">
      <c r="A2125" s="103"/>
      <c r="B2125" s="103"/>
      <c r="C2125" s="104" t="e">
        <v>#REF!</v>
      </c>
      <c r="D2125" s="103"/>
      <c r="E2125" s="53"/>
      <c r="F2125" s="53"/>
      <c r="G2125" s="53"/>
      <c r="H2125" s="53"/>
      <c r="I2125" s="53"/>
      <c r="J2125" s="53"/>
      <c r="K2125" s="53"/>
      <c r="L2125" s="53"/>
      <c r="M2125" s="53"/>
      <c r="N2125" s="53"/>
      <c r="O2125" s="53"/>
      <c r="P2125" s="53"/>
      <c r="Q2125" s="53"/>
      <c r="R2125" s="53"/>
      <c r="S2125" s="53"/>
      <c r="T2125" s="53"/>
      <c r="U2125" s="53"/>
      <c r="V2125" s="53"/>
      <c r="W2125" s="53"/>
      <c r="X2125" s="53"/>
      <c r="Y2125" s="53"/>
      <c r="Z2125" s="53"/>
    </row>
    <row r="2126" spans="1:26" ht="15.75" customHeight="1">
      <c r="A2126" s="103"/>
      <c r="B2126" s="103"/>
      <c r="C2126" s="104" t="e">
        <v>#REF!</v>
      </c>
      <c r="D2126" s="103"/>
      <c r="E2126" s="53"/>
      <c r="F2126" s="53"/>
      <c r="G2126" s="53"/>
      <c r="H2126" s="53"/>
      <c r="I2126" s="53"/>
      <c r="J2126" s="53"/>
      <c r="K2126" s="53"/>
      <c r="L2126" s="53"/>
      <c r="M2126" s="53"/>
      <c r="N2126" s="53"/>
      <c r="O2126" s="53"/>
      <c r="P2126" s="53"/>
      <c r="Q2126" s="53"/>
      <c r="R2126" s="53"/>
      <c r="S2126" s="53"/>
      <c r="T2126" s="53"/>
      <c r="U2126" s="53"/>
      <c r="V2126" s="53"/>
      <c r="W2126" s="53"/>
      <c r="X2126" s="53"/>
      <c r="Y2126" s="53"/>
      <c r="Z2126" s="53"/>
    </row>
    <row r="2127" spans="1:26" ht="15.75" customHeight="1">
      <c r="A2127" s="103"/>
      <c r="B2127" s="103"/>
      <c r="C2127" s="104" t="e">
        <v>#REF!</v>
      </c>
      <c r="D2127" s="103"/>
      <c r="E2127" s="53"/>
      <c r="F2127" s="53"/>
      <c r="G2127" s="53"/>
      <c r="H2127" s="53"/>
      <c r="I2127" s="53"/>
      <c r="J2127" s="53"/>
      <c r="K2127" s="53"/>
      <c r="L2127" s="53"/>
      <c r="M2127" s="53"/>
      <c r="N2127" s="53"/>
      <c r="O2127" s="53"/>
      <c r="P2127" s="53"/>
      <c r="Q2127" s="53"/>
      <c r="R2127" s="53"/>
      <c r="S2127" s="53"/>
      <c r="T2127" s="53"/>
      <c r="U2127" s="53"/>
      <c r="V2127" s="53"/>
      <c r="W2127" s="53"/>
      <c r="X2127" s="53"/>
      <c r="Y2127" s="53"/>
      <c r="Z2127" s="53"/>
    </row>
    <row r="2128" spans="1:26" ht="15.75" customHeight="1">
      <c r="A2128" s="103"/>
      <c r="B2128" s="103"/>
      <c r="C2128" s="104" t="e">
        <v>#REF!</v>
      </c>
      <c r="D2128" s="103"/>
      <c r="E2128" s="53"/>
      <c r="F2128" s="53"/>
      <c r="G2128" s="53"/>
      <c r="H2128" s="53"/>
      <c r="I2128" s="53"/>
      <c r="J2128" s="53"/>
      <c r="K2128" s="53"/>
      <c r="L2128" s="53"/>
      <c r="M2128" s="53"/>
      <c r="N2128" s="53"/>
      <c r="O2128" s="53"/>
      <c r="P2128" s="53"/>
      <c r="Q2128" s="53"/>
      <c r="R2128" s="53"/>
      <c r="S2128" s="53"/>
      <c r="T2128" s="53"/>
      <c r="U2128" s="53"/>
      <c r="V2128" s="53"/>
      <c r="W2128" s="53"/>
      <c r="X2128" s="53"/>
      <c r="Y2128" s="53"/>
      <c r="Z2128" s="53"/>
    </row>
    <row r="2129" spans="1:26" ht="15.75" customHeight="1">
      <c r="A2129" s="103"/>
      <c r="B2129" s="103"/>
      <c r="C2129" s="104" t="e">
        <v>#REF!</v>
      </c>
      <c r="D2129" s="103"/>
      <c r="E2129" s="53"/>
      <c r="F2129" s="53"/>
      <c r="G2129" s="53"/>
      <c r="H2129" s="53"/>
      <c r="I2129" s="53"/>
      <c r="J2129" s="53"/>
      <c r="K2129" s="53"/>
      <c r="L2129" s="53"/>
      <c r="M2129" s="53"/>
      <c r="N2129" s="53"/>
      <c r="O2129" s="53"/>
      <c r="P2129" s="53"/>
      <c r="Q2129" s="53"/>
      <c r="R2129" s="53"/>
      <c r="S2129" s="53"/>
      <c r="T2129" s="53"/>
      <c r="U2129" s="53"/>
      <c r="V2129" s="53"/>
      <c r="W2129" s="53"/>
      <c r="X2129" s="53"/>
      <c r="Y2129" s="53"/>
      <c r="Z2129" s="53"/>
    </row>
    <row r="2130" spans="1:26" ht="15.75" customHeight="1">
      <c r="A2130" s="103"/>
      <c r="B2130" s="103"/>
      <c r="C2130" s="104" t="e">
        <v>#REF!</v>
      </c>
      <c r="D2130" s="103"/>
      <c r="E2130" s="53"/>
      <c r="F2130" s="53"/>
      <c r="G2130" s="53"/>
      <c r="H2130" s="53"/>
      <c r="I2130" s="53"/>
      <c r="J2130" s="53"/>
      <c r="K2130" s="53"/>
      <c r="L2130" s="53"/>
      <c r="M2130" s="53"/>
      <c r="N2130" s="53"/>
      <c r="O2130" s="53"/>
      <c r="P2130" s="53"/>
      <c r="Q2130" s="53"/>
      <c r="R2130" s="53"/>
      <c r="S2130" s="53"/>
      <c r="T2130" s="53"/>
      <c r="U2130" s="53"/>
      <c r="V2130" s="53"/>
      <c r="W2130" s="53"/>
      <c r="X2130" s="53"/>
      <c r="Y2130" s="53"/>
      <c r="Z2130" s="53"/>
    </row>
    <row r="2131" spans="1:26" ht="15.75" customHeight="1">
      <c r="A2131" s="103"/>
      <c r="B2131" s="103"/>
      <c r="C2131" s="104" t="e">
        <v>#REF!</v>
      </c>
      <c r="D2131" s="103"/>
      <c r="E2131" s="53"/>
      <c r="F2131" s="53"/>
      <c r="G2131" s="53"/>
      <c r="H2131" s="53"/>
      <c r="I2131" s="53"/>
      <c r="J2131" s="53"/>
      <c r="K2131" s="53"/>
      <c r="L2131" s="53"/>
      <c r="M2131" s="53"/>
      <c r="N2131" s="53"/>
      <c r="O2131" s="53"/>
      <c r="P2131" s="53"/>
      <c r="Q2131" s="53"/>
      <c r="R2131" s="53"/>
      <c r="S2131" s="53"/>
      <c r="T2131" s="53"/>
      <c r="U2131" s="53"/>
      <c r="V2131" s="53"/>
      <c r="W2131" s="53"/>
      <c r="X2131" s="53"/>
      <c r="Y2131" s="53"/>
      <c r="Z2131" s="53"/>
    </row>
    <row r="2132" spans="1:26" ht="15.75" customHeight="1">
      <c r="A2132" s="103"/>
      <c r="B2132" s="103"/>
      <c r="C2132" s="104" t="e">
        <v>#REF!</v>
      </c>
      <c r="D2132" s="103"/>
      <c r="E2132" s="53"/>
      <c r="F2132" s="53"/>
      <c r="G2132" s="53"/>
      <c r="H2132" s="53"/>
      <c r="I2132" s="53"/>
      <c r="J2132" s="53"/>
      <c r="K2132" s="53"/>
      <c r="L2132" s="53"/>
      <c r="M2132" s="53"/>
      <c r="N2132" s="53"/>
      <c r="O2132" s="53"/>
      <c r="P2132" s="53"/>
      <c r="Q2132" s="53"/>
      <c r="R2132" s="53"/>
      <c r="S2132" s="53"/>
      <c r="T2132" s="53"/>
      <c r="U2132" s="53"/>
      <c r="V2132" s="53"/>
      <c r="W2132" s="53"/>
      <c r="X2132" s="53"/>
      <c r="Y2132" s="53"/>
      <c r="Z2132" s="53"/>
    </row>
    <row r="2133" spans="1:26" ht="15.75" customHeight="1">
      <c r="A2133" s="103"/>
      <c r="B2133" s="103"/>
      <c r="C2133" s="104" t="e">
        <v>#REF!</v>
      </c>
      <c r="D2133" s="103"/>
      <c r="E2133" s="53"/>
      <c r="F2133" s="53"/>
      <c r="G2133" s="53"/>
      <c r="H2133" s="53"/>
      <c r="I2133" s="53"/>
      <c r="J2133" s="53"/>
      <c r="K2133" s="53"/>
      <c r="L2133" s="53"/>
      <c r="M2133" s="53"/>
      <c r="N2133" s="53"/>
      <c r="O2133" s="53"/>
      <c r="P2133" s="53"/>
      <c r="Q2133" s="53"/>
      <c r="R2133" s="53"/>
      <c r="S2133" s="53"/>
      <c r="T2133" s="53"/>
      <c r="U2133" s="53"/>
      <c r="V2133" s="53"/>
      <c r="W2133" s="53"/>
      <c r="X2133" s="53"/>
      <c r="Y2133" s="53"/>
      <c r="Z2133" s="53"/>
    </row>
    <row r="2134" spans="1:26" ht="15.75" customHeight="1">
      <c r="A2134" s="103"/>
      <c r="B2134" s="103"/>
      <c r="C2134" s="104" t="e">
        <v>#REF!</v>
      </c>
      <c r="D2134" s="103"/>
      <c r="E2134" s="53"/>
      <c r="F2134" s="53"/>
      <c r="G2134" s="53"/>
      <c r="H2134" s="53"/>
      <c r="I2134" s="53"/>
      <c r="J2134" s="53"/>
      <c r="K2134" s="53"/>
      <c r="L2134" s="53"/>
      <c r="M2134" s="53"/>
      <c r="N2134" s="53"/>
      <c r="O2134" s="53"/>
      <c r="P2134" s="53"/>
      <c r="Q2134" s="53"/>
      <c r="R2134" s="53"/>
      <c r="S2134" s="53"/>
      <c r="T2134" s="53"/>
      <c r="U2134" s="53"/>
      <c r="V2134" s="53"/>
      <c r="W2134" s="53"/>
      <c r="X2134" s="53"/>
      <c r="Y2134" s="53"/>
      <c r="Z2134" s="53"/>
    </row>
    <row r="2135" spans="1:26" ht="15.75" customHeight="1">
      <c r="A2135" s="103"/>
      <c r="B2135" s="103"/>
      <c r="C2135" s="104" t="e">
        <v>#REF!</v>
      </c>
      <c r="D2135" s="103"/>
      <c r="E2135" s="53"/>
      <c r="F2135" s="53"/>
      <c r="G2135" s="53"/>
      <c r="H2135" s="53"/>
      <c r="I2135" s="53"/>
      <c r="J2135" s="53"/>
      <c r="K2135" s="53"/>
      <c r="L2135" s="53"/>
      <c r="M2135" s="53"/>
      <c r="N2135" s="53"/>
      <c r="O2135" s="53"/>
      <c r="P2135" s="53"/>
      <c r="Q2135" s="53"/>
      <c r="R2135" s="53"/>
      <c r="S2135" s="53"/>
      <c r="T2135" s="53"/>
      <c r="U2135" s="53"/>
      <c r="V2135" s="53"/>
      <c r="W2135" s="53"/>
      <c r="X2135" s="53"/>
      <c r="Y2135" s="53"/>
      <c r="Z2135" s="53"/>
    </row>
    <row r="2136" spans="1:26" ht="15.75" customHeight="1">
      <c r="A2136" s="103"/>
      <c r="B2136" s="103"/>
      <c r="C2136" s="104" t="e">
        <v>#REF!</v>
      </c>
      <c r="D2136" s="103"/>
      <c r="E2136" s="53"/>
      <c r="F2136" s="53"/>
      <c r="G2136" s="53"/>
      <c r="H2136" s="53"/>
      <c r="I2136" s="53"/>
      <c r="J2136" s="53"/>
      <c r="K2136" s="53"/>
      <c r="L2136" s="53"/>
      <c r="M2136" s="53"/>
      <c r="N2136" s="53"/>
      <c r="O2136" s="53"/>
      <c r="P2136" s="53"/>
      <c r="Q2136" s="53"/>
      <c r="R2136" s="53"/>
      <c r="S2136" s="53"/>
      <c r="T2136" s="53"/>
      <c r="U2136" s="53"/>
      <c r="V2136" s="53"/>
      <c r="W2136" s="53"/>
      <c r="X2136" s="53"/>
      <c r="Y2136" s="53"/>
      <c r="Z2136" s="53"/>
    </row>
    <row r="2137" spans="1:26" ht="15.75" customHeight="1">
      <c r="A2137" s="103"/>
      <c r="B2137" s="103"/>
      <c r="C2137" s="104" t="e">
        <v>#REF!</v>
      </c>
      <c r="D2137" s="103"/>
      <c r="E2137" s="53"/>
      <c r="F2137" s="53"/>
      <c r="G2137" s="53"/>
      <c r="H2137" s="53"/>
      <c r="I2137" s="53"/>
      <c r="J2137" s="53"/>
      <c r="K2137" s="53"/>
      <c r="L2137" s="53"/>
      <c r="M2137" s="53"/>
      <c r="N2137" s="53"/>
      <c r="O2137" s="53"/>
      <c r="P2137" s="53"/>
      <c r="Q2137" s="53"/>
      <c r="R2137" s="53"/>
      <c r="S2137" s="53"/>
      <c r="T2137" s="53"/>
      <c r="U2137" s="53"/>
      <c r="V2137" s="53"/>
      <c r="W2137" s="53"/>
      <c r="X2137" s="53"/>
      <c r="Y2137" s="53"/>
      <c r="Z2137" s="53"/>
    </row>
    <row r="2138" spans="1:26" ht="15.75" customHeight="1">
      <c r="A2138" s="103"/>
      <c r="B2138" s="103"/>
      <c r="C2138" s="104" t="e">
        <v>#REF!</v>
      </c>
      <c r="D2138" s="103"/>
      <c r="E2138" s="53"/>
      <c r="F2138" s="53"/>
      <c r="G2138" s="53"/>
      <c r="H2138" s="53"/>
      <c r="I2138" s="53"/>
      <c r="J2138" s="53"/>
      <c r="K2138" s="53"/>
      <c r="L2138" s="53"/>
      <c r="M2138" s="53"/>
      <c r="N2138" s="53"/>
      <c r="O2138" s="53"/>
      <c r="P2138" s="53"/>
      <c r="Q2138" s="53"/>
      <c r="R2138" s="53"/>
      <c r="S2138" s="53"/>
      <c r="T2138" s="53"/>
      <c r="U2138" s="53"/>
      <c r="V2138" s="53"/>
      <c r="W2138" s="53"/>
      <c r="X2138" s="53"/>
      <c r="Y2138" s="53"/>
      <c r="Z2138" s="53"/>
    </row>
    <row r="2139" spans="1:26" ht="15.75" customHeight="1">
      <c r="A2139" s="103"/>
      <c r="B2139" s="103"/>
      <c r="C2139" s="104" t="e">
        <v>#REF!</v>
      </c>
      <c r="D2139" s="103"/>
      <c r="E2139" s="53"/>
      <c r="F2139" s="53"/>
      <c r="G2139" s="53"/>
      <c r="H2139" s="53"/>
      <c r="I2139" s="53"/>
      <c r="J2139" s="53"/>
      <c r="K2139" s="53"/>
      <c r="L2139" s="53"/>
      <c r="M2139" s="53"/>
      <c r="N2139" s="53"/>
      <c r="O2139" s="53"/>
      <c r="P2139" s="53"/>
      <c r="Q2139" s="53"/>
      <c r="R2139" s="53"/>
      <c r="S2139" s="53"/>
      <c r="T2139" s="53"/>
      <c r="U2139" s="53"/>
      <c r="V2139" s="53"/>
      <c r="W2139" s="53"/>
      <c r="X2139" s="53"/>
      <c r="Y2139" s="53"/>
      <c r="Z2139" s="53"/>
    </row>
    <row r="2140" spans="1:26" ht="15.75" customHeight="1">
      <c r="A2140" s="103"/>
      <c r="B2140" s="103"/>
      <c r="C2140" s="104" t="e">
        <v>#REF!</v>
      </c>
      <c r="D2140" s="103"/>
      <c r="E2140" s="53"/>
      <c r="F2140" s="53"/>
      <c r="G2140" s="53"/>
      <c r="H2140" s="53"/>
      <c r="I2140" s="53"/>
      <c r="J2140" s="53"/>
      <c r="K2140" s="53"/>
      <c r="L2140" s="53"/>
      <c r="M2140" s="53"/>
      <c r="N2140" s="53"/>
      <c r="O2140" s="53"/>
      <c r="P2140" s="53"/>
      <c r="Q2140" s="53"/>
      <c r="R2140" s="53"/>
      <c r="S2140" s="53"/>
      <c r="T2140" s="53"/>
      <c r="U2140" s="53"/>
      <c r="V2140" s="53"/>
      <c r="W2140" s="53"/>
      <c r="X2140" s="53"/>
      <c r="Y2140" s="53"/>
      <c r="Z2140" s="53"/>
    </row>
    <row r="2141" spans="1:26" ht="15.75" customHeight="1">
      <c r="A2141" s="103"/>
      <c r="B2141" s="103"/>
      <c r="C2141" s="104" t="e">
        <v>#REF!</v>
      </c>
      <c r="D2141" s="103"/>
      <c r="E2141" s="53"/>
      <c r="F2141" s="53"/>
      <c r="G2141" s="53"/>
      <c r="H2141" s="53"/>
      <c r="I2141" s="53"/>
      <c r="J2141" s="53"/>
      <c r="K2141" s="53"/>
      <c r="L2141" s="53"/>
      <c r="M2141" s="53"/>
      <c r="N2141" s="53"/>
      <c r="O2141" s="53"/>
      <c r="P2141" s="53"/>
      <c r="Q2141" s="53"/>
      <c r="R2141" s="53"/>
      <c r="S2141" s="53"/>
      <c r="T2141" s="53"/>
      <c r="U2141" s="53"/>
      <c r="V2141" s="53"/>
      <c r="W2141" s="53"/>
      <c r="X2141" s="53"/>
      <c r="Y2141" s="53"/>
      <c r="Z2141" s="53"/>
    </row>
    <row r="2142" spans="1:26" ht="15.75" customHeight="1">
      <c r="A2142" s="103"/>
      <c r="B2142" s="103"/>
      <c r="C2142" s="104" t="e">
        <v>#REF!</v>
      </c>
      <c r="D2142" s="103"/>
      <c r="E2142" s="53"/>
      <c r="F2142" s="53"/>
      <c r="G2142" s="53"/>
      <c r="H2142" s="53"/>
      <c r="I2142" s="53"/>
      <c r="J2142" s="53"/>
      <c r="K2142" s="53"/>
      <c r="L2142" s="53"/>
      <c r="M2142" s="53"/>
      <c r="N2142" s="53"/>
      <c r="O2142" s="53"/>
      <c r="P2142" s="53"/>
      <c r="Q2142" s="53"/>
      <c r="R2142" s="53"/>
      <c r="S2142" s="53"/>
      <c r="T2142" s="53"/>
      <c r="U2142" s="53"/>
      <c r="V2142" s="53"/>
      <c r="W2142" s="53"/>
      <c r="X2142" s="53"/>
      <c r="Y2142" s="53"/>
      <c r="Z2142" s="53"/>
    </row>
    <row r="2143" spans="1:26" ht="15.75" customHeight="1">
      <c r="A2143" s="103"/>
      <c r="B2143" s="103"/>
      <c r="C2143" s="104" t="e">
        <v>#REF!</v>
      </c>
      <c r="D2143" s="103"/>
      <c r="E2143" s="53"/>
      <c r="F2143" s="53"/>
      <c r="G2143" s="53"/>
      <c r="H2143" s="53"/>
      <c r="I2143" s="53"/>
      <c r="J2143" s="53"/>
      <c r="K2143" s="53"/>
      <c r="L2143" s="53"/>
      <c r="M2143" s="53"/>
      <c r="N2143" s="53"/>
      <c r="O2143" s="53"/>
      <c r="P2143" s="53"/>
      <c r="Q2143" s="53"/>
      <c r="R2143" s="53"/>
      <c r="S2143" s="53"/>
      <c r="T2143" s="53"/>
      <c r="U2143" s="53"/>
      <c r="V2143" s="53"/>
      <c r="W2143" s="53"/>
      <c r="X2143" s="53"/>
      <c r="Y2143" s="53"/>
      <c r="Z2143" s="53"/>
    </row>
    <row r="2144" spans="1:26" ht="15.75" customHeight="1">
      <c r="A2144" s="103"/>
      <c r="B2144" s="103"/>
      <c r="C2144" s="104" t="e">
        <v>#REF!</v>
      </c>
      <c r="D2144" s="103"/>
      <c r="E2144" s="53"/>
      <c r="F2144" s="53"/>
      <c r="G2144" s="53"/>
      <c r="H2144" s="53"/>
      <c r="I2144" s="53"/>
      <c r="J2144" s="53"/>
      <c r="K2144" s="53"/>
      <c r="L2144" s="53"/>
      <c r="M2144" s="53"/>
      <c r="N2144" s="53"/>
      <c r="O2144" s="53"/>
      <c r="P2144" s="53"/>
      <c r="Q2144" s="53"/>
      <c r="R2144" s="53"/>
      <c r="S2144" s="53"/>
      <c r="T2144" s="53"/>
      <c r="U2144" s="53"/>
      <c r="V2144" s="53"/>
      <c r="W2144" s="53"/>
      <c r="X2144" s="53"/>
      <c r="Y2144" s="53"/>
      <c r="Z2144" s="53"/>
    </row>
    <row r="2145" spans="1:26" ht="15.75" customHeight="1">
      <c r="A2145" s="103"/>
      <c r="B2145" s="103"/>
      <c r="C2145" s="104" t="e">
        <v>#REF!</v>
      </c>
      <c r="D2145" s="103"/>
      <c r="E2145" s="53"/>
      <c r="F2145" s="53"/>
      <c r="G2145" s="53"/>
      <c r="H2145" s="53"/>
      <c r="I2145" s="53"/>
      <c r="J2145" s="53"/>
      <c r="K2145" s="53"/>
      <c r="L2145" s="53"/>
      <c r="M2145" s="53"/>
      <c r="N2145" s="53"/>
      <c r="O2145" s="53"/>
      <c r="P2145" s="53"/>
      <c r="Q2145" s="53"/>
      <c r="R2145" s="53"/>
      <c r="S2145" s="53"/>
      <c r="T2145" s="53"/>
      <c r="U2145" s="53"/>
      <c r="V2145" s="53"/>
      <c r="W2145" s="53"/>
      <c r="X2145" s="53"/>
      <c r="Y2145" s="53"/>
      <c r="Z2145" s="53"/>
    </row>
    <row r="2146" spans="1:26" ht="15.75" customHeight="1">
      <c r="A2146" s="103"/>
      <c r="B2146" s="103"/>
      <c r="C2146" s="104" t="e">
        <v>#REF!</v>
      </c>
      <c r="D2146" s="103"/>
      <c r="E2146" s="53"/>
      <c r="F2146" s="53"/>
      <c r="G2146" s="53"/>
      <c r="H2146" s="53"/>
      <c r="I2146" s="53"/>
      <c r="J2146" s="53"/>
      <c r="K2146" s="53"/>
      <c r="L2146" s="53"/>
      <c r="M2146" s="53"/>
      <c r="N2146" s="53"/>
      <c r="O2146" s="53"/>
      <c r="P2146" s="53"/>
      <c r="Q2146" s="53"/>
      <c r="R2146" s="53"/>
      <c r="S2146" s="53"/>
      <c r="T2146" s="53"/>
      <c r="U2146" s="53"/>
      <c r="V2146" s="53"/>
      <c r="W2146" s="53"/>
      <c r="X2146" s="53"/>
      <c r="Y2146" s="53"/>
      <c r="Z2146" s="53"/>
    </row>
    <row r="2147" spans="1:26" ht="15.75" customHeight="1">
      <c r="A2147" s="103"/>
      <c r="B2147" s="103"/>
      <c r="C2147" s="104" t="e">
        <v>#REF!</v>
      </c>
      <c r="D2147" s="103"/>
      <c r="E2147" s="53"/>
      <c r="F2147" s="53"/>
      <c r="G2147" s="53"/>
      <c r="H2147" s="53"/>
      <c r="I2147" s="53"/>
      <c r="J2147" s="53"/>
      <c r="K2147" s="53"/>
      <c r="L2147" s="53"/>
      <c r="M2147" s="53"/>
      <c r="N2147" s="53"/>
      <c r="O2147" s="53"/>
      <c r="P2147" s="53"/>
      <c r="Q2147" s="53"/>
      <c r="R2147" s="53"/>
      <c r="S2147" s="53"/>
      <c r="T2147" s="53"/>
      <c r="U2147" s="53"/>
      <c r="V2147" s="53"/>
      <c r="W2147" s="53"/>
      <c r="X2147" s="53"/>
      <c r="Y2147" s="53"/>
      <c r="Z2147" s="53"/>
    </row>
    <row r="2148" spans="1:26" ht="15.75" customHeight="1">
      <c r="A2148" s="103"/>
      <c r="B2148" s="103"/>
      <c r="C2148" s="104" t="e">
        <v>#REF!</v>
      </c>
      <c r="D2148" s="103"/>
      <c r="E2148" s="53"/>
      <c r="F2148" s="53"/>
      <c r="G2148" s="53"/>
      <c r="H2148" s="53"/>
      <c r="I2148" s="53"/>
      <c r="J2148" s="53"/>
      <c r="K2148" s="53"/>
      <c r="L2148" s="53"/>
      <c r="M2148" s="53"/>
      <c r="N2148" s="53"/>
      <c r="O2148" s="53"/>
      <c r="P2148" s="53"/>
      <c r="Q2148" s="53"/>
      <c r="R2148" s="53"/>
      <c r="S2148" s="53"/>
      <c r="T2148" s="53"/>
      <c r="U2148" s="53"/>
      <c r="V2148" s="53"/>
      <c r="W2148" s="53"/>
      <c r="X2148" s="53"/>
      <c r="Y2148" s="53"/>
      <c r="Z2148" s="53"/>
    </row>
    <row r="2149" spans="1:26" ht="15.75" customHeight="1">
      <c r="A2149" s="103"/>
      <c r="B2149" s="103"/>
      <c r="C2149" s="104" t="e">
        <v>#REF!</v>
      </c>
      <c r="D2149" s="103"/>
      <c r="E2149" s="53"/>
      <c r="F2149" s="53"/>
      <c r="G2149" s="53"/>
      <c r="H2149" s="53"/>
      <c r="I2149" s="53"/>
      <c r="J2149" s="53"/>
      <c r="K2149" s="53"/>
      <c r="L2149" s="53"/>
      <c r="M2149" s="53"/>
      <c r="N2149" s="53"/>
      <c r="O2149" s="53"/>
      <c r="P2149" s="53"/>
      <c r="Q2149" s="53"/>
      <c r="R2149" s="53"/>
      <c r="S2149" s="53"/>
      <c r="T2149" s="53"/>
      <c r="U2149" s="53"/>
      <c r="V2149" s="53"/>
      <c r="W2149" s="53"/>
      <c r="X2149" s="53"/>
      <c r="Y2149" s="53"/>
      <c r="Z2149" s="53"/>
    </row>
    <row r="2150" spans="1:26" ht="15.75" customHeight="1">
      <c r="A2150" s="103"/>
      <c r="B2150" s="103"/>
      <c r="C2150" s="104" t="e">
        <v>#REF!</v>
      </c>
      <c r="D2150" s="103"/>
      <c r="E2150" s="53"/>
      <c r="F2150" s="53"/>
      <c r="G2150" s="53"/>
      <c r="H2150" s="53"/>
      <c r="I2150" s="53"/>
      <c r="J2150" s="53"/>
      <c r="K2150" s="53"/>
      <c r="L2150" s="53"/>
      <c r="M2150" s="53"/>
      <c r="N2150" s="53"/>
      <c r="O2150" s="53"/>
      <c r="P2150" s="53"/>
      <c r="Q2150" s="53"/>
      <c r="R2150" s="53"/>
      <c r="S2150" s="53"/>
      <c r="T2150" s="53"/>
      <c r="U2150" s="53"/>
      <c r="V2150" s="53"/>
      <c r="W2150" s="53"/>
      <c r="X2150" s="53"/>
      <c r="Y2150" s="53"/>
      <c r="Z2150" s="53"/>
    </row>
    <row r="2151" spans="1:26" ht="15.75" customHeight="1">
      <c r="A2151" s="103"/>
      <c r="B2151" s="103"/>
      <c r="C2151" s="104" t="e">
        <v>#REF!</v>
      </c>
      <c r="D2151" s="103"/>
      <c r="E2151" s="53"/>
      <c r="F2151" s="53"/>
      <c r="G2151" s="53"/>
      <c r="H2151" s="53"/>
      <c r="I2151" s="53"/>
      <c r="J2151" s="53"/>
      <c r="K2151" s="53"/>
      <c r="L2151" s="53"/>
      <c r="M2151" s="53"/>
      <c r="N2151" s="53"/>
      <c r="O2151" s="53"/>
      <c r="P2151" s="53"/>
      <c r="Q2151" s="53"/>
      <c r="R2151" s="53"/>
      <c r="S2151" s="53"/>
      <c r="T2151" s="53"/>
      <c r="U2151" s="53"/>
      <c r="V2151" s="53"/>
      <c r="W2151" s="53"/>
      <c r="X2151" s="53"/>
      <c r="Y2151" s="53"/>
      <c r="Z2151" s="53"/>
    </row>
    <row r="2152" spans="1:26" ht="15.75" customHeight="1">
      <c r="A2152" s="103"/>
      <c r="B2152" s="103"/>
      <c r="C2152" s="104" t="e">
        <v>#REF!</v>
      </c>
      <c r="D2152" s="103"/>
      <c r="E2152" s="53"/>
      <c r="F2152" s="53"/>
      <c r="G2152" s="53"/>
      <c r="H2152" s="53"/>
      <c r="I2152" s="53"/>
      <c r="J2152" s="53"/>
      <c r="K2152" s="53"/>
      <c r="L2152" s="53"/>
      <c r="M2152" s="53"/>
      <c r="N2152" s="53"/>
      <c r="O2152" s="53"/>
      <c r="P2152" s="53"/>
      <c r="Q2152" s="53"/>
      <c r="R2152" s="53"/>
      <c r="S2152" s="53"/>
      <c r="T2152" s="53"/>
      <c r="U2152" s="53"/>
      <c r="V2152" s="53"/>
      <c r="W2152" s="53"/>
      <c r="X2152" s="53"/>
      <c r="Y2152" s="53"/>
      <c r="Z2152" s="53"/>
    </row>
    <row r="2153" spans="1:26" ht="15.75" customHeight="1">
      <c r="A2153" s="103"/>
      <c r="B2153" s="103"/>
      <c r="C2153" s="104" t="e">
        <v>#REF!</v>
      </c>
      <c r="D2153" s="103"/>
      <c r="E2153" s="53"/>
      <c r="F2153" s="53"/>
      <c r="G2153" s="53"/>
      <c r="H2153" s="53"/>
      <c r="I2153" s="53"/>
      <c r="J2153" s="53"/>
      <c r="K2153" s="53"/>
      <c r="L2153" s="53"/>
      <c r="M2153" s="53"/>
      <c r="N2153" s="53"/>
      <c r="O2153" s="53"/>
      <c r="P2153" s="53"/>
      <c r="Q2153" s="53"/>
      <c r="R2153" s="53"/>
      <c r="S2153" s="53"/>
      <c r="T2153" s="53"/>
      <c r="U2153" s="53"/>
      <c r="V2153" s="53"/>
      <c r="W2153" s="53"/>
      <c r="X2153" s="53"/>
      <c r="Y2153" s="53"/>
      <c r="Z2153" s="53"/>
    </row>
    <row r="2154" spans="1:26" ht="15.75" customHeight="1">
      <c r="A2154" s="103"/>
      <c r="B2154" s="103"/>
      <c r="C2154" s="104" t="e">
        <v>#REF!</v>
      </c>
      <c r="D2154" s="103"/>
      <c r="E2154" s="53"/>
      <c r="F2154" s="53"/>
      <c r="G2154" s="53"/>
      <c r="H2154" s="53"/>
      <c r="I2154" s="53"/>
      <c r="J2154" s="53"/>
      <c r="K2154" s="53"/>
      <c r="L2154" s="53"/>
      <c r="M2154" s="53"/>
      <c r="N2154" s="53"/>
      <c r="O2154" s="53"/>
      <c r="P2154" s="53"/>
      <c r="Q2154" s="53"/>
      <c r="R2154" s="53"/>
      <c r="S2154" s="53"/>
      <c r="T2154" s="53"/>
      <c r="U2154" s="53"/>
      <c r="V2154" s="53"/>
      <c r="W2154" s="53"/>
      <c r="X2154" s="53"/>
      <c r="Y2154" s="53"/>
      <c r="Z2154" s="53"/>
    </row>
    <row r="2155" spans="1:26" ht="15.75" customHeight="1">
      <c r="A2155" s="103"/>
      <c r="B2155" s="103"/>
      <c r="C2155" s="104" t="e">
        <v>#REF!</v>
      </c>
      <c r="D2155" s="103"/>
      <c r="E2155" s="53"/>
      <c r="F2155" s="53"/>
      <c r="G2155" s="53"/>
      <c r="H2155" s="53"/>
      <c r="I2155" s="53"/>
      <c r="J2155" s="53"/>
      <c r="K2155" s="53"/>
      <c r="L2155" s="53"/>
      <c r="M2155" s="53"/>
      <c r="N2155" s="53"/>
      <c r="O2155" s="53"/>
      <c r="P2155" s="53"/>
      <c r="Q2155" s="53"/>
      <c r="R2155" s="53"/>
      <c r="S2155" s="53"/>
      <c r="T2155" s="53"/>
      <c r="U2155" s="53"/>
      <c r="V2155" s="53"/>
      <c r="W2155" s="53"/>
      <c r="X2155" s="53"/>
      <c r="Y2155" s="53"/>
      <c r="Z2155" s="53"/>
    </row>
    <row r="2156" spans="1:26" ht="15.75" customHeight="1">
      <c r="A2156" s="103"/>
      <c r="B2156" s="103"/>
      <c r="C2156" s="104" t="e">
        <v>#REF!</v>
      </c>
      <c r="D2156" s="103"/>
      <c r="E2156" s="53"/>
      <c r="F2156" s="53"/>
      <c r="G2156" s="53"/>
      <c r="H2156" s="53"/>
      <c r="I2156" s="53"/>
      <c r="J2156" s="53"/>
      <c r="K2156" s="53"/>
      <c r="L2156" s="53"/>
      <c r="M2156" s="53"/>
      <c r="N2156" s="53"/>
      <c r="O2156" s="53"/>
      <c r="P2156" s="53"/>
      <c r="Q2156" s="53"/>
      <c r="R2156" s="53"/>
      <c r="S2156" s="53"/>
      <c r="T2156" s="53"/>
      <c r="U2156" s="53"/>
      <c r="V2156" s="53"/>
      <c r="W2156" s="53"/>
      <c r="X2156" s="53"/>
      <c r="Y2156" s="53"/>
      <c r="Z2156" s="53"/>
    </row>
    <row r="2157" spans="1:26" ht="15.75" customHeight="1">
      <c r="A2157" s="103"/>
      <c r="B2157" s="103"/>
      <c r="C2157" s="104" t="e">
        <v>#REF!</v>
      </c>
      <c r="D2157" s="103"/>
      <c r="E2157" s="53"/>
      <c r="F2157" s="53"/>
      <c r="G2157" s="53"/>
      <c r="H2157" s="53"/>
      <c r="I2157" s="53"/>
      <c r="J2157" s="53"/>
      <c r="K2157" s="53"/>
      <c r="L2157" s="53"/>
      <c r="M2157" s="53"/>
      <c r="N2157" s="53"/>
      <c r="O2157" s="53"/>
      <c r="P2157" s="53"/>
      <c r="Q2157" s="53"/>
      <c r="R2157" s="53"/>
      <c r="S2157" s="53"/>
      <c r="T2157" s="53"/>
      <c r="U2157" s="53"/>
      <c r="V2157" s="53"/>
      <c r="W2157" s="53"/>
      <c r="X2157" s="53"/>
      <c r="Y2157" s="53"/>
      <c r="Z2157" s="53"/>
    </row>
    <row r="2158" spans="1:26" ht="15.75" customHeight="1">
      <c r="A2158" s="103"/>
      <c r="B2158" s="103"/>
      <c r="C2158" s="104" t="e">
        <v>#REF!</v>
      </c>
      <c r="D2158" s="103"/>
      <c r="E2158" s="53"/>
      <c r="F2158" s="53"/>
      <c r="G2158" s="53"/>
      <c r="H2158" s="53"/>
      <c r="I2158" s="53"/>
      <c r="J2158" s="53"/>
      <c r="K2158" s="53"/>
      <c r="L2158" s="53"/>
      <c r="M2158" s="53"/>
      <c r="N2158" s="53"/>
      <c r="O2158" s="53"/>
      <c r="P2158" s="53"/>
      <c r="Q2158" s="53"/>
      <c r="R2158" s="53"/>
      <c r="S2158" s="53"/>
      <c r="T2158" s="53"/>
      <c r="U2158" s="53"/>
      <c r="V2158" s="53"/>
      <c r="W2158" s="53"/>
      <c r="X2158" s="53"/>
      <c r="Y2158" s="53"/>
      <c r="Z2158" s="53"/>
    </row>
    <row r="2159" spans="1:26" ht="15.75" customHeight="1">
      <c r="A2159" s="103"/>
      <c r="B2159" s="103"/>
      <c r="C2159" s="104" t="e">
        <v>#REF!</v>
      </c>
      <c r="D2159" s="103"/>
      <c r="E2159" s="53"/>
      <c r="F2159" s="53"/>
      <c r="G2159" s="53"/>
      <c r="H2159" s="53"/>
      <c r="I2159" s="53"/>
      <c r="J2159" s="53"/>
      <c r="K2159" s="53"/>
      <c r="L2159" s="53"/>
      <c r="M2159" s="53"/>
      <c r="N2159" s="53"/>
      <c r="O2159" s="53"/>
      <c r="P2159" s="53"/>
      <c r="Q2159" s="53"/>
      <c r="R2159" s="53"/>
      <c r="S2159" s="53"/>
      <c r="T2159" s="53"/>
      <c r="U2159" s="53"/>
      <c r="V2159" s="53"/>
      <c r="W2159" s="53"/>
      <c r="X2159" s="53"/>
      <c r="Y2159" s="53"/>
      <c r="Z2159" s="53"/>
    </row>
    <row r="2160" spans="1:26" ht="15.75" customHeight="1">
      <c r="A2160" s="103"/>
      <c r="B2160" s="103"/>
      <c r="C2160" s="104" t="e">
        <v>#REF!</v>
      </c>
      <c r="D2160" s="103"/>
      <c r="E2160" s="53"/>
      <c r="F2160" s="53"/>
      <c r="G2160" s="53"/>
      <c r="H2160" s="53"/>
      <c r="I2160" s="53"/>
      <c r="J2160" s="53"/>
      <c r="K2160" s="53"/>
      <c r="L2160" s="53"/>
      <c r="M2160" s="53"/>
      <c r="N2160" s="53"/>
      <c r="O2160" s="53"/>
      <c r="P2160" s="53"/>
      <c r="Q2160" s="53"/>
      <c r="R2160" s="53"/>
      <c r="S2160" s="53"/>
      <c r="T2160" s="53"/>
      <c r="U2160" s="53"/>
      <c r="V2160" s="53"/>
      <c r="W2160" s="53"/>
      <c r="X2160" s="53"/>
      <c r="Y2160" s="53"/>
      <c r="Z2160" s="53"/>
    </row>
    <row r="2161" spans="1:26" ht="15.75" customHeight="1">
      <c r="A2161" s="103"/>
      <c r="B2161" s="103"/>
      <c r="C2161" s="104" t="e">
        <v>#REF!</v>
      </c>
      <c r="D2161" s="103"/>
      <c r="E2161" s="53"/>
      <c r="F2161" s="53"/>
      <c r="G2161" s="53"/>
      <c r="H2161" s="53"/>
      <c r="I2161" s="53"/>
      <c r="J2161" s="53"/>
      <c r="K2161" s="53"/>
      <c r="L2161" s="53"/>
      <c r="M2161" s="53"/>
      <c r="N2161" s="53"/>
      <c r="O2161" s="53"/>
      <c r="P2161" s="53"/>
      <c r="Q2161" s="53"/>
      <c r="R2161" s="53"/>
      <c r="S2161" s="53"/>
      <c r="T2161" s="53"/>
      <c r="U2161" s="53"/>
      <c r="V2161" s="53"/>
      <c r="W2161" s="53"/>
      <c r="X2161" s="53"/>
      <c r="Y2161" s="53"/>
      <c r="Z2161" s="53"/>
    </row>
    <row r="2162" spans="1:26" ht="15.75" customHeight="1">
      <c r="A2162" s="103"/>
      <c r="B2162" s="103"/>
      <c r="C2162" s="104" t="e">
        <v>#REF!</v>
      </c>
      <c r="D2162" s="103"/>
      <c r="E2162" s="53"/>
      <c r="F2162" s="53"/>
      <c r="G2162" s="53"/>
      <c r="H2162" s="53"/>
      <c r="I2162" s="53"/>
      <c r="J2162" s="53"/>
      <c r="K2162" s="53"/>
      <c r="L2162" s="53"/>
      <c r="M2162" s="53"/>
      <c r="N2162" s="53"/>
      <c r="O2162" s="53"/>
      <c r="P2162" s="53"/>
      <c r="Q2162" s="53"/>
      <c r="R2162" s="53"/>
      <c r="S2162" s="53"/>
      <c r="T2162" s="53"/>
      <c r="U2162" s="53"/>
      <c r="V2162" s="53"/>
      <c r="W2162" s="53"/>
      <c r="X2162" s="53"/>
      <c r="Y2162" s="53"/>
      <c r="Z2162" s="53"/>
    </row>
    <row r="2163" spans="1:26" ht="15.75" customHeight="1">
      <c r="A2163" s="103"/>
      <c r="B2163" s="103"/>
      <c r="C2163" s="104" t="e">
        <v>#REF!</v>
      </c>
      <c r="D2163" s="103"/>
      <c r="E2163" s="53"/>
      <c r="F2163" s="53"/>
      <c r="G2163" s="53"/>
      <c r="H2163" s="53"/>
      <c r="I2163" s="53"/>
      <c r="J2163" s="53"/>
      <c r="K2163" s="53"/>
      <c r="L2163" s="53"/>
      <c r="M2163" s="53"/>
      <c r="N2163" s="53"/>
      <c r="O2163" s="53"/>
      <c r="P2163" s="53"/>
      <c r="Q2163" s="53"/>
      <c r="R2163" s="53"/>
      <c r="S2163" s="53"/>
      <c r="T2163" s="53"/>
      <c r="U2163" s="53"/>
      <c r="V2163" s="53"/>
      <c r="W2163" s="53"/>
      <c r="X2163" s="53"/>
      <c r="Y2163" s="53"/>
      <c r="Z2163" s="53"/>
    </row>
    <row r="2164" spans="1:26" ht="15.75" customHeight="1">
      <c r="A2164" s="103"/>
      <c r="B2164" s="103"/>
      <c r="C2164" s="104" t="e">
        <v>#REF!</v>
      </c>
      <c r="D2164" s="103"/>
      <c r="E2164" s="53"/>
      <c r="F2164" s="53"/>
      <c r="G2164" s="53"/>
      <c r="H2164" s="53"/>
      <c r="I2164" s="53"/>
      <c r="J2164" s="53"/>
      <c r="K2164" s="53"/>
      <c r="L2164" s="53"/>
      <c r="M2164" s="53"/>
      <c r="N2164" s="53"/>
      <c r="O2164" s="53"/>
      <c r="P2164" s="53"/>
      <c r="Q2164" s="53"/>
      <c r="R2164" s="53"/>
      <c r="S2164" s="53"/>
      <c r="T2164" s="53"/>
      <c r="U2164" s="53"/>
      <c r="V2164" s="53"/>
      <c r="W2164" s="53"/>
      <c r="X2164" s="53"/>
      <c r="Y2164" s="53"/>
      <c r="Z2164" s="53"/>
    </row>
    <row r="2165" spans="1:26" ht="15.75" customHeight="1">
      <c r="A2165" s="103"/>
      <c r="B2165" s="103"/>
      <c r="C2165" s="104" t="e">
        <v>#REF!</v>
      </c>
      <c r="D2165" s="103"/>
      <c r="E2165" s="53"/>
      <c r="F2165" s="53"/>
      <c r="G2165" s="53"/>
      <c r="H2165" s="53"/>
      <c r="I2165" s="53"/>
      <c r="J2165" s="53"/>
      <c r="K2165" s="53"/>
      <c r="L2165" s="53"/>
      <c r="M2165" s="53"/>
      <c r="N2165" s="53"/>
      <c r="O2165" s="53"/>
      <c r="P2165" s="53"/>
      <c r="Q2165" s="53"/>
      <c r="R2165" s="53"/>
      <c r="S2165" s="53"/>
      <c r="T2165" s="53"/>
      <c r="U2165" s="53"/>
      <c r="V2165" s="53"/>
      <c r="W2165" s="53"/>
      <c r="X2165" s="53"/>
      <c r="Y2165" s="53"/>
      <c r="Z2165" s="53"/>
    </row>
    <row r="2166" spans="1:26" ht="15.75" customHeight="1">
      <c r="A2166" s="103"/>
      <c r="B2166" s="103"/>
      <c r="C2166" s="104" t="e">
        <v>#REF!</v>
      </c>
      <c r="D2166" s="103"/>
      <c r="E2166" s="53"/>
      <c r="F2166" s="53"/>
      <c r="G2166" s="53"/>
      <c r="H2166" s="53"/>
      <c r="I2166" s="53"/>
      <c r="J2166" s="53"/>
      <c r="K2166" s="53"/>
      <c r="L2166" s="53"/>
      <c r="M2166" s="53"/>
      <c r="N2166" s="53"/>
      <c r="O2166" s="53"/>
      <c r="P2166" s="53"/>
      <c r="Q2166" s="53"/>
      <c r="R2166" s="53"/>
      <c r="S2166" s="53"/>
      <c r="T2166" s="53"/>
      <c r="U2166" s="53"/>
      <c r="V2166" s="53"/>
      <c r="W2166" s="53"/>
      <c r="X2166" s="53"/>
      <c r="Y2166" s="53"/>
      <c r="Z2166" s="53"/>
    </row>
    <row r="2167" spans="1:26" ht="15.75" customHeight="1">
      <c r="A2167" s="103"/>
      <c r="B2167" s="103"/>
      <c r="C2167" s="104" t="e">
        <v>#REF!</v>
      </c>
      <c r="D2167" s="103"/>
      <c r="E2167" s="53"/>
      <c r="F2167" s="53"/>
      <c r="G2167" s="53"/>
      <c r="H2167" s="53"/>
      <c r="I2167" s="53"/>
      <c r="J2167" s="53"/>
      <c r="K2167" s="53"/>
      <c r="L2167" s="53"/>
      <c r="M2167" s="53"/>
      <c r="N2167" s="53"/>
      <c r="O2167" s="53"/>
      <c r="P2167" s="53"/>
      <c r="Q2167" s="53"/>
      <c r="R2167" s="53"/>
      <c r="S2167" s="53"/>
      <c r="T2167" s="53"/>
      <c r="U2167" s="53"/>
      <c r="V2167" s="53"/>
      <c r="W2167" s="53"/>
      <c r="X2167" s="53"/>
      <c r="Y2167" s="53"/>
      <c r="Z2167" s="53"/>
    </row>
    <row r="2168" spans="1:26" ht="15.75" customHeight="1">
      <c r="A2168" s="103"/>
      <c r="B2168" s="103"/>
      <c r="C2168" s="104" t="e">
        <v>#REF!</v>
      </c>
      <c r="D2168" s="103"/>
      <c r="E2168" s="53"/>
      <c r="F2168" s="53"/>
      <c r="G2168" s="53"/>
      <c r="H2168" s="53"/>
      <c r="I2168" s="53"/>
      <c r="J2168" s="53"/>
      <c r="K2168" s="53"/>
      <c r="L2168" s="53"/>
      <c r="M2168" s="53"/>
      <c r="N2168" s="53"/>
      <c r="O2168" s="53"/>
      <c r="P2168" s="53"/>
      <c r="Q2168" s="53"/>
      <c r="R2168" s="53"/>
      <c r="S2168" s="53"/>
      <c r="T2168" s="53"/>
      <c r="U2168" s="53"/>
      <c r="V2168" s="53"/>
      <c r="W2168" s="53"/>
      <c r="X2168" s="53"/>
      <c r="Y2168" s="53"/>
      <c r="Z2168" s="53"/>
    </row>
    <row r="2169" spans="1:26" ht="15.75" customHeight="1">
      <c r="A2169" s="103"/>
      <c r="B2169" s="103"/>
      <c r="C2169" s="104" t="e">
        <v>#REF!</v>
      </c>
      <c r="D2169" s="103"/>
      <c r="E2169" s="53"/>
      <c r="F2169" s="53"/>
      <c r="G2169" s="53"/>
      <c r="H2169" s="53"/>
      <c r="I2169" s="53"/>
      <c r="J2169" s="53"/>
      <c r="K2169" s="53"/>
      <c r="L2169" s="53"/>
      <c r="M2169" s="53"/>
      <c r="N2169" s="53"/>
      <c r="O2169" s="53"/>
      <c r="P2169" s="53"/>
      <c r="Q2169" s="53"/>
      <c r="R2169" s="53"/>
      <c r="S2169" s="53"/>
      <c r="T2169" s="53"/>
      <c r="U2169" s="53"/>
      <c r="V2169" s="53"/>
      <c r="W2169" s="53"/>
      <c r="X2169" s="53"/>
      <c r="Y2169" s="53"/>
      <c r="Z2169" s="53"/>
    </row>
    <row r="2170" spans="1:26" ht="15.75" customHeight="1">
      <c r="A2170" s="103"/>
      <c r="B2170" s="103"/>
      <c r="C2170" s="104" t="e">
        <v>#REF!</v>
      </c>
      <c r="D2170" s="103"/>
      <c r="E2170" s="53"/>
      <c r="F2170" s="53"/>
      <c r="G2170" s="53"/>
      <c r="H2170" s="53"/>
      <c r="I2170" s="53"/>
      <c r="J2170" s="53"/>
      <c r="K2170" s="53"/>
      <c r="L2170" s="53"/>
      <c r="M2170" s="53"/>
      <c r="N2170" s="53"/>
      <c r="O2170" s="53"/>
      <c r="P2170" s="53"/>
      <c r="Q2170" s="53"/>
      <c r="R2170" s="53"/>
      <c r="S2170" s="53"/>
      <c r="T2170" s="53"/>
      <c r="U2170" s="53"/>
      <c r="V2170" s="53"/>
      <c r="W2170" s="53"/>
      <c r="X2170" s="53"/>
      <c r="Y2170" s="53"/>
      <c r="Z2170" s="53"/>
    </row>
    <row r="2171" spans="1:26" ht="15.75" customHeight="1">
      <c r="A2171" s="103"/>
      <c r="B2171" s="103"/>
      <c r="C2171" s="104" t="e">
        <v>#REF!</v>
      </c>
      <c r="D2171" s="103"/>
      <c r="E2171" s="53"/>
      <c r="F2171" s="53"/>
      <c r="G2171" s="53"/>
      <c r="H2171" s="53"/>
      <c r="I2171" s="53"/>
      <c r="J2171" s="53"/>
      <c r="K2171" s="53"/>
      <c r="L2171" s="53"/>
      <c r="M2171" s="53"/>
      <c r="N2171" s="53"/>
      <c r="O2171" s="53"/>
      <c r="P2171" s="53"/>
      <c r="Q2171" s="53"/>
      <c r="R2171" s="53"/>
      <c r="S2171" s="53"/>
      <c r="T2171" s="53"/>
      <c r="U2171" s="53"/>
      <c r="V2171" s="53"/>
      <c r="W2171" s="53"/>
      <c r="X2171" s="53"/>
      <c r="Y2171" s="53"/>
      <c r="Z2171" s="53"/>
    </row>
    <row r="2172" spans="1:26" ht="15.75" customHeight="1">
      <c r="A2172" s="103"/>
      <c r="B2172" s="103"/>
      <c r="C2172" s="104" t="e">
        <v>#REF!</v>
      </c>
      <c r="D2172" s="103"/>
      <c r="E2172" s="53"/>
      <c r="F2172" s="53"/>
      <c r="G2172" s="53"/>
      <c r="H2172" s="53"/>
      <c r="I2172" s="53"/>
      <c r="J2172" s="53"/>
      <c r="K2172" s="53"/>
      <c r="L2172" s="53"/>
      <c r="M2172" s="53"/>
      <c r="N2172" s="53"/>
      <c r="O2172" s="53"/>
      <c r="P2172" s="53"/>
      <c r="Q2172" s="53"/>
      <c r="R2172" s="53"/>
      <c r="S2172" s="53"/>
      <c r="T2172" s="53"/>
      <c r="U2172" s="53"/>
      <c r="V2172" s="53"/>
      <c r="W2172" s="53"/>
      <c r="X2172" s="53"/>
      <c r="Y2172" s="53"/>
      <c r="Z2172" s="53"/>
    </row>
    <row r="2173" spans="1:26" ht="15.75" customHeight="1">
      <c r="A2173" s="103"/>
      <c r="B2173" s="103"/>
      <c r="C2173" s="104" t="e">
        <v>#REF!</v>
      </c>
      <c r="D2173" s="103"/>
      <c r="E2173" s="53"/>
      <c r="F2173" s="53"/>
      <c r="G2173" s="53"/>
      <c r="H2173" s="53"/>
      <c r="I2173" s="53"/>
      <c r="J2173" s="53"/>
      <c r="K2173" s="53"/>
      <c r="L2173" s="53"/>
      <c r="M2173" s="53"/>
      <c r="N2173" s="53"/>
      <c r="O2173" s="53"/>
      <c r="P2173" s="53"/>
      <c r="Q2173" s="53"/>
      <c r="R2173" s="53"/>
      <c r="S2173" s="53"/>
      <c r="T2173" s="53"/>
      <c r="U2173" s="53"/>
      <c r="V2173" s="53"/>
      <c r="W2173" s="53"/>
      <c r="X2173" s="53"/>
      <c r="Y2173" s="53"/>
      <c r="Z2173" s="53"/>
    </row>
    <row r="2174" spans="1:26" ht="15.75" customHeight="1">
      <c r="A2174" s="103"/>
      <c r="B2174" s="103"/>
      <c r="C2174" s="104" t="e">
        <v>#REF!</v>
      </c>
      <c r="D2174" s="103"/>
      <c r="E2174" s="53"/>
      <c r="F2174" s="53"/>
      <c r="G2174" s="53"/>
      <c r="H2174" s="53"/>
      <c r="I2174" s="53"/>
      <c r="J2174" s="53"/>
      <c r="K2174" s="53"/>
      <c r="L2174" s="53"/>
      <c r="M2174" s="53"/>
      <c r="N2174" s="53"/>
      <c r="O2174" s="53"/>
      <c r="P2174" s="53"/>
      <c r="Q2174" s="53"/>
      <c r="R2174" s="53"/>
      <c r="S2174" s="53"/>
      <c r="T2174" s="53"/>
      <c r="U2174" s="53"/>
      <c r="V2174" s="53"/>
      <c r="W2174" s="53"/>
      <c r="X2174" s="53"/>
      <c r="Y2174" s="53"/>
      <c r="Z2174" s="53"/>
    </row>
    <row r="2175" spans="1:26" ht="15.75" customHeight="1">
      <c r="A2175" s="103"/>
      <c r="B2175" s="103"/>
      <c r="C2175" s="104" t="e">
        <v>#REF!</v>
      </c>
      <c r="D2175" s="103"/>
      <c r="E2175" s="53"/>
      <c r="F2175" s="53"/>
      <c r="G2175" s="53"/>
      <c r="H2175" s="53"/>
      <c r="I2175" s="53"/>
      <c r="J2175" s="53"/>
      <c r="K2175" s="53"/>
      <c r="L2175" s="53"/>
      <c r="M2175" s="53"/>
      <c r="N2175" s="53"/>
      <c r="O2175" s="53"/>
      <c r="P2175" s="53"/>
      <c r="Q2175" s="53"/>
      <c r="R2175" s="53"/>
      <c r="S2175" s="53"/>
      <c r="T2175" s="53"/>
      <c r="U2175" s="53"/>
      <c r="V2175" s="53"/>
      <c r="W2175" s="53"/>
      <c r="X2175" s="53"/>
      <c r="Y2175" s="53"/>
      <c r="Z2175" s="53"/>
    </row>
    <row r="2176" spans="1:26" ht="15.75" customHeight="1">
      <c r="A2176" s="103"/>
      <c r="B2176" s="103"/>
      <c r="C2176" s="104" t="e">
        <v>#REF!</v>
      </c>
      <c r="D2176" s="103"/>
      <c r="E2176" s="53"/>
      <c r="F2176" s="53"/>
      <c r="G2176" s="53"/>
      <c r="H2176" s="53"/>
      <c r="I2176" s="53"/>
      <c r="J2176" s="53"/>
      <c r="K2176" s="53"/>
      <c r="L2176" s="53"/>
      <c r="M2176" s="53"/>
      <c r="N2176" s="53"/>
      <c r="O2176" s="53"/>
      <c r="P2176" s="53"/>
      <c r="Q2176" s="53"/>
      <c r="R2176" s="53"/>
      <c r="S2176" s="53"/>
      <c r="T2176" s="53"/>
      <c r="U2176" s="53"/>
      <c r="V2176" s="53"/>
      <c r="W2176" s="53"/>
      <c r="X2176" s="53"/>
      <c r="Y2176" s="53"/>
      <c r="Z2176" s="53"/>
    </row>
    <row r="2177" spans="1:26" ht="15.75" customHeight="1">
      <c r="A2177" s="103"/>
      <c r="B2177" s="103"/>
      <c r="C2177" s="104" t="e">
        <v>#REF!</v>
      </c>
      <c r="D2177" s="103"/>
      <c r="E2177" s="53"/>
      <c r="F2177" s="53"/>
      <c r="G2177" s="53"/>
      <c r="H2177" s="53"/>
      <c r="I2177" s="53"/>
      <c r="J2177" s="53"/>
      <c r="K2177" s="53"/>
      <c r="L2177" s="53"/>
      <c r="M2177" s="53"/>
      <c r="N2177" s="53"/>
      <c r="O2177" s="53"/>
      <c r="P2177" s="53"/>
      <c r="Q2177" s="53"/>
      <c r="R2177" s="53"/>
      <c r="S2177" s="53"/>
      <c r="T2177" s="53"/>
      <c r="U2177" s="53"/>
      <c r="V2177" s="53"/>
      <c r="W2177" s="53"/>
      <c r="X2177" s="53"/>
      <c r="Y2177" s="53"/>
      <c r="Z2177" s="53"/>
    </row>
    <row r="2178" spans="1:26" ht="15.75" customHeight="1">
      <c r="A2178" s="103"/>
      <c r="B2178" s="103"/>
      <c r="C2178" s="104" t="e">
        <v>#REF!</v>
      </c>
      <c r="D2178" s="103"/>
      <c r="E2178" s="53"/>
      <c r="F2178" s="53"/>
      <c r="G2178" s="53"/>
      <c r="H2178" s="53"/>
      <c r="I2178" s="53"/>
      <c r="J2178" s="53"/>
      <c r="K2178" s="53"/>
      <c r="L2178" s="53"/>
      <c r="M2178" s="53"/>
      <c r="N2178" s="53"/>
      <c r="O2178" s="53"/>
      <c r="P2178" s="53"/>
      <c r="Q2178" s="53"/>
      <c r="R2178" s="53"/>
      <c r="S2178" s="53"/>
      <c r="T2178" s="53"/>
      <c r="U2178" s="53"/>
      <c r="V2178" s="53"/>
      <c r="W2178" s="53"/>
      <c r="X2178" s="53"/>
      <c r="Y2178" s="53"/>
      <c r="Z2178" s="53"/>
    </row>
    <row r="2179" spans="1:26" ht="15.75" customHeight="1">
      <c r="A2179" s="103"/>
      <c r="B2179" s="103"/>
      <c r="C2179" s="104" t="e">
        <v>#REF!</v>
      </c>
      <c r="D2179" s="103"/>
      <c r="E2179" s="53"/>
      <c r="F2179" s="53"/>
      <c r="G2179" s="53"/>
      <c r="H2179" s="53"/>
      <c r="I2179" s="53"/>
      <c r="J2179" s="53"/>
      <c r="K2179" s="53"/>
      <c r="L2179" s="53"/>
      <c r="M2179" s="53"/>
      <c r="N2179" s="53"/>
      <c r="O2179" s="53"/>
      <c r="P2179" s="53"/>
      <c r="Q2179" s="53"/>
      <c r="R2179" s="53"/>
      <c r="S2179" s="53"/>
      <c r="T2179" s="53"/>
      <c r="U2179" s="53"/>
      <c r="V2179" s="53"/>
      <c r="W2179" s="53"/>
      <c r="X2179" s="53"/>
      <c r="Y2179" s="53"/>
      <c r="Z2179" s="53"/>
    </row>
    <row r="2180" spans="1:26" ht="15.75" customHeight="1">
      <c r="A2180" s="103"/>
      <c r="B2180" s="103"/>
      <c r="C2180" s="104" t="e">
        <v>#REF!</v>
      </c>
      <c r="D2180" s="103"/>
      <c r="E2180" s="53"/>
      <c r="F2180" s="53"/>
      <c r="G2180" s="53"/>
      <c r="H2180" s="53"/>
      <c r="I2180" s="53"/>
      <c r="J2180" s="53"/>
      <c r="K2180" s="53"/>
      <c r="L2180" s="53"/>
      <c r="M2180" s="53"/>
      <c r="N2180" s="53"/>
      <c r="O2180" s="53"/>
      <c r="P2180" s="53"/>
      <c r="Q2180" s="53"/>
      <c r="R2180" s="53"/>
      <c r="S2180" s="53"/>
      <c r="T2180" s="53"/>
      <c r="U2180" s="53"/>
      <c r="V2180" s="53"/>
      <c r="W2180" s="53"/>
      <c r="X2180" s="53"/>
      <c r="Y2180" s="53"/>
      <c r="Z2180" s="53"/>
    </row>
    <row r="2181" spans="1:26" ht="15.75" customHeight="1">
      <c r="A2181" s="103"/>
      <c r="B2181" s="103"/>
      <c r="C2181" s="104" t="e">
        <v>#REF!</v>
      </c>
      <c r="D2181" s="103"/>
      <c r="E2181" s="53"/>
      <c r="F2181" s="53"/>
      <c r="G2181" s="53"/>
      <c r="H2181" s="53"/>
      <c r="I2181" s="53"/>
      <c r="J2181" s="53"/>
      <c r="K2181" s="53"/>
      <c r="L2181" s="53"/>
      <c r="M2181" s="53"/>
      <c r="N2181" s="53"/>
      <c r="O2181" s="53"/>
      <c r="P2181" s="53"/>
      <c r="Q2181" s="53"/>
      <c r="R2181" s="53"/>
      <c r="S2181" s="53"/>
      <c r="T2181" s="53"/>
      <c r="U2181" s="53"/>
      <c r="V2181" s="53"/>
      <c r="W2181" s="53"/>
      <c r="X2181" s="53"/>
      <c r="Y2181" s="53"/>
      <c r="Z2181" s="53"/>
    </row>
    <row r="2182" spans="1:26" ht="15.75" customHeight="1">
      <c r="A2182" s="103"/>
      <c r="B2182" s="103"/>
      <c r="C2182" s="104" t="e">
        <v>#REF!</v>
      </c>
      <c r="D2182" s="103"/>
      <c r="E2182" s="53"/>
      <c r="F2182" s="53"/>
      <c r="G2182" s="53"/>
      <c r="H2182" s="53"/>
      <c r="I2182" s="53"/>
      <c r="J2182" s="53"/>
      <c r="K2182" s="53"/>
      <c r="L2182" s="53"/>
      <c r="M2182" s="53"/>
      <c r="N2182" s="53"/>
      <c r="O2182" s="53"/>
      <c r="P2182" s="53"/>
      <c r="Q2182" s="53"/>
      <c r="R2182" s="53"/>
      <c r="S2182" s="53"/>
      <c r="T2182" s="53"/>
      <c r="U2182" s="53"/>
      <c r="V2182" s="53"/>
      <c r="W2182" s="53"/>
      <c r="X2182" s="53"/>
      <c r="Y2182" s="53"/>
      <c r="Z2182" s="53"/>
    </row>
    <row r="2183" spans="1:26" ht="15.75" customHeight="1">
      <c r="A2183" s="103"/>
      <c r="B2183" s="103"/>
      <c r="C2183" s="104" t="e">
        <v>#REF!</v>
      </c>
      <c r="D2183" s="103"/>
      <c r="E2183" s="53"/>
      <c r="F2183" s="53"/>
      <c r="G2183" s="53"/>
      <c r="H2183" s="53"/>
      <c r="I2183" s="53"/>
      <c r="J2183" s="53"/>
      <c r="K2183" s="53"/>
      <c r="L2183" s="53"/>
      <c r="M2183" s="53"/>
      <c r="N2183" s="53"/>
      <c r="O2183" s="53"/>
      <c r="P2183" s="53"/>
      <c r="Q2183" s="53"/>
      <c r="R2183" s="53"/>
      <c r="S2183" s="53"/>
      <c r="T2183" s="53"/>
      <c r="U2183" s="53"/>
      <c r="V2183" s="53"/>
      <c r="W2183" s="53"/>
      <c r="X2183" s="53"/>
      <c r="Y2183" s="53"/>
      <c r="Z2183" s="53"/>
    </row>
    <row r="2184" spans="1:26" ht="15.75" customHeight="1">
      <c r="A2184" s="103"/>
      <c r="B2184" s="103"/>
      <c r="C2184" s="104" t="e">
        <v>#REF!</v>
      </c>
      <c r="D2184" s="103"/>
      <c r="E2184" s="53"/>
      <c r="F2184" s="53"/>
      <c r="G2184" s="53"/>
      <c r="H2184" s="53"/>
      <c r="I2184" s="53"/>
      <c r="J2184" s="53"/>
      <c r="K2184" s="53"/>
      <c r="L2184" s="53"/>
      <c r="M2184" s="53"/>
      <c r="N2184" s="53"/>
      <c r="O2184" s="53"/>
      <c r="P2184" s="53"/>
      <c r="Q2184" s="53"/>
      <c r="R2184" s="53"/>
      <c r="S2184" s="53"/>
      <c r="T2184" s="53"/>
      <c r="U2184" s="53"/>
      <c r="V2184" s="53"/>
      <c r="W2184" s="53"/>
      <c r="X2184" s="53"/>
      <c r="Y2184" s="53"/>
      <c r="Z2184" s="53"/>
    </row>
    <row r="2185" spans="1:26" ht="15.75" customHeight="1">
      <c r="A2185" s="103"/>
      <c r="B2185" s="103"/>
      <c r="C2185" s="104" t="e">
        <v>#REF!</v>
      </c>
      <c r="D2185" s="103"/>
      <c r="E2185" s="53"/>
      <c r="F2185" s="53"/>
      <c r="G2185" s="53"/>
      <c r="H2185" s="53"/>
      <c r="I2185" s="53"/>
      <c r="J2185" s="53"/>
      <c r="K2185" s="53"/>
      <c r="L2185" s="53"/>
      <c r="M2185" s="53"/>
      <c r="N2185" s="53"/>
      <c r="O2185" s="53"/>
      <c r="P2185" s="53"/>
      <c r="Q2185" s="53"/>
      <c r="R2185" s="53"/>
      <c r="S2185" s="53"/>
      <c r="T2185" s="53"/>
      <c r="U2185" s="53"/>
      <c r="V2185" s="53"/>
      <c r="W2185" s="53"/>
      <c r="X2185" s="53"/>
      <c r="Y2185" s="53"/>
      <c r="Z2185" s="53"/>
    </row>
    <row r="2186" spans="1:26" ht="15.75" customHeight="1">
      <c r="A2186" s="103"/>
      <c r="B2186" s="103"/>
      <c r="C2186" s="104" t="e">
        <v>#REF!</v>
      </c>
      <c r="D2186" s="103"/>
      <c r="E2186" s="53"/>
      <c r="F2186" s="53"/>
      <c r="G2186" s="53"/>
      <c r="H2186" s="53"/>
      <c r="I2186" s="53"/>
      <c r="J2186" s="53"/>
      <c r="K2186" s="53"/>
      <c r="L2186" s="53"/>
      <c r="M2186" s="53"/>
      <c r="N2186" s="53"/>
      <c r="O2186" s="53"/>
      <c r="P2186" s="53"/>
      <c r="Q2186" s="53"/>
      <c r="R2186" s="53"/>
      <c r="S2186" s="53"/>
      <c r="T2186" s="53"/>
      <c r="U2186" s="53"/>
      <c r="V2186" s="53"/>
      <c r="W2186" s="53"/>
      <c r="X2186" s="53"/>
      <c r="Y2186" s="53"/>
      <c r="Z2186" s="53"/>
    </row>
    <row r="2187" spans="1:26" ht="15.75" customHeight="1">
      <c r="A2187" s="103"/>
      <c r="B2187" s="103"/>
      <c r="C2187" s="104" t="e">
        <v>#REF!</v>
      </c>
      <c r="D2187" s="103"/>
      <c r="E2187" s="53"/>
      <c r="F2187" s="53"/>
      <c r="G2187" s="53"/>
      <c r="H2187" s="53"/>
      <c r="I2187" s="53"/>
      <c r="J2187" s="53"/>
      <c r="K2187" s="53"/>
      <c r="L2187" s="53"/>
      <c r="M2187" s="53"/>
      <c r="N2187" s="53"/>
      <c r="O2187" s="53"/>
      <c r="P2187" s="53"/>
      <c r="Q2187" s="53"/>
      <c r="R2187" s="53"/>
      <c r="S2187" s="53"/>
      <c r="T2187" s="53"/>
      <c r="U2187" s="53"/>
      <c r="V2187" s="53"/>
      <c r="W2187" s="53"/>
      <c r="X2187" s="53"/>
      <c r="Y2187" s="53"/>
      <c r="Z2187" s="53"/>
    </row>
    <row r="2188" spans="1:26" ht="15.75" customHeight="1">
      <c r="A2188" s="103"/>
      <c r="B2188" s="103"/>
      <c r="C2188" s="104" t="e">
        <v>#REF!</v>
      </c>
      <c r="D2188" s="103"/>
      <c r="E2188" s="53"/>
      <c r="F2188" s="53"/>
      <c r="G2188" s="53"/>
      <c r="H2188" s="53"/>
      <c r="I2188" s="53"/>
      <c r="J2188" s="53"/>
      <c r="K2188" s="53"/>
      <c r="L2188" s="53"/>
      <c r="M2188" s="53"/>
      <c r="N2188" s="53"/>
      <c r="O2188" s="53"/>
      <c r="P2188" s="53"/>
      <c r="Q2188" s="53"/>
      <c r="R2188" s="53"/>
      <c r="S2188" s="53"/>
      <c r="T2188" s="53"/>
      <c r="U2188" s="53"/>
      <c r="V2188" s="53"/>
      <c r="W2188" s="53"/>
      <c r="X2188" s="53"/>
      <c r="Y2188" s="53"/>
      <c r="Z2188" s="53"/>
    </row>
    <row r="2189" spans="1:26" ht="15.75" customHeight="1">
      <c r="A2189" s="103"/>
      <c r="B2189" s="103"/>
      <c r="C2189" s="104" t="e">
        <v>#REF!</v>
      </c>
      <c r="D2189" s="103"/>
      <c r="E2189" s="53"/>
      <c r="F2189" s="53"/>
      <c r="G2189" s="53"/>
      <c r="H2189" s="53"/>
      <c r="I2189" s="53"/>
      <c r="J2189" s="53"/>
      <c r="K2189" s="53"/>
      <c r="L2189" s="53"/>
      <c r="M2189" s="53"/>
      <c r="N2189" s="53"/>
      <c r="O2189" s="53"/>
      <c r="P2189" s="53"/>
      <c r="Q2189" s="53"/>
      <c r="R2189" s="53"/>
      <c r="S2189" s="53"/>
      <c r="T2189" s="53"/>
      <c r="U2189" s="53"/>
      <c r="V2189" s="53"/>
      <c r="W2189" s="53"/>
      <c r="X2189" s="53"/>
      <c r="Y2189" s="53"/>
      <c r="Z2189" s="53"/>
    </row>
    <row r="2190" spans="1:26" ht="15.75" customHeight="1">
      <c r="A2190" s="103"/>
      <c r="B2190" s="103"/>
      <c r="C2190" s="104" t="e">
        <v>#REF!</v>
      </c>
      <c r="D2190" s="103"/>
      <c r="E2190" s="53"/>
      <c r="F2190" s="53"/>
      <c r="G2190" s="53"/>
      <c r="H2190" s="53"/>
      <c r="I2190" s="53"/>
      <c r="J2190" s="53"/>
      <c r="K2190" s="53"/>
      <c r="L2190" s="53"/>
      <c r="M2190" s="53"/>
      <c r="N2190" s="53"/>
      <c r="O2190" s="53"/>
      <c r="P2190" s="53"/>
      <c r="Q2190" s="53"/>
      <c r="R2190" s="53"/>
      <c r="S2190" s="53"/>
      <c r="T2190" s="53"/>
      <c r="U2190" s="53"/>
      <c r="V2190" s="53"/>
      <c r="W2190" s="53"/>
      <c r="X2190" s="53"/>
      <c r="Y2190" s="53"/>
      <c r="Z2190" s="53"/>
    </row>
    <row r="2191" spans="1:26" ht="15.75" customHeight="1">
      <c r="A2191" s="103"/>
      <c r="B2191" s="103"/>
      <c r="C2191" s="104" t="e">
        <v>#REF!</v>
      </c>
      <c r="D2191" s="103"/>
      <c r="E2191" s="53"/>
      <c r="F2191" s="53"/>
      <c r="G2191" s="53"/>
      <c r="H2191" s="53"/>
      <c r="I2191" s="53"/>
      <c r="J2191" s="53"/>
      <c r="K2191" s="53"/>
      <c r="L2191" s="53"/>
      <c r="M2191" s="53"/>
      <c r="N2191" s="53"/>
      <c r="O2191" s="53"/>
      <c r="P2191" s="53"/>
      <c r="Q2191" s="53"/>
      <c r="R2191" s="53"/>
      <c r="S2191" s="53"/>
      <c r="T2191" s="53"/>
      <c r="U2191" s="53"/>
      <c r="V2191" s="53"/>
      <c r="W2191" s="53"/>
      <c r="X2191" s="53"/>
      <c r="Y2191" s="53"/>
      <c r="Z2191" s="53"/>
    </row>
    <row r="2192" spans="1:26" ht="15.75" customHeight="1">
      <c r="A2192" s="103"/>
      <c r="B2192" s="103"/>
      <c r="C2192" s="104" t="e">
        <v>#REF!</v>
      </c>
      <c r="D2192" s="103"/>
      <c r="E2192" s="53"/>
      <c r="F2192" s="53"/>
      <c r="G2192" s="53"/>
      <c r="H2192" s="53"/>
      <c r="I2192" s="53"/>
      <c r="J2192" s="53"/>
      <c r="K2192" s="53"/>
      <c r="L2192" s="53"/>
      <c r="M2192" s="53"/>
      <c r="N2192" s="53"/>
      <c r="O2192" s="53"/>
      <c r="P2192" s="53"/>
      <c r="Q2192" s="53"/>
      <c r="R2192" s="53"/>
      <c r="S2192" s="53"/>
      <c r="T2192" s="53"/>
      <c r="U2192" s="53"/>
      <c r="V2192" s="53"/>
      <c r="W2192" s="53"/>
      <c r="X2192" s="53"/>
      <c r="Y2192" s="53"/>
      <c r="Z2192" s="53"/>
    </row>
    <row r="2193" spans="1:26" ht="15.75" customHeight="1">
      <c r="A2193" s="103"/>
      <c r="B2193" s="103"/>
      <c r="C2193" s="104" t="e">
        <v>#REF!</v>
      </c>
      <c r="D2193" s="103"/>
      <c r="E2193" s="53"/>
      <c r="F2193" s="53"/>
      <c r="G2193" s="53"/>
      <c r="H2193" s="53"/>
      <c r="I2193" s="53"/>
      <c r="J2193" s="53"/>
      <c r="K2193" s="53"/>
      <c r="L2193" s="53"/>
      <c r="M2193" s="53"/>
      <c r="N2193" s="53"/>
      <c r="O2193" s="53"/>
      <c r="P2193" s="53"/>
      <c r="Q2193" s="53"/>
      <c r="R2193" s="53"/>
      <c r="S2193" s="53"/>
      <c r="T2193" s="53"/>
      <c r="U2193" s="53"/>
      <c r="V2193" s="53"/>
      <c r="W2193" s="53"/>
      <c r="X2193" s="53"/>
      <c r="Y2193" s="53"/>
      <c r="Z2193" s="53"/>
    </row>
    <row r="2194" spans="1:26" ht="15.75" customHeight="1">
      <c r="A2194" s="103"/>
      <c r="B2194" s="103"/>
      <c r="C2194" s="104" t="e">
        <v>#REF!</v>
      </c>
      <c r="D2194" s="103"/>
      <c r="E2194" s="53"/>
      <c r="F2194" s="53"/>
      <c r="G2194" s="53"/>
      <c r="H2194" s="53"/>
      <c r="I2194" s="53"/>
      <c r="J2194" s="53"/>
      <c r="K2194" s="53"/>
      <c r="L2194" s="53"/>
      <c r="M2194" s="53"/>
      <c r="N2194" s="53"/>
      <c r="O2194" s="53"/>
      <c r="P2194" s="53"/>
      <c r="Q2194" s="53"/>
      <c r="R2194" s="53"/>
      <c r="S2194" s="53"/>
      <c r="T2194" s="53"/>
      <c r="U2194" s="53"/>
      <c r="V2194" s="53"/>
      <c r="W2194" s="53"/>
      <c r="X2194" s="53"/>
      <c r="Y2194" s="53"/>
      <c r="Z2194" s="53"/>
    </row>
    <row r="2195" spans="1:26" ht="15.75" customHeight="1">
      <c r="A2195" s="103"/>
      <c r="B2195" s="103"/>
      <c r="C2195" s="104" t="e">
        <v>#REF!</v>
      </c>
      <c r="D2195" s="103"/>
      <c r="E2195" s="53"/>
      <c r="F2195" s="53"/>
      <c r="G2195" s="53"/>
      <c r="H2195" s="53"/>
      <c r="I2195" s="53"/>
      <c r="J2195" s="53"/>
      <c r="K2195" s="53"/>
      <c r="L2195" s="53"/>
      <c r="M2195" s="53"/>
      <c r="N2195" s="53"/>
      <c r="O2195" s="53"/>
      <c r="P2195" s="53"/>
      <c r="Q2195" s="53"/>
      <c r="R2195" s="53"/>
      <c r="S2195" s="53"/>
      <c r="T2195" s="53"/>
      <c r="U2195" s="53"/>
      <c r="V2195" s="53"/>
      <c r="W2195" s="53"/>
      <c r="X2195" s="53"/>
      <c r="Y2195" s="53"/>
      <c r="Z2195" s="53"/>
    </row>
    <row r="2196" spans="1:26" ht="15.75" customHeight="1">
      <c r="A2196" s="103"/>
      <c r="B2196" s="103"/>
      <c r="C2196" s="104" t="e">
        <v>#REF!</v>
      </c>
      <c r="D2196" s="103"/>
      <c r="E2196" s="53"/>
      <c r="F2196" s="53"/>
      <c r="G2196" s="53"/>
      <c r="H2196" s="53"/>
      <c r="I2196" s="53"/>
      <c r="J2196" s="53"/>
      <c r="K2196" s="53"/>
      <c r="L2196" s="53"/>
      <c r="M2196" s="53"/>
      <c r="N2196" s="53"/>
      <c r="O2196" s="53"/>
      <c r="P2196" s="53"/>
      <c r="Q2196" s="53"/>
      <c r="R2196" s="53"/>
      <c r="S2196" s="53"/>
      <c r="T2196" s="53"/>
      <c r="U2196" s="53"/>
      <c r="V2196" s="53"/>
      <c r="W2196" s="53"/>
      <c r="X2196" s="53"/>
      <c r="Y2196" s="53"/>
      <c r="Z2196" s="53"/>
    </row>
    <row r="2197" spans="1:26" ht="15.75" customHeight="1">
      <c r="A2197" s="103"/>
      <c r="B2197" s="103"/>
      <c r="C2197" s="104" t="e">
        <v>#REF!</v>
      </c>
      <c r="D2197" s="103"/>
      <c r="E2197" s="53"/>
      <c r="F2197" s="53"/>
      <c r="G2197" s="53"/>
      <c r="H2197" s="53"/>
      <c r="I2197" s="53"/>
      <c r="J2197" s="53"/>
      <c r="K2197" s="53"/>
      <c r="L2197" s="53"/>
      <c r="M2197" s="53"/>
      <c r="N2197" s="53"/>
      <c r="O2197" s="53"/>
      <c r="P2197" s="53"/>
      <c r="Q2197" s="53"/>
      <c r="R2197" s="53"/>
      <c r="S2197" s="53"/>
      <c r="T2197" s="53"/>
      <c r="U2197" s="53"/>
      <c r="V2197" s="53"/>
      <c r="W2197" s="53"/>
      <c r="X2197" s="53"/>
      <c r="Y2197" s="53"/>
      <c r="Z2197" s="53"/>
    </row>
    <row r="2198" spans="1:26" ht="15.75" customHeight="1">
      <c r="A2198" s="103"/>
      <c r="B2198" s="103"/>
      <c r="C2198" s="104" t="e">
        <v>#REF!</v>
      </c>
      <c r="D2198" s="103"/>
      <c r="E2198" s="53"/>
      <c r="F2198" s="53"/>
      <c r="G2198" s="53"/>
      <c r="H2198" s="53"/>
      <c r="I2198" s="53"/>
      <c r="J2198" s="53"/>
      <c r="K2198" s="53"/>
      <c r="L2198" s="53"/>
      <c r="M2198" s="53"/>
      <c r="N2198" s="53"/>
      <c r="O2198" s="53"/>
      <c r="P2198" s="53"/>
      <c r="Q2198" s="53"/>
      <c r="R2198" s="53"/>
      <c r="S2198" s="53"/>
      <c r="T2198" s="53"/>
      <c r="U2198" s="53"/>
      <c r="V2198" s="53"/>
      <c r="W2198" s="53"/>
      <c r="X2198" s="53"/>
      <c r="Y2198" s="53"/>
      <c r="Z2198" s="53"/>
    </row>
    <row r="2199" spans="1:26" ht="15.75" customHeight="1">
      <c r="A2199" s="103"/>
      <c r="B2199" s="103"/>
      <c r="C2199" s="104" t="e">
        <v>#REF!</v>
      </c>
      <c r="D2199" s="103"/>
      <c r="E2199" s="53"/>
      <c r="F2199" s="53"/>
      <c r="G2199" s="53"/>
      <c r="H2199" s="53"/>
      <c r="I2199" s="53"/>
      <c r="J2199" s="53"/>
      <c r="K2199" s="53"/>
      <c r="L2199" s="53"/>
      <c r="M2199" s="53"/>
      <c r="N2199" s="53"/>
      <c r="O2199" s="53"/>
      <c r="P2199" s="53"/>
      <c r="Q2199" s="53"/>
      <c r="R2199" s="53"/>
      <c r="S2199" s="53"/>
      <c r="T2199" s="53"/>
      <c r="U2199" s="53"/>
      <c r="V2199" s="53"/>
      <c r="W2199" s="53"/>
      <c r="X2199" s="53"/>
      <c r="Y2199" s="53"/>
      <c r="Z2199" s="53"/>
    </row>
    <row r="2200" spans="1:26" ht="15.75" customHeight="1">
      <c r="A2200" s="103"/>
      <c r="B2200" s="103"/>
      <c r="C2200" s="104" t="e">
        <v>#REF!</v>
      </c>
      <c r="D2200" s="103"/>
      <c r="E2200" s="53"/>
      <c r="F2200" s="53"/>
      <c r="G2200" s="53"/>
      <c r="H2200" s="53"/>
      <c r="I2200" s="53"/>
      <c r="J2200" s="53"/>
      <c r="K2200" s="53"/>
      <c r="L2200" s="53"/>
      <c r="M2200" s="53"/>
      <c r="N2200" s="53"/>
      <c r="O2200" s="53"/>
      <c r="P2200" s="53"/>
      <c r="Q2200" s="53"/>
      <c r="R2200" s="53"/>
      <c r="S2200" s="53"/>
      <c r="T2200" s="53"/>
      <c r="U2200" s="53"/>
      <c r="V2200" s="53"/>
      <c r="W2200" s="53"/>
      <c r="X2200" s="53"/>
      <c r="Y2200" s="53"/>
      <c r="Z2200" s="53"/>
    </row>
    <row r="2201" spans="1:26" ht="15.75" customHeight="1">
      <c r="A2201" s="103"/>
      <c r="B2201" s="103"/>
      <c r="C2201" s="104" t="e">
        <v>#REF!</v>
      </c>
      <c r="D2201" s="103"/>
      <c r="E2201" s="53"/>
      <c r="F2201" s="53"/>
      <c r="G2201" s="53"/>
      <c r="H2201" s="53"/>
      <c r="I2201" s="53"/>
      <c r="J2201" s="53"/>
      <c r="K2201" s="53"/>
      <c r="L2201" s="53"/>
      <c r="M2201" s="53"/>
      <c r="N2201" s="53"/>
      <c r="O2201" s="53"/>
      <c r="P2201" s="53"/>
      <c r="Q2201" s="53"/>
      <c r="R2201" s="53"/>
      <c r="S2201" s="53"/>
      <c r="T2201" s="53"/>
      <c r="U2201" s="53"/>
      <c r="V2201" s="53"/>
      <c r="W2201" s="53"/>
      <c r="X2201" s="53"/>
      <c r="Y2201" s="53"/>
      <c r="Z2201" s="53"/>
    </row>
    <row r="2202" spans="1:26" ht="15.75" customHeight="1">
      <c r="A2202" s="105"/>
      <c r="B2202" s="105"/>
      <c r="C2202" s="105"/>
      <c r="D2202" s="105"/>
      <c r="E2202" s="105"/>
      <c r="F2202" s="105"/>
      <c r="G2202" s="105"/>
      <c r="H2202" s="105"/>
      <c r="I2202" s="105"/>
      <c r="J2202" s="105"/>
      <c r="K2202" s="105"/>
      <c r="L2202" s="105"/>
      <c r="M2202" s="105"/>
      <c r="N2202" s="105"/>
      <c r="O2202" s="105"/>
      <c r="P2202" s="105"/>
      <c r="Q2202" s="105"/>
      <c r="R2202" s="105"/>
      <c r="S2202" s="105"/>
      <c r="T2202" s="105"/>
      <c r="U2202" s="105"/>
      <c r="V2202" s="105"/>
      <c r="W2202" s="105"/>
      <c r="X2202" s="105"/>
      <c r="Y2202" s="105"/>
      <c r="Z2202" s="105"/>
    </row>
    <row r="2203" spans="1:26" ht="15.75" customHeight="1">
      <c r="A2203" s="105"/>
      <c r="B2203" s="105"/>
      <c r="C2203" s="105"/>
      <c r="D2203" s="105"/>
      <c r="E2203" s="105"/>
      <c r="F2203" s="105"/>
      <c r="G2203" s="105"/>
      <c r="H2203" s="105"/>
      <c r="I2203" s="105"/>
      <c r="J2203" s="105"/>
      <c r="K2203" s="105"/>
      <c r="L2203" s="105"/>
      <c r="M2203" s="105"/>
      <c r="N2203" s="105"/>
      <c r="O2203" s="105"/>
      <c r="P2203" s="105"/>
      <c r="Q2203" s="105"/>
      <c r="R2203" s="105"/>
      <c r="S2203" s="105"/>
      <c r="T2203" s="105"/>
      <c r="U2203" s="105"/>
      <c r="V2203" s="105"/>
      <c r="W2203" s="105"/>
      <c r="X2203" s="105"/>
      <c r="Y2203" s="105"/>
      <c r="Z2203" s="105"/>
    </row>
    <row r="2204" spans="1:26" ht="15.75" customHeight="1">
      <c r="A2204" s="105"/>
      <c r="B2204" s="105"/>
      <c r="C2204" s="105"/>
      <c r="D2204" s="105"/>
      <c r="E2204" s="105"/>
      <c r="F2204" s="105"/>
      <c r="G2204" s="105"/>
      <c r="H2204" s="105"/>
      <c r="I2204" s="105"/>
      <c r="J2204" s="105"/>
      <c r="K2204" s="105"/>
      <c r="L2204" s="105"/>
      <c r="M2204" s="105"/>
      <c r="N2204" s="105"/>
      <c r="O2204" s="105"/>
      <c r="P2204" s="105"/>
      <c r="Q2204" s="105"/>
      <c r="R2204" s="105"/>
      <c r="S2204" s="105"/>
      <c r="T2204" s="105"/>
      <c r="U2204" s="105"/>
      <c r="V2204" s="105"/>
      <c r="W2204" s="105"/>
      <c r="X2204" s="105"/>
      <c r="Y2204" s="105"/>
      <c r="Z2204" s="105"/>
    </row>
    <row r="2205" spans="1:26" ht="15.75" customHeight="1">
      <c r="A2205" s="105"/>
      <c r="B2205" s="105"/>
      <c r="C2205" s="105"/>
      <c r="D2205" s="105"/>
      <c r="E2205" s="105"/>
      <c r="F2205" s="105"/>
      <c r="G2205" s="105"/>
      <c r="H2205" s="105"/>
      <c r="I2205" s="105"/>
      <c r="J2205" s="105"/>
      <c r="K2205" s="105"/>
      <c r="L2205" s="105"/>
      <c r="M2205" s="105"/>
      <c r="N2205" s="105"/>
      <c r="O2205" s="105"/>
      <c r="P2205" s="105"/>
      <c r="Q2205" s="105"/>
      <c r="R2205" s="105"/>
      <c r="S2205" s="105"/>
      <c r="T2205" s="105"/>
      <c r="U2205" s="105"/>
      <c r="V2205" s="105"/>
      <c r="W2205" s="105"/>
      <c r="X2205" s="105"/>
      <c r="Y2205" s="105"/>
      <c r="Z2205" s="105"/>
    </row>
    <row r="2206" spans="1:26" ht="15.75" customHeight="1">
      <c r="A2206" s="105"/>
      <c r="B2206" s="105"/>
      <c r="C2206" s="105"/>
      <c r="D2206" s="105"/>
      <c r="E2206" s="105"/>
      <c r="F2206" s="105"/>
      <c r="G2206" s="105"/>
      <c r="H2206" s="105"/>
      <c r="I2206" s="105"/>
      <c r="J2206" s="105"/>
      <c r="K2206" s="105"/>
      <c r="L2206" s="105"/>
      <c r="M2206" s="105"/>
      <c r="N2206" s="105"/>
      <c r="O2206" s="105"/>
      <c r="P2206" s="105"/>
      <c r="Q2206" s="105"/>
      <c r="R2206" s="105"/>
      <c r="S2206" s="105"/>
      <c r="T2206" s="105"/>
      <c r="U2206" s="105"/>
      <c r="V2206" s="105"/>
      <c r="W2206" s="105"/>
      <c r="X2206" s="105"/>
      <c r="Y2206" s="105"/>
      <c r="Z2206" s="105"/>
    </row>
    <row r="2207" spans="1:26" ht="15.75" customHeight="1">
      <c r="A2207" s="105"/>
      <c r="B2207" s="105"/>
      <c r="C2207" s="105"/>
      <c r="D2207" s="105"/>
      <c r="E2207" s="105"/>
      <c r="F2207" s="105"/>
      <c r="G2207" s="105"/>
      <c r="H2207" s="105"/>
      <c r="I2207" s="105"/>
      <c r="J2207" s="105"/>
      <c r="K2207" s="105"/>
      <c r="L2207" s="105"/>
      <c r="M2207" s="105"/>
      <c r="N2207" s="105"/>
      <c r="O2207" s="105"/>
      <c r="P2207" s="105"/>
      <c r="Q2207" s="105"/>
      <c r="R2207" s="105"/>
      <c r="S2207" s="105"/>
      <c r="T2207" s="105"/>
      <c r="U2207" s="105"/>
      <c r="V2207" s="105"/>
      <c r="W2207" s="105"/>
      <c r="X2207" s="105"/>
      <c r="Y2207" s="105"/>
      <c r="Z2207" s="105"/>
    </row>
    <row r="2208" spans="1:26" ht="15.75" customHeight="1">
      <c r="A2208" s="105"/>
      <c r="B2208" s="105"/>
      <c r="C2208" s="105"/>
      <c r="D2208" s="105"/>
      <c r="E2208" s="105"/>
      <c r="F2208" s="105"/>
      <c r="G2208" s="105"/>
      <c r="H2208" s="105"/>
      <c r="I2208" s="105"/>
      <c r="J2208" s="105"/>
      <c r="K2208" s="105"/>
      <c r="L2208" s="105"/>
      <c r="M2208" s="105"/>
      <c r="N2208" s="105"/>
      <c r="O2208" s="105"/>
      <c r="P2208" s="105"/>
      <c r="Q2208" s="105"/>
      <c r="R2208" s="105"/>
      <c r="S2208" s="105"/>
      <c r="T2208" s="105"/>
      <c r="U2208" s="105"/>
      <c r="V2208" s="105"/>
      <c r="W2208" s="105"/>
      <c r="X2208" s="105"/>
      <c r="Y2208" s="105"/>
      <c r="Z2208" s="105"/>
    </row>
    <row r="2209" spans="1:26" ht="15.75" customHeight="1">
      <c r="A2209" s="105"/>
      <c r="B2209" s="105"/>
      <c r="C2209" s="105"/>
      <c r="D2209" s="105"/>
      <c r="E2209" s="105"/>
      <c r="F2209" s="105"/>
      <c r="G2209" s="105"/>
      <c r="H2209" s="105"/>
      <c r="I2209" s="105"/>
      <c r="J2209" s="105"/>
      <c r="K2209" s="105"/>
      <c r="L2209" s="105"/>
      <c r="M2209" s="105"/>
      <c r="N2209" s="105"/>
      <c r="O2209" s="105"/>
      <c r="P2209" s="105"/>
      <c r="Q2209" s="105"/>
      <c r="R2209" s="105"/>
      <c r="S2209" s="105"/>
      <c r="T2209" s="105"/>
      <c r="U2209" s="105"/>
      <c r="V2209" s="105"/>
      <c r="W2209" s="105"/>
      <c r="X2209" s="105"/>
      <c r="Y2209" s="105"/>
      <c r="Z2209" s="105"/>
    </row>
    <row r="2210" spans="1:26" ht="15.75" customHeight="1">
      <c r="A2210" s="105"/>
      <c r="B2210" s="105"/>
      <c r="C2210" s="105"/>
      <c r="D2210" s="105"/>
      <c r="E2210" s="105"/>
      <c r="F2210" s="105"/>
      <c r="G2210" s="105"/>
      <c r="H2210" s="105"/>
      <c r="I2210" s="105"/>
      <c r="J2210" s="105"/>
      <c r="K2210" s="105"/>
      <c r="L2210" s="105"/>
      <c r="M2210" s="105"/>
      <c r="N2210" s="105"/>
      <c r="O2210" s="105"/>
      <c r="P2210" s="105"/>
      <c r="Q2210" s="105"/>
      <c r="R2210" s="105"/>
      <c r="S2210" s="105"/>
      <c r="T2210" s="105"/>
      <c r="U2210" s="105"/>
      <c r="V2210" s="105"/>
      <c r="W2210" s="105"/>
      <c r="X2210" s="105"/>
      <c r="Y2210" s="105"/>
      <c r="Z2210" s="105"/>
    </row>
    <row r="2211" spans="1:26" ht="15.75" customHeight="1">
      <c r="A2211" s="105"/>
      <c r="B2211" s="105"/>
      <c r="C2211" s="105"/>
      <c r="D2211" s="105"/>
      <c r="E2211" s="105"/>
      <c r="F2211" s="105"/>
      <c r="G2211" s="105"/>
      <c r="H2211" s="105"/>
      <c r="I2211" s="105"/>
      <c r="J2211" s="105"/>
      <c r="K2211" s="105"/>
      <c r="L2211" s="105"/>
      <c r="M2211" s="105"/>
      <c r="N2211" s="105"/>
      <c r="O2211" s="105"/>
      <c r="P2211" s="105"/>
      <c r="Q2211" s="105"/>
      <c r="R2211" s="105"/>
      <c r="S2211" s="105"/>
      <c r="T2211" s="105"/>
      <c r="U2211" s="105"/>
      <c r="V2211" s="105"/>
      <c r="W2211" s="105"/>
      <c r="X2211" s="105"/>
      <c r="Y2211" s="105"/>
      <c r="Z2211" s="105"/>
    </row>
    <row r="2212" spans="1:26" ht="15.75" customHeight="1">
      <c r="A2212" s="105"/>
      <c r="B2212" s="105"/>
      <c r="C2212" s="105"/>
      <c r="D2212" s="105"/>
      <c r="E2212" s="105"/>
      <c r="F2212" s="105"/>
      <c r="G2212" s="105"/>
      <c r="H2212" s="105"/>
      <c r="I2212" s="105"/>
      <c r="J2212" s="105"/>
      <c r="K2212" s="105"/>
      <c r="L2212" s="105"/>
      <c r="M2212" s="105"/>
      <c r="N2212" s="105"/>
      <c r="O2212" s="105"/>
      <c r="P2212" s="105"/>
      <c r="Q2212" s="105"/>
      <c r="R2212" s="105"/>
      <c r="S2212" s="105"/>
      <c r="T2212" s="105"/>
      <c r="U2212" s="105"/>
      <c r="V2212" s="105"/>
      <c r="W2212" s="105"/>
      <c r="X2212" s="105"/>
      <c r="Y2212" s="105"/>
      <c r="Z2212" s="105"/>
    </row>
    <row r="2213" spans="1:26" ht="15.75" customHeight="1">
      <c r="A2213" s="105"/>
      <c r="B2213" s="105"/>
      <c r="C2213" s="105"/>
      <c r="D2213" s="105"/>
      <c r="E2213" s="105"/>
      <c r="F2213" s="105"/>
      <c r="G2213" s="105"/>
      <c r="H2213" s="105"/>
      <c r="I2213" s="105"/>
      <c r="J2213" s="105"/>
      <c r="K2213" s="105"/>
      <c r="L2213" s="105"/>
      <c r="M2213" s="105"/>
      <c r="N2213" s="105"/>
      <c r="O2213" s="105"/>
      <c r="P2213" s="105"/>
      <c r="Q2213" s="105"/>
      <c r="R2213" s="105"/>
      <c r="S2213" s="105"/>
      <c r="T2213" s="105"/>
      <c r="U2213" s="105"/>
      <c r="V2213" s="105"/>
      <c r="W2213" s="105"/>
      <c r="X2213" s="105"/>
      <c r="Y2213" s="105"/>
      <c r="Z2213" s="105"/>
    </row>
    <row r="2214" spans="1:26" ht="15.75" customHeight="1">
      <c r="A2214" s="105"/>
      <c r="B2214" s="105"/>
      <c r="C2214" s="105"/>
      <c r="D2214" s="105"/>
      <c r="E2214" s="105"/>
      <c r="F2214" s="105"/>
      <c r="G2214" s="105"/>
      <c r="H2214" s="105"/>
      <c r="I2214" s="105"/>
      <c r="J2214" s="105"/>
      <c r="K2214" s="105"/>
      <c r="L2214" s="105"/>
      <c r="M2214" s="105"/>
      <c r="N2214" s="105"/>
      <c r="O2214" s="105"/>
      <c r="P2214" s="105"/>
      <c r="Q2214" s="105"/>
      <c r="R2214" s="105"/>
      <c r="S2214" s="105"/>
      <c r="T2214" s="105"/>
      <c r="U2214" s="105"/>
      <c r="V2214" s="105"/>
      <c r="W2214" s="105"/>
      <c r="X2214" s="105"/>
      <c r="Y2214" s="105"/>
      <c r="Z2214" s="105"/>
    </row>
    <row r="2215" spans="1:26" ht="15.75" customHeight="1">
      <c r="A2215" s="105"/>
      <c r="B2215" s="105"/>
      <c r="C2215" s="105"/>
      <c r="D2215" s="105"/>
      <c r="E2215" s="105"/>
      <c r="F2215" s="105"/>
      <c r="G2215" s="105"/>
      <c r="H2215" s="105"/>
      <c r="I2215" s="105"/>
      <c r="J2215" s="105"/>
      <c r="K2215" s="105"/>
      <c r="L2215" s="105"/>
      <c r="M2215" s="105"/>
      <c r="N2215" s="105"/>
      <c r="O2215" s="105"/>
      <c r="P2215" s="105"/>
      <c r="Q2215" s="105"/>
      <c r="R2215" s="105"/>
      <c r="S2215" s="105"/>
      <c r="T2215" s="105"/>
      <c r="U2215" s="105"/>
      <c r="V2215" s="105"/>
      <c r="W2215" s="105"/>
      <c r="X2215" s="105"/>
      <c r="Y2215" s="105"/>
      <c r="Z2215" s="105"/>
    </row>
    <row r="2216" spans="1:26" ht="15.75" customHeight="1">
      <c r="A2216" s="105"/>
      <c r="B2216" s="105"/>
      <c r="C2216" s="105"/>
      <c r="D2216" s="105"/>
      <c r="E2216" s="105"/>
      <c r="F2216" s="105"/>
      <c r="G2216" s="105"/>
      <c r="H2216" s="105"/>
      <c r="I2216" s="105"/>
      <c r="J2216" s="105"/>
      <c r="K2216" s="105"/>
      <c r="L2216" s="105"/>
      <c r="M2216" s="105"/>
      <c r="N2216" s="105"/>
      <c r="O2216" s="105"/>
      <c r="P2216" s="105"/>
      <c r="Q2216" s="105"/>
      <c r="R2216" s="105"/>
      <c r="S2216" s="105"/>
      <c r="T2216" s="105"/>
      <c r="U2216" s="105"/>
      <c r="V2216" s="105"/>
      <c r="W2216" s="105"/>
      <c r="X2216" s="105"/>
      <c r="Y2216" s="105"/>
      <c r="Z2216" s="105"/>
    </row>
    <row r="2217" spans="1:26" ht="15.75" customHeight="1">
      <c r="A2217" s="105"/>
      <c r="B2217" s="105"/>
      <c r="C2217" s="105"/>
      <c r="D2217" s="105"/>
      <c r="E2217" s="105"/>
      <c r="F2217" s="105"/>
      <c r="G2217" s="105"/>
      <c r="H2217" s="105"/>
      <c r="I2217" s="105"/>
      <c r="J2217" s="105"/>
      <c r="K2217" s="105"/>
      <c r="L2217" s="105"/>
      <c r="M2217" s="105"/>
      <c r="N2217" s="105"/>
      <c r="O2217" s="105"/>
      <c r="P2217" s="105"/>
      <c r="Q2217" s="105"/>
      <c r="R2217" s="105"/>
      <c r="S2217" s="105"/>
      <c r="T2217" s="105"/>
      <c r="U2217" s="105"/>
      <c r="V2217" s="105"/>
      <c r="W2217" s="105"/>
      <c r="X2217" s="105"/>
      <c r="Y2217" s="105"/>
      <c r="Z2217" s="105"/>
    </row>
    <row r="2218" spans="1:26" ht="15.75" customHeight="1">
      <c r="A2218" s="105"/>
      <c r="B2218" s="105"/>
      <c r="C2218" s="105"/>
      <c r="D2218" s="105"/>
      <c r="E2218" s="105"/>
      <c r="F2218" s="105"/>
      <c r="G2218" s="105"/>
      <c r="H2218" s="105"/>
      <c r="I2218" s="105"/>
      <c r="J2218" s="105"/>
      <c r="K2218" s="105"/>
      <c r="L2218" s="105"/>
      <c r="M2218" s="105"/>
      <c r="N2218" s="105"/>
      <c r="O2218" s="105"/>
      <c r="P2218" s="105"/>
      <c r="Q2218" s="105"/>
      <c r="R2218" s="105"/>
      <c r="S2218" s="105"/>
      <c r="T2218" s="105"/>
      <c r="U2218" s="105"/>
      <c r="V2218" s="105"/>
      <c r="W2218" s="105"/>
      <c r="X2218" s="105"/>
      <c r="Y2218" s="105"/>
      <c r="Z2218" s="105"/>
    </row>
    <row r="2219" spans="1:26" ht="15.75" customHeight="1">
      <c r="A2219" s="105"/>
      <c r="B2219" s="105"/>
      <c r="C2219" s="105"/>
      <c r="D2219" s="105"/>
      <c r="E2219" s="105"/>
      <c r="F2219" s="105"/>
      <c r="G2219" s="105"/>
      <c r="H2219" s="105"/>
      <c r="I2219" s="105"/>
      <c r="J2219" s="105"/>
      <c r="K2219" s="105"/>
      <c r="L2219" s="105"/>
      <c r="M2219" s="105"/>
      <c r="N2219" s="105"/>
      <c r="O2219" s="105"/>
      <c r="P2219" s="105"/>
      <c r="Q2219" s="105"/>
      <c r="R2219" s="105"/>
      <c r="S2219" s="105"/>
      <c r="T2219" s="105"/>
      <c r="U2219" s="105"/>
      <c r="V2219" s="105"/>
      <c r="W2219" s="105"/>
      <c r="X2219" s="105"/>
      <c r="Y2219" s="105"/>
      <c r="Z2219" s="105"/>
    </row>
    <row r="2220" spans="1:26" ht="15.75" customHeight="1">
      <c r="A2220" s="105"/>
      <c r="B2220" s="105"/>
      <c r="C2220" s="105"/>
      <c r="D2220" s="105"/>
      <c r="E2220" s="105"/>
      <c r="F2220" s="105"/>
      <c r="G2220" s="105"/>
      <c r="H2220" s="105"/>
      <c r="I2220" s="105"/>
      <c r="J2220" s="105"/>
      <c r="K2220" s="105"/>
      <c r="L2220" s="105"/>
      <c r="M2220" s="105"/>
      <c r="N2220" s="105"/>
      <c r="O2220" s="105"/>
      <c r="P2220" s="105"/>
      <c r="Q2220" s="105"/>
      <c r="R2220" s="105"/>
      <c r="S2220" s="105"/>
      <c r="T2220" s="105"/>
      <c r="U2220" s="105"/>
      <c r="V2220" s="105"/>
      <c r="W2220" s="105"/>
      <c r="X2220" s="105"/>
      <c r="Y2220" s="105"/>
      <c r="Z2220" s="105"/>
    </row>
    <row r="2221" spans="1:26" ht="15.75" customHeight="1">
      <c r="A2221" s="105"/>
      <c r="B2221" s="105"/>
      <c r="C2221" s="105"/>
      <c r="D2221" s="105"/>
      <c r="E2221" s="105"/>
      <c r="F2221" s="105"/>
      <c r="G2221" s="105"/>
      <c r="H2221" s="105"/>
      <c r="I2221" s="105"/>
      <c r="J2221" s="105"/>
      <c r="K2221" s="105"/>
      <c r="L2221" s="105"/>
      <c r="M2221" s="105"/>
      <c r="N2221" s="105"/>
      <c r="O2221" s="105"/>
      <c r="P2221" s="105"/>
      <c r="Q2221" s="105"/>
      <c r="R2221" s="105"/>
      <c r="S2221" s="105"/>
      <c r="T2221" s="105"/>
      <c r="U2221" s="105"/>
      <c r="V2221" s="105"/>
      <c r="W2221" s="105"/>
      <c r="X2221" s="105"/>
      <c r="Y2221" s="105"/>
      <c r="Z2221" s="105"/>
    </row>
    <row r="2222" spans="1:26" ht="15.75" customHeight="1">
      <c r="A2222" s="105"/>
      <c r="B2222" s="105"/>
      <c r="C2222" s="105"/>
      <c r="D2222" s="105"/>
      <c r="E2222" s="105"/>
      <c r="F2222" s="105"/>
      <c r="G2222" s="105"/>
      <c r="H2222" s="105"/>
      <c r="I2222" s="105"/>
      <c r="J2222" s="105"/>
      <c r="K2222" s="105"/>
      <c r="L2222" s="105"/>
      <c r="M2222" s="105"/>
      <c r="N2222" s="105"/>
      <c r="O2222" s="105"/>
      <c r="P2222" s="105"/>
      <c r="Q2222" s="105"/>
      <c r="R2222" s="105"/>
      <c r="S2222" s="105"/>
      <c r="T2222" s="105"/>
      <c r="U2222" s="105"/>
      <c r="V2222" s="105"/>
      <c r="W2222" s="105"/>
      <c r="X2222" s="105"/>
      <c r="Y2222" s="105"/>
      <c r="Z2222" s="105"/>
    </row>
    <row r="2223" spans="1:26" ht="15.75" customHeight="1">
      <c r="A2223" s="105"/>
      <c r="B2223" s="105"/>
      <c r="C2223" s="105"/>
      <c r="D2223" s="105"/>
      <c r="E2223" s="105"/>
      <c r="F2223" s="105"/>
      <c r="G2223" s="105"/>
      <c r="H2223" s="105"/>
      <c r="I2223" s="105"/>
      <c r="J2223" s="105"/>
      <c r="K2223" s="105"/>
      <c r="L2223" s="105"/>
      <c r="M2223" s="105"/>
      <c r="N2223" s="105"/>
      <c r="O2223" s="105"/>
      <c r="P2223" s="105"/>
      <c r="Q2223" s="105"/>
      <c r="R2223" s="105"/>
      <c r="S2223" s="105"/>
      <c r="T2223" s="105"/>
      <c r="U2223" s="105"/>
      <c r="V2223" s="105"/>
      <c r="W2223" s="105"/>
      <c r="X2223" s="105"/>
      <c r="Y2223" s="105"/>
      <c r="Z2223" s="105"/>
    </row>
    <row r="2224" spans="1:26" ht="15.75" customHeight="1">
      <c r="A2224" s="105"/>
      <c r="B2224" s="105"/>
      <c r="C2224" s="105"/>
      <c r="D2224" s="105"/>
      <c r="E2224" s="105"/>
      <c r="F2224" s="105"/>
      <c r="G2224" s="105"/>
      <c r="H2224" s="105"/>
      <c r="I2224" s="105"/>
      <c r="J2224" s="105"/>
      <c r="K2224" s="105"/>
      <c r="L2224" s="105"/>
      <c r="M2224" s="105"/>
      <c r="N2224" s="105"/>
      <c r="O2224" s="105"/>
      <c r="P2224" s="105"/>
      <c r="Q2224" s="105"/>
      <c r="R2224" s="105"/>
      <c r="S2224" s="105"/>
      <c r="T2224" s="105"/>
      <c r="U2224" s="105"/>
      <c r="V2224" s="105"/>
      <c r="W2224" s="105"/>
      <c r="X2224" s="105"/>
      <c r="Y2224" s="105"/>
      <c r="Z2224" s="105"/>
    </row>
    <row r="2225" spans="1:26" ht="15.75" customHeight="1">
      <c r="A2225" s="105"/>
      <c r="B2225" s="105"/>
      <c r="C2225" s="105"/>
      <c r="D2225" s="105"/>
      <c r="E2225" s="105"/>
      <c r="F2225" s="105"/>
      <c r="G2225" s="105"/>
      <c r="H2225" s="105"/>
      <c r="I2225" s="105"/>
      <c r="J2225" s="105"/>
      <c r="K2225" s="105"/>
      <c r="L2225" s="105"/>
      <c r="M2225" s="105"/>
      <c r="N2225" s="105"/>
      <c r="O2225" s="105"/>
      <c r="P2225" s="105"/>
      <c r="Q2225" s="105"/>
      <c r="R2225" s="105"/>
      <c r="S2225" s="105"/>
      <c r="T2225" s="105"/>
      <c r="U2225" s="105"/>
      <c r="V2225" s="105"/>
      <c r="W2225" s="105"/>
      <c r="X2225" s="105"/>
      <c r="Y2225" s="105"/>
      <c r="Z2225" s="105"/>
    </row>
    <row r="2226" spans="1:26" ht="15.75" customHeight="1">
      <c r="A2226" s="105"/>
      <c r="B2226" s="105"/>
      <c r="C2226" s="105"/>
      <c r="D2226" s="105"/>
      <c r="E2226" s="105"/>
      <c r="F2226" s="105"/>
      <c r="G2226" s="105"/>
      <c r="H2226" s="105"/>
      <c r="I2226" s="105"/>
      <c r="J2226" s="105"/>
      <c r="K2226" s="105"/>
      <c r="L2226" s="105"/>
      <c r="M2226" s="105"/>
      <c r="N2226" s="105"/>
      <c r="O2226" s="105"/>
      <c r="P2226" s="105"/>
      <c r="Q2226" s="105"/>
      <c r="R2226" s="105"/>
      <c r="S2226" s="105"/>
      <c r="T2226" s="105"/>
      <c r="U2226" s="105"/>
      <c r="V2226" s="105"/>
      <c r="W2226" s="105"/>
      <c r="X2226" s="105"/>
      <c r="Y2226" s="105"/>
      <c r="Z2226" s="105"/>
    </row>
    <row r="2227" spans="1:26" ht="15.75" customHeight="1">
      <c r="A2227" s="105"/>
      <c r="B2227" s="105"/>
      <c r="C2227" s="105"/>
      <c r="D2227" s="105"/>
      <c r="E2227" s="105"/>
      <c r="F2227" s="105"/>
      <c r="G2227" s="105"/>
      <c r="H2227" s="105"/>
      <c r="I2227" s="105"/>
      <c r="J2227" s="105"/>
      <c r="K2227" s="105"/>
      <c r="L2227" s="105"/>
      <c r="M2227" s="105"/>
      <c r="N2227" s="105"/>
      <c r="O2227" s="105"/>
      <c r="P2227" s="105"/>
      <c r="Q2227" s="105"/>
      <c r="R2227" s="105"/>
      <c r="S2227" s="105"/>
      <c r="T2227" s="105"/>
      <c r="U2227" s="105"/>
      <c r="V2227" s="105"/>
      <c r="W2227" s="105"/>
      <c r="X2227" s="105"/>
      <c r="Y2227" s="105"/>
      <c r="Z2227" s="105"/>
    </row>
    <row r="2228" spans="1:26" ht="15.75" customHeight="1">
      <c r="A2228" s="105"/>
      <c r="B2228" s="105"/>
      <c r="C2228" s="105"/>
      <c r="D2228" s="105"/>
      <c r="E2228" s="105"/>
      <c r="F2228" s="105"/>
      <c r="G2228" s="105"/>
      <c r="H2228" s="105"/>
      <c r="I2228" s="105"/>
      <c r="J2228" s="105"/>
      <c r="K2228" s="105"/>
      <c r="L2228" s="105"/>
      <c r="M2228" s="105"/>
      <c r="N2228" s="105"/>
      <c r="O2228" s="105"/>
      <c r="P2228" s="105"/>
      <c r="Q2228" s="105"/>
      <c r="R2228" s="105"/>
      <c r="S2228" s="105"/>
      <c r="T2228" s="105"/>
      <c r="U2228" s="105"/>
      <c r="V2228" s="105"/>
      <c r="W2228" s="105"/>
      <c r="X2228" s="105"/>
      <c r="Y2228" s="105"/>
      <c r="Z2228" s="105"/>
    </row>
    <row r="2229" spans="1:26" ht="15.75" customHeight="1">
      <c r="A2229" s="105"/>
      <c r="B2229" s="105"/>
      <c r="C2229" s="105"/>
      <c r="D2229" s="105"/>
      <c r="E2229" s="105"/>
      <c r="F2229" s="105"/>
      <c r="G2229" s="105"/>
      <c r="H2229" s="105"/>
      <c r="I2229" s="105"/>
      <c r="J2229" s="105"/>
      <c r="K2229" s="105"/>
      <c r="L2229" s="105"/>
      <c r="M2229" s="105"/>
      <c r="N2229" s="105"/>
      <c r="O2229" s="105"/>
      <c r="P2229" s="105"/>
      <c r="Q2229" s="105"/>
      <c r="R2229" s="105"/>
      <c r="S2229" s="105"/>
      <c r="T2229" s="105"/>
      <c r="U2229" s="105"/>
      <c r="V2229" s="105"/>
      <c r="W2229" s="105"/>
      <c r="X2229" s="105"/>
      <c r="Y2229" s="105"/>
      <c r="Z2229" s="105"/>
    </row>
    <row r="2230" spans="1:26" ht="15.75" customHeight="1">
      <c r="A2230" s="105"/>
      <c r="B2230" s="105"/>
      <c r="C2230" s="105"/>
      <c r="D2230" s="105"/>
      <c r="E2230" s="105"/>
      <c r="F2230" s="105"/>
      <c r="G2230" s="105"/>
      <c r="H2230" s="105"/>
      <c r="I2230" s="105"/>
      <c r="J2230" s="105"/>
      <c r="K2230" s="105"/>
      <c r="L2230" s="105"/>
      <c r="M2230" s="105"/>
      <c r="N2230" s="105"/>
      <c r="O2230" s="105"/>
      <c r="P2230" s="105"/>
      <c r="Q2230" s="105"/>
      <c r="R2230" s="105"/>
      <c r="S2230" s="105"/>
      <c r="T2230" s="105"/>
      <c r="U2230" s="105"/>
      <c r="V2230" s="105"/>
      <c r="W2230" s="105"/>
      <c r="X2230" s="105"/>
      <c r="Y2230" s="105"/>
      <c r="Z2230" s="105"/>
    </row>
    <row r="2231" spans="1:26" ht="15.75" customHeight="1">
      <c r="A2231" s="105"/>
      <c r="B2231" s="105"/>
      <c r="C2231" s="105"/>
      <c r="D2231" s="105"/>
      <c r="E2231" s="105"/>
      <c r="F2231" s="105"/>
      <c r="G2231" s="105"/>
      <c r="H2231" s="105"/>
      <c r="I2231" s="105"/>
      <c r="J2231" s="105"/>
      <c r="K2231" s="105"/>
      <c r="L2231" s="105"/>
      <c r="M2231" s="105"/>
      <c r="N2231" s="105"/>
      <c r="O2231" s="105"/>
      <c r="P2231" s="105"/>
      <c r="Q2231" s="105"/>
      <c r="R2231" s="105"/>
      <c r="S2231" s="105"/>
      <c r="T2231" s="105"/>
      <c r="U2231" s="105"/>
      <c r="V2231" s="105"/>
      <c r="W2231" s="105"/>
      <c r="X2231" s="105"/>
      <c r="Y2231" s="105"/>
      <c r="Z2231" s="105"/>
    </row>
    <row r="2232" spans="1:26" ht="15.75" customHeight="1">
      <c r="A2232" s="105"/>
      <c r="B2232" s="105"/>
      <c r="C2232" s="105"/>
      <c r="D2232" s="105"/>
      <c r="E2232" s="105"/>
      <c r="F2232" s="105"/>
      <c r="G2232" s="105"/>
      <c r="H2232" s="105"/>
      <c r="I2232" s="105"/>
      <c r="J2232" s="105"/>
      <c r="K2232" s="105"/>
      <c r="L2232" s="105"/>
      <c r="M2232" s="105"/>
      <c r="N2232" s="105"/>
      <c r="O2232" s="105"/>
      <c r="P2232" s="105"/>
      <c r="Q2232" s="105"/>
      <c r="R2232" s="105"/>
      <c r="S2232" s="105"/>
      <c r="T2232" s="105"/>
      <c r="U2232" s="105"/>
      <c r="V2232" s="105"/>
      <c r="W2232" s="105"/>
      <c r="X2232" s="105"/>
      <c r="Y2232" s="105"/>
      <c r="Z2232" s="105"/>
    </row>
    <row r="2233" spans="1:26" ht="15.75" customHeight="1">
      <c r="A2233" s="105"/>
      <c r="B2233" s="105"/>
      <c r="C2233" s="105"/>
      <c r="D2233" s="105"/>
      <c r="E2233" s="105"/>
      <c r="F2233" s="105"/>
      <c r="G2233" s="105"/>
      <c r="H2233" s="105"/>
      <c r="I2233" s="105"/>
      <c r="J2233" s="105"/>
      <c r="K2233" s="105"/>
      <c r="L2233" s="105"/>
      <c r="M2233" s="105"/>
      <c r="N2233" s="105"/>
      <c r="O2233" s="105"/>
      <c r="P2233" s="105"/>
      <c r="Q2233" s="105"/>
      <c r="R2233" s="105"/>
      <c r="S2233" s="105"/>
      <c r="T2233" s="105"/>
      <c r="U2233" s="105"/>
      <c r="V2233" s="105"/>
      <c r="W2233" s="105"/>
      <c r="X2233" s="105"/>
      <c r="Y2233" s="105"/>
      <c r="Z2233" s="105"/>
    </row>
    <row r="2234" spans="1:26" ht="15.75" customHeight="1">
      <c r="A2234" s="105"/>
      <c r="B2234" s="105"/>
      <c r="C2234" s="105"/>
      <c r="D2234" s="105"/>
      <c r="E2234" s="105"/>
      <c r="F2234" s="105"/>
      <c r="G2234" s="105"/>
      <c r="H2234" s="105"/>
      <c r="I2234" s="105"/>
      <c r="J2234" s="105"/>
      <c r="K2234" s="105"/>
      <c r="L2234" s="105"/>
      <c r="M2234" s="105"/>
      <c r="N2234" s="105"/>
      <c r="O2234" s="105"/>
      <c r="P2234" s="105"/>
      <c r="Q2234" s="105"/>
      <c r="R2234" s="105"/>
      <c r="S2234" s="105"/>
      <c r="T2234" s="105"/>
      <c r="U2234" s="105"/>
      <c r="V2234" s="105"/>
      <c r="W2234" s="105"/>
      <c r="X2234" s="105"/>
      <c r="Y2234" s="105"/>
      <c r="Z2234" s="105"/>
    </row>
    <row r="2235" spans="1:26" ht="15.75" customHeight="1">
      <c r="A2235" s="105"/>
      <c r="B2235" s="105"/>
      <c r="C2235" s="105"/>
      <c r="D2235" s="105"/>
      <c r="E2235" s="105"/>
      <c r="F2235" s="105"/>
      <c r="G2235" s="105"/>
      <c r="H2235" s="105"/>
      <c r="I2235" s="105"/>
      <c r="J2235" s="105"/>
      <c r="K2235" s="105"/>
      <c r="L2235" s="105"/>
      <c r="M2235" s="105"/>
      <c r="N2235" s="105"/>
      <c r="O2235" s="105"/>
      <c r="P2235" s="105"/>
      <c r="Q2235" s="105"/>
      <c r="R2235" s="105"/>
      <c r="S2235" s="105"/>
      <c r="T2235" s="105"/>
      <c r="U2235" s="105"/>
      <c r="V2235" s="105"/>
      <c r="W2235" s="105"/>
      <c r="X2235" s="105"/>
      <c r="Y2235" s="105"/>
      <c r="Z2235" s="105"/>
    </row>
    <row r="2236" spans="1:26" ht="15.75" customHeight="1">
      <c r="A2236" s="105"/>
      <c r="B2236" s="105"/>
      <c r="C2236" s="105"/>
      <c r="D2236" s="105"/>
      <c r="E2236" s="105"/>
      <c r="F2236" s="105"/>
      <c r="G2236" s="105"/>
      <c r="H2236" s="105"/>
      <c r="I2236" s="105"/>
      <c r="J2236" s="105"/>
      <c r="K2236" s="105"/>
      <c r="L2236" s="105"/>
      <c r="M2236" s="105"/>
      <c r="N2236" s="105"/>
      <c r="O2236" s="105"/>
      <c r="P2236" s="105"/>
      <c r="Q2236" s="105"/>
      <c r="R2236" s="105"/>
      <c r="S2236" s="105"/>
      <c r="T2236" s="105"/>
      <c r="U2236" s="105"/>
      <c r="V2236" s="105"/>
      <c r="W2236" s="105"/>
      <c r="X2236" s="105"/>
      <c r="Y2236" s="105"/>
      <c r="Z2236" s="105"/>
    </row>
    <row r="2237" spans="1:26" ht="15.75" customHeight="1">
      <c r="A2237" s="105"/>
      <c r="B2237" s="105"/>
      <c r="C2237" s="105"/>
      <c r="D2237" s="105"/>
      <c r="E2237" s="105"/>
      <c r="F2237" s="105"/>
      <c r="G2237" s="105"/>
      <c r="H2237" s="105"/>
      <c r="I2237" s="105"/>
      <c r="J2237" s="105"/>
      <c r="K2237" s="105"/>
      <c r="L2237" s="105"/>
      <c r="M2237" s="105"/>
      <c r="N2237" s="105"/>
      <c r="O2237" s="105"/>
      <c r="P2237" s="105"/>
      <c r="Q2237" s="105"/>
      <c r="R2237" s="105"/>
      <c r="S2237" s="105"/>
      <c r="T2237" s="105"/>
      <c r="U2237" s="105"/>
      <c r="V2237" s="105"/>
      <c r="W2237" s="105"/>
      <c r="X2237" s="105"/>
      <c r="Y2237" s="105"/>
      <c r="Z2237" s="105"/>
    </row>
    <row r="2238" spans="1:26" ht="15.75" customHeight="1">
      <c r="A2238" s="105"/>
      <c r="B2238" s="105"/>
      <c r="C2238" s="105"/>
      <c r="D2238" s="105"/>
      <c r="E2238" s="105"/>
      <c r="F2238" s="105"/>
      <c r="G2238" s="105"/>
      <c r="H2238" s="105"/>
      <c r="I2238" s="105"/>
      <c r="J2238" s="105"/>
      <c r="K2238" s="105"/>
      <c r="L2238" s="105"/>
      <c r="M2238" s="105"/>
      <c r="N2238" s="105"/>
      <c r="O2238" s="105"/>
      <c r="P2238" s="105"/>
      <c r="Q2238" s="105"/>
      <c r="R2238" s="105"/>
      <c r="S2238" s="105"/>
      <c r="T2238" s="105"/>
      <c r="U2238" s="105"/>
      <c r="V2238" s="105"/>
      <c r="W2238" s="105"/>
      <c r="X2238" s="105"/>
      <c r="Y2238" s="105"/>
      <c r="Z2238" s="105"/>
    </row>
    <row r="2239" spans="1:26" ht="15.75" customHeight="1">
      <c r="A2239" s="105"/>
      <c r="B2239" s="105"/>
      <c r="C2239" s="105"/>
      <c r="D2239" s="105"/>
      <c r="E2239" s="105"/>
      <c r="F2239" s="105"/>
      <c r="G2239" s="105"/>
      <c r="H2239" s="105"/>
      <c r="I2239" s="105"/>
      <c r="J2239" s="105"/>
      <c r="K2239" s="105"/>
      <c r="L2239" s="105"/>
      <c r="M2239" s="105"/>
      <c r="N2239" s="105"/>
      <c r="O2239" s="105"/>
      <c r="P2239" s="105"/>
      <c r="Q2239" s="105"/>
      <c r="R2239" s="105"/>
      <c r="S2239" s="105"/>
      <c r="T2239" s="105"/>
      <c r="U2239" s="105"/>
      <c r="V2239" s="105"/>
      <c r="W2239" s="105"/>
      <c r="X2239" s="105"/>
      <c r="Y2239" s="105"/>
      <c r="Z2239" s="105"/>
    </row>
    <row r="2240" spans="1:26" ht="15.75" customHeight="1">
      <c r="A2240" s="105"/>
      <c r="B2240" s="105"/>
      <c r="C2240" s="105"/>
      <c r="D2240" s="105"/>
      <c r="E2240" s="105"/>
      <c r="F2240" s="105"/>
      <c r="G2240" s="105"/>
      <c r="H2240" s="105"/>
      <c r="I2240" s="105"/>
      <c r="J2240" s="105"/>
      <c r="K2240" s="105"/>
      <c r="L2240" s="105"/>
      <c r="M2240" s="105"/>
      <c r="N2240" s="105"/>
      <c r="O2240" s="105"/>
      <c r="P2240" s="105"/>
      <c r="Q2240" s="105"/>
      <c r="R2240" s="105"/>
      <c r="S2240" s="105"/>
      <c r="T2240" s="105"/>
      <c r="U2240" s="105"/>
      <c r="V2240" s="105"/>
      <c r="W2240" s="105"/>
      <c r="X2240" s="105"/>
      <c r="Y2240" s="105"/>
      <c r="Z2240" s="105"/>
    </row>
    <row r="2241" spans="1:26" ht="15.75" customHeight="1">
      <c r="A2241" s="105"/>
      <c r="B2241" s="105"/>
      <c r="C2241" s="105"/>
      <c r="D2241" s="105"/>
      <c r="E2241" s="105"/>
      <c r="F2241" s="105"/>
      <c r="G2241" s="105"/>
      <c r="H2241" s="105"/>
      <c r="I2241" s="105"/>
      <c r="J2241" s="105"/>
      <c r="K2241" s="105"/>
      <c r="L2241" s="105"/>
      <c r="M2241" s="105"/>
      <c r="N2241" s="105"/>
      <c r="O2241" s="105"/>
      <c r="P2241" s="105"/>
      <c r="Q2241" s="105"/>
      <c r="R2241" s="105"/>
      <c r="S2241" s="105"/>
      <c r="T2241" s="105"/>
      <c r="U2241" s="105"/>
      <c r="V2241" s="105"/>
      <c r="W2241" s="105"/>
      <c r="X2241" s="105"/>
      <c r="Y2241" s="105"/>
      <c r="Z2241" s="105"/>
    </row>
    <row r="2242" spans="1:26" ht="15.75" customHeight="1">
      <c r="A2242" s="105"/>
      <c r="B2242" s="105"/>
      <c r="C2242" s="105"/>
      <c r="D2242" s="105"/>
      <c r="E2242" s="105"/>
      <c r="F2242" s="105"/>
      <c r="G2242" s="105"/>
      <c r="H2242" s="105"/>
      <c r="I2242" s="105"/>
      <c r="J2242" s="105"/>
      <c r="K2242" s="105"/>
      <c r="L2242" s="105"/>
      <c r="M2242" s="105"/>
      <c r="N2242" s="105"/>
      <c r="O2242" s="105"/>
      <c r="P2242" s="105"/>
      <c r="Q2242" s="105"/>
      <c r="R2242" s="105"/>
      <c r="S2242" s="105"/>
      <c r="T2242" s="105"/>
      <c r="U2242" s="105"/>
      <c r="V2242" s="105"/>
      <c r="W2242" s="105"/>
      <c r="X2242" s="105"/>
      <c r="Y2242" s="105"/>
      <c r="Z2242" s="105"/>
    </row>
    <row r="2243" spans="1:26" ht="15.75" customHeight="1">
      <c r="A2243" s="105"/>
      <c r="B2243" s="105"/>
      <c r="C2243" s="105"/>
      <c r="D2243" s="105"/>
      <c r="E2243" s="105"/>
      <c r="F2243" s="105"/>
      <c r="G2243" s="105"/>
      <c r="H2243" s="105"/>
      <c r="I2243" s="105"/>
      <c r="J2243" s="105"/>
      <c r="K2243" s="105"/>
      <c r="L2243" s="105"/>
      <c r="M2243" s="105"/>
      <c r="N2243" s="105"/>
      <c r="O2243" s="105"/>
      <c r="P2243" s="105"/>
      <c r="Q2243" s="105"/>
      <c r="R2243" s="105"/>
      <c r="S2243" s="105"/>
      <c r="T2243" s="105"/>
      <c r="U2243" s="105"/>
      <c r="V2243" s="105"/>
      <c r="W2243" s="105"/>
      <c r="X2243" s="105"/>
      <c r="Y2243" s="105"/>
      <c r="Z2243" s="105"/>
    </row>
    <row r="2244" spans="1:26" ht="15.75" customHeight="1">
      <c r="A2244" s="105"/>
      <c r="B2244" s="105"/>
      <c r="C2244" s="105"/>
      <c r="D2244" s="105"/>
      <c r="E2244" s="105"/>
      <c r="F2244" s="105"/>
      <c r="G2244" s="105"/>
      <c r="H2244" s="105"/>
      <c r="I2244" s="105"/>
      <c r="J2244" s="105"/>
      <c r="K2244" s="105"/>
      <c r="L2244" s="105"/>
      <c r="M2244" s="105"/>
      <c r="N2244" s="105"/>
      <c r="O2244" s="105"/>
      <c r="P2244" s="105"/>
      <c r="Q2244" s="105"/>
      <c r="R2244" s="105"/>
      <c r="S2244" s="105"/>
      <c r="T2244" s="105"/>
      <c r="U2244" s="105"/>
      <c r="V2244" s="105"/>
      <c r="W2244" s="105"/>
      <c r="X2244" s="105"/>
      <c r="Y2244" s="105"/>
      <c r="Z2244" s="105"/>
    </row>
    <row r="2245" spans="1:26" ht="15.75" customHeight="1">
      <c r="A2245" s="105"/>
      <c r="B2245" s="105"/>
      <c r="C2245" s="105"/>
      <c r="D2245" s="105"/>
      <c r="E2245" s="105"/>
      <c r="F2245" s="105"/>
      <c r="G2245" s="105"/>
      <c r="H2245" s="105"/>
      <c r="I2245" s="105"/>
      <c r="J2245" s="105"/>
      <c r="K2245" s="105"/>
      <c r="L2245" s="105"/>
      <c r="M2245" s="105"/>
      <c r="N2245" s="105"/>
      <c r="O2245" s="105"/>
      <c r="P2245" s="105"/>
      <c r="Q2245" s="105"/>
      <c r="R2245" s="105"/>
      <c r="S2245" s="105"/>
      <c r="T2245" s="105"/>
      <c r="U2245" s="105"/>
      <c r="V2245" s="105"/>
      <c r="W2245" s="105"/>
      <c r="X2245" s="105"/>
      <c r="Y2245" s="105"/>
      <c r="Z2245" s="105"/>
    </row>
    <row r="2246" spans="1:26" ht="15.75" customHeight="1">
      <c r="A2246" s="105"/>
      <c r="B2246" s="105"/>
      <c r="C2246" s="105"/>
      <c r="D2246" s="105"/>
      <c r="E2246" s="105"/>
      <c r="F2246" s="105"/>
      <c r="G2246" s="105"/>
      <c r="H2246" s="105"/>
      <c r="I2246" s="105"/>
      <c r="J2246" s="105"/>
      <c r="K2246" s="105"/>
      <c r="L2246" s="105"/>
      <c r="M2246" s="105"/>
      <c r="N2246" s="105"/>
      <c r="O2246" s="105"/>
      <c r="P2246" s="105"/>
      <c r="Q2246" s="105"/>
      <c r="R2246" s="105"/>
      <c r="S2246" s="105"/>
      <c r="T2246" s="105"/>
      <c r="U2246" s="105"/>
      <c r="V2246" s="105"/>
      <c r="W2246" s="105"/>
      <c r="X2246" s="105"/>
      <c r="Y2246" s="105"/>
      <c r="Z2246" s="105"/>
    </row>
    <row r="2247" spans="1:26" ht="15.75" customHeight="1">
      <c r="A2247" s="105"/>
      <c r="B2247" s="105"/>
      <c r="C2247" s="105"/>
      <c r="D2247" s="105"/>
      <c r="E2247" s="105"/>
      <c r="F2247" s="105"/>
      <c r="G2247" s="105"/>
      <c r="H2247" s="105"/>
      <c r="I2247" s="105"/>
      <c r="J2247" s="105"/>
      <c r="K2247" s="105"/>
      <c r="L2247" s="105"/>
      <c r="M2247" s="105"/>
      <c r="N2247" s="105"/>
      <c r="O2247" s="105"/>
      <c r="P2247" s="105"/>
      <c r="Q2247" s="105"/>
      <c r="R2247" s="105"/>
      <c r="S2247" s="105"/>
      <c r="T2247" s="105"/>
      <c r="U2247" s="105"/>
      <c r="V2247" s="105"/>
      <c r="W2247" s="105"/>
      <c r="X2247" s="105"/>
      <c r="Y2247" s="105"/>
      <c r="Z2247" s="105"/>
    </row>
    <row r="2248" spans="1:26" ht="15.75" customHeight="1">
      <c r="A2248" s="105"/>
      <c r="B2248" s="105"/>
      <c r="C2248" s="105"/>
      <c r="D2248" s="105"/>
      <c r="E2248" s="105"/>
      <c r="F2248" s="105"/>
      <c r="G2248" s="105"/>
      <c r="H2248" s="105"/>
      <c r="I2248" s="105"/>
      <c r="J2248" s="105"/>
      <c r="K2248" s="105"/>
      <c r="L2248" s="105"/>
      <c r="M2248" s="105"/>
      <c r="N2248" s="105"/>
      <c r="O2248" s="105"/>
      <c r="P2248" s="105"/>
      <c r="Q2248" s="105"/>
      <c r="R2248" s="105"/>
      <c r="S2248" s="105"/>
      <c r="T2248" s="105"/>
      <c r="U2248" s="105"/>
      <c r="V2248" s="105"/>
      <c r="W2248" s="105"/>
      <c r="X2248" s="105"/>
      <c r="Y2248" s="105"/>
      <c r="Z2248" s="105"/>
    </row>
    <row r="2249" spans="1:26" ht="15.75" customHeight="1">
      <c r="A2249" s="105"/>
      <c r="B2249" s="105"/>
      <c r="C2249" s="105"/>
      <c r="D2249" s="105"/>
      <c r="E2249" s="105"/>
      <c r="F2249" s="105"/>
      <c r="G2249" s="105"/>
      <c r="H2249" s="105"/>
      <c r="I2249" s="105"/>
      <c r="J2249" s="105"/>
      <c r="K2249" s="105"/>
      <c r="L2249" s="105"/>
      <c r="M2249" s="105"/>
      <c r="N2249" s="105"/>
      <c r="O2249" s="105"/>
      <c r="P2249" s="105"/>
      <c r="Q2249" s="105"/>
      <c r="R2249" s="105"/>
      <c r="S2249" s="105"/>
      <c r="T2249" s="105"/>
      <c r="U2249" s="105"/>
      <c r="V2249" s="105"/>
      <c r="W2249" s="105"/>
      <c r="X2249" s="105"/>
      <c r="Y2249" s="105"/>
      <c r="Z2249" s="105"/>
    </row>
    <row r="2250" spans="1:26" ht="15.75" customHeight="1">
      <c r="A2250" s="105"/>
      <c r="B2250" s="105"/>
      <c r="C2250" s="105"/>
      <c r="D2250" s="105"/>
      <c r="E2250" s="105"/>
      <c r="F2250" s="105"/>
      <c r="G2250" s="105"/>
      <c r="H2250" s="105"/>
      <c r="I2250" s="105"/>
      <c r="J2250" s="105"/>
      <c r="K2250" s="105"/>
      <c r="L2250" s="105"/>
      <c r="M2250" s="105"/>
      <c r="N2250" s="105"/>
      <c r="O2250" s="105"/>
      <c r="P2250" s="105"/>
      <c r="Q2250" s="105"/>
      <c r="R2250" s="105"/>
      <c r="S2250" s="105"/>
      <c r="T2250" s="105"/>
      <c r="U2250" s="105"/>
      <c r="V2250" s="105"/>
      <c r="W2250" s="105"/>
      <c r="X2250" s="105"/>
      <c r="Y2250" s="105"/>
      <c r="Z2250" s="105"/>
    </row>
    <row r="2251" spans="1:26" ht="15.75" customHeight="1">
      <c r="A2251" s="105"/>
      <c r="B2251" s="105"/>
      <c r="C2251" s="105"/>
      <c r="D2251" s="105"/>
      <c r="E2251" s="105"/>
      <c r="F2251" s="105"/>
      <c r="G2251" s="105"/>
      <c r="H2251" s="105"/>
      <c r="I2251" s="105"/>
      <c r="J2251" s="105"/>
      <c r="K2251" s="105"/>
      <c r="L2251" s="105"/>
      <c r="M2251" s="105"/>
      <c r="N2251" s="105"/>
      <c r="O2251" s="105"/>
      <c r="P2251" s="105"/>
      <c r="Q2251" s="105"/>
      <c r="R2251" s="105"/>
      <c r="S2251" s="105"/>
      <c r="T2251" s="105"/>
      <c r="U2251" s="105"/>
      <c r="V2251" s="105"/>
      <c r="W2251" s="105"/>
      <c r="X2251" s="105"/>
      <c r="Y2251" s="105"/>
      <c r="Z2251" s="105"/>
    </row>
    <row r="2252" spans="1:26" ht="15.75" customHeight="1">
      <c r="A2252" s="105"/>
      <c r="B2252" s="105"/>
      <c r="C2252" s="105"/>
      <c r="D2252" s="105"/>
      <c r="E2252" s="105"/>
      <c r="F2252" s="105"/>
      <c r="G2252" s="105"/>
      <c r="H2252" s="105"/>
      <c r="I2252" s="105"/>
      <c r="J2252" s="105"/>
      <c r="K2252" s="105"/>
      <c r="L2252" s="105"/>
      <c r="M2252" s="105"/>
      <c r="N2252" s="105"/>
      <c r="O2252" s="105"/>
      <c r="P2252" s="105"/>
      <c r="Q2252" s="105"/>
      <c r="R2252" s="105"/>
      <c r="S2252" s="105"/>
      <c r="T2252" s="105"/>
      <c r="U2252" s="105"/>
      <c r="V2252" s="105"/>
      <c r="W2252" s="105"/>
      <c r="X2252" s="105"/>
      <c r="Y2252" s="105"/>
      <c r="Z2252" s="105"/>
    </row>
    <row r="2253" spans="1:26" ht="15.75" customHeight="1">
      <c r="A2253" s="105"/>
      <c r="B2253" s="105"/>
      <c r="C2253" s="105"/>
      <c r="D2253" s="105"/>
      <c r="E2253" s="105"/>
      <c r="F2253" s="105"/>
      <c r="G2253" s="105"/>
      <c r="H2253" s="105"/>
      <c r="I2253" s="105"/>
      <c r="J2253" s="105"/>
      <c r="K2253" s="105"/>
      <c r="L2253" s="105"/>
      <c r="M2253" s="105"/>
      <c r="N2253" s="105"/>
      <c r="O2253" s="105"/>
      <c r="P2253" s="105"/>
      <c r="Q2253" s="105"/>
      <c r="R2253" s="105"/>
      <c r="S2253" s="105"/>
      <c r="T2253" s="105"/>
      <c r="U2253" s="105"/>
      <c r="V2253" s="105"/>
      <c r="W2253" s="105"/>
      <c r="X2253" s="105"/>
      <c r="Y2253" s="105"/>
      <c r="Z2253" s="105"/>
    </row>
    <row r="2254" spans="1:26" ht="15.75" customHeight="1">
      <c r="A2254" s="105"/>
      <c r="B2254" s="105"/>
      <c r="C2254" s="105"/>
      <c r="D2254" s="105"/>
      <c r="E2254" s="105"/>
      <c r="F2254" s="105"/>
      <c r="G2254" s="105"/>
      <c r="H2254" s="105"/>
      <c r="I2254" s="105"/>
      <c r="J2254" s="105"/>
      <c r="K2254" s="105"/>
      <c r="L2254" s="105"/>
      <c r="M2254" s="105"/>
      <c r="N2254" s="105"/>
      <c r="O2254" s="105"/>
      <c r="P2254" s="105"/>
      <c r="Q2254" s="105"/>
      <c r="R2254" s="105"/>
      <c r="S2254" s="105"/>
      <c r="T2254" s="105"/>
      <c r="U2254" s="105"/>
      <c r="V2254" s="105"/>
      <c r="W2254" s="105"/>
      <c r="X2254" s="105"/>
      <c r="Y2254" s="105"/>
      <c r="Z2254" s="105"/>
    </row>
    <row r="2255" spans="1:26" ht="15.75" customHeight="1">
      <c r="A2255" s="105"/>
      <c r="B2255" s="105"/>
      <c r="C2255" s="105"/>
      <c r="D2255" s="105"/>
      <c r="E2255" s="105"/>
      <c r="F2255" s="105"/>
      <c r="G2255" s="105"/>
      <c r="H2255" s="105"/>
      <c r="I2255" s="105"/>
      <c r="J2255" s="105"/>
      <c r="K2255" s="105"/>
      <c r="L2255" s="105"/>
      <c r="M2255" s="105"/>
      <c r="N2255" s="105"/>
      <c r="O2255" s="105"/>
      <c r="P2255" s="105"/>
      <c r="Q2255" s="105"/>
      <c r="R2255" s="105"/>
      <c r="S2255" s="105"/>
      <c r="T2255" s="105"/>
      <c r="U2255" s="105"/>
      <c r="V2255" s="105"/>
      <c r="W2255" s="105"/>
      <c r="X2255" s="105"/>
      <c r="Y2255" s="105"/>
      <c r="Z2255" s="105"/>
    </row>
    <row r="2256" spans="1:26" ht="15.75" customHeight="1">
      <c r="A2256" s="105"/>
      <c r="B2256" s="105"/>
      <c r="C2256" s="105"/>
      <c r="D2256" s="105"/>
      <c r="E2256" s="105"/>
      <c r="F2256" s="105"/>
      <c r="G2256" s="105"/>
      <c r="H2256" s="105"/>
      <c r="I2256" s="105"/>
      <c r="J2256" s="105"/>
      <c r="K2256" s="105"/>
      <c r="L2256" s="105"/>
      <c r="M2256" s="105"/>
      <c r="N2256" s="105"/>
      <c r="O2256" s="105"/>
      <c r="P2256" s="105"/>
      <c r="Q2256" s="105"/>
      <c r="R2256" s="105"/>
      <c r="S2256" s="105"/>
      <c r="T2256" s="105"/>
      <c r="U2256" s="105"/>
      <c r="V2256" s="105"/>
      <c r="W2256" s="105"/>
      <c r="X2256" s="105"/>
      <c r="Y2256" s="105"/>
      <c r="Z2256" s="105"/>
    </row>
    <row r="2257" spans="1:26" ht="15.75" customHeight="1">
      <c r="A2257" s="105"/>
      <c r="B2257" s="105"/>
      <c r="C2257" s="105"/>
      <c r="D2257" s="105"/>
      <c r="E2257" s="105"/>
      <c r="F2257" s="105"/>
      <c r="G2257" s="105"/>
      <c r="H2257" s="105"/>
      <c r="I2257" s="105"/>
      <c r="J2257" s="105"/>
      <c r="K2257" s="105"/>
      <c r="L2257" s="105"/>
      <c r="M2257" s="105"/>
      <c r="N2257" s="105"/>
      <c r="O2257" s="105"/>
      <c r="P2257" s="105"/>
      <c r="Q2257" s="105"/>
      <c r="R2257" s="105"/>
      <c r="S2257" s="105"/>
      <c r="T2257" s="105"/>
      <c r="U2257" s="105"/>
      <c r="V2257" s="105"/>
      <c r="W2257" s="105"/>
      <c r="X2257" s="105"/>
      <c r="Y2257" s="105"/>
      <c r="Z2257" s="105"/>
    </row>
    <row r="2258" spans="1:26" ht="15.75" customHeight="1">
      <c r="A2258" s="105"/>
      <c r="B2258" s="105"/>
      <c r="C2258" s="105"/>
      <c r="D2258" s="105"/>
      <c r="E2258" s="105"/>
      <c r="F2258" s="105"/>
      <c r="G2258" s="105"/>
      <c r="H2258" s="105"/>
      <c r="I2258" s="105"/>
      <c r="J2258" s="105"/>
      <c r="K2258" s="105"/>
      <c r="L2258" s="105"/>
      <c r="M2258" s="105"/>
      <c r="N2258" s="105"/>
      <c r="O2258" s="105"/>
      <c r="P2258" s="105"/>
      <c r="Q2258" s="105"/>
      <c r="R2258" s="105"/>
      <c r="S2258" s="105"/>
      <c r="T2258" s="105"/>
      <c r="U2258" s="105"/>
      <c r="V2258" s="105"/>
      <c r="W2258" s="105"/>
      <c r="X2258" s="105"/>
      <c r="Y2258" s="105"/>
      <c r="Z2258" s="105"/>
    </row>
    <row r="2259" spans="1:26" ht="15.75" customHeight="1">
      <c r="A2259" s="105"/>
      <c r="B2259" s="105"/>
      <c r="C2259" s="105"/>
      <c r="D2259" s="105"/>
      <c r="E2259" s="105"/>
      <c r="F2259" s="105"/>
      <c r="G2259" s="105"/>
      <c r="H2259" s="105"/>
      <c r="I2259" s="105"/>
      <c r="J2259" s="105"/>
      <c r="K2259" s="105"/>
      <c r="L2259" s="105"/>
      <c r="M2259" s="105"/>
      <c r="N2259" s="105"/>
      <c r="O2259" s="105"/>
      <c r="P2259" s="105"/>
      <c r="Q2259" s="105"/>
      <c r="R2259" s="105"/>
      <c r="S2259" s="105"/>
      <c r="T2259" s="105"/>
      <c r="U2259" s="105"/>
      <c r="V2259" s="105"/>
      <c r="W2259" s="105"/>
      <c r="X2259" s="105"/>
      <c r="Y2259" s="105"/>
      <c r="Z2259" s="105"/>
    </row>
    <row r="2260" spans="1:26" ht="15.75" customHeight="1">
      <c r="A2260" s="105"/>
      <c r="B2260" s="105"/>
      <c r="C2260" s="105"/>
      <c r="D2260" s="105"/>
      <c r="E2260" s="105"/>
      <c r="F2260" s="105"/>
      <c r="G2260" s="105"/>
      <c r="H2260" s="105"/>
      <c r="I2260" s="105"/>
      <c r="J2260" s="105"/>
      <c r="K2260" s="105"/>
      <c r="L2260" s="105"/>
      <c r="M2260" s="105"/>
      <c r="N2260" s="105"/>
      <c r="O2260" s="105"/>
      <c r="P2260" s="105"/>
      <c r="Q2260" s="105"/>
      <c r="R2260" s="105"/>
      <c r="S2260" s="105"/>
      <c r="T2260" s="105"/>
      <c r="U2260" s="105"/>
      <c r="V2260" s="105"/>
      <c r="W2260" s="105"/>
      <c r="X2260" s="105"/>
      <c r="Y2260" s="105"/>
      <c r="Z2260" s="105"/>
    </row>
    <row r="2261" spans="1:26" ht="15.75" customHeight="1">
      <c r="A2261" s="105"/>
      <c r="B2261" s="105"/>
      <c r="C2261" s="105"/>
      <c r="D2261" s="105"/>
      <c r="E2261" s="105"/>
      <c r="F2261" s="105"/>
      <c r="G2261" s="105"/>
      <c r="H2261" s="105"/>
      <c r="I2261" s="105"/>
      <c r="J2261" s="105"/>
      <c r="K2261" s="105"/>
      <c r="L2261" s="105"/>
      <c r="M2261" s="105"/>
      <c r="N2261" s="105"/>
      <c r="O2261" s="105"/>
      <c r="P2261" s="105"/>
      <c r="Q2261" s="105"/>
      <c r="R2261" s="105"/>
      <c r="S2261" s="105"/>
      <c r="T2261" s="105"/>
      <c r="U2261" s="105"/>
      <c r="V2261" s="105"/>
      <c r="W2261" s="105"/>
      <c r="X2261" s="105"/>
      <c r="Y2261" s="105"/>
      <c r="Z2261" s="105"/>
    </row>
    <row r="2262" spans="1:26" ht="15.75" customHeight="1">
      <c r="A2262" s="105"/>
      <c r="B2262" s="105"/>
      <c r="C2262" s="105"/>
      <c r="D2262" s="105"/>
      <c r="E2262" s="105"/>
      <c r="F2262" s="105"/>
      <c r="G2262" s="105"/>
      <c r="H2262" s="105"/>
      <c r="I2262" s="105"/>
      <c r="J2262" s="105"/>
      <c r="K2262" s="105"/>
      <c r="L2262" s="105"/>
      <c r="M2262" s="105"/>
      <c r="N2262" s="105"/>
      <c r="O2262" s="105"/>
      <c r="P2262" s="105"/>
      <c r="Q2262" s="105"/>
      <c r="R2262" s="105"/>
      <c r="S2262" s="105"/>
      <c r="T2262" s="105"/>
      <c r="U2262" s="105"/>
      <c r="V2262" s="105"/>
      <c r="W2262" s="105"/>
      <c r="X2262" s="105"/>
      <c r="Y2262" s="105"/>
      <c r="Z2262" s="105"/>
    </row>
    <row r="2263" spans="1:26" ht="15.75" customHeight="1">
      <c r="A2263" s="105"/>
      <c r="B2263" s="105"/>
      <c r="C2263" s="105"/>
      <c r="D2263" s="105"/>
      <c r="E2263" s="105"/>
      <c r="F2263" s="105"/>
      <c r="G2263" s="105"/>
      <c r="H2263" s="105"/>
      <c r="I2263" s="105"/>
      <c r="J2263" s="105"/>
      <c r="K2263" s="105"/>
      <c r="L2263" s="105"/>
      <c r="M2263" s="105"/>
      <c r="N2263" s="105"/>
      <c r="O2263" s="105"/>
      <c r="P2263" s="105"/>
      <c r="Q2263" s="105"/>
      <c r="R2263" s="105"/>
      <c r="S2263" s="105"/>
      <c r="T2263" s="105"/>
      <c r="U2263" s="105"/>
      <c r="V2263" s="105"/>
      <c r="W2263" s="105"/>
      <c r="X2263" s="105"/>
      <c r="Y2263" s="105"/>
      <c r="Z2263" s="105"/>
    </row>
    <row r="2264" spans="1:26" ht="15.75" customHeight="1">
      <c r="A2264" s="105"/>
      <c r="B2264" s="105"/>
      <c r="C2264" s="105"/>
      <c r="D2264" s="105"/>
      <c r="E2264" s="105"/>
      <c r="F2264" s="105"/>
      <c r="G2264" s="105"/>
      <c r="H2264" s="105"/>
      <c r="I2264" s="105"/>
      <c r="J2264" s="105"/>
      <c r="K2264" s="105"/>
      <c r="L2264" s="105"/>
      <c r="M2264" s="105"/>
      <c r="N2264" s="105"/>
      <c r="O2264" s="105"/>
      <c r="P2264" s="105"/>
      <c r="Q2264" s="105"/>
      <c r="R2264" s="105"/>
      <c r="S2264" s="105"/>
      <c r="T2264" s="105"/>
      <c r="U2264" s="105"/>
      <c r="V2264" s="105"/>
      <c r="W2264" s="105"/>
      <c r="X2264" s="105"/>
      <c r="Y2264" s="105"/>
      <c r="Z2264" s="105"/>
    </row>
    <row r="2265" spans="1:26" ht="15.75" customHeight="1">
      <c r="A2265" s="105"/>
      <c r="B2265" s="105"/>
      <c r="C2265" s="105"/>
      <c r="D2265" s="105"/>
      <c r="E2265" s="105"/>
      <c r="F2265" s="105"/>
      <c r="G2265" s="105"/>
      <c r="H2265" s="105"/>
      <c r="I2265" s="105"/>
      <c r="J2265" s="105"/>
      <c r="K2265" s="105"/>
      <c r="L2265" s="105"/>
      <c r="M2265" s="105"/>
      <c r="N2265" s="105"/>
      <c r="O2265" s="105"/>
      <c r="P2265" s="105"/>
      <c r="Q2265" s="105"/>
      <c r="R2265" s="105"/>
      <c r="S2265" s="105"/>
      <c r="T2265" s="105"/>
      <c r="U2265" s="105"/>
      <c r="V2265" s="105"/>
      <c r="W2265" s="105"/>
      <c r="X2265" s="105"/>
      <c r="Y2265" s="105"/>
      <c r="Z2265" s="105"/>
    </row>
    <row r="2266" spans="1:26" ht="15.75" customHeight="1">
      <c r="A2266" s="105"/>
      <c r="B2266" s="105"/>
      <c r="C2266" s="105"/>
      <c r="D2266" s="105"/>
      <c r="E2266" s="105"/>
      <c r="F2266" s="105"/>
      <c r="G2266" s="105"/>
      <c r="H2266" s="105"/>
      <c r="I2266" s="105"/>
      <c r="J2266" s="105"/>
      <c r="K2266" s="105"/>
      <c r="L2266" s="105"/>
      <c r="M2266" s="105"/>
      <c r="N2266" s="105"/>
      <c r="O2266" s="105"/>
      <c r="P2266" s="105"/>
      <c r="Q2266" s="105"/>
      <c r="R2266" s="105"/>
      <c r="S2266" s="105"/>
      <c r="T2266" s="105"/>
      <c r="U2266" s="105"/>
      <c r="V2266" s="105"/>
      <c r="W2266" s="105"/>
      <c r="X2266" s="105"/>
      <c r="Y2266" s="105"/>
      <c r="Z2266" s="105"/>
    </row>
    <row r="2267" spans="1:26" ht="15.75" customHeight="1">
      <c r="A2267" s="105"/>
      <c r="B2267" s="105"/>
      <c r="C2267" s="105"/>
      <c r="D2267" s="105"/>
      <c r="E2267" s="105"/>
      <c r="F2267" s="105"/>
      <c r="G2267" s="105"/>
      <c r="H2267" s="105"/>
      <c r="I2267" s="105"/>
      <c r="J2267" s="105"/>
      <c r="K2267" s="105"/>
      <c r="L2267" s="105"/>
      <c r="M2267" s="105"/>
      <c r="N2267" s="105"/>
      <c r="O2267" s="105"/>
      <c r="P2267" s="105"/>
      <c r="Q2267" s="105"/>
      <c r="R2267" s="105"/>
      <c r="S2267" s="105"/>
      <c r="T2267" s="105"/>
      <c r="U2267" s="105"/>
      <c r="V2267" s="105"/>
      <c r="W2267" s="105"/>
      <c r="X2267" s="105"/>
      <c r="Y2267" s="105"/>
      <c r="Z2267" s="105"/>
    </row>
    <row r="2268" spans="1:26" ht="15.75" customHeight="1">
      <c r="A2268" s="105"/>
      <c r="B2268" s="105"/>
      <c r="C2268" s="105"/>
      <c r="D2268" s="105"/>
      <c r="E2268" s="105"/>
      <c r="F2268" s="105"/>
      <c r="G2268" s="105"/>
      <c r="H2268" s="105"/>
      <c r="I2268" s="105"/>
      <c r="J2268" s="105"/>
      <c r="K2268" s="105"/>
      <c r="L2268" s="105"/>
      <c r="M2268" s="105"/>
      <c r="N2268" s="105"/>
      <c r="O2268" s="105"/>
      <c r="P2268" s="105"/>
      <c r="Q2268" s="105"/>
      <c r="R2268" s="105"/>
      <c r="S2268" s="105"/>
      <c r="T2268" s="105"/>
      <c r="U2268" s="105"/>
      <c r="V2268" s="105"/>
      <c r="W2268" s="105"/>
      <c r="X2268" s="105"/>
      <c r="Y2268" s="105"/>
      <c r="Z2268" s="105"/>
    </row>
    <row r="2269" spans="1:26" ht="15.75" customHeight="1">
      <c r="A2269" s="105"/>
      <c r="B2269" s="105"/>
      <c r="C2269" s="105"/>
      <c r="D2269" s="105"/>
      <c r="E2269" s="105"/>
      <c r="F2269" s="105"/>
      <c r="G2269" s="105"/>
      <c r="H2269" s="105"/>
      <c r="I2269" s="105"/>
      <c r="J2269" s="105"/>
      <c r="K2269" s="105"/>
      <c r="L2269" s="105"/>
      <c r="M2269" s="105"/>
      <c r="N2269" s="105"/>
      <c r="O2269" s="105"/>
      <c r="P2269" s="105"/>
      <c r="Q2269" s="105"/>
      <c r="R2269" s="105"/>
      <c r="S2269" s="105"/>
      <c r="T2269" s="105"/>
      <c r="U2269" s="105"/>
      <c r="V2269" s="105"/>
      <c r="W2269" s="105"/>
      <c r="X2269" s="105"/>
      <c r="Y2269" s="105"/>
      <c r="Z2269" s="105"/>
    </row>
    <row r="2270" spans="1:26" ht="15.75" customHeight="1">
      <c r="A2270" s="105"/>
      <c r="B2270" s="105"/>
      <c r="C2270" s="105"/>
      <c r="D2270" s="105"/>
      <c r="E2270" s="105"/>
      <c r="F2270" s="105"/>
      <c r="G2270" s="105"/>
      <c r="H2270" s="105"/>
      <c r="I2270" s="105"/>
      <c r="J2270" s="105"/>
      <c r="K2270" s="105"/>
      <c r="L2270" s="105"/>
      <c r="M2270" s="105"/>
      <c r="N2270" s="105"/>
      <c r="O2270" s="105"/>
      <c r="P2270" s="105"/>
      <c r="Q2270" s="105"/>
      <c r="R2270" s="105"/>
      <c r="S2270" s="105"/>
      <c r="T2270" s="105"/>
      <c r="U2270" s="105"/>
      <c r="V2270" s="105"/>
      <c r="W2270" s="105"/>
      <c r="X2270" s="105"/>
      <c r="Y2270" s="105"/>
      <c r="Z2270" s="105"/>
    </row>
    <row r="2271" spans="1:26" ht="15.75" customHeight="1">
      <c r="A2271" s="105"/>
      <c r="B2271" s="105"/>
      <c r="C2271" s="105"/>
      <c r="D2271" s="105"/>
      <c r="E2271" s="105"/>
      <c r="F2271" s="105"/>
      <c r="G2271" s="105"/>
      <c r="H2271" s="105"/>
      <c r="I2271" s="105"/>
      <c r="J2271" s="105"/>
      <c r="K2271" s="105"/>
      <c r="L2271" s="105"/>
      <c r="M2271" s="105"/>
      <c r="N2271" s="105"/>
      <c r="O2271" s="105"/>
      <c r="P2271" s="105"/>
      <c r="Q2271" s="105"/>
      <c r="R2271" s="105"/>
      <c r="S2271" s="105"/>
      <c r="T2271" s="105"/>
      <c r="U2271" s="105"/>
      <c r="V2271" s="105"/>
      <c r="W2271" s="105"/>
      <c r="X2271" s="105"/>
      <c r="Y2271" s="105"/>
      <c r="Z2271" s="105"/>
    </row>
    <row r="2272" spans="1:26" ht="15.75" customHeight="1">
      <c r="A2272" s="105"/>
      <c r="B2272" s="105"/>
      <c r="C2272" s="105"/>
      <c r="D2272" s="105"/>
      <c r="E2272" s="105"/>
      <c r="F2272" s="105"/>
      <c r="G2272" s="105"/>
      <c r="H2272" s="105"/>
      <c r="I2272" s="105"/>
      <c r="J2272" s="105"/>
      <c r="K2272" s="105"/>
      <c r="L2272" s="105"/>
      <c r="M2272" s="105"/>
      <c r="N2272" s="105"/>
      <c r="O2272" s="105"/>
      <c r="P2272" s="105"/>
      <c r="Q2272" s="105"/>
      <c r="R2272" s="105"/>
      <c r="S2272" s="105"/>
      <c r="T2272" s="105"/>
      <c r="U2272" s="105"/>
      <c r="V2272" s="105"/>
      <c r="W2272" s="105"/>
      <c r="X2272" s="105"/>
      <c r="Y2272" s="105"/>
      <c r="Z2272" s="105"/>
    </row>
    <row r="2273" spans="1:26" ht="15.75" customHeight="1">
      <c r="A2273" s="105"/>
      <c r="B2273" s="105"/>
      <c r="C2273" s="105"/>
      <c r="D2273" s="105"/>
      <c r="E2273" s="105"/>
      <c r="F2273" s="105"/>
      <c r="G2273" s="105"/>
      <c r="H2273" s="105"/>
      <c r="I2273" s="105"/>
      <c r="J2273" s="105"/>
      <c r="K2273" s="105"/>
      <c r="L2273" s="105"/>
      <c r="M2273" s="105"/>
      <c r="N2273" s="105"/>
      <c r="O2273" s="105"/>
      <c r="P2273" s="105"/>
      <c r="Q2273" s="105"/>
      <c r="R2273" s="105"/>
      <c r="S2273" s="105"/>
      <c r="T2273" s="105"/>
      <c r="U2273" s="105"/>
      <c r="V2273" s="105"/>
      <c r="W2273" s="105"/>
      <c r="X2273" s="105"/>
      <c r="Y2273" s="105"/>
      <c r="Z2273" s="105"/>
    </row>
    <row r="2274" spans="1:26" ht="15.75" customHeight="1">
      <c r="A2274" s="105"/>
      <c r="B2274" s="105"/>
      <c r="C2274" s="105"/>
      <c r="D2274" s="105"/>
      <c r="E2274" s="105"/>
      <c r="F2274" s="105"/>
      <c r="G2274" s="105"/>
      <c r="H2274" s="105"/>
      <c r="I2274" s="105"/>
      <c r="J2274" s="105"/>
      <c r="K2274" s="105"/>
      <c r="L2274" s="105"/>
      <c r="M2274" s="105"/>
      <c r="N2274" s="105"/>
      <c r="O2274" s="105"/>
      <c r="P2274" s="105"/>
      <c r="Q2274" s="105"/>
      <c r="R2274" s="105"/>
      <c r="S2274" s="105"/>
      <c r="T2274" s="105"/>
      <c r="U2274" s="105"/>
      <c r="V2274" s="105"/>
      <c r="W2274" s="105"/>
      <c r="X2274" s="105"/>
      <c r="Y2274" s="105"/>
      <c r="Z2274" s="105"/>
    </row>
    <row r="2275" spans="1:26" ht="15.75" customHeight="1">
      <c r="A2275" s="105"/>
      <c r="B2275" s="105"/>
      <c r="C2275" s="105"/>
      <c r="D2275" s="105"/>
      <c r="E2275" s="105"/>
      <c r="F2275" s="105"/>
      <c r="G2275" s="105"/>
      <c r="H2275" s="105"/>
      <c r="I2275" s="105"/>
      <c r="J2275" s="105"/>
      <c r="K2275" s="105"/>
      <c r="L2275" s="105"/>
      <c r="M2275" s="105"/>
      <c r="N2275" s="105"/>
      <c r="O2275" s="105"/>
      <c r="P2275" s="105"/>
      <c r="Q2275" s="105"/>
      <c r="R2275" s="105"/>
      <c r="S2275" s="105"/>
      <c r="T2275" s="105"/>
      <c r="U2275" s="105"/>
      <c r="V2275" s="105"/>
      <c r="W2275" s="105"/>
      <c r="X2275" s="105"/>
      <c r="Y2275" s="105"/>
      <c r="Z2275" s="105"/>
    </row>
    <row r="2276" spans="1:26" ht="15.75" customHeight="1">
      <c r="A2276" s="105"/>
      <c r="B2276" s="105"/>
      <c r="C2276" s="105"/>
      <c r="D2276" s="105"/>
      <c r="E2276" s="105"/>
      <c r="F2276" s="105"/>
      <c r="G2276" s="105"/>
      <c r="H2276" s="105"/>
      <c r="I2276" s="105"/>
      <c r="J2276" s="105"/>
      <c r="K2276" s="105"/>
      <c r="L2276" s="105"/>
      <c r="M2276" s="105"/>
      <c r="N2276" s="105"/>
      <c r="O2276" s="105"/>
      <c r="P2276" s="105"/>
      <c r="Q2276" s="105"/>
      <c r="R2276" s="105"/>
      <c r="S2276" s="105"/>
      <c r="T2276" s="105"/>
      <c r="U2276" s="105"/>
      <c r="V2276" s="105"/>
      <c r="W2276" s="105"/>
      <c r="X2276" s="105"/>
      <c r="Y2276" s="105"/>
      <c r="Z2276" s="105"/>
    </row>
    <row r="2277" spans="1:26" ht="15.75" customHeight="1">
      <c r="A2277" s="105"/>
      <c r="B2277" s="105"/>
      <c r="C2277" s="105"/>
      <c r="D2277" s="105"/>
      <c r="E2277" s="105"/>
      <c r="F2277" s="105"/>
      <c r="G2277" s="105"/>
      <c r="H2277" s="105"/>
      <c r="I2277" s="105"/>
      <c r="J2277" s="105"/>
      <c r="K2277" s="105"/>
      <c r="L2277" s="105"/>
      <c r="M2277" s="105"/>
      <c r="N2277" s="105"/>
      <c r="O2277" s="105"/>
      <c r="P2277" s="105"/>
      <c r="Q2277" s="105"/>
      <c r="R2277" s="105"/>
      <c r="S2277" s="105"/>
      <c r="T2277" s="105"/>
      <c r="U2277" s="105"/>
      <c r="V2277" s="105"/>
      <c r="W2277" s="105"/>
      <c r="X2277" s="105"/>
      <c r="Y2277" s="105"/>
      <c r="Z2277" s="105"/>
    </row>
    <row r="2278" spans="1:26" ht="15.75" customHeight="1">
      <c r="A2278" s="105"/>
      <c r="B2278" s="105"/>
      <c r="C2278" s="105"/>
      <c r="D2278" s="105"/>
      <c r="E2278" s="105"/>
      <c r="F2278" s="105"/>
      <c r="G2278" s="105"/>
      <c r="H2278" s="105"/>
      <c r="I2278" s="105"/>
      <c r="J2278" s="105"/>
      <c r="K2278" s="105"/>
      <c r="L2278" s="105"/>
      <c r="M2278" s="105"/>
      <c r="N2278" s="105"/>
      <c r="O2278" s="105"/>
      <c r="P2278" s="105"/>
      <c r="Q2278" s="105"/>
      <c r="R2278" s="105"/>
      <c r="S2278" s="105"/>
      <c r="T2278" s="105"/>
      <c r="U2278" s="105"/>
      <c r="V2278" s="105"/>
      <c r="W2278" s="105"/>
      <c r="X2278" s="105"/>
      <c r="Y2278" s="105"/>
      <c r="Z2278" s="105"/>
    </row>
    <row r="2279" spans="1:26" ht="15.75" customHeight="1">
      <c r="A2279" s="105"/>
      <c r="B2279" s="105"/>
      <c r="C2279" s="105"/>
      <c r="D2279" s="105"/>
      <c r="E2279" s="105"/>
      <c r="F2279" s="105"/>
      <c r="G2279" s="105"/>
      <c r="H2279" s="105"/>
      <c r="I2279" s="105"/>
      <c r="J2279" s="105"/>
      <c r="K2279" s="105"/>
      <c r="L2279" s="105"/>
      <c r="M2279" s="105"/>
      <c r="N2279" s="105"/>
      <c r="O2279" s="105"/>
      <c r="P2279" s="105"/>
      <c r="Q2279" s="105"/>
      <c r="R2279" s="105"/>
      <c r="S2279" s="105"/>
      <c r="T2279" s="105"/>
      <c r="U2279" s="105"/>
      <c r="V2279" s="105"/>
      <c r="W2279" s="105"/>
      <c r="X2279" s="105"/>
      <c r="Y2279" s="105"/>
      <c r="Z2279" s="105"/>
    </row>
    <row r="2280" spans="1:26" ht="15.75" customHeight="1">
      <c r="A2280" s="105"/>
      <c r="B2280" s="105"/>
      <c r="C2280" s="105"/>
      <c r="D2280" s="105"/>
      <c r="E2280" s="105"/>
      <c r="F2280" s="105"/>
      <c r="G2280" s="105"/>
      <c r="H2280" s="105"/>
      <c r="I2280" s="105"/>
      <c r="J2280" s="105"/>
      <c r="K2280" s="105"/>
      <c r="L2280" s="105"/>
      <c r="M2280" s="105"/>
      <c r="N2280" s="105"/>
      <c r="O2280" s="105"/>
      <c r="P2280" s="105"/>
      <c r="Q2280" s="105"/>
      <c r="R2280" s="105"/>
      <c r="S2280" s="105"/>
      <c r="T2280" s="105"/>
      <c r="U2280" s="105"/>
      <c r="V2280" s="105"/>
      <c r="W2280" s="105"/>
      <c r="X2280" s="105"/>
      <c r="Y2280" s="105"/>
      <c r="Z2280" s="105"/>
    </row>
    <row r="2281" spans="1:26" ht="15.75" customHeight="1">
      <c r="A2281" s="105"/>
      <c r="B2281" s="105"/>
      <c r="C2281" s="105"/>
      <c r="D2281" s="105"/>
      <c r="E2281" s="105"/>
      <c r="F2281" s="105"/>
      <c r="G2281" s="105"/>
      <c r="H2281" s="105"/>
      <c r="I2281" s="105"/>
      <c r="J2281" s="105"/>
      <c r="K2281" s="105"/>
      <c r="L2281" s="105"/>
      <c r="M2281" s="105"/>
      <c r="N2281" s="105"/>
      <c r="O2281" s="105"/>
      <c r="P2281" s="105"/>
      <c r="Q2281" s="105"/>
      <c r="R2281" s="105"/>
      <c r="S2281" s="105"/>
      <c r="T2281" s="105"/>
      <c r="U2281" s="105"/>
      <c r="V2281" s="105"/>
      <c r="W2281" s="105"/>
      <c r="X2281" s="105"/>
      <c r="Y2281" s="105"/>
      <c r="Z2281" s="105"/>
    </row>
    <row r="2282" spans="1:26" ht="15.75" customHeight="1">
      <c r="A2282" s="105"/>
      <c r="B2282" s="105"/>
      <c r="C2282" s="105"/>
      <c r="D2282" s="105"/>
      <c r="E2282" s="105"/>
      <c r="F2282" s="105"/>
      <c r="G2282" s="105"/>
      <c r="H2282" s="105"/>
      <c r="I2282" s="105"/>
      <c r="J2282" s="105"/>
      <c r="K2282" s="105"/>
      <c r="L2282" s="105"/>
      <c r="M2282" s="105"/>
      <c r="N2282" s="105"/>
      <c r="O2282" s="105"/>
      <c r="P2282" s="105"/>
      <c r="Q2282" s="105"/>
      <c r="R2282" s="105"/>
      <c r="S2282" s="105"/>
      <c r="T2282" s="105"/>
      <c r="U2282" s="105"/>
      <c r="V2282" s="105"/>
      <c r="W2282" s="105"/>
      <c r="X2282" s="105"/>
      <c r="Y2282" s="105"/>
      <c r="Z2282" s="105"/>
    </row>
    <row r="2283" spans="1:26" ht="15.75" customHeight="1">
      <c r="A2283" s="105"/>
      <c r="B2283" s="105"/>
      <c r="C2283" s="105"/>
      <c r="D2283" s="105"/>
      <c r="E2283" s="105"/>
      <c r="F2283" s="105"/>
      <c r="G2283" s="105"/>
      <c r="H2283" s="105"/>
      <c r="I2283" s="105"/>
      <c r="J2283" s="105"/>
      <c r="K2283" s="105"/>
      <c r="L2283" s="105"/>
      <c r="M2283" s="105"/>
      <c r="N2283" s="105"/>
      <c r="O2283" s="105"/>
      <c r="P2283" s="105"/>
      <c r="Q2283" s="105"/>
      <c r="R2283" s="105"/>
      <c r="S2283" s="105"/>
      <c r="T2283" s="105"/>
      <c r="U2283" s="105"/>
      <c r="V2283" s="105"/>
      <c r="W2283" s="105"/>
      <c r="X2283" s="105"/>
      <c r="Y2283" s="105"/>
      <c r="Z2283" s="105"/>
    </row>
    <row r="2284" spans="1:26" ht="15.75" customHeight="1">
      <c r="A2284" s="105"/>
      <c r="B2284" s="105"/>
      <c r="C2284" s="105"/>
      <c r="D2284" s="105"/>
      <c r="E2284" s="105"/>
      <c r="F2284" s="105"/>
      <c r="G2284" s="105"/>
      <c r="H2284" s="105"/>
      <c r="I2284" s="105"/>
      <c r="J2284" s="105"/>
      <c r="K2284" s="105"/>
      <c r="L2284" s="105"/>
      <c r="M2284" s="105"/>
      <c r="N2284" s="105"/>
      <c r="O2284" s="105"/>
      <c r="P2284" s="105"/>
      <c r="Q2284" s="105"/>
      <c r="R2284" s="105"/>
      <c r="S2284" s="105"/>
      <c r="T2284" s="105"/>
      <c r="U2284" s="105"/>
      <c r="V2284" s="105"/>
      <c r="W2284" s="105"/>
      <c r="X2284" s="105"/>
      <c r="Y2284" s="105"/>
      <c r="Z2284" s="105"/>
    </row>
    <row r="2285" spans="1:26" ht="15.75" customHeight="1">
      <c r="A2285" s="105"/>
      <c r="B2285" s="105"/>
      <c r="C2285" s="105"/>
      <c r="D2285" s="105"/>
      <c r="E2285" s="105"/>
      <c r="F2285" s="105"/>
      <c r="G2285" s="105"/>
      <c r="H2285" s="105"/>
      <c r="I2285" s="105"/>
      <c r="J2285" s="105"/>
      <c r="K2285" s="105"/>
      <c r="L2285" s="105"/>
      <c r="M2285" s="105"/>
      <c r="N2285" s="105"/>
      <c r="O2285" s="105"/>
      <c r="P2285" s="105"/>
      <c r="Q2285" s="105"/>
      <c r="R2285" s="105"/>
      <c r="S2285" s="105"/>
      <c r="T2285" s="105"/>
      <c r="U2285" s="105"/>
      <c r="V2285" s="105"/>
      <c r="W2285" s="105"/>
      <c r="X2285" s="105"/>
      <c r="Y2285" s="105"/>
      <c r="Z2285" s="105"/>
    </row>
    <row r="2286" spans="1:26" ht="15.75" customHeight="1">
      <c r="A2286" s="105"/>
      <c r="B2286" s="105"/>
      <c r="C2286" s="105"/>
      <c r="D2286" s="105"/>
      <c r="E2286" s="105"/>
      <c r="F2286" s="105"/>
      <c r="G2286" s="105"/>
      <c r="H2286" s="105"/>
      <c r="I2286" s="105"/>
      <c r="J2286" s="105"/>
      <c r="K2286" s="105"/>
      <c r="L2286" s="105"/>
      <c r="M2286" s="105"/>
      <c r="N2286" s="105"/>
      <c r="O2286" s="105"/>
      <c r="P2286" s="105"/>
      <c r="Q2286" s="105"/>
      <c r="R2286" s="105"/>
      <c r="S2286" s="105"/>
      <c r="T2286" s="105"/>
      <c r="U2286" s="105"/>
      <c r="V2286" s="105"/>
      <c r="W2286" s="105"/>
      <c r="X2286" s="105"/>
      <c r="Y2286" s="105"/>
      <c r="Z2286" s="105"/>
    </row>
    <row r="2287" spans="1:26" ht="15.75" customHeight="1">
      <c r="A2287" s="105"/>
      <c r="B2287" s="105"/>
      <c r="C2287" s="105"/>
      <c r="D2287" s="105"/>
      <c r="E2287" s="105"/>
      <c r="F2287" s="105"/>
      <c r="G2287" s="105"/>
      <c r="H2287" s="105"/>
      <c r="I2287" s="105"/>
      <c r="J2287" s="105"/>
      <c r="K2287" s="105"/>
      <c r="L2287" s="105"/>
      <c r="M2287" s="105"/>
      <c r="N2287" s="105"/>
      <c r="O2287" s="105"/>
      <c r="P2287" s="105"/>
      <c r="Q2287" s="105"/>
      <c r="R2287" s="105"/>
      <c r="S2287" s="105"/>
      <c r="T2287" s="105"/>
      <c r="U2287" s="105"/>
      <c r="V2287" s="105"/>
      <c r="W2287" s="105"/>
      <c r="X2287" s="105"/>
      <c r="Y2287" s="105"/>
      <c r="Z2287" s="105"/>
    </row>
    <row r="2288" spans="1:26" ht="15.75" customHeight="1">
      <c r="A2288" s="105"/>
      <c r="B2288" s="105"/>
      <c r="C2288" s="105"/>
      <c r="D2288" s="105"/>
      <c r="E2288" s="105"/>
      <c r="F2288" s="105"/>
      <c r="G2288" s="105"/>
      <c r="H2288" s="105"/>
      <c r="I2288" s="105"/>
      <c r="J2288" s="105"/>
      <c r="K2288" s="105"/>
      <c r="L2288" s="105"/>
      <c r="M2288" s="105"/>
      <c r="N2288" s="105"/>
      <c r="O2288" s="105"/>
      <c r="P2288" s="105"/>
      <c r="Q2288" s="105"/>
      <c r="R2288" s="105"/>
      <c r="S2288" s="105"/>
      <c r="T2288" s="105"/>
      <c r="U2288" s="105"/>
      <c r="V2288" s="105"/>
      <c r="W2288" s="105"/>
      <c r="X2288" s="105"/>
      <c r="Y2288" s="105"/>
      <c r="Z2288" s="105"/>
    </row>
    <row r="2289" spans="1:26" ht="15.75" customHeight="1">
      <c r="A2289" s="105"/>
      <c r="B2289" s="105"/>
      <c r="C2289" s="105"/>
      <c r="D2289" s="105"/>
      <c r="E2289" s="105"/>
      <c r="F2289" s="105"/>
      <c r="G2289" s="105"/>
      <c r="H2289" s="105"/>
      <c r="I2289" s="105"/>
      <c r="J2289" s="105"/>
      <c r="K2289" s="105"/>
      <c r="L2289" s="105"/>
      <c r="M2289" s="105"/>
      <c r="N2289" s="105"/>
      <c r="O2289" s="105"/>
      <c r="P2289" s="105"/>
      <c r="Q2289" s="105"/>
      <c r="R2289" s="105"/>
      <c r="S2289" s="105"/>
      <c r="T2289" s="105"/>
      <c r="U2289" s="105"/>
      <c r="V2289" s="105"/>
      <c r="W2289" s="105"/>
      <c r="X2289" s="105"/>
      <c r="Y2289" s="105"/>
      <c r="Z2289" s="105"/>
    </row>
    <row r="2290" spans="1:26" ht="15.75" customHeight="1">
      <c r="A2290" s="105"/>
      <c r="B2290" s="105"/>
      <c r="C2290" s="105"/>
      <c r="D2290" s="105"/>
      <c r="E2290" s="105"/>
      <c r="F2290" s="105"/>
      <c r="G2290" s="105"/>
      <c r="H2290" s="105"/>
      <c r="I2290" s="105"/>
      <c r="J2290" s="105"/>
      <c r="K2290" s="105"/>
      <c r="L2290" s="105"/>
      <c r="M2290" s="105"/>
      <c r="N2290" s="105"/>
      <c r="O2290" s="105"/>
      <c r="P2290" s="105"/>
      <c r="Q2290" s="105"/>
      <c r="R2290" s="105"/>
      <c r="S2290" s="105"/>
      <c r="T2290" s="105"/>
      <c r="U2290" s="105"/>
      <c r="V2290" s="105"/>
      <c r="W2290" s="105"/>
      <c r="X2290" s="105"/>
      <c r="Y2290" s="105"/>
      <c r="Z2290" s="105"/>
    </row>
    <row r="2291" spans="1:26" ht="15.75" customHeight="1">
      <c r="A2291" s="105"/>
      <c r="B2291" s="105"/>
      <c r="C2291" s="105"/>
      <c r="D2291" s="105"/>
      <c r="E2291" s="105"/>
      <c r="F2291" s="105"/>
      <c r="G2291" s="105"/>
      <c r="H2291" s="105"/>
      <c r="I2291" s="105"/>
      <c r="J2291" s="105"/>
      <c r="K2291" s="105"/>
      <c r="L2291" s="105"/>
      <c r="M2291" s="105"/>
      <c r="N2291" s="105"/>
      <c r="O2291" s="105"/>
      <c r="P2291" s="105"/>
      <c r="Q2291" s="105"/>
      <c r="R2291" s="105"/>
      <c r="S2291" s="105"/>
      <c r="T2291" s="105"/>
      <c r="U2291" s="105"/>
      <c r="V2291" s="105"/>
      <c r="W2291" s="105"/>
      <c r="X2291" s="105"/>
      <c r="Y2291" s="105"/>
      <c r="Z2291" s="105"/>
    </row>
    <row r="2292" spans="1:26" ht="15.75" customHeight="1">
      <c r="A2292" s="105"/>
      <c r="B2292" s="105"/>
      <c r="C2292" s="105"/>
      <c r="D2292" s="105"/>
      <c r="E2292" s="105"/>
      <c r="F2292" s="105"/>
      <c r="G2292" s="105"/>
      <c r="H2292" s="105"/>
      <c r="I2292" s="105"/>
      <c r="J2292" s="105"/>
      <c r="K2292" s="105"/>
      <c r="L2292" s="105"/>
      <c r="M2292" s="105"/>
      <c r="N2292" s="105"/>
      <c r="O2292" s="105"/>
      <c r="P2292" s="105"/>
      <c r="Q2292" s="105"/>
      <c r="R2292" s="105"/>
      <c r="S2292" s="105"/>
      <c r="T2292" s="105"/>
      <c r="U2292" s="105"/>
      <c r="V2292" s="105"/>
      <c r="W2292" s="105"/>
      <c r="X2292" s="105"/>
      <c r="Y2292" s="105"/>
      <c r="Z2292" s="105"/>
    </row>
    <row r="2293" spans="1:26" ht="15.75" customHeight="1">
      <c r="A2293" s="105"/>
      <c r="B2293" s="105"/>
      <c r="C2293" s="105"/>
      <c r="D2293" s="105"/>
      <c r="E2293" s="105"/>
      <c r="F2293" s="105"/>
      <c r="G2293" s="105"/>
      <c r="H2293" s="105"/>
      <c r="I2293" s="105"/>
      <c r="J2293" s="105"/>
      <c r="K2293" s="105"/>
      <c r="L2293" s="105"/>
      <c r="M2293" s="105"/>
      <c r="N2293" s="105"/>
      <c r="O2293" s="105"/>
      <c r="P2293" s="105"/>
      <c r="Q2293" s="105"/>
      <c r="R2293" s="105"/>
      <c r="S2293" s="105"/>
      <c r="T2293" s="105"/>
      <c r="U2293" s="105"/>
      <c r="V2293" s="105"/>
      <c r="W2293" s="105"/>
      <c r="X2293" s="105"/>
      <c r="Y2293" s="105"/>
      <c r="Z2293" s="105"/>
    </row>
    <row r="2294" spans="1:26" ht="15.75" customHeight="1">
      <c r="A2294" s="105"/>
      <c r="B2294" s="105"/>
      <c r="C2294" s="105"/>
      <c r="D2294" s="105"/>
      <c r="E2294" s="105"/>
      <c r="F2294" s="105"/>
      <c r="G2294" s="105"/>
      <c r="H2294" s="105"/>
      <c r="I2294" s="105"/>
      <c r="J2294" s="105"/>
      <c r="K2294" s="105"/>
      <c r="L2294" s="105"/>
      <c r="M2294" s="105"/>
      <c r="N2294" s="105"/>
      <c r="O2294" s="105"/>
      <c r="P2294" s="105"/>
      <c r="Q2294" s="105"/>
      <c r="R2294" s="105"/>
      <c r="S2294" s="105"/>
      <c r="T2294" s="105"/>
      <c r="U2294" s="105"/>
      <c r="V2294" s="105"/>
      <c r="W2294" s="105"/>
      <c r="X2294" s="105"/>
      <c r="Y2294" s="105"/>
      <c r="Z2294" s="105"/>
    </row>
    <row r="2295" spans="1:26" ht="15.75" customHeight="1">
      <c r="A2295" s="105"/>
      <c r="B2295" s="105"/>
      <c r="C2295" s="105"/>
      <c r="D2295" s="105"/>
      <c r="E2295" s="105"/>
      <c r="F2295" s="105"/>
      <c r="G2295" s="105"/>
      <c r="H2295" s="105"/>
      <c r="I2295" s="105"/>
      <c r="J2295" s="105"/>
      <c r="K2295" s="105"/>
      <c r="L2295" s="105"/>
      <c r="M2295" s="105"/>
      <c r="N2295" s="105"/>
      <c r="O2295" s="105"/>
      <c r="P2295" s="105"/>
      <c r="Q2295" s="105"/>
      <c r="R2295" s="105"/>
      <c r="S2295" s="105"/>
      <c r="T2295" s="105"/>
      <c r="U2295" s="105"/>
      <c r="V2295" s="105"/>
      <c r="W2295" s="105"/>
      <c r="X2295" s="105"/>
      <c r="Y2295" s="105"/>
      <c r="Z2295" s="105"/>
    </row>
    <row r="2296" spans="1:26" ht="15.75" customHeight="1">
      <c r="A2296" s="105"/>
      <c r="B2296" s="105"/>
      <c r="C2296" s="105"/>
      <c r="D2296" s="105"/>
      <c r="E2296" s="105"/>
      <c r="F2296" s="105"/>
      <c r="G2296" s="105"/>
      <c r="H2296" s="105"/>
      <c r="I2296" s="105"/>
      <c r="J2296" s="105"/>
      <c r="K2296" s="105"/>
      <c r="L2296" s="105"/>
      <c r="M2296" s="105"/>
      <c r="N2296" s="105"/>
      <c r="O2296" s="105"/>
      <c r="P2296" s="105"/>
      <c r="Q2296" s="105"/>
      <c r="R2296" s="105"/>
      <c r="S2296" s="105"/>
      <c r="T2296" s="105"/>
      <c r="U2296" s="105"/>
      <c r="V2296" s="105"/>
      <c r="W2296" s="105"/>
      <c r="X2296" s="105"/>
      <c r="Y2296" s="105"/>
      <c r="Z2296" s="105"/>
    </row>
    <row r="2297" spans="1:26" ht="15.75" customHeight="1">
      <c r="A2297" s="105"/>
      <c r="B2297" s="105"/>
      <c r="C2297" s="105"/>
      <c r="D2297" s="105"/>
      <c r="E2297" s="105"/>
      <c r="F2297" s="105"/>
      <c r="G2297" s="105"/>
      <c r="H2297" s="105"/>
      <c r="I2297" s="105"/>
      <c r="J2297" s="105"/>
      <c r="K2297" s="105"/>
      <c r="L2297" s="105"/>
      <c r="M2297" s="105"/>
      <c r="N2297" s="105"/>
      <c r="O2297" s="105"/>
      <c r="P2297" s="105"/>
      <c r="Q2297" s="105"/>
      <c r="R2297" s="105"/>
      <c r="S2297" s="105"/>
      <c r="T2297" s="105"/>
      <c r="U2297" s="105"/>
      <c r="V2297" s="105"/>
      <c r="W2297" s="105"/>
      <c r="X2297" s="105"/>
      <c r="Y2297" s="105"/>
      <c r="Z2297" s="105"/>
    </row>
    <row r="2298" spans="1:26" ht="15.75" customHeight="1">
      <c r="A2298" s="105"/>
      <c r="B2298" s="105"/>
      <c r="C2298" s="105"/>
      <c r="D2298" s="105"/>
      <c r="E2298" s="105"/>
      <c r="F2298" s="105"/>
      <c r="G2298" s="105"/>
      <c r="H2298" s="105"/>
      <c r="I2298" s="105"/>
      <c r="J2298" s="105"/>
      <c r="K2298" s="105"/>
      <c r="L2298" s="105"/>
      <c r="M2298" s="105"/>
      <c r="N2298" s="105"/>
      <c r="O2298" s="105"/>
      <c r="P2298" s="105"/>
      <c r="Q2298" s="105"/>
      <c r="R2298" s="105"/>
      <c r="S2298" s="105"/>
      <c r="T2298" s="105"/>
      <c r="U2298" s="105"/>
      <c r="V2298" s="105"/>
      <c r="W2298" s="105"/>
      <c r="X2298" s="105"/>
      <c r="Y2298" s="105"/>
      <c r="Z2298" s="105"/>
    </row>
    <row r="2299" spans="1:26" ht="15.75" customHeight="1">
      <c r="A2299" s="105"/>
      <c r="B2299" s="105"/>
      <c r="C2299" s="105"/>
      <c r="D2299" s="105"/>
      <c r="E2299" s="105"/>
      <c r="F2299" s="105"/>
      <c r="G2299" s="105"/>
      <c r="H2299" s="105"/>
      <c r="I2299" s="105"/>
      <c r="J2299" s="105"/>
      <c r="K2299" s="105"/>
      <c r="L2299" s="105"/>
      <c r="M2299" s="105"/>
      <c r="N2299" s="105"/>
      <c r="O2299" s="105"/>
      <c r="P2299" s="105"/>
      <c r="Q2299" s="105"/>
      <c r="R2299" s="105"/>
      <c r="S2299" s="105"/>
      <c r="T2299" s="105"/>
      <c r="U2299" s="105"/>
      <c r="V2299" s="105"/>
      <c r="W2299" s="105"/>
      <c r="X2299" s="105"/>
      <c r="Y2299" s="105"/>
      <c r="Z2299" s="105"/>
    </row>
    <row r="2300" spans="1:26" ht="15.75" customHeight="1">
      <c r="A2300" s="105"/>
      <c r="B2300" s="105"/>
      <c r="C2300" s="105"/>
      <c r="D2300" s="105"/>
      <c r="E2300" s="105"/>
      <c r="F2300" s="105"/>
      <c r="G2300" s="105"/>
      <c r="H2300" s="105"/>
      <c r="I2300" s="105"/>
      <c r="J2300" s="105"/>
      <c r="K2300" s="105"/>
      <c r="L2300" s="105"/>
      <c r="M2300" s="105"/>
      <c r="N2300" s="105"/>
      <c r="O2300" s="105"/>
      <c r="P2300" s="105"/>
      <c r="Q2300" s="105"/>
      <c r="R2300" s="105"/>
      <c r="S2300" s="105"/>
      <c r="T2300" s="105"/>
      <c r="U2300" s="105"/>
      <c r="V2300" s="105"/>
      <c r="W2300" s="105"/>
      <c r="X2300" s="105"/>
      <c r="Y2300" s="105"/>
      <c r="Z2300" s="105"/>
    </row>
    <row r="2301" spans="1:26" ht="15.75" customHeight="1">
      <c r="A2301" s="105"/>
      <c r="B2301" s="105"/>
      <c r="C2301" s="105"/>
      <c r="D2301" s="105"/>
      <c r="E2301" s="105"/>
      <c r="F2301" s="105"/>
      <c r="G2301" s="105"/>
      <c r="H2301" s="105"/>
      <c r="I2301" s="105"/>
      <c r="J2301" s="105"/>
      <c r="K2301" s="105"/>
      <c r="L2301" s="105"/>
      <c r="M2301" s="105"/>
      <c r="N2301" s="105"/>
      <c r="O2301" s="105"/>
      <c r="P2301" s="105"/>
      <c r="Q2301" s="105"/>
      <c r="R2301" s="105"/>
      <c r="S2301" s="105"/>
      <c r="T2301" s="105"/>
      <c r="U2301" s="105"/>
      <c r="V2301" s="105"/>
      <c r="W2301" s="105"/>
      <c r="X2301" s="105"/>
      <c r="Y2301" s="105"/>
      <c r="Z2301" s="105"/>
    </row>
    <row r="2302" spans="1:26" ht="15.75" customHeight="1">
      <c r="A2302" s="105"/>
      <c r="B2302" s="105"/>
      <c r="C2302" s="105"/>
      <c r="D2302" s="105"/>
      <c r="E2302" s="105"/>
      <c r="F2302" s="105"/>
      <c r="G2302" s="105"/>
      <c r="H2302" s="105"/>
      <c r="I2302" s="105"/>
      <c r="J2302" s="105"/>
      <c r="K2302" s="105"/>
      <c r="L2302" s="105"/>
      <c r="M2302" s="105"/>
      <c r="N2302" s="105"/>
      <c r="O2302" s="105"/>
      <c r="P2302" s="105"/>
      <c r="Q2302" s="105"/>
      <c r="R2302" s="105"/>
      <c r="S2302" s="105"/>
      <c r="T2302" s="105"/>
      <c r="U2302" s="105"/>
      <c r="V2302" s="105"/>
      <c r="W2302" s="105"/>
      <c r="X2302" s="105"/>
      <c r="Y2302" s="105"/>
      <c r="Z2302" s="105"/>
    </row>
    <row r="2303" spans="1:26" ht="15.75" customHeight="1">
      <c r="A2303" s="105"/>
      <c r="B2303" s="105"/>
      <c r="C2303" s="105"/>
      <c r="D2303" s="105"/>
      <c r="E2303" s="105"/>
      <c r="F2303" s="105"/>
      <c r="G2303" s="105"/>
      <c r="H2303" s="105"/>
      <c r="I2303" s="105"/>
      <c r="J2303" s="105"/>
      <c r="K2303" s="105"/>
      <c r="L2303" s="105"/>
      <c r="M2303" s="105"/>
      <c r="N2303" s="105"/>
      <c r="O2303" s="105"/>
      <c r="P2303" s="105"/>
      <c r="Q2303" s="105"/>
      <c r="R2303" s="105"/>
      <c r="S2303" s="105"/>
      <c r="T2303" s="105"/>
      <c r="U2303" s="105"/>
      <c r="V2303" s="105"/>
      <c r="W2303" s="105"/>
      <c r="X2303" s="105"/>
      <c r="Y2303" s="105"/>
      <c r="Z2303" s="105"/>
    </row>
    <row r="2304" spans="1:26" ht="15.75" customHeight="1">
      <c r="A2304" s="105"/>
      <c r="B2304" s="105"/>
      <c r="C2304" s="105"/>
      <c r="D2304" s="105"/>
      <c r="E2304" s="105"/>
      <c r="F2304" s="105"/>
      <c r="G2304" s="105"/>
      <c r="H2304" s="105"/>
      <c r="I2304" s="105"/>
      <c r="J2304" s="105"/>
      <c r="K2304" s="105"/>
      <c r="L2304" s="105"/>
      <c r="M2304" s="105"/>
      <c r="N2304" s="105"/>
      <c r="O2304" s="105"/>
      <c r="P2304" s="105"/>
      <c r="Q2304" s="105"/>
      <c r="R2304" s="105"/>
      <c r="S2304" s="105"/>
      <c r="T2304" s="105"/>
      <c r="U2304" s="105"/>
      <c r="V2304" s="105"/>
      <c r="W2304" s="105"/>
      <c r="X2304" s="105"/>
      <c r="Y2304" s="105"/>
      <c r="Z2304" s="105"/>
    </row>
    <row r="2305" spans="1:26" ht="15.75" customHeight="1">
      <c r="A2305" s="105"/>
      <c r="B2305" s="105"/>
      <c r="C2305" s="105"/>
      <c r="D2305" s="105"/>
      <c r="E2305" s="105"/>
      <c r="F2305" s="105"/>
      <c r="G2305" s="105"/>
      <c r="H2305" s="105"/>
      <c r="I2305" s="105"/>
      <c r="J2305" s="105"/>
      <c r="K2305" s="105"/>
      <c r="L2305" s="105"/>
      <c r="M2305" s="105"/>
      <c r="N2305" s="105"/>
      <c r="O2305" s="105"/>
      <c r="P2305" s="105"/>
      <c r="Q2305" s="105"/>
      <c r="R2305" s="105"/>
      <c r="S2305" s="105"/>
      <c r="T2305" s="105"/>
      <c r="U2305" s="105"/>
      <c r="V2305" s="105"/>
      <c r="W2305" s="105"/>
      <c r="X2305" s="105"/>
      <c r="Y2305" s="105"/>
      <c r="Z2305" s="105"/>
    </row>
    <row r="2306" spans="1:26" ht="15.75" customHeight="1">
      <c r="A2306" s="105"/>
      <c r="B2306" s="105"/>
      <c r="C2306" s="105"/>
      <c r="D2306" s="105"/>
      <c r="E2306" s="105"/>
      <c r="F2306" s="105"/>
      <c r="G2306" s="105"/>
      <c r="H2306" s="105"/>
      <c r="I2306" s="105"/>
      <c r="J2306" s="105"/>
      <c r="K2306" s="105"/>
      <c r="L2306" s="105"/>
      <c r="M2306" s="105"/>
      <c r="N2306" s="105"/>
      <c r="O2306" s="105"/>
      <c r="P2306" s="105"/>
      <c r="Q2306" s="105"/>
      <c r="R2306" s="105"/>
      <c r="S2306" s="105"/>
      <c r="T2306" s="105"/>
      <c r="U2306" s="105"/>
      <c r="V2306" s="105"/>
      <c r="W2306" s="105"/>
      <c r="X2306" s="105"/>
      <c r="Y2306" s="105"/>
      <c r="Z2306" s="105"/>
    </row>
    <row r="2307" spans="1:26" ht="15.75" customHeight="1">
      <c r="A2307" s="105"/>
      <c r="B2307" s="105"/>
      <c r="C2307" s="105"/>
      <c r="D2307" s="105"/>
      <c r="E2307" s="105"/>
      <c r="F2307" s="105"/>
      <c r="G2307" s="105"/>
      <c r="H2307" s="105"/>
      <c r="I2307" s="105"/>
      <c r="J2307" s="105"/>
      <c r="K2307" s="105"/>
      <c r="L2307" s="105"/>
      <c r="M2307" s="105"/>
      <c r="N2307" s="105"/>
      <c r="O2307" s="105"/>
      <c r="P2307" s="105"/>
      <c r="Q2307" s="105"/>
      <c r="R2307" s="105"/>
      <c r="S2307" s="105"/>
      <c r="T2307" s="105"/>
      <c r="U2307" s="105"/>
      <c r="V2307" s="105"/>
      <c r="W2307" s="105"/>
      <c r="X2307" s="105"/>
      <c r="Y2307" s="105"/>
      <c r="Z2307" s="105"/>
    </row>
    <row r="2308" spans="1:26" ht="15.75" customHeight="1">
      <c r="A2308" s="105"/>
      <c r="B2308" s="105"/>
      <c r="C2308" s="105"/>
      <c r="D2308" s="105"/>
      <c r="E2308" s="105"/>
      <c r="F2308" s="105"/>
      <c r="G2308" s="105"/>
      <c r="H2308" s="105"/>
      <c r="I2308" s="105"/>
      <c r="J2308" s="105"/>
      <c r="K2308" s="105"/>
      <c r="L2308" s="105"/>
      <c r="M2308" s="105"/>
      <c r="N2308" s="105"/>
      <c r="O2308" s="105"/>
      <c r="P2308" s="105"/>
      <c r="Q2308" s="105"/>
      <c r="R2308" s="105"/>
      <c r="S2308" s="105"/>
      <c r="T2308" s="105"/>
      <c r="U2308" s="105"/>
      <c r="V2308" s="105"/>
      <c r="W2308" s="105"/>
      <c r="X2308" s="105"/>
      <c r="Y2308" s="105"/>
      <c r="Z2308" s="105"/>
    </row>
    <row r="2309" spans="1:26" ht="15.75" customHeight="1">
      <c r="A2309" s="105"/>
      <c r="B2309" s="105"/>
      <c r="C2309" s="105"/>
      <c r="D2309" s="105"/>
      <c r="E2309" s="105"/>
      <c r="F2309" s="105"/>
      <c r="G2309" s="105"/>
      <c r="H2309" s="105"/>
      <c r="I2309" s="105"/>
      <c r="J2309" s="105"/>
      <c r="K2309" s="105"/>
      <c r="L2309" s="105"/>
      <c r="M2309" s="105"/>
      <c r="N2309" s="105"/>
      <c r="O2309" s="105"/>
      <c r="P2309" s="105"/>
      <c r="Q2309" s="105"/>
      <c r="R2309" s="105"/>
      <c r="S2309" s="105"/>
      <c r="T2309" s="105"/>
      <c r="U2309" s="105"/>
      <c r="V2309" s="105"/>
      <c r="W2309" s="105"/>
      <c r="X2309" s="105"/>
      <c r="Y2309" s="105"/>
      <c r="Z2309" s="105"/>
    </row>
    <row r="2310" spans="1:26" ht="15.75" customHeight="1">
      <c r="A2310" s="105"/>
      <c r="B2310" s="105"/>
      <c r="C2310" s="105"/>
      <c r="D2310" s="105"/>
      <c r="E2310" s="105"/>
      <c r="F2310" s="105"/>
      <c r="G2310" s="105"/>
      <c r="H2310" s="105"/>
      <c r="I2310" s="105"/>
      <c r="J2310" s="105"/>
      <c r="K2310" s="105"/>
      <c r="L2310" s="105"/>
      <c r="M2310" s="105"/>
      <c r="N2310" s="105"/>
      <c r="O2310" s="105"/>
      <c r="P2310" s="105"/>
      <c r="Q2310" s="105"/>
      <c r="R2310" s="105"/>
      <c r="S2310" s="105"/>
      <c r="T2310" s="105"/>
      <c r="U2310" s="105"/>
      <c r="V2310" s="105"/>
      <c r="W2310" s="105"/>
      <c r="X2310" s="105"/>
      <c r="Y2310" s="105"/>
      <c r="Z2310" s="105"/>
    </row>
    <row r="2311" spans="1:26" ht="15.75" customHeight="1">
      <c r="A2311" s="105"/>
      <c r="B2311" s="105"/>
      <c r="C2311" s="105"/>
      <c r="D2311" s="105"/>
      <c r="E2311" s="105"/>
      <c r="F2311" s="105"/>
      <c r="G2311" s="105"/>
      <c r="H2311" s="105"/>
      <c r="I2311" s="105"/>
      <c r="J2311" s="105"/>
      <c r="K2311" s="105"/>
      <c r="L2311" s="105"/>
      <c r="M2311" s="105"/>
      <c r="N2311" s="105"/>
      <c r="O2311" s="105"/>
      <c r="P2311" s="105"/>
      <c r="Q2311" s="105"/>
      <c r="R2311" s="105"/>
      <c r="S2311" s="105"/>
      <c r="T2311" s="105"/>
      <c r="U2311" s="105"/>
      <c r="V2311" s="105"/>
      <c r="W2311" s="105"/>
      <c r="X2311" s="105"/>
      <c r="Y2311" s="105"/>
      <c r="Z2311" s="105"/>
    </row>
    <row r="2312" spans="1:26" ht="15.75" customHeight="1">
      <c r="A2312" s="105"/>
      <c r="B2312" s="105"/>
      <c r="C2312" s="105"/>
      <c r="D2312" s="105"/>
      <c r="E2312" s="105"/>
      <c r="F2312" s="105"/>
      <c r="G2312" s="105"/>
      <c r="H2312" s="105"/>
      <c r="I2312" s="105"/>
      <c r="J2312" s="105"/>
      <c r="K2312" s="105"/>
      <c r="L2312" s="105"/>
      <c r="M2312" s="105"/>
      <c r="N2312" s="105"/>
      <c r="O2312" s="105"/>
      <c r="P2312" s="105"/>
      <c r="Q2312" s="105"/>
      <c r="R2312" s="105"/>
      <c r="S2312" s="105"/>
      <c r="T2312" s="105"/>
      <c r="U2312" s="105"/>
      <c r="V2312" s="105"/>
      <c r="W2312" s="105"/>
      <c r="X2312" s="105"/>
      <c r="Y2312" s="105"/>
      <c r="Z2312" s="105"/>
    </row>
    <row r="2313" spans="1:26" ht="15.75" customHeight="1">
      <c r="A2313" s="105"/>
      <c r="B2313" s="105"/>
      <c r="C2313" s="105"/>
      <c r="D2313" s="105"/>
      <c r="E2313" s="105"/>
      <c r="F2313" s="105"/>
      <c r="G2313" s="105"/>
      <c r="H2313" s="105"/>
      <c r="I2313" s="105"/>
      <c r="J2313" s="105"/>
      <c r="K2313" s="105"/>
      <c r="L2313" s="105"/>
      <c r="M2313" s="105"/>
      <c r="N2313" s="105"/>
      <c r="O2313" s="105"/>
      <c r="P2313" s="105"/>
      <c r="Q2313" s="105"/>
      <c r="R2313" s="105"/>
      <c r="S2313" s="105"/>
      <c r="T2313" s="105"/>
      <c r="U2313" s="105"/>
      <c r="V2313" s="105"/>
      <c r="W2313" s="105"/>
      <c r="X2313" s="105"/>
      <c r="Y2313" s="105"/>
      <c r="Z2313" s="105"/>
    </row>
    <row r="2314" spans="1:26" ht="15.75" customHeight="1">
      <c r="A2314" s="105"/>
      <c r="B2314" s="105"/>
      <c r="C2314" s="105"/>
      <c r="D2314" s="105"/>
      <c r="E2314" s="105"/>
      <c r="F2314" s="105"/>
      <c r="G2314" s="105"/>
      <c r="H2314" s="105"/>
      <c r="I2314" s="105"/>
      <c r="J2314" s="105"/>
      <c r="K2314" s="105"/>
      <c r="L2314" s="105"/>
      <c r="M2314" s="105"/>
      <c r="N2314" s="105"/>
      <c r="O2314" s="105"/>
      <c r="P2314" s="105"/>
      <c r="Q2314" s="105"/>
      <c r="R2314" s="105"/>
      <c r="S2314" s="105"/>
      <c r="T2314" s="105"/>
      <c r="U2314" s="105"/>
      <c r="V2314" s="105"/>
      <c r="W2314" s="105"/>
      <c r="X2314" s="105"/>
      <c r="Y2314" s="105"/>
      <c r="Z2314" s="105"/>
    </row>
    <row r="2315" spans="1:26" ht="15.75" customHeight="1">
      <c r="A2315" s="105"/>
      <c r="B2315" s="105"/>
      <c r="C2315" s="105"/>
      <c r="D2315" s="105"/>
      <c r="E2315" s="105"/>
      <c r="F2315" s="105"/>
      <c r="G2315" s="105"/>
      <c r="H2315" s="105"/>
      <c r="I2315" s="105"/>
      <c r="J2315" s="105"/>
      <c r="K2315" s="105"/>
      <c r="L2315" s="105"/>
      <c r="M2315" s="105"/>
      <c r="N2315" s="105"/>
      <c r="O2315" s="105"/>
      <c r="P2315" s="105"/>
      <c r="Q2315" s="105"/>
      <c r="R2315" s="105"/>
      <c r="S2315" s="105"/>
      <c r="T2315" s="105"/>
      <c r="U2315" s="105"/>
      <c r="V2315" s="105"/>
      <c r="W2315" s="105"/>
      <c r="X2315" s="105"/>
      <c r="Y2315" s="105"/>
      <c r="Z2315" s="105"/>
    </row>
    <row r="2316" spans="1:26" ht="15.75" customHeight="1">
      <c r="A2316" s="105"/>
      <c r="B2316" s="105"/>
      <c r="C2316" s="105"/>
      <c r="D2316" s="105"/>
      <c r="E2316" s="105"/>
      <c r="F2316" s="105"/>
      <c r="G2316" s="105"/>
      <c r="H2316" s="105"/>
      <c r="I2316" s="105"/>
      <c r="J2316" s="105"/>
      <c r="K2316" s="105"/>
      <c r="L2316" s="105"/>
      <c r="M2316" s="105"/>
      <c r="N2316" s="105"/>
      <c r="O2316" s="105"/>
      <c r="P2316" s="105"/>
      <c r="Q2316" s="105"/>
      <c r="R2316" s="105"/>
      <c r="S2316" s="105"/>
      <c r="T2316" s="105"/>
      <c r="U2316" s="105"/>
      <c r="V2316" s="105"/>
      <c r="W2316" s="105"/>
      <c r="X2316" s="105"/>
      <c r="Y2316" s="105"/>
      <c r="Z2316" s="105"/>
    </row>
    <row r="2317" spans="1:26" ht="15.75" customHeight="1">
      <c r="A2317" s="105"/>
      <c r="B2317" s="105"/>
      <c r="C2317" s="105"/>
      <c r="D2317" s="105"/>
      <c r="E2317" s="105"/>
      <c r="F2317" s="105"/>
      <c r="G2317" s="105"/>
      <c r="H2317" s="105"/>
      <c r="I2317" s="105"/>
      <c r="J2317" s="105"/>
      <c r="K2317" s="105"/>
      <c r="L2317" s="105"/>
      <c r="M2317" s="105"/>
      <c r="N2317" s="105"/>
      <c r="O2317" s="105"/>
      <c r="P2317" s="105"/>
      <c r="Q2317" s="105"/>
      <c r="R2317" s="105"/>
      <c r="S2317" s="105"/>
      <c r="T2317" s="105"/>
      <c r="U2317" s="105"/>
      <c r="V2317" s="105"/>
      <c r="W2317" s="105"/>
      <c r="X2317" s="105"/>
      <c r="Y2317" s="105"/>
      <c r="Z2317" s="105"/>
    </row>
    <row r="2318" spans="1:26" ht="15.75" customHeight="1">
      <c r="A2318" s="105"/>
      <c r="B2318" s="105"/>
      <c r="C2318" s="105"/>
      <c r="D2318" s="105"/>
      <c r="E2318" s="105"/>
      <c r="F2318" s="105"/>
      <c r="G2318" s="105"/>
      <c r="H2318" s="105"/>
      <c r="I2318" s="105"/>
      <c r="J2318" s="105"/>
      <c r="K2318" s="105"/>
      <c r="L2318" s="105"/>
      <c r="M2318" s="105"/>
      <c r="N2318" s="105"/>
      <c r="O2318" s="105"/>
      <c r="P2318" s="105"/>
      <c r="Q2318" s="105"/>
      <c r="R2318" s="105"/>
      <c r="S2318" s="105"/>
      <c r="T2318" s="105"/>
      <c r="U2318" s="105"/>
      <c r="V2318" s="105"/>
      <c r="W2318" s="105"/>
      <c r="X2318" s="105"/>
      <c r="Y2318" s="105"/>
      <c r="Z2318" s="105"/>
    </row>
    <row r="2319" spans="1:26" ht="15.75" customHeight="1">
      <c r="A2319" s="105"/>
      <c r="B2319" s="105"/>
      <c r="C2319" s="105"/>
      <c r="D2319" s="105"/>
      <c r="E2319" s="105"/>
      <c r="F2319" s="105"/>
      <c r="G2319" s="105"/>
      <c r="H2319" s="105"/>
      <c r="I2319" s="105"/>
      <c r="J2319" s="105"/>
      <c r="K2319" s="105"/>
      <c r="L2319" s="105"/>
      <c r="M2319" s="105"/>
      <c r="N2319" s="105"/>
      <c r="O2319" s="105"/>
      <c r="P2319" s="105"/>
      <c r="Q2319" s="105"/>
      <c r="R2319" s="105"/>
      <c r="S2319" s="105"/>
      <c r="T2319" s="105"/>
      <c r="U2319" s="105"/>
      <c r="V2319" s="105"/>
      <c r="W2319" s="105"/>
      <c r="X2319" s="105"/>
      <c r="Y2319" s="105"/>
      <c r="Z2319" s="105"/>
    </row>
    <row r="2320" spans="1:26" ht="15.75" customHeight="1">
      <c r="A2320" s="105"/>
      <c r="B2320" s="105"/>
      <c r="C2320" s="105"/>
      <c r="D2320" s="105"/>
      <c r="E2320" s="105"/>
      <c r="F2320" s="105"/>
      <c r="G2320" s="105"/>
      <c r="H2320" s="105"/>
      <c r="I2320" s="105"/>
      <c r="J2320" s="105"/>
      <c r="K2320" s="105"/>
      <c r="L2320" s="105"/>
      <c r="M2320" s="105"/>
      <c r="N2320" s="105"/>
      <c r="O2320" s="105"/>
      <c r="P2320" s="105"/>
      <c r="Q2320" s="105"/>
      <c r="R2320" s="105"/>
      <c r="S2320" s="105"/>
      <c r="T2320" s="105"/>
      <c r="U2320" s="105"/>
      <c r="V2320" s="105"/>
      <c r="W2320" s="105"/>
      <c r="X2320" s="105"/>
      <c r="Y2320" s="105"/>
      <c r="Z2320" s="105"/>
    </row>
    <row r="2321" spans="1:26" ht="15.75" customHeight="1">
      <c r="A2321" s="105"/>
      <c r="B2321" s="105"/>
      <c r="C2321" s="105"/>
      <c r="D2321" s="105"/>
      <c r="E2321" s="105"/>
      <c r="F2321" s="105"/>
      <c r="G2321" s="105"/>
      <c r="H2321" s="105"/>
      <c r="I2321" s="105"/>
      <c r="J2321" s="105"/>
      <c r="K2321" s="105"/>
      <c r="L2321" s="105"/>
      <c r="M2321" s="105"/>
      <c r="N2321" s="105"/>
      <c r="O2321" s="105"/>
      <c r="P2321" s="105"/>
      <c r="Q2321" s="105"/>
      <c r="R2321" s="105"/>
      <c r="S2321" s="105"/>
      <c r="T2321" s="105"/>
      <c r="U2321" s="105"/>
      <c r="V2321" s="105"/>
      <c r="W2321" s="105"/>
      <c r="X2321" s="105"/>
      <c r="Y2321" s="105"/>
      <c r="Z2321" s="105"/>
    </row>
    <row r="2322" spans="1:26" ht="15.75" customHeight="1">
      <c r="A2322" s="105"/>
      <c r="B2322" s="105"/>
      <c r="C2322" s="105"/>
      <c r="D2322" s="105"/>
      <c r="E2322" s="105"/>
      <c r="F2322" s="105"/>
      <c r="G2322" s="105"/>
      <c r="H2322" s="105"/>
      <c r="I2322" s="105"/>
      <c r="J2322" s="105"/>
      <c r="K2322" s="105"/>
      <c r="L2322" s="105"/>
      <c r="M2322" s="105"/>
      <c r="N2322" s="105"/>
      <c r="O2322" s="105"/>
      <c r="P2322" s="105"/>
      <c r="Q2322" s="105"/>
      <c r="R2322" s="105"/>
      <c r="S2322" s="105"/>
      <c r="T2322" s="105"/>
      <c r="U2322" s="105"/>
      <c r="V2322" s="105"/>
      <c r="W2322" s="105"/>
      <c r="X2322" s="105"/>
      <c r="Y2322" s="105"/>
      <c r="Z2322" s="105"/>
    </row>
    <row r="2323" spans="1:26" ht="15.75" customHeight="1">
      <c r="A2323" s="105"/>
      <c r="B2323" s="105"/>
      <c r="C2323" s="105"/>
      <c r="D2323" s="105"/>
      <c r="E2323" s="105"/>
      <c r="F2323" s="105"/>
      <c r="G2323" s="105"/>
      <c r="H2323" s="105"/>
      <c r="I2323" s="105"/>
      <c r="J2323" s="105"/>
      <c r="K2323" s="105"/>
      <c r="L2323" s="105"/>
      <c r="M2323" s="105"/>
      <c r="N2323" s="105"/>
      <c r="O2323" s="105"/>
      <c r="P2323" s="105"/>
      <c r="Q2323" s="105"/>
      <c r="R2323" s="105"/>
      <c r="S2323" s="105"/>
      <c r="T2323" s="105"/>
      <c r="U2323" s="105"/>
      <c r="V2323" s="105"/>
      <c r="W2323" s="105"/>
      <c r="X2323" s="105"/>
      <c r="Y2323" s="105"/>
      <c r="Z2323" s="105"/>
    </row>
    <row r="2324" spans="1:26" ht="15.75" customHeight="1">
      <c r="A2324" s="105"/>
      <c r="B2324" s="105"/>
      <c r="C2324" s="105"/>
      <c r="D2324" s="105"/>
      <c r="E2324" s="105"/>
      <c r="F2324" s="105"/>
      <c r="G2324" s="105"/>
      <c r="H2324" s="105"/>
      <c r="I2324" s="105"/>
      <c r="J2324" s="105"/>
      <c r="K2324" s="105"/>
      <c r="L2324" s="105"/>
      <c r="M2324" s="105"/>
      <c r="N2324" s="105"/>
      <c r="O2324" s="105"/>
      <c r="P2324" s="105"/>
      <c r="Q2324" s="105"/>
      <c r="R2324" s="105"/>
      <c r="S2324" s="105"/>
      <c r="T2324" s="105"/>
      <c r="U2324" s="105"/>
      <c r="V2324" s="105"/>
      <c r="W2324" s="105"/>
      <c r="X2324" s="105"/>
      <c r="Y2324" s="105"/>
      <c r="Z2324" s="105"/>
    </row>
    <row r="2325" spans="1:26" ht="15.75" customHeight="1">
      <c r="A2325" s="105"/>
      <c r="B2325" s="105"/>
      <c r="C2325" s="105"/>
      <c r="D2325" s="105"/>
      <c r="E2325" s="105"/>
      <c r="F2325" s="105"/>
      <c r="G2325" s="105"/>
      <c r="H2325" s="105"/>
      <c r="I2325" s="105"/>
      <c r="J2325" s="105"/>
      <c r="K2325" s="105"/>
      <c r="L2325" s="105"/>
      <c r="M2325" s="105"/>
      <c r="N2325" s="105"/>
      <c r="O2325" s="105"/>
      <c r="P2325" s="105"/>
      <c r="Q2325" s="105"/>
      <c r="R2325" s="105"/>
      <c r="S2325" s="105"/>
      <c r="T2325" s="105"/>
      <c r="U2325" s="105"/>
      <c r="V2325" s="105"/>
      <c r="W2325" s="105"/>
      <c r="X2325" s="105"/>
      <c r="Y2325" s="105"/>
      <c r="Z2325" s="105"/>
    </row>
    <row r="2326" spans="1:26" ht="15.75" customHeight="1">
      <c r="A2326" s="105"/>
      <c r="B2326" s="105"/>
      <c r="C2326" s="105"/>
      <c r="D2326" s="105"/>
      <c r="E2326" s="105"/>
      <c r="F2326" s="105"/>
      <c r="G2326" s="105"/>
      <c r="H2326" s="105"/>
      <c r="I2326" s="105"/>
      <c r="J2326" s="105"/>
      <c r="K2326" s="105"/>
      <c r="L2326" s="105"/>
      <c r="M2326" s="105"/>
      <c r="N2326" s="105"/>
      <c r="O2326" s="105"/>
      <c r="P2326" s="105"/>
      <c r="Q2326" s="105"/>
      <c r="R2326" s="105"/>
      <c r="S2326" s="105"/>
      <c r="T2326" s="105"/>
      <c r="U2326" s="105"/>
      <c r="V2326" s="105"/>
      <c r="W2326" s="105"/>
      <c r="X2326" s="105"/>
      <c r="Y2326" s="105"/>
      <c r="Z2326" s="105"/>
    </row>
    <row r="2327" spans="1:26" ht="15.75" customHeight="1">
      <c r="A2327" s="105"/>
      <c r="B2327" s="105"/>
      <c r="C2327" s="105"/>
      <c r="D2327" s="105"/>
      <c r="E2327" s="105"/>
      <c r="F2327" s="105"/>
      <c r="G2327" s="105"/>
      <c r="H2327" s="105"/>
      <c r="I2327" s="105"/>
      <c r="J2327" s="105"/>
      <c r="K2327" s="105"/>
      <c r="L2327" s="105"/>
      <c r="M2327" s="105"/>
      <c r="N2327" s="105"/>
      <c r="O2327" s="105"/>
      <c r="P2327" s="105"/>
      <c r="Q2327" s="105"/>
      <c r="R2327" s="105"/>
      <c r="S2327" s="105"/>
      <c r="T2327" s="105"/>
      <c r="U2327" s="105"/>
      <c r="V2327" s="105"/>
      <c r="W2327" s="105"/>
      <c r="X2327" s="105"/>
      <c r="Y2327" s="105"/>
      <c r="Z2327" s="105"/>
    </row>
    <row r="2328" spans="1:26" ht="15.75" customHeight="1">
      <c r="A2328" s="105"/>
      <c r="B2328" s="105"/>
      <c r="C2328" s="105"/>
      <c r="D2328" s="105"/>
      <c r="E2328" s="105"/>
      <c r="F2328" s="105"/>
      <c r="G2328" s="105"/>
      <c r="H2328" s="105"/>
      <c r="I2328" s="105"/>
      <c r="J2328" s="105"/>
      <c r="K2328" s="105"/>
      <c r="L2328" s="105"/>
      <c r="M2328" s="105"/>
      <c r="N2328" s="105"/>
      <c r="O2328" s="105"/>
      <c r="P2328" s="105"/>
      <c r="Q2328" s="105"/>
      <c r="R2328" s="105"/>
      <c r="S2328" s="105"/>
      <c r="T2328" s="105"/>
      <c r="U2328" s="105"/>
      <c r="V2328" s="105"/>
      <c r="W2328" s="105"/>
      <c r="X2328" s="105"/>
      <c r="Y2328" s="105"/>
      <c r="Z2328" s="105"/>
    </row>
    <row r="2329" spans="1:26" ht="15.75" customHeight="1">
      <c r="A2329" s="105"/>
      <c r="B2329" s="105"/>
      <c r="C2329" s="105"/>
      <c r="D2329" s="105"/>
      <c r="E2329" s="105"/>
      <c r="F2329" s="105"/>
      <c r="G2329" s="105"/>
      <c r="H2329" s="105"/>
      <c r="I2329" s="105"/>
      <c r="J2329" s="105"/>
      <c r="K2329" s="105"/>
      <c r="L2329" s="105"/>
      <c r="M2329" s="105"/>
      <c r="N2329" s="105"/>
      <c r="O2329" s="105"/>
      <c r="P2329" s="105"/>
      <c r="Q2329" s="105"/>
      <c r="R2329" s="105"/>
      <c r="S2329" s="105"/>
      <c r="T2329" s="105"/>
      <c r="U2329" s="105"/>
      <c r="V2329" s="105"/>
      <c r="W2329" s="105"/>
      <c r="X2329" s="105"/>
      <c r="Y2329" s="105"/>
      <c r="Z2329" s="105"/>
    </row>
    <row r="2330" spans="1:26" ht="15.75" customHeight="1">
      <c r="A2330" s="105"/>
      <c r="B2330" s="105"/>
      <c r="C2330" s="105"/>
      <c r="D2330" s="105"/>
      <c r="E2330" s="105"/>
      <c r="F2330" s="105"/>
      <c r="G2330" s="105"/>
      <c r="H2330" s="105"/>
      <c r="I2330" s="105"/>
      <c r="J2330" s="105"/>
      <c r="K2330" s="105"/>
      <c r="L2330" s="105"/>
      <c r="M2330" s="105"/>
      <c r="N2330" s="105"/>
      <c r="O2330" s="105"/>
      <c r="P2330" s="105"/>
      <c r="Q2330" s="105"/>
      <c r="R2330" s="105"/>
      <c r="S2330" s="105"/>
      <c r="T2330" s="105"/>
      <c r="U2330" s="105"/>
      <c r="V2330" s="105"/>
      <c r="W2330" s="105"/>
      <c r="X2330" s="105"/>
      <c r="Y2330" s="105"/>
      <c r="Z2330" s="105"/>
    </row>
    <row r="2331" spans="1:26" ht="15.75" customHeight="1">
      <c r="A2331" s="105"/>
      <c r="B2331" s="105"/>
      <c r="C2331" s="105"/>
      <c r="D2331" s="105"/>
      <c r="E2331" s="105"/>
      <c r="F2331" s="105"/>
      <c r="G2331" s="105"/>
      <c r="H2331" s="105"/>
      <c r="I2331" s="105"/>
      <c r="J2331" s="105"/>
      <c r="K2331" s="105"/>
      <c r="L2331" s="105"/>
      <c r="M2331" s="105"/>
      <c r="N2331" s="105"/>
      <c r="O2331" s="105"/>
      <c r="P2331" s="105"/>
      <c r="Q2331" s="105"/>
      <c r="R2331" s="105"/>
      <c r="S2331" s="105"/>
      <c r="T2331" s="105"/>
      <c r="U2331" s="105"/>
      <c r="V2331" s="105"/>
      <c r="W2331" s="105"/>
      <c r="X2331" s="105"/>
      <c r="Y2331" s="105"/>
      <c r="Z2331" s="105"/>
    </row>
    <row r="2332" spans="1:26" ht="15.75" customHeight="1">
      <c r="A2332" s="105"/>
      <c r="B2332" s="105"/>
      <c r="C2332" s="105"/>
      <c r="D2332" s="105"/>
      <c r="E2332" s="105"/>
      <c r="F2332" s="105"/>
      <c r="G2332" s="105"/>
      <c r="H2332" s="105"/>
      <c r="I2332" s="105"/>
      <c r="J2332" s="105"/>
      <c r="K2332" s="105"/>
      <c r="L2332" s="105"/>
      <c r="M2332" s="105"/>
      <c r="N2332" s="105"/>
      <c r="O2332" s="105"/>
      <c r="P2332" s="105"/>
      <c r="Q2332" s="105"/>
      <c r="R2332" s="105"/>
      <c r="S2332" s="105"/>
      <c r="T2332" s="105"/>
      <c r="U2332" s="105"/>
      <c r="V2332" s="105"/>
      <c r="W2332" s="105"/>
      <c r="X2332" s="105"/>
      <c r="Y2332" s="105"/>
      <c r="Z2332" s="105"/>
    </row>
    <row r="2333" spans="1:26" ht="15.75" customHeight="1">
      <c r="A2333" s="105"/>
      <c r="B2333" s="105"/>
      <c r="C2333" s="105"/>
      <c r="D2333" s="105"/>
      <c r="E2333" s="105"/>
      <c r="F2333" s="105"/>
      <c r="G2333" s="105"/>
      <c r="H2333" s="105"/>
      <c r="I2333" s="105"/>
      <c r="J2333" s="105"/>
      <c r="K2333" s="105"/>
      <c r="L2333" s="105"/>
      <c r="M2333" s="105"/>
      <c r="N2333" s="105"/>
      <c r="O2333" s="105"/>
      <c r="P2333" s="105"/>
      <c r="Q2333" s="105"/>
      <c r="R2333" s="105"/>
      <c r="S2333" s="105"/>
      <c r="T2333" s="105"/>
      <c r="U2333" s="105"/>
      <c r="V2333" s="105"/>
      <c r="W2333" s="105"/>
      <c r="X2333" s="105"/>
      <c r="Y2333" s="105"/>
      <c r="Z2333" s="105"/>
    </row>
    <row r="2334" spans="1:26" ht="15.75" customHeight="1">
      <c r="A2334" s="105"/>
      <c r="B2334" s="105"/>
      <c r="C2334" s="105"/>
      <c r="D2334" s="105"/>
      <c r="E2334" s="105"/>
      <c r="F2334" s="105"/>
      <c r="G2334" s="105"/>
      <c r="H2334" s="105"/>
      <c r="I2334" s="105"/>
      <c r="J2334" s="105"/>
      <c r="K2334" s="105"/>
      <c r="L2334" s="105"/>
      <c r="M2334" s="105"/>
      <c r="N2334" s="105"/>
      <c r="O2334" s="105"/>
      <c r="P2334" s="105"/>
      <c r="Q2334" s="105"/>
      <c r="R2334" s="105"/>
      <c r="S2334" s="105"/>
      <c r="T2334" s="105"/>
      <c r="U2334" s="105"/>
      <c r="V2334" s="105"/>
      <c r="W2334" s="105"/>
      <c r="X2334" s="105"/>
      <c r="Y2334" s="105"/>
      <c r="Z2334" s="105"/>
    </row>
    <row r="2335" spans="1:26" ht="15.75" customHeight="1">
      <c r="A2335" s="105"/>
      <c r="B2335" s="105"/>
      <c r="C2335" s="105"/>
      <c r="D2335" s="105"/>
      <c r="E2335" s="105"/>
      <c r="F2335" s="105"/>
      <c r="G2335" s="105"/>
      <c r="H2335" s="105"/>
      <c r="I2335" s="105"/>
      <c r="J2335" s="105"/>
      <c r="K2335" s="105"/>
      <c r="L2335" s="105"/>
      <c r="M2335" s="105"/>
      <c r="N2335" s="105"/>
      <c r="O2335" s="105"/>
      <c r="P2335" s="105"/>
      <c r="Q2335" s="105"/>
      <c r="R2335" s="105"/>
      <c r="S2335" s="105"/>
      <c r="T2335" s="105"/>
      <c r="U2335" s="105"/>
      <c r="V2335" s="105"/>
      <c r="W2335" s="105"/>
      <c r="X2335" s="105"/>
      <c r="Y2335" s="105"/>
      <c r="Z2335" s="105"/>
    </row>
    <row r="2336" spans="1:26" ht="15.75" customHeight="1">
      <c r="A2336" s="105"/>
      <c r="B2336" s="105"/>
      <c r="C2336" s="105"/>
      <c r="D2336" s="105"/>
      <c r="E2336" s="105"/>
      <c r="F2336" s="105"/>
      <c r="G2336" s="105"/>
      <c r="H2336" s="105"/>
      <c r="I2336" s="105"/>
      <c r="J2336" s="105"/>
      <c r="K2336" s="105"/>
      <c r="L2336" s="105"/>
      <c r="M2336" s="105"/>
      <c r="N2336" s="105"/>
      <c r="O2336" s="105"/>
      <c r="P2336" s="105"/>
      <c r="Q2336" s="105"/>
      <c r="R2336" s="105"/>
      <c r="S2336" s="105"/>
      <c r="T2336" s="105"/>
      <c r="U2336" s="105"/>
      <c r="V2336" s="105"/>
      <c r="W2336" s="105"/>
      <c r="X2336" s="105"/>
      <c r="Y2336" s="105"/>
      <c r="Z2336" s="105"/>
    </row>
    <row r="2337" spans="1:26" ht="15.75" customHeight="1">
      <c r="A2337" s="105"/>
      <c r="B2337" s="105"/>
      <c r="C2337" s="105"/>
      <c r="D2337" s="105"/>
      <c r="E2337" s="105"/>
      <c r="F2337" s="105"/>
      <c r="G2337" s="105"/>
      <c r="H2337" s="105"/>
      <c r="I2337" s="105"/>
      <c r="J2337" s="105"/>
      <c r="K2337" s="105"/>
      <c r="L2337" s="105"/>
      <c r="M2337" s="105"/>
      <c r="N2337" s="105"/>
      <c r="O2337" s="105"/>
      <c r="P2337" s="105"/>
      <c r="Q2337" s="105"/>
      <c r="R2337" s="105"/>
      <c r="S2337" s="105"/>
      <c r="T2337" s="105"/>
      <c r="U2337" s="105"/>
      <c r="V2337" s="105"/>
      <c r="W2337" s="105"/>
      <c r="X2337" s="105"/>
      <c r="Y2337" s="105"/>
      <c r="Z2337" s="105"/>
    </row>
    <row r="2338" spans="1:26" ht="15.75" customHeight="1">
      <c r="A2338" s="105"/>
      <c r="B2338" s="105"/>
      <c r="C2338" s="105"/>
      <c r="D2338" s="105"/>
      <c r="E2338" s="105"/>
      <c r="F2338" s="105"/>
      <c r="G2338" s="105"/>
      <c r="H2338" s="105"/>
      <c r="I2338" s="105"/>
      <c r="J2338" s="105"/>
      <c r="K2338" s="105"/>
      <c r="L2338" s="105"/>
      <c r="M2338" s="105"/>
      <c r="N2338" s="105"/>
      <c r="O2338" s="105"/>
      <c r="P2338" s="105"/>
      <c r="Q2338" s="105"/>
      <c r="R2338" s="105"/>
      <c r="S2338" s="105"/>
      <c r="T2338" s="105"/>
      <c r="U2338" s="105"/>
      <c r="V2338" s="105"/>
      <c r="W2338" s="105"/>
      <c r="X2338" s="105"/>
      <c r="Y2338" s="105"/>
      <c r="Z2338" s="105"/>
    </row>
    <row r="2339" spans="1:26" ht="15.75" customHeight="1">
      <c r="A2339" s="105"/>
      <c r="B2339" s="105"/>
      <c r="C2339" s="105"/>
      <c r="D2339" s="105"/>
      <c r="E2339" s="105"/>
      <c r="F2339" s="105"/>
      <c r="G2339" s="105"/>
      <c r="H2339" s="105"/>
      <c r="I2339" s="105"/>
      <c r="J2339" s="105"/>
      <c r="K2339" s="105"/>
      <c r="L2339" s="105"/>
      <c r="M2339" s="105"/>
      <c r="N2339" s="105"/>
      <c r="O2339" s="105"/>
      <c r="P2339" s="105"/>
      <c r="Q2339" s="105"/>
      <c r="R2339" s="105"/>
      <c r="S2339" s="105"/>
      <c r="T2339" s="105"/>
      <c r="U2339" s="105"/>
      <c r="V2339" s="105"/>
      <c r="W2339" s="105"/>
      <c r="X2339" s="105"/>
      <c r="Y2339" s="105"/>
      <c r="Z2339" s="105"/>
    </row>
    <row r="2340" spans="1:26" ht="15.75" customHeight="1">
      <c r="A2340" s="105"/>
      <c r="B2340" s="105"/>
      <c r="C2340" s="105"/>
      <c r="D2340" s="105"/>
      <c r="E2340" s="105"/>
      <c r="F2340" s="105"/>
      <c r="G2340" s="105"/>
      <c r="H2340" s="105"/>
      <c r="I2340" s="105"/>
      <c r="J2340" s="105"/>
      <c r="K2340" s="105"/>
      <c r="L2340" s="105"/>
      <c r="M2340" s="105"/>
      <c r="N2340" s="105"/>
      <c r="O2340" s="105"/>
      <c r="P2340" s="105"/>
      <c r="Q2340" s="105"/>
      <c r="R2340" s="105"/>
      <c r="S2340" s="105"/>
      <c r="T2340" s="105"/>
      <c r="U2340" s="105"/>
      <c r="V2340" s="105"/>
      <c r="W2340" s="105"/>
      <c r="X2340" s="105"/>
      <c r="Y2340" s="105"/>
      <c r="Z2340" s="105"/>
    </row>
    <row r="2341" spans="1:26" ht="15.75" customHeight="1">
      <c r="A2341" s="105"/>
      <c r="B2341" s="105"/>
      <c r="C2341" s="105"/>
      <c r="D2341" s="105"/>
      <c r="E2341" s="105"/>
      <c r="F2341" s="105"/>
      <c r="G2341" s="105"/>
      <c r="H2341" s="105"/>
      <c r="I2341" s="105"/>
      <c r="J2341" s="105"/>
      <c r="K2341" s="105"/>
      <c r="L2341" s="105"/>
      <c r="M2341" s="105"/>
      <c r="N2341" s="105"/>
      <c r="O2341" s="105"/>
      <c r="P2341" s="105"/>
      <c r="Q2341" s="105"/>
      <c r="R2341" s="105"/>
      <c r="S2341" s="105"/>
      <c r="T2341" s="105"/>
      <c r="U2341" s="105"/>
      <c r="V2341" s="105"/>
      <c r="W2341" s="105"/>
      <c r="X2341" s="105"/>
      <c r="Y2341" s="105"/>
      <c r="Z2341" s="105"/>
    </row>
    <row r="2342" spans="1:26" ht="15.75" customHeight="1">
      <c r="A2342" s="105"/>
      <c r="B2342" s="105"/>
      <c r="C2342" s="105"/>
      <c r="D2342" s="105"/>
      <c r="E2342" s="105"/>
      <c r="F2342" s="105"/>
      <c r="G2342" s="105"/>
      <c r="H2342" s="105"/>
      <c r="I2342" s="105"/>
      <c r="J2342" s="105"/>
      <c r="K2342" s="105"/>
      <c r="L2342" s="105"/>
      <c r="M2342" s="105"/>
      <c r="N2342" s="105"/>
      <c r="O2342" s="105"/>
      <c r="P2342" s="105"/>
      <c r="Q2342" s="105"/>
      <c r="R2342" s="105"/>
      <c r="S2342" s="105"/>
      <c r="T2342" s="105"/>
      <c r="U2342" s="105"/>
      <c r="V2342" s="105"/>
      <c r="W2342" s="105"/>
      <c r="X2342" s="105"/>
      <c r="Y2342" s="105"/>
      <c r="Z2342" s="105"/>
    </row>
    <row r="2343" spans="1:26" ht="15.75" customHeight="1">
      <c r="A2343" s="105"/>
      <c r="B2343" s="105"/>
      <c r="C2343" s="105"/>
      <c r="D2343" s="105"/>
      <c r="E2343" s="105"/>
      <c r="F2343" s="105"/>
      <c r="G2343" s="105"/>
      <c r="H2343" s="105"/>
      <c r="I2343" s="105"/>
      <c r="J2343" s="105"/>
      <c r="K2343" s="105"/>
      <c r="L2343" s="105"/>
      <c r="M2343" s="105"/>
      <c r="N2343" s="105"/>
      <c r="O2343" s="105"/>
      <c r="P2343" s="105"/>
      <c r="Q2343" s="105"/>
      <c r="R2343" s="105"/>
      <c r="S2343" s="105"/>
      <c r="T2343" s="105"/>
      <c r="U2343" s="105"/>
      <c r="V2343" s="105"/>
      <c r="W2343" s="105"/>
      <c r="X2343" s="105"/>
      <c r="Y2343" s="105"/>
      <c r="Z2343" s="105"/>
    </row>
    <row r="2344" spans="1:26" ht="15.75" customHeight="1">
      <c r="A2344" s="105"/>
      <c r="B2344" s="105"/>
      <c r="C2344" s="105"/>
      <c r="D2344" s="105"/>
      <c r="E2344" s="105"/>
      <c r="F2344" s="105"/>
      <c r="G2344" s="105"/>
      <c r="H2344" s="105"/>
      <c r="I2344" s="105"/>
      <c r="J2344" s="105"/>
      <c r="K2344" s="105"/>
      <c r="L2344" s="105"/>
      <c r="M2344" s="105"/>
      <c r="N2344" s="105"/>
      <c r="O2344" s="105"/>
      <c r="P2344" s="105"/>
      <c r="Q2344" s="105"/>
      <c r="R2344" s="105"/>
      <c r="S2344" s="105"/>
      <c r="T2344" s="105"/>
      <c r="U2344" s="105"/>
      <c r="V2344" s="105"/>
      <c r="W2344" s="105"/>
      <c r="X2344" s="105"/>
      <c r="Y2344" s="105"/>
      <c r="Z2344" s="105"/>
    </row>
    <row r="2345" spans="1:26" ht="15.75" customHeight="1">
      <c r="A2345" s="105"/>
      <c r="B2345" s="105"/>
      <c r="C2345" s="105"/>
      <c r="D2345" s="105"/>
      <c r="E2345" s="105"/>
      <c r="F2345" s="105"/>
      <c r="G2345" s="105"/>
      <c r="H2345" s="105"/>
      <c r="I2345" s="105"/>
      <c r="J2345" s="105"/>
      <c r="K2345" s="105"/>
      <c r="L2345" s="105"/>
      <c r="M2345" s="105"/>
      <c r="N2345" s="105"/>
      <c r="O2345" s="105"/>
      <c r="P2345" s="105"/>
      <c r="Q2345" s="105"/>
      <c r="R2345" s="105"/>
      <c r="S2345" s="105"/>
      <c r="T2345" s="105"/>
      <c r="U2345" s="105"/>
      <c r="V2345" s="105"/>
      <c r="W2345" s="105"/>
      <c r="X2345" s="105"/>
      <c r="Y2345" s="105"/>
      <c r="Z2345" s="105"/>
    </row>
    <row r="2346" spans="1:26" ht="15.75" customHeight="1">
      <c r="A2346" s="105"/>
      <c r="B2346" s="105"/>
      <c r="C2346" s="105"/>
      <c r="D2346" s="105"/>
      <c r="E2346" s="105"/>
      <c r="F2346" s="105"/>
      <c r="G2346" s="105"/>
      <c r="H2346" s="105"/>
      <c r="I2346" s="105"/>
      <c r="J2346" s="105"/>
      <c r="K2346" s="105"/>
      <c r="L2346" s="105"/>
      <c r="M2346" s="105"/>
      <c r="N2346" s="105"/>
      <c r="O2346" s="105"/>
      <c r="P2346" s="105"/>
      <c r="Q2346" s="105"/>
      <c r="R2346" s="105"/>
      <c r="S2346" s="105"/>
      <c r="T2346" s="105"/>
      <c r="U2346" s="105"/>
      <c r="V2346" s="105"/>
      <c r="W2346" s="105"/>
      <c r="X2346" s="105"/>
      <c r="Y2346" s="105"/>
      <c r="Z2346" s="105"/>
    </row>
    <row r="2347" spans="1:26" ht="15.75" customHeight="1">
      <c r="A2347" s="105"/>
      <c r="B2347" s="105"/>
      <c r="C2347" s="105"/>
      <c r="D2347" s="105"/>
      <c r="E2347" s="105"/>
      <c r="F2347" s="105"/>
      <c r="G2347" s="105"/>
      <c r="H2347" s="105"/>
      <c r="I2347" s="105"/>
      <c r="J2347" s="105"/>
      <c r="K2347" s="105"/>
      <c r="L2347" s="105"/>
      <c r="M2347" s="105"/>
      <c r="N2347" s="105"/>
      <c r="O2347" s="105"/>
      <c r="P2347" s="105"/>
      <c r="Q2347" s="105"/>
      <c r="R2347" s="105"/>
      <c r="S2347" s="105"/>
      <c r="T2347" s="105"/>
      <c r="U2347" s="105"/>
      <c r="V2347" s="105"/>
      <c r="W2347" s="105"/>
      <c r="X2347" s="105"/>
      <c r="Y2347" s="105"/>
      <c r="Z2347" s="105"/>
    </row>
    <row r="2348" spans="1:26" ht="15.75" customHeight="1">
      <c r="A2348" s="105"/>
      <c r="B2348" s="105"/>
      <c r="C2348" s="105"/>
      <c r="D2348" s="105"/>
      <c r="E2348" s="105"/>
      <c r="F2348" s="105"/>
      <c r="G2348" s="105"/>
      <c r="H2348" s="105"/>
      <c r="I2348" s="105"/>
      <c r="J2348" s="105"/>
      <c r="K2348" s="105"/>
      <c r="L2348" s="105"/>
      <c r="M2348" s="105"/>
      <c r="N2348" s="105"/>
      <c r="O2348" s="105"/>
      <c r="P2348" s="105"/>
      <c r="Q2348" s="105"/>
      <c r="R2348" s="105"/>
      <c r="S2348" s="105"/>
      <c r="T2348" s="105"/>
      <c r="U2348" s="105"/>
      <c r="V2348" s="105"/>
      <c r="W2348" s="105"/>
      <c r="X2348" s="105"/>
      <c r="Y2348" s="105"/>
      <c r="Z2348" s="105"/>
    </row>
    <row r="2349" spans="1:26" ht="15.75" customHeight="1">
      <c r="A2349" s="105"/>
      <c r="B2349" s="105"/>
      <c r="C2349" s="105"/>
      <c r="D2349" s="105"/>
      <c r="E2349" s="105"/>
      <c r="F2349" s="105"/>
      <c r="G2349" s="105"/>
      <c r="H2349" s="105"/>
      <c r="I2349" s="105"/>
      <c r="J2349" s="105"/>
      <c r="K2349" s="105"/>
      <c r="L2349" s="105"/>
      <c r="M2349" s="105"/>
      <c r="N2349" s="105"/>
      <c r="O2349" s="105"/>
      <c r="P2349" s="105"/>
      <c r="Q2349" s="105"/>
      <c r="R2349" s="105"/>
      <c r="S2349" s="105"/>
      <c r="T2349" s="105"/>
      <c r="U2349" s="105"/>
      <c r="V2349" s="105"/>
      <c r="W2349" s="105"/>
      <c r="X2349" s="105"/>
      <c r="Y2349" s="105"/>
      <c r="Z2349" s="105"/>
    </row>
    <row r="2350" spans="1:26" ht="15.75" customHeight="1">
      <c r="A2350" s="105"/>
      <c r="B2350" s="105"/>
      <c r="C2350" s="105"/>
      <c r="D2350" s="105"/>
      <c r="E2350" s="105"/>
      <c r="F2350" s="105"/>
      <c r="G2350" s="105"/>
      <c r="H2350" s="105"/>
      <c r="I2350" s="105"/>
      <c r="J2350" s="105"/>
      <c r="K2350" s="105"/>
      <c r="L2350" s="105"/>
      <c r="M2350" s="105"/>
      <c r="N2350" s="105"/>
      <c r="O2350" s="105"/>
      <c r="P2350" s="105"/>
      <c r="Q2350" s="105"/>
      <c r="R2350" s="105"/>
      <c r="S2350" s="105"/>
      <c r="T2350" s="105"/>
      <c r="U2350" s="105"/>
      <c r="V2350" s="105"/>
      <c r="W2350" s="105"/>
      <c r="X2350" s="105"/>
      <c r="Y2350" s="105"/>
      <c r="Z2350" s="105"/>
    </row>
    <row r="2351" spans="1:26" ht="15.75" customHeight="1">
      <c r="A2351" s="105"/>
      <c r="B2351" s="105"/>
      <c r="C2351" s="105"/>
      <c r="D2351" s="105"/>
      <c r="E2351" s="105"/>
      <c r="F2351" s="105"/>
      <c r="G2351" s="105"/>
      <c r="H2351" s="105"/>
      <c r="I2351" s="105"/>
      <c r="J2351" s="105"/>
      <c r="K2351" s="105"/>
      <c r="L2351" s="105"/>
      <c r="M2351" s="105"/>
      <c r="N2351" s="105"/>
      <c r="O2351" s="105"/>
      <c r="P2351" s="105"/>
      <c r="Q2351" s="105"/>
      <c r="R2351" s="105"/>
      <c r="S2351" s="105"/>
      <c r="T2351" s="105"/>
      <c r="U2351" s="105"/>
      <c r="V2351" s="105"/>
      <c r="W2351" s="105"/>
      <c r="X2351" s="105"/>
      <c r="Y2351" s="105"/>
      <c r="Z2351" s="105"/>
    </row>
    <row r="2352" spans="1:26" ht="15.75" customHeight="1">
      <c r="A2352" s="105"/>
      <c r="B2352" s="105"/>
      <c r="C2352" s="105"/>
      <c r="D2352" s="105"/>
      <c r="E2352" s="105"/>
      <c r="F2352" s="105"/>
      <c r="G2352" s="105"/>
      <c r="H2352" s="105"/>
      <c r="I2352" s="105"/>
      <c r="J2352" s="105"/>
      <c r="K2352" s="105"/>
      <c r="L2352" s="105"/>
      <c r="M2352" s="105"/>
      <c r="N2352" s="105"/>
      <c r="O2352" s="105"/>
      <c r="P2352" s="105"/>
      <c r="Q2352" s="105"/>
      <c r="R2352" s="105"/>
      <c r="S2352" s="105"/>
      <c r="T2352" s="105"/>
      <c r="U2352" s="105"/>
      <c r="V2352" s="105"/>
      <c r="W2352" s="105"/>
      <c r="X2352" s="105"/>
      <c r="Y2352" s="105"/>
      <c r="Z2352" s="105"/>
    </row>
    <row r="2353" spans="1:26" ht="15.75" customHeight="1">
      <c r="A2353" s="105"/>
      <c r="B2353" s="105"/>
      <c r="C2353" s="105"/>
      <c r="D2353" s="105"/>
      <c r="E2353" s="105"/>
      <c r="F2353" s="105"/>
      <c r="G2353" s="105"/>
      <c r="H2353" s="105"/>
      <c r="I2353" s="105"/>
      <c r="J2353" s="105"/>
      <c r="K2353" s="105"/>
      <c r="L2353" s="105"/>
      <c r="M2353" s="105"/>
      <c r="N2353" s="105"/>
      <c r="O2353" s="105"/>
      <c r="P2353" s="105"/>
      <c r="Q2353" s="105"/>
      <c r="R2353" s="105"/>
      <c r="S2353" s="105"/>
      <c r="T2353" s="105"/>
      <c r="U2353" s="105"/>
      <c r="V2353" s="105"/>
      <c r="W2353" s="105"/>
      <c r="X2353" s="105"/>
      <c r="Y2353" s="105"/>
      <c r="Z2353" s="105"/>
    </row>
    <row r="2354" spans="1:26" ht="15.75" customHeight="1">
      <c r="A2354" s="105"/>
      <c r="B2354" s="105"/>
      <c r="C2354" s="105"/>
      <c r="D2354" s="105"/>
      <c r="E2354" s="105"/>
      <c r="F2354" s="105"/>
      <c r="G2354" s="105"/>
      <c r="H2354" s="105"/>
      <c r="I2354" s="105"/>
      <c r="J2354" s="105"/>
      <c r="K2354" s="105"/>
      <c r="L2354" s="105"/>
      <c r="M2354" s="105"/>
      <c r="N2354" s="105"/>
      <c r="O2354" s="105"/>
      <c r="P2354" s="105"/>
      <c r="Q2354" s="105"/>
      <c r="R2354" s="105"/>
      <c r="S2354" s="105"/>
      <c r="T2354" s="105"/>
      <c r="U2354" s="105"/>
      <c r="V2354" s="105"/>
      <c r="W2354" s="105"/>
      <c r="X2354" s="105"/>
      <c r="Y2354" s="105"/>
      <c r="Z2354" s="105"/>
    </row>
    <row r="2355" spans="1:26" ht="15.75" customHeight="1">
      <c r="A2355" s="105"/>
      <c r="B2355" s="105"/>
      <c r="C2355" s="105"/>
      <c r="D2355" s="105"/>
      <c r="E2355" s="105"/>
      <c r="F2355" s="105"/>
      <c r="G2355" s="105"/>
      <c r="H2355" s="105"/>
      <c r="I2355" s="105"/>
      <c r="J2355" s="105"/>
      <c r="K2355" s="105"/>
      <c r="L2355" s="105"/>
      <c r="M2355" s="105"/>
      <c r="N2355" s="105"/>
      <c r="O2355" s="105"/>
      <c r="P2355" s="105"/>
      <c r="Q2355" s="105"/>
      <c r="R2355" s="105"/>
      <c r="S2355" s="105"/>
      <c r="T2355" s="105"/>
      <c r="U2355" s="105"/>
      <c r="V2355" s="105"/>
      <c r="W2355" s="105"/>
      <c r="X2355" s="105"/>
      <c r="Y2355" s="105"/>
      <c r="Z2355" s="105"/>
    </row>
    <row r="2356" spans="1:26" ht="15.75" customHeight="1">
      <c r="A2356" s="105"/>
      <c r="B2356" s="105"/>
      <c r="C2356" s="105"/>
      <c r="D2356" s="105"/>
      <c r="E2356" s="105"/>
      <c r="F2356" s="105"/>
      <c r="G2356" s="105"/>
      <c r="H2356" s="105"/>
      <c r="I2356" s="105"/>
      <c r="J2356" s="105"/>
      <c r="K2356" s="105"/>
      <c r="L2356" s="105"/>
      <c r="M2356" s="105"/>
      <c r="N2356" s="105"/>
      <c r="O2356" s="105"/>
      <c r="P2356" s="105"/>
      <c r="Q2356" s="105"/>
      <c r="R2356" s="105"/>
      <c r="S2356" s="105"/>
      <c r="T2356" s="105"/>
      <c r="U2356" s="105"/>
      <c r="V2356" s="105"/>
      <c r="W2356" s="105"/>
      <c r="X2356" s="105"/>
      <c r="Y2356" s="105"/>
      <c r="Z2356" s="105"/>
    </row>
    <row r="2357" spans="1:26" ht="15.75" customHeight="1">
      <c r="A2357" s="105"/>
      <c r="B2357" s="105"/>
      <c r="C2357" s="105"/>
      <c r="D2357" s="105"/>
      <c r="E2357" s="105"/>
      <c r="F2357" s="105"/>
      <c r="G2357" s="105"/>
      <c r="H2357" s="105"/>
      <c r="I2357" s="105"/>
      <c r="J2357" s="105"/>
      <c r="K2357" s="105"/>
      <c r="L2357" s="105"/>
      <c r="M2357" s="105"/>
      <c r="N2357" s="105"/>
      <c r="O2357" s="105"/>
      <c r="P2357" s="105"/>
      <c r="Q2357" s="105"/>
      <c r="R2357" s="105"/>
      <c r="S2357" s="105"/>
      <c r="T2357" s="105"/>
      <c r="U2357" s="105"/>
      <c r="V2357" s="105"/>
      <c r="W2357" s="105"/>
      <c r="X2357" s="105"/>
      <c r="Y2357" s="105"/>
      <c r="Z2357" s="105"/>
    </row>
    <row r="2358" spans="1:26" ht="15.75" customHeight="1">
      <c r="A2358" s="105"/>
      <c r="B2358" s="105"/>
      <c r="C2358" s="105"/>
      <c r="D2358" s="105"/>
      <c r="E2358" s="105"/>
      <c r="F2358" s="105"/>
      <c r="G2358" s="105"/>
      <c r="H2358" s="105"/>
      <c r="I2358" s="105"/>
      <c r="J2358" s="105"/>
      <c r="K2358" s="105"/>
      <c r="L2358" s="105"/>
      <c r="M2358" s="105"/>
      <c r="N2358" s="105"/>
      <c r="O2358" s="105"/>
      <c r="P2358" s="105"/>
      <c r="Q2358" s="105"/>
      <c r="R2358" s="105"/>
      <c r="S2358" s="105"/>
      <c r="T2358" s="105"/>
      <c r="U2358" s="105"/>
      <c r="V2358" s="105"/>
      <c r="W2358" s="105"/>
      <c r="X2358" s="105"/>
      <c r="Y2358" s="105"/>
      <c r="Z2358" s="105"/>
    </row>
    <row r="2359" spans="1:26" ht="15.75" customHeight="1">
      <c r="A2359" s="105"/>
      <c r="B2359" s="105"/>
      <c r="C2359" s="105"/>
      <c r="D2359" s="105"/>
      <c r="E2359" s="105"/>
      <c r="F2359" s="105"/>
      <c r="G2359" s="105"/>
      <c r="H2359" s="105"/>
      <c r="I2359" s="105"/>
      <c r="J2359" s="105"/>
      <c r="K2359" s="105"/>
      <c r="L2359" s="105"/>
      <c r="M2359" s="105"/>
      <c r="N2359" s="105"/>
      <c r="O2359" s="105"/>
      <c r="P2359" s="105"/>
      <c r="Q2359" s="105"/>
      <c r="R2359" s="105"/>
      <c r="S2359" s="105"/>
      <c r="T2359" s="105"/>
      <c r="U2359" s="105"/>
      <c r="V2359" s="105"/>
      <c r="W2359" s="105"/>
      <c r="X2359" s="105"/>
      <c r="Y2359" s="105"/>
      <c r="Z2359" s="105"/>
    </row>
    <row r="2360" spans="1:26" ht="15.75" customHeight="1">
      <c r="A2360" s="105"/>
      <c r="B2360" s="105"/>
      <c r="C2360" s="105"/>
      <c r="D2360" s="105"/>
      <c r="E2360" s="105"/>
      <c r="F2360" s="105"/>
      <c r="G2360" s="105"/>
      <c r="H2360" s="105"/>
      <c r="I2360" s="105"/>
      <c r="J2360" s="105"/>
      <c r="K2360" s="105"/>
      <c r="L2360" s="105"/>
      <c r="M2360" s="105"/>
      <c r="N2360" s="105"/>
      <c r="O2360" s="105"/>
      <c r="P2360" s="105"/>
      <c r="Q2360" s="105"/>
      <c r="R2360" s="105"/>
      <c r="S2360" s="105"/>
      <c r="T2360" s="105"/>
      <c r="U2360" s="105"/>
      <c r="V2360" s="105"/>
      <c r="W2360" s="105"/>
      <c r="X2360" s="105"/>
      <c r="Y2360" s="105"/>
      <c r="Z2360" s="105"/>
    </row>
    <row r="2361" spans="1:26" ht="15.75" customHeight="1">
      <c r="A2361" s="105"/>
      <c r="B2361" s="105"/>
      <c r="C2361" s="105"/>
      <c r="D2361" s="105"/>
      <c r="E2361" s="105"/>
      <c r="F2361" s="105"/>
      <c r="G2361" s="105"/>
      <c r="H2361" s="105"/>
      <c r="I2361" s="105"/>
      <c r="J2361" s="105"/>
      <c r="K2361" s="105"/>
      <c r="L2361" s="105"/>
      <c r="M2361" s="105"/>
      <c r="N2361" s="105"/>
      <c r="O2361" s="105"/>
      <c r="P2361" s="105"/>
      <c r="Q2361" s="105"/>
      <c r="R2361" s="105"/>
      <c r="S2361" s="105"/>
      <c r="T2361" s="105"/>
      <c r="U2361" s="105"/>
      <c r="V2361" s="105"/>
      <c r="W2361" s="105"/>
      <c r="X2361" s="105"/>
      <c r="Y2361" s="105"/>
      <c r="Z2361" s="105"/>
    </row>
    <row r="2362" spans="1:26" ht="15.75" customHeight="1">
      <c r="A2362" s="105"/>
      <c r="B2362" s="105"/>
      <c r="C2362" s="105"/>
      <c r="D2362" s="105"/>
      <c r="E2362" s="105"/>
      <c r="F2362" s="105"/>
      <c r="G2362" s="105"/>
      <c r="H2362" s="105"/>
      <c r="I2362" s="105"/>
      <c r="J2362" s="105"/>
      <c r="K2362" s="105"/>
      <c r="L2362" s="105"/>
      <c r="M2362" s="105"/>
      <c r="N2362" s="105"/>
      <c r="O2362" s="105"/>
      <c r="P2362" s="105"/>
      <c r="Q2362" s="105"/>
      <c r="R2362" s="105"/>
      <c r="S2362" s="105"/>
      <c r="T2362" s="105"/>
      <c r="U2362" s="105"/>
      <c r="V2362" s="105"/>
      <c r="W2362" s="105"/>
      <c r="X2362" s="105"/>
      <c r="Y2362" s="105"/>
      <c r="Z2362" s="105"/>
    </row>
    <row r="2363" spans="1:26" ht="15.75" customHeight="1">
      <c r="A2363" s="105"/>
      <c r="B2363" s="105"/>
      <c r="C2363" s="105"/>
      <c r="D2363" s="105"/>
      <c r="E2363" s="105"/>
      <c r="F2363" s="105"/>
      <c r="G2363" s="105"/>
      <c r="H2363" s="105"/>
      <c r="I2363" s="105"/>
      <c r="J2363" s="105"/>
      <c r="K2363" s="105"/>
      <c r="L2363" s="105"/>
      <c r="M2363" s="105"/>
      <c r="N2363" s="105"/>
      <c r="O2363" s="105"/>
      <c r="P2363" s="105"/>
      <c r="Q2363" s="105"/>
      <c r="R2363" s="105"/>
      <c r="S2363" s="105"/>
      <c r="T2363" s="105"/>
      <c r="U2363" s="105"/>
      <c r="V2363" s="105"/>
      <c r="W2363" s="105"/>
      <c r="X2363" s="105"/>
      <c r="Y2363" s="105"/>
      <c r="Z2363" s="105"/>
    </row>
    <row r="2364" spans="1:26" ht="15.75" customHeight="1">
      <c r="A2364" s="105"/>
      <c r="B2364" s="105"/>
      <c r="C2364" s="105"/>
      <c r="D2364" s="105"/>
      <c r="E2364" s="105"/>
      <c r="F2364" s="105"/>
      <c r="G2364" s="105"/>
      <c r="H2364" s="105"/>
      <c r="I2364" s="105"/>
      <c r="J2364" s="105"/>
      <c r="K2364" s="105"/>
      <c r="L2364" s="105"/>
      <c r="M2364" s="105"/>
      <c r="N2364" s="105"/>
      <c r="O2364" s="105"/>
      <c r="P2364" s="105"/>
      <c r="Q2364" s="105"/>
      <c r="R2364" s="105"/>
      <c r="S2364" s="105"/>
      <c r="T2364" s="105"/>
      <c r="U2364" s="105"/>
      <c r="V2364" s="105"/>
      <c r="W2364" s="105"/>
      <c r="X2364" s="105"/>
      <c r="Y2364" s="105"/>
      <c r="Z2364" s="105"/>
    </row>
    <row r="2365" spans="1:26" ht="15.75" customHeight="1">
      <c r="A2365" s="105"/>
      <c r="B2365" s="105"/>
      <c r="C2365" s="105"/>
      <c r="D2365" s="105"/>
      <c r="E2365" s="105"/>
      <c r="F2365" s="105"/>
      <c r="G2365" s="105"/>
      <c r="H2365" s="105"/>
      <c r="I2365" s="105"/>
      <c r="J2365" s="105"/>
      <c r="K2365" s="105"/>
      <c r="L2365" s="105"/>
      <c r="M2365" s="105"/>
      <c r="N2365" s="105"/>
      <c r="O2365" s="105"/>
      <c r="P2365" s="105"/>
      <c r="Q2365" s="105"/>
      <c r="R2365" s="105"/>
      <c r="S2365" s="105"/>
      <c r="T2365" s="105"/>
      <c r="U2365" s="105"/>
      <c r="V2365" s="105"/>
      <c r="W2365" s="105"/>
      <c r="X2365" s="105"/>
      <c r="Y2365" s="105"/>
      <c r="Z2365" s="105"/>
    </row>
    <row r="2366" spans="1:26" ht="15.75" customHeight="1">
      <c r="A2366" s="105"/>
      <c r="B2366" s="105"/>
      <c r="C2366" s="105"/>
      <c r="D2366" s="105"/>
      <c r="E2366" s="105"/>
      <c r="F2366" s="105"/>
      <c r="G2366" s="105"/>
      <c r="H2366" s="105"/>
      <c r="I2366" s="105"/>
      <c r="J2366" s="105"/>
      <c r="K2366" s="105"/>
      <c r="L2366" s="105"/>
      <c r="M2366" s="105"/>
      <c r="N2366" s="105"/>
      <c r="O2366" s="105"/>
      <c r="P2366" s="105"/>
      <c r="Q2366" s="105"/>
      <c r="R2366" s="105"/>
      <c r="S2366" s="105"/>
      <c r="T2366" s="105"/>
      <c r="U2366" s="105"/>
      <c r="V2366" s="105"/>
      <c r="W2366" s="105"/>
      <c r="X2366" s="105"/>
      <c r="Y2366" s="105"/>
      <c r="Z2366" s="105"/>
    </row>
    <row r="2367" spans="1:26" ht="15.75" customHeight="1">
      <c r="A2367" s="105"/>
      <c r="B2367" s="105"/>
      <c r="C2367" s="105"/>
      <c r="D2367" s="105"/>
      <c r="E2367" s="105"/>
      <c r="F2367" s="105"/>
      <c r="G2367" s="105"/>
      <c r="H2367" s="105"/>
      <c r="I2367" s="105"/>
      <c r="J2367" s="105"/>
      <c r="K2367" s="105"/>
      <c r="L2367" s="105"/>
      <c r="M2367" s="105"/>
      <c r="N2367" s="105"/>
      <c r="O2367" s="105"/>
      <c r="P2367" s="105"/>
      <c r="Q2367" s="105"/>
      <c r="R2367" s="105"/>
      <c r="S2367" s="105"/>
      <c r="T2367" s="105"/>
      <c r="U2367" s="105"/>
      <c r="V2367" s="105"/>
      <c r="W2367" s="105"/>
      <c r="X2367" s="105"/>
      <c r="Y2367" s="105"/>
      <c r="Z2367" s="105"/>
    </row>
    <row r="2368" spans="1:26" ht="15.75" customHeight="1">
      <c r="A2368" s="105"/>
      <c r="B2368" s="105"/>
      <c r="C2368" s="105"/>
      <c r="D2368" s="105"/>
      <c r="E2368" s="105"/>
      <c r="F2368" s="105"/>
      <c r="G2368" s="105"/>
      <c r="H2368" s="105"/>
      <c r="I2368" s="105"/>
      <c r="J2368" s="105"/>
      <c r="K2368" s="105"/>
      <c r="L2368" s="105"/>
      <c r="M2368" s="105"/>
      <c r="N2368" s="105"/>
      <c r="O2368" s="105"/>
      <c r="P2368" s="105"/>
      <c r="Q2368" s="105"/>
      <c r="R2368" s="105"/>
      <c r="S2368" s="105"/>
      <c r="T2368" s="105"/>
      <c r="U2368" s="105"/>
      <c r="V2368" s="105"/>
      <c r="W2368" s="105"/>
      <c r="X2368" s="105"/>
      <c r="Y2368" s="105"/>
      <c r="Z2368" s="105"/>
    </row>
    <row r="2369" spans="1:26" ht="15.75" customHeight="1">
      <c r="A2369" s="105"/>
      <c r="B2369" s="105"/>
      <c r="C2369" s="105"/>
      <c r="D2369" s="105"/>
      <c r="E2369" s="105"/>
      <c r="F2369" s="105"/>
      <c r="G2369" s="105"/>
      <c r="H2369" s="105"/>
      <c r="I2369" s="105"/>
      <c r="J2369" s="105"/>
      <c r="K2369" s="105"/>
      <c r="L2369" s="105"/>
      <c r="M2369" s="105"/>
      <c r="N2369" s="105"/>
      <c r="O2369" s="105"/>
      <c r="P2369" s="105"/>
      <c r="Q2369" s="105"/>
      <c r="R2369" s="105"/>
      <c r="S2369" s="105"/>
      <c r="T2369" s="105"/>
      <c r="U2369" s="105"/>
      <c r="V2369" s="105"/>
      <c r="W2369" s="105"/>
      <c r="X2369" s="105"/>
      <c r="Y2369" s="105"/>
      <c r="Z2369" s="105"/>
    </row>
    <row r="2370" spans="1:26" ht="15.75" customHeight="1">
      <c r="A2370" s="105"/>
      <c r="B2370" s="105"/>
      <c r="C2370" s="105"/>
      <c r="D2370" s="105"/>
      <c r="E2370" s="105"/>
      <c r="F2370" s="105"/>
      <c r="G2370" s="105"/>
      <c r="H2370" s="105"/>
      <c r="I2370" s="105"/>
      <c r="J2370" s="105"/>
      <c r="K2370" s="105"/>
      <c r="L2370" s="105"/>
      <c r="M2370" s="105"/>
      <c r="N2370" s="105"/>
      <c r="O2370" s="105"/>
      <c r="P2370" s="105"/>
      <c r="Q2370" s="105"/>
      <c r="R2370" s="105"/>
      <c r="S2370" s="105"/>
      <c r="T2370" s="105"/>
      <c r="U2370" s="105"/>
      <c r="V2370" s="105"/>
      <c r="W2370" s="105"/>
      <c r="X2370" s="105"/>
      <c r="Y2370" s="105"/>
      <c r="Z2370" s="105"/>
    </row>
    <row r="2371" spans="1:26" ht="15.75" customHeight="1">
      <c r="A2371" s="105"/>
      <c r="B2371" s="105"/>
      <c r="C2371" s="105"/>
      <c r="D2371" s="105"/>
      <c r="E2371" s="105"/>
      <c r="F2371" s="105"/>
      <c r="G2371" s="105"/>
      <c r="H2371" s="105"/>
      <c r="I2371" s="105"/>
      <c r="J2371" s="105"/>
      <c r="K2371" s="105"/>
      <c r="L2371" s="105"/>
      <c r="M2371" s="105"/>
      <c r="N2371" s="105"/>
      <c r="O2371" s="105"/>
      <c r="P2371" s="105"/>
      <c r="Q2371" s="105"/>
      <c r="R2371" s="105"/>
      <c r="S2371" s="105"/>
      <c r="T2371" s="105"/>
      <c r="U2371" s="105"/>
      <c r="V2371" s="105"/>
      <c r="W2371" s="105"/>
      <c r="X2371" s="105"/>
      <c r="Y2371" s="105"/>
      <c r="Z2371" s="105"/>
    </row>
    <row r="2372" spans="1:26" ht="15.75" customHeight="1">
      <c r="A2372" s="105"/>
      <c r="B2372" s="105"/>
      <c r="C2372" s="105"/>
      <c r="D2372" s="105"/>
      <c r="E2372" s="105"/>
      <c r="F2372" s="105"/>
      <c r="G2372" s="105"/>
      <c r="H2372" s="105"/>
      <c r="I2372" s="105"/>
      <c r="J2372" s="105"/>
      <c r="K2372" s="105"/>
      <c r="L2372" s="105"/>
      <c r="M2372" s="105"/>
      <c r="N2372" s="105"/>
      <c r="O2372" s="105"/>
      <c r="P2372" s="105"/>
      <c r="Q2372" s="105"/>
      <c r="R2372" s="105"/>
      <c r="S2372" s="105"/>
      <c r="T2372" s="105"/>
      <c r="U2372" s="105"/>
      <c r="V2372" s="105"/>
      <c r="W2372" s="105"/>
      <c r="X2372" s="105"/>
      <c r="Y2372" s="105"/>
      <c r="Z2372" s="105"/>
    </row>
    <row r="2373" spans="1:26" ht="15.75" customHeight="1">
      <c r="A2373" s="105"/>
      <c r="B2373" s="105"/>
      <c r="C2373" s="105"/>
      <c r="D2373" s="105"/>
      <c r="E2373" s="105"/>
      <c r="F2373" s="105"/>
      <c r="G2373" s="105"/>
      <c r="H2373" s="105"/>
      <c r="I2373" s="105"/>
      <c r="J2373" s="105"/>
      <c r="K2373" s="105"/>
      <c r="L2373" s="105"/>
      <c r="M2373" s="105"/>
      <c r="N2373" s="105"/>
      <c r="O2373" s="105"/>
      <c r="P2373" s="105"/>
      <c r="Q2373" s="105"/>
      <c r="R2373" s="105"/>
      <c r="S2373" s="105"/>
      <c r="T2373" s="105"/>
      <c r="U2373" s="105"/>
      <c r="V2373" s="105"/>
      <c r="W2373" s="105"/>
      <c r="X2373" s="105"/>
      <c r="Y2373" s="105"/>
      <c r="Z2373" s="105"/>
    </row>
    <row r="2374" spans="1:26" ht="15.75" customHeight="1">
      <c r="A2374" s="105"/>
      <c r="B2374" s="105"/>
      <c r="C2374" s="105"/>
      <c r="D2374" s="105"/>
      <c r="E2374" s="105"/>
      <c r="F2374" s="105"/>
      <c r="G2374" s="105"/>
      <c r="H2374" s="105"/>
      <c r="I2374" s="105"/>
      <c r="J2374" s="105"/>
      <c r="K2374" s="105"/>
      <c r="L2374" s="105"/>
      <c r="M2374" s="105"/>
      <c r="N2374" s="105"/>
      <c r="O2374" s="105"/>
      <c r="P2374" s="105"/>
      <c r="Q2374" s="105"/>
      <c r="R2374" s="105"/>
      <c r="S2374" s="105"/>
      <c r="T2374" s="105"/>
      <c r="U2374" s="105"/>
      <c r="V2374" s="105"/>
      <c r="W2374" s="105"/>
      <c r="X2374" s="105"/>
      <c r="Y2374" s="105"/>
      <c r="Z2374" s="105"/>
    </row>
    <row r="2375" spans="1:26" ht="15.75" customHeight="1">
      <c r="A2375" s="105"/>
      <c r="B2375" s="105"/>
      <c r="C2375" s="105"/>
      <c r="D2375" s="105"/>
      <c r="E2375" s="105"/>
      <c r="F2375" s="105"/>
      <c r="G2375" s="105"/>
      <c r="H2375" s="105"/>
      <c r="I2375" s="105"/>
      <c r="J2375" s="105"/>
      <c r="K2375" s="105"/>
      <c r="L2375" s="105"/>
      <c r="M2375" s="105"/>
      <c r="N2375" s="105"/>
      <c r="O2375" s="105"/>
      <c r="P2375" s="105"/>
      <c r="Q2375" s="105"/>
      <c r="R2375" s="105"/>
      <c r="S2375" s="105"/>
      <c r="T2375" s="105"/>
      <c r="U2375" s="105"/>
      <c r="V2375" s="105"/>
      <c r="W2375" s="105"/>
      <c r="X2375" s="105"/>
      <c r="Y2375" s="105"/>
      <c r="Z2375" s="105"/>
    </row>
    <row r="2376" spans="1:26" ht="15.75" customHeight="1">
      <c r="A2376" s="105"/>
      <c r="B2376" s="105"/>
      <c r="C2376" s="105"/>
      <c r="D2376" s="105"/>
      <c r="E2376" s="105"/>
      <c r="F2376" s="105"/>
      <c r="G2376" s="105"/>
      <c r="H2376" s="105"/>
      <c r="I2376" s="105"/>
      <c r="J2376" s="105"/>
      <c r="K2376" s="105"/>
      <c r="L2376" s="105"/>
      <c r="M2376" s="105"/>
      <c r="N2376" s="105"/>
      <c r="O2376" s="105"/>
      <c r="P2376" s="105"/>
      <c r="Q2376" s="105"/>
      <c r="R2376" s="105"/>
      <c r="S2376" s="105"/>
      <c r="T2376" s="105"/>
      <c r="U2376" s="105"/>
      <c r="V2376" s="105"/>
      <c r="W2376" s="105"/>
      <c r="X2376" s="105"/>
      <c r="Y2376" s="105"/>
      <c r="Z2376" s="105"/>
    </row>
    <row r="2377" spans="1:26" ht="15.75" customHeight="1">
      <c r="A2377" s="105"/>
      <c r="B2377" s="105"/>
      <c r="C2377" s="105"/>
      <c r="D2377" s="105"/>
      <c r="E2377" s="105"/>
      <c r="F2377" s="105"/>
      <c r="G2377" s="105"/>
      <c r="H2377" s="105"/>
      <c r="I2377" s="105"/>
      <c r="J2377" s="105"/>
      <c r="K2377" s="105"/>
      <c r="L2377" s="105"/>
      <c r="M2377" s="105"/>
      <c r="N2377" s="105"/>
      <c r="O2377" s="105"/>
      <c r="P2377" s="105"/>
      <c r="Q2377" s="105"/>
      <c r="R2377" s="105"/>
      <c r="S2377" s="105"/>
      <c r="T2377" s="105"/>
      <c r="U2377" s="105"/>
      <c r="V2377" s="105"/>
      <c r="W2377" s="105"/>
      <c r="X2377" s="105"/>
      <c r="Y2377" s="105"/>
      <c r="Z2377" s="105"/>
    </row>
    <row r="2378" spans="1:26" ht="15.75" customHeight="1">
      <c r="A2378" s="105"/>
      <c r="B2378" s="105"/>
      <c r="C2378" s="105"/>
      <c r="D2378" s="105"/>
      <c r="E2378" s="105"/>
      <c r="F2378" s="105"/>
      <c r="G2378" s="105"/>
      <c r="H2378" s="105"/>
      <c r="I2378" s="105"/>
      <c r="J2378" s="105"/>
      <c r="K2378" s="105"/>
      <c r="L2378" s="105"/>
      <c r="M2378" s="105"/>
      <c r="N2378" s="105"/>
      <c r="O2378" s="105"/>
      <c r="P2378" s="105"/>
      <c r="Q2378" s="105"/>
      <c r="R2378" s="105"/>
      <c r="S2378" s="105"/>
      <c r="T2378" s="105"/>
      <c r="U2378" s="105"/>
      <c r="V2378" s="105"/>
      <c r="W2378" s="105"/>
      <c r="X2378" s="105"/>
      <c r="Y2378" s="105"/>
      <c r="Z2378" s="105"/>
    </row>
    <row r="2379" spans="1:26" ht="15.75" customHeight="1">
      <c r="A2379" s="105"/>
      <c r="B2379" s="105"/>
      <c r="C2379" s="105"/>
      <c r="D2379" s="105"/>
      <c r="E2379" s="105"/>
      <c r="F2379" s="105"/>
      <c r="G2379" s="105"/>
      <c r="H2379" s="105"/>
      <c r="I2379" s="105"/>
      <c r="J2379" s="105"/>
      <c r="K2379" s="105"/>
      <c r="L2379" s="105"/>
      <c r="M2379" s="105"/>
      <c r="N2379" s="105"/>
      <c r="O2379" s="105"/>
      <c r="P2379" s="105"/>
      <c r="Q2379" s="105"/>
      <c r="R2379" s="105"/>
      <c r="S2379" s="105"/>
      <c r="T2379" s="105"/>
      <c r="U2379" s="105"/>
      <c r="V2379" s="105"/>
      <c r="W2379" s="105"/>
      <c r="X2379" s="105"/>
      <c r="Y2379" s="105"/>
      <c r="Z2379" s="105"/>
    </row>
    <row r="2380" spans="1:26" ht="15.75" customHeight="1">
      <c r="A2380" s="105"/>
      <c r="B2380" s="105"/>
      <c r="C2380" s="105"/>
      <c r="D2380" s="105"/>
      <c r="E2380" s="105"/>
      <c r="F2380" s="105"/>
      <c r="G2380" s="105"/>
      <c r="H2380" s="105"/>
      <c r="I2380" s="105"/>
      <c r="J2380" s="105"/>
      <c r="K2380" s="105"/>
      <c r="L2380" s="105"/>
      <c r="M2380" s="105"/>
      <c r="N2380" s="105"/>
      <c r="O2380" s="105"/>
      <c r="P2380" s="105"/>
      <c r="Q2380" s="105"/>
      <c r="R2380" s="105"/>
      <c r="S2380" s="105"/>
      <c r="T2380" s="105"/>
      <c r="U2380" s="105"/>
      <c r="V2380" s="105"/>
      <c r="W2380" s="105"/>
      <c r="X2380" s="105"/>
      <c r="Y2380" s="105"/>
      <c r="Z2380" s="105"/>
    </row>
    <row r="2381" spans="1:26" ht="15.75" customHeight="1">
      <c r="A2381" s="105"/>
      <c r="B2381" s="105"/>
      <c r="C2381" s="105"/>
      <c r="D2381" s="105"/>
      <c r="E2381" s="105"/>
      <c r="F2381" s="105"/>
      <c r="G2381" s="105"/>
      <c r="H2381" s="105"/>
      <c r="I2381" s="105"/>
      <c r="J2381" s="105"/>
      <c r="K2381" s="105"/>
      <c r="L2381" s="105"/>
      <c r="M2381" s="105"/>
      <c r="N2381" s="105"/>
      <c r="O2381" s="105"/>
      <c r="P2381" s="105"/>
      <c r="Q2381" s="105"/>
      <c r="R2381" s="105"/>
      <c r="S2381" s="105"/>
      <c r="T2381" s="105"/>
      <c r="U2381" s="105"/>
      <c r="V2381" s="105"/>
      <c r="W2381" s="105"/>
      <c r="X2381" s="105"/>
      <c r="Y2381" s="105"/>
      <c r="Z2381" s="105"/>
    </row>
    <row r="2382" spans="1:26" ht="15.75" customHeight="1">
      <c r="A2382" s="105"/>
      <c r="B2382" s="105"/>
      <c r="C2382" s="105"/>
      <c r="D2382" s="105"/>
      <c r="E2382" s="105"/>
      <c r="F2382" s="105"/>
      <c r="G2382" s="105"/>
      <c r="H2382" s="105"/>
      <c r="I2382" s="105"/>
      <c r="J2382" s="105"/>
      <c r="K2382" s="105"/>
      <c r="L2382" s="105"/>
      <c r="M2382" s="105"/>
      <c r="N2382" s="105"/>
      <c r="O2382" s="105"/>
      <c r="P2382" s="105"/>
      <c r="Q2382" s="105"/>
      <c r="R2382" s="105"/>
      <c r="S2382" s="105"/>
      <c r="T2382" s="105"/>
      <c r="U2382" s="105"/>
      <c r="V2382" s="105"/>
      <c r="W2382" s="105"/>
      <c r="X2382" s="105"/>
      <c r="Y2382" s="105"/>
      <c r="Z2382" s="105"/>
    </row>
    <row r="2383" spans="1:26" ht="15.75" customHeight="1">
      <c r="A2383" s="105"/>
      <c r="B2383" s="105"/>
      <c r="C2383" s="105"/>
      <c r="D2383" s="105"/>
      <c r="E2383" s="105"/>
      <c r="F2383" s="105"/>
      <c r="G2383" s="105"/>
      <c r="H2383" s="105"/>
      <c r="I2383" s="105"/>
      <c r="J2383" s="105"/>
      <c r="K2383" s="105"/>
      <c r="L2383" s="105"/>
      <c r="M2383" s="105"/>
      <c r="N2383" s="105"/>
      <c r="O2383" s="105"/>
      <c r="P2383" s="105"/>
      <c r="Q2383" s="105"/>
      <c r="R2383" s="105"/>
      <c r="S2383" s="105"/>
      <c r="T2383" s="105"/>
      <c r="U2383" s="105"/>
      <c r="V2383" s="105"/>
      <c r="W2383" s="105"/>
      <c r="X2383" s="105"/>
      <c r="Y2383" s="105"/>
      <c r="Z2383" s="105"/>
    </row>
    <row r="2384" spans="1:26" ht="15.75" customHeight="1">
      <c r="A2384" s="105"/>
      <c r="B2384" s="105"/>
      <c r="C2384" s="105"/>
      <c r="D2384" s="105"/>
      <c r="E2384" s="105"/>
      <c r="F2384" s="105"/>
      <c r="G2384" s="105"/>
      <c r="H2384" s="105"/>
      <c r="I2384" s="105"/>
      <c r="J2384" s="105"/>
      <c r="K2384" s="105"/>
      <c r="L2384" s="105"/>
      <c r="M2384" s="105"/>
      <c r="N2384" s="105"/>
      <c r="O2384" s="105"/>
      <c r="P2384" s="105"/>
      <c r="Q2384" s="105"/>
      <c r="R2384" s="105"/>
      <c r="S2384" s="105"/>
      <c r="T2384" s="105"/>
      <c r="U2384" s="105"/>
      <c r="V2384" s="105"/>
      <c r="W2384" s="105"/>
      <c r="X2384" s="105"/>
      <c r="Y2384" s="105"/>
      <c r="Z2384" s="105"/>
    </row>
    <row r="2385" spans="1:26" ht="15.75" customHeight="1">
      <c r="A2385" s="105"/>
      <c r="B2385" s="105"/>
      <c r="C2385" s="105"/>
      <c r="D2385" s="105"/>
      <c r="E2385" s="105"/>
      <c r="F2385" s="105"/>
      <c r="G2385" s="105"/>
      <c r="H2385" s="105"/>
      <c r="I2385" s="105"/>
      <c r="J2385" s="105"/>
      <c r="K2385" s="105"/>
      <c r="L2385" s="105"/>
      <c r="M2385" s="105"/>
      <c r="N2385" s="105"/>
      <c r="O2385" s="105"/>
      <c r="P2385" s="105"/>
      <c r="Q2385" s="105"/>
      <c r="R2385" s="105"/>
      <c r="S2385" s="105"/>
      <c r="T2385" s="105"/>
      <c r="U2385" s="105"/>
      <c r="V2385" s="105"/>
      <c r="W2385" s="105"/>
      <c r="X2385" s="105"/>
      <c r="Y2385" s="105"/>
      <c r="Z2385" s="105"/>
    </row>
    <row r="2386" spans="1:26" ht="15.75" customHeight="1">
      <c r="A2386" s="105"/>
      <c r="B2386" s="105"/>
      <c r="C2386" s="105"/>
      <c r="D2386" s="105"/>
      <c r="E2386" s="105"/>
      <c r="F2386" s="105"/>
      <c r="G2386" s="105"/>
      <c r="H2386" s="105"/>
      <c r="I2386" s="105"/>
      <c r="J2386" s="105"/>
      <c r="K2386" s="105"/>
      <c r="L2386" s="105"/>
      <c r="M2386" s="105"/>
      <c r="N2386" s="105"/>
      <c r="O2386" s="105"/>
      <c r="P2386" s="105"/>
      <c r="Q2386" s="105"/>
      <c r="R2386" s="105"/>
      <c r="S2386" s="105"/>
      <c r="T2386" s="105"/>
      <c r="U2386" s="105"/>
      <c r="V2386" s="105"/>
      <c r="W2386" s="105"/>
      <c r="X2386" s="105"/>
      <c r="Y2386" s="105"/>
      <c r="Z2386" s="105"/>
    </row>
    <row r="2387" spans="1:26" ht="15.75" customHeight="1">
      <c r="A2387" s="105"/>
      <c r="B2387" s="105"/>
      <c r="C2387" s="105"/>
      <c r="D2387" s="105"/>
      <c r="E2387" s="105"/>
      <c r="F2387" s="105"/>
      <c r="G2387" s="105"/>
      <c r="H2387" s="105"/>
      <c r="I2387" s="105"/>
      <c r="J2387" s="105"/>
      <c r="K2387" s="105"/>
      <c r="L2387" s="105"/>
      <c r="M2387" s="105"/>
      <c r="N2387" s="105"/>
      <c r="O2387" s="105"/>
      <c r="P2387" s="105"/>
      <c r="Q2387" s="105"/>
      <c r="R2387" s="105"/>
      <c r="S2387" s="105"/>
      <c r="T2387" s="105"/>
      <c r="U2387" s="105"/>
      <c r="V2387" s="105"/>
      <c r="W2387" s="105"/>
      <c r="X2387" s="105"/>
      <c r="Y2387" s="105"/>
      <c r="Z2387" s="105"/>
    </row>
    <row r="2388" spans="1:26" ht="15.75" customHeight="1">
      <c r="A2388" s="105"/>
      <c r="B2388" s="105"/>
      <c r="C2388" s="105"/>
      <c r="D2388" s="105"/>
      <c r="E2388" s="105"/>
      <c r="F2388" s="105"/>
      <c r="G2388" s="105"/>
      <c r="H2388" s="105"/>
      <c r="I2388" s="105"/>
      <c r="J2388" s="105"/>
      <c r="K2388" s="105"/>
      <c r="L2388" s="105"/>
      <c r="M2388" s="105"/>
      <c r="N2388" s="105"/>
      <c r="O2388" s="105"/>
      <c r="P2388" s="105"/>
      <c r="Q2388" s="105"/>
      <c r="R2388" s="105"/>
      <c r="S2388" s="105"/>
      <c r="T2388" s="105"/>
      <c r="U2388" s="105"/>
      <c r="V2388" s="105"/>
      <c r="W2388" s="105"/>
      <c r="X2388" s="105"/>
      <c r="Y2388" s="105"/>
      <c r="Z2388" s="105"/>
    </row>
    <row r="2389" spans="1:26" ht="15.75" customHeight="1">
      <c r="A2389" s="105"/>
      <c r="B2389" s="105"/>
      <c r="C2389" s="105"/>
      <c r="D2389" s="105"/>
      <c r="E2389" s="105"/>
      <c r="F2389" s="105"/>
      <c r="G2389" s="105"/>
      <c r="H2389" s="105"/>
      <c r="I2389" s="105"/>
      <c r="J2389" s="105"/>
      <c r="K2389" s="105"/>
      <c r="L2389" s="105"/>
      <c r="M2389" s="105"/>
      <c r="N2389" s="105"/>
      <c r="O2389" s="105"/>
      <c r="P2389" s="105"/>
      <c r="Q2389" s="105"/>
      <c r="R2389" s="105"/>
      <c r="S2389" s="105"/>
      <c r="T2389" s="105"/>
      <c r="U2389" s="105"/>
      <c r="V2389" s="105"/>
      <c r="W2389" s="105"/>
      <c r="X2389" s="105"/>
      <c r="Y2389" s="105"/>
      <c r="Z2389" s="105"/>
    </row>
    <row r="2390" spans="1:26" ht="15.75" customHeight="1">
      <c r="A2390" s="105"/>
      <c r="B2390" s="105"/>
      <c r="C2390" s="105"/>
      <c r="D2390" s="105"/>
      <c r="E2390" s="105"/>
      <c r="F2390" s="105"/>
      <c r="G2390" s="105"/>
      <c r="H2390" s="105"/>
      <c r="I2390" s="105"/>
      <c r="J2390" s="105"/>
      <c r="K2390" s="105"/>
      <c r="L2390" s="105"/>
      <c r="M2390" s="105"/>
      <c r="N2390" s="105"/>
      <c r="O2390" s="105"/>
      <c r="P2390" s="105"/>
      <c r="Q2390" s="105"/>
      <c r="R2390" s="105"/>
      <c r="S2390" s="105"/>
      <c r="T2390" s="105"/>
      <c r="U2390" s="105"/>
      <c r="V2390" s="105"/>
      <c r="W2390" s="105"/>
      <c r="X2390" s="105"/>
      <c r="Y2390" s="105"/>
      <c r="Z2390" s="105"/>
    </row>
    <row r="2391" spans="1:26" ht="15.75" customHeight="1">
      <c r="A2391" s="105"/>
      <c r="B2391" s="105"/>
      <c r="C2391" s="105"/>
      <c r="D2391" s="105"/>
      <c r="E2391" s="105"/>
      <c r="F2391" s="105"/>
      <c r="G2391" s="105"/>
      <c r="H2391" s="105"/>
      <c r="I2391" s="105"/>
      <c r="J2391" s="105"/>
      <c r="K2391" s="105"/>
      <c r="L2391" s="105"/>
      <c r="M2391" s="105"/>
      <c r="N2391" s="105"/>
      <c r="O2391" s="105"/>
      <c r="P2391" s="105"/>
      <c r="Q2391" s="105"/>
      <c r="R2391" s="105"/>
      <c r="S2391" s="105"/>
      <c r="T2391" s="105"/>
      <c r="U2391" s="105"/>
      <c r="V2391" s="105"/>
      <c r="W2391" s="105"/>
      <c r="X2391" s="105"/>
      <c r="Y2391" s="105"/>
      <c r="Z2391" s="105"/>
    </row>
    <row r="2392" spans="1:26" ht="15.75" customHeight="1">
      <c r="A2392" s="105"/>
      <c r="B2392" s="105"/>
      <c r="C2392" s="105"/>
      <c r="D2392" s="105"/>
      <c r="E2392" s="105"/>
      <c r="F2392" s="105"/>
      <c r="G2392" s="105"/>
      <c r="H2392" s="105"/>
      <c r="I2392" s="105"/>
      <c r="J2392" s="105"/>
      <c r="K2392" s="105"/>
      <c r="L2392" s="105"/>
      <c r="M2392" s="105"/>
      <c r="N2392" s="105"/>
      <c r="O2392" s="105"/>
      <c r="P2392" s="105"/>
      <c r="Q2392" s="105"/>
      <c r="R2392" s="105"/>
      <c r="S2392" s="105"/>
      <c r="T2392" s="105"/>
      <c r="U2392" s="105"/>
      <c r="V2392" s="105"/>
      <c r="W2392" s="105"/>
      <c r="X2392" s="105"/>
      <c r="Y2392" s="105"/>
      <c r="Z2392" s="105"/>
    </row>
    <row r="2393" spans="1:26" ht="15.75" customHeight="1">
      <c r="A2393" s="105"/>
      <c r="B2393" s="105"/>
      <c r="C2393" s="105"/>
      <c r="D2393" s="105"/>
      <c r="E2393" s="105"/>
      <c r="F2393" s="105"/>
      <c r="G2393" s="105"/>
      <c r="H2393" s="105"/>
      <c r="I2393" s="105"/>
      <c r="J2393" s="105"/>
      <c r="K2393" s="105"/>
      <c r="L2393" s="105"/>
      <c r="M2393" s="105"/>
      <c r="N2393" s="105"/>
      <c r="O2393" s="105"/>
      <c r="P2393" s="105"/>
      <c r="Q2393" s="105"/>
      <c r="R2393" s="105"/>
      <c r="S2393" s="105"/>
      <c r="T2393" s="105"/>
      <c r="U2393" s="105"/>
      <c r="V2393" s="105"/>
      <c r="W2393" s="105"/>
      <c r="X2393" s="105"/>
      <c r="Y2393" s="105"/>
      <c r="Z2393" s="105"/>
    </row>
    <row r="2394" spans="1:26" ht="15.75" customHeight="1">
      <c r="A2394" s="105"/>
      <c r="B2394" s="105"/>
      <c r="C2394" s="105"/>
      <c r="D2394" s="105"/>
      <c r="E2394" s="105"/>
      <c r="F2394" s="105"/>
      <c r="G2394" s="105"/>
      <c r="H2394" s="105"/>
      <c r="I2394" s="105"/>
      <c r="J2394" s="105"/>
      <c r="K2394" s="105"/>
      <c r="L2394" s="105"/>
      <c r="M2394" s="105"/>
      <c r="N2394" s="105"/>
      <c r="O2394" s="105"/>
      <c r="P2394" s="105"/>
      <c r="Q2394" s="105"/>
      <c r="R2394" s="105"/>
      <c r="S2394" s="105"/>
      <c r="T2394" s="105"/>
      <c r="U2394" s="105"/>
      <c r="V2394" s="105"/>
      <c r="W2394" s="105"/>
      <c r="X2394" s="105"/>
      <c r="Y2394" s="105"/>
      <c r="Z2394" s="105"/>
    </row>
    <row r="2395" spans="1:26" ht="15.75" customHeight="1">
      <c r="A2395" s="105"/>
      <c r="B2395" s="105"/>
      <c r="C2395" s="105"/>
      <c r="D2395" s="105"/>
      <c r="E2395" s="105"/>
      <c r="F2395" s="105"/>
      <c r="G2395" s="105"/>
      <c r="H2395" s="105"/>
      <c r="I2395" s="105"/>
      <c r="J2395" s="105"/>
      <c r="K2395" s="105"/>
      <c r="L2395" s="105"/>
      <c r="M2395" s="105"/>
      <c r="N2395" s="105"/>
      <c r="O2395" s="105"/>
      <c r="P2395" s="105"/>
      <c r="Q2395" s="105"/>
      <c r="R2395" s="105"/>
      <c r="S2395" s="105"/>
      <c r="T2395" s="105"/>
      <c r="U2395" s="105"/>
      <c r="V2395" s="105"/>
      <c r="W2395" s="105"/>
      <c r="X2395" s="105"/>
      <c r="Y2395" s="105"/>
      <c r="Z2395" s="105"/>
    </row>
    <row r="2396" spans="1:26" ht="15.75" customHeight="1">
      <c r="A2396" s="105"/>
      <c r="B2396" s="105"/>
      <c r="C2396" s="105"/>
      <c r="D2396" s="105"/>
      <c r="E2396" s="105"/>
      <c r="F2396" s="105"/>
      <c r="G2396" s="105"/>
      <c r="H2396" s="105"/>
      <c r="I2396" s="105"/>
      <c r="J2396" s="105"/>
      <c r="K2396" s="105"/>
      <c r="L2396" s="105"/>
      <c r="M2396" s="105"/>
      <c r="N2396" s="105"/>
      <c r="O2396" s="105"/>
      <c r="P2396" s="105"/>
      <c r="Q2396" s="105"/>
      <c r="R2396" s="105"/>
      <c r="S2396" s="105"/>
      <c r="T2396" s="105"/>
      <c r="U2396" s="105"/>
      <c r="V2396" s="105"/>
      <c r="W2396" s="105"/>
      <c r="X2396" s="105"/>
      <c r="Y2396" s="105"/>
      <c r="Z2396" s="105"/>
    </row>
    <row r="2397" spans="1:26" ht="15.75" customHeight="1">
      <c r="A2397" s="105"/>
      <c r="B2397" s="105"/>
      <c r="C2397" s="105"/>
      <c r="D2397" s="105"/>
      <c r="E2397" s="105"/>
      <c r="F2397" s="105"/>
      <c r="G2397" s="105"/>
      <c r="H2397" s="105"/>
      <c r="I2397" s="105"/>
      <c r="J2397" s="105"/>
      <c r="K2397" s="105"/>
      <c r="L2397" s="105"/>
      <c r="M2397" s="105"/>
      <c r="N2397" s="105"/>
      <c r="O2397" s="105"/>
      <c r="P2397" s="105"/>
      <c r="Q2397" s="105"/>
      <c r="R2397" s="105"/>
      <c r="S2397" s="105"/>
      <c r="T2397" s="105"/>
      <c r="U2397" s="105"/>
      <c r="V2397" s="105"/>
      <c r="W2397" s="105"/>
      <c r="X2397" s="105"/>
      <c r="Y2397" s="105"/>
      <c r="Z2397" s="105"/>
    </row>
    <row r="2398" spans="1:26" ht="15.75" customHeight="1">
      <c r="A2398" s="105"/>
      <c r="B2398" s="105"/>
      <c r="C2398" s="105"/>
      <c r="D2398" s="105"/>
      <c r="E2398" s="105"/>
      <c r="F2398" s="105"/>
      <c r="G2398" s="105"/>
      <c r="H2398" s="105"/>
      <c r="I2398" s="105"/>
      <c r="J2398" s="105"/>
      <c r="K2398" s="105"/>
      <c r="L2398" s="105"/>
      <c r="M2398" s="105"/>
      <c r="N2398" s="105"/>
      <c r="O2398" s="105"/>
      <c r="P2398" s="105"/>
      <c r="Q2398" s="105"/>
      <c r="R2398" s="105"/>
      <c r="S2398" s="105"/>
      <c r="T2398" s="105"/>
      <c r="U2398" s="105"/>
      <c r="V2398" s="105"/>
      <c r="W2398" s="105"/>
      <c r="X2398" s="105"/>
      <c r="Y2398" s="105"/>
      <c r="Z2398" s="105"/>
    </row>
    <row r="2399" spans="1:26" ht="15.75" customHeight="1">
      <c r="A2399" s="105"/>
      <c r="B2399" s="105"/>
      <c r="C2399" s="105"/>
      <c r="D2399" s="105"/>
      <c r="E2399" s="105"/>
      <c r="F2399" s="105"/>
      <c r="G2399" s="105"/>
      <c r="H2399" s="105"/>
      <c r="I2399" s="105"/>
      <c r="J2399" s="105"/>
      <c r="K2399" s="105"/>
      <c r="L2399" s="105"/>
      <c r="M2399" s="105"/>
      <c r="N2399" s="105"/>
      <c r="O2399" s="105"/>
      <c r="P2399" s="105"/>
      <c r="Q2399" s="105"/>
      <c r="R2399" s="105"/>
      <c r="S2399" s="105"/>
      <c r="T2399" s="105"/>
      <c r="U2399" s="105"/>
      <c r="V2399" s="105"/>
      <c r="W2399" s="105"/>
      <c r="X2399" s="105"/>
      <c r="Y2399" s="105"/>
      <c r="Z2399" s="105"/>
    </row>
    <row r="2400" spans="1:26" ht="15.75" customHeight="1">
      <c r="A2400" s="105"/>
      <c r="B2400" s="105"/>
      <c r="C2400" s="105"/>
      <c r="D2400" s="105"/>
      <c r="E2400" s="105"/>
      <c r="F2400" s="105"/>
      <c r="G2400" s="105"/>
      <c r="H2400" s="105"/>
      <c r="I2400" s="105"/>
      <c r="J2400" s="105"/>
      <c r="K2400" s="105"/>
      <c r="L2400" s="105"/>
      <c r="M2400" s="105"/>
      <c r="N2400" s="105"/>
      <c r="O2400" s="105"/>
      <c r="P2400" s="105"/>
      <c r="Q2400" s="105"/>
      <c r="R2400" s="105"/>
      <c r="S2400" s="105"/>
      <c r="T2400" s="105"/>
      <c r="U2400" s="105"/>
      <c r="V2400" s="105"/>
      <c r="W2400" s="105"/>
      <c r="X2400" s="105"/>
      <c r="Y2400" s="105"/>
      <c r="Z2400" s="105"/>
    </row>
    <row r="2401" spans="1:26" ht="15.75" customHeight="1">
      <c r="A2401" s="105"/>
      <c r="B2401" s="105"/>
      <c r="C2401" s="105"/>
      <c r="D2401" s="105"/>
      <c r="E2401" s="105"/>
      <c r="F2401" s="105"/>
      <c r="G2401" s="105"/>
      <c r="H2401" s="105"/>
      <c r="I2401" s="105"/>
      <c r="J2401" s="105"/>
      <c r="K2401" s="105"/>
      <c r="L2401" s="105"/>
      <c r="M2401" s="105"/>
      <c r="N2401" s="105"/>
      <c r="O2401" s="105"/>
      <c r="P2401" s="105"/>
      <c r="Q2401" s="105"/>
      <c r="R2401" s="105"/>
      <c r="S2401" s="105"/>
      <c r="T2401" s="105"/>
      <c r="U2401" s="105"/>
      <c r="V2401" s="105"/>
      <c r="W2401" s="105"/>
      <c r="X2401" s="105"/>
      <c r="Y2401" s="105"/>
      <c r="Z2401" s="105"/>
    </row>
  </sheetData>
  <mergeCells count="1">
    <mergeCell ref="B3:D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000"/>
  <sheetViews>
    <sheetView workbookViewId="0"/>
  </sheetViews>
  <sheetFormatPr defaultColWidth="14.44140625" defaultRowHeight="15" customHeight="1"/>
  <cols>
    <col min="1" max="1" width="8.6640625" customWidth="1"/>
    <col min="2" max="2" width="35.6640625" customWidth="1"/>
    <col min="3" max="4" width="24.5546875" customWidth="1"/>
    <col min="5" max="8" width="8.6640625" customWidth="1"/>
  </cols>
  <sheetData>
    <row r="1" spans="2:8" ht="14.4">
      <c r="B1" s="62"/>
      <c r="C1" s="62"/>
      <c r="D1" s="62"/>
      <c r="E1" s="63"/>
      <c r="F1" s="63"/>
      <c r="G1" s="63"/>
    </row>
    <row r="2" spans="2:8" ht="33" customHeight="1">
      <c r="B2" s="478" t="s">
        <v>449</v>
      </c>
      <c r="C2" s="479"/>
      <c r="D2" s="480"/>
      <c r="E2" s="64"/>
      <c r="F2" s="53"/>
      <c r="G2" s="53"/>
      <c r="H2" s="53"/>
    </row>
    <row r="3" spans="2:8" ht="40.5" customHeight="1">
      <c r="B3" s="65" t="s">
        <v>9</v>
      </c>
      <c r="C3" s="66" t="e">
        <f>VLOOKUP(H18,#REF!,3,0)</f>
        <v>#REF!</v>
      </c>
      <c r="D3" s="65" t="s">
        <v>430</v>
      </c>
      <c r="E3" s="64"/>
      <c r="F3" s="53"/>
      <c r="G3" s="53"/>
      <c r="H3" s="53"/>
    </row>
    <row r="4" spans="2:8" ht="24" customHeight="1">
      <c r="B4" s="65" t="s">
        <v>451</v>
      </c>
      <c r="C4" s="65" t="e">
        <f>VLOOKUP($C$3,#REF!,4,0)</f>
        <v>#REF!</v>
      </c>
      <c r="D4" s="67"/>
      <c r="E4" s="64"/>
      <c r="F4" s="53"/>
      <c r="G4" s="53"/>
      <c r="H4" s="53"/>
    </row>
    <row r="5" spans="2:8" ht="24" customHeight="1">
      <c r="B5" s="68" t="s">
        <v>16</v>
      </c>
      <c r="C5" s="69">
        <v>28</v>
      </c>
      <c r="D5" s="67"/>
      <c r="E5" s="64"/>
      <c r="F5" s="53"/>
      <c r="G5" s="53"/>
      <c r="H5" s="53"/>
    </row>
    <row r="6" spans="2:8" ht="24" customHeight="1">
      <c r="B6" s="68" t="s">
        <v>17</v>
      </c>
      <c r="C6" s="70" t="e">
        <f>VLOOKUP($C$3,#REF!,11,0)</f>
        <v>#REF!</v>
      </c>
      <c r="D6" s="67"/>
      <c r="E6" s="64"/>
      <c r="F6" s="53"/>
      <c r="G6" s="53"/>
      <c r="H6" s="53"/>
    </row>
    <row r="7" spans="2:8" ht="24" customHeight="1">
      <c r="B7" s="68" t="s">
        <v>452</v>
      </c>
      <c r="C7" s="70" t="e">
        <f>VLOOKUP($C$3,#REF!,12,0)</f>
        <v>#REF!</v>
      </c>
      <c r="D7" s="67"/>
      <c r="E7" s="64"/>
      <c r="F7" s="53"/>
      <c r="G7" s="53"/>
      <c r="H7" s="53"/>
    </row>
    <row r="8" spans="2:8" ht="24" customHeight="1">
      <c r="B8" s="68" t="s">
        <v>453</v>
      </c>
      <c r="C8" s="70" t="e">
        <f>VLOOKUP($C$3,#REF!,13,0)</f>
        <v>#REF!</v>
      </c>
      <c r="D8" s="67"/>
      <c r="E8" s="64"/>
      <c r="F8" s="53"/>
      <c r="G8" s="53"/>
      <c r="H8" s="53"/>
    </row>
    <row r="9" spans="2:8" ht="24" customHeight="1">
      <c r="B9" s="71" t="s">
        <v>454</v>
      </c>
      <c r="C9" s="67"/>
      <c r="D9" s="67"/>
      <c r="E9" s="64"/>
      <c r="F9" s="53"/>
      <c r="G9" s="53"/>
      <c r="H9" s="53"/>
    </row>
    <row r="10" spans="2:8" ht="42" customHeight="1">
      <c r="B10" s="71" t="s">
        <v>32</v>
      </c>
      <c r="C10" s="72" t="e">
        <f>VLOOKUP($C$3,#REF!,28,0)</f>
        <v>#REF!</v>
      </c>
      <c r="D10" s="67"/>
      <c r="E10" s="64"/>
      <c r="F10" s="53"/>
      <c r="G10" s="53"/>
      <c r="H10" s="53"/>
    </row>
    <row r="11" spans="2:8" ht="24" customHeight="1">
      <c r="B11" s="68" t="s">
        <v>436</v>
      </c>
      <c r="C11" s="73" t="e">
        <f>VLOOKUP($C$3,#REF!,19,0)</f>
        <v>#REF!</v>
      </c>
      <c r="D11" s="67"/>
      <c r="E11" s="64"/>
      <c r="F11" s="53"/>
      <c r="G11" s="53"/>
      <c r="H11" s="53"/>
    </row>
    <row r="12" spans="2:8" ht="24" customHeight="1">
      <c r="B12" s="68" t="s">
        <v>455</v>
      </c>
      <c r="C12" s="73" t="e">
        <f>VLOOKUP($C$3,#REF!,21,0)</f>
        <v>#REF!</v>
      </c>
      <c r="D12" s="67"/>
      <c r="E12" s="64"/>
      <c r="F12" s="53"/>
      <c r="G12" s="53"/>
      <c r="H12" s="53"/>
    </row>
    <row r="13" spans="2:8" ht="24" customHeight="1">
      <c r="B13" s="68" t="s">
        <v>456</v>
      </c>
      <c r="C13" s="73" t="e">
        <f>VLOOKUP($C$3,#REF!,22,0)</f>
        <v>#REF!</v>
      </c>
      <c r="D13" s="67"/>
      <c r="E13" s="64"/>
      <c r="F13" s="53"/>
      <c r="G13" s="53"/>
      <c r="H13" s="53"/>
    </row>
    <row r="14" spans="2:8" ht="24" customHeight="1">
      <c r="B14" s="68" t="s">
        <v>457</v>
      </c>
      <c r="C14" s="73" t="e">
        <f>VLOOKUP($C$3,#REF!,32,0)</f>
        <v>#REF!</v>
      </c>
      <c r="D14" s="67"/>
      <c r="E14" s="64"/>
      <c r="F14" s="53"/>
      <c r="G14" s="53"/>
      <c r="H14" s="53"/>
    </row>
    <row r="15" spans="2:8" ht="24" customHeight="1">
      <c r="B15" s="68" t="s">
        <v>458</v>
      </c>
      <c r="C15" s="73" t="e">
        <f>VLOOKUP($C$3,#REF!,33,0)</f>
        <v>#REF!</v>
      </c>
      <c r="D15" s="67"/>
      <c r="E15" s="64"/>
      <c r="F15" s="53"/>
      <c r="G15" s="53"/>
      <c r="H15" s="53"/>
    </row>
    <row r="16" spans="2:8" ht="24" customHeight="1">
      <c r="B16" s="68" t="s">
        <v>459</v>
      </c>
      <c r="C16" s="73" t="e">
        <f>VLOOKUP($C$3,#REF!,38,0)</f>
        <v>#REF!</v>
      </c>
      <c r="D16" s="67"/>
      <c r="E16" s="64"/>
      <c r="F16" s="53"/>
      <c r="G16" s="53"/>
      <c r="H16" s="53"/>
    </row>
    <row r="17" spans="2:8" ht="24" customHeight="1">
      <c r="B17" s="68" t="s">
        <v>460</v>
      </c>
      <c r="C17" s="73" t="e">
        <f>VLOOKUP($C$3,#REF!,40,0)</f>
        <v>#REF!</v>
      </c>
      <c r="D17" s="67"/>
      <c r="E17" s="64"/>
      <c r="F17" s="53"/>
      <c r="G17" s="53"/>
      <c r="H17" s="53"/>
    </row>
    <row r="18" spans="2:8" ht="24" customHeight="1">
      <c r="B18" s="68" t="s">
        <v>461</v>
      </c>
      <c r="C18" s="73" t="e">
        <f>VLOOKUP($C$3,#REF!,41,0)</f>
        <v>#REF!</v>
      </c>
      <c r="D18" s="67"/>
      <c r="E18" s="64"/>
      <c r="F18" s="53"/>
      <c r="G18" s="53"/>
      <c r="H18" s="74">
        <v>20</v>
      </c>
    </row>
    <row r="19" spans="2:8" ht="24" customHeight="1">
      <c r="B19" s="68" t="s">
        <v>462</v>
      </c>
      <c r="C19" s="73" t="e">
        <f>VLOOKUP($C$3,#REF!,43,0)</f>
        <v>#REF!</v>
      </c>
      <c r="D19" s="67"/>
      <c r="E19" s="64"/>
      <c r="F19" s="53"/>
      <c r="G19" s="53"/>
      <c r="H19" s="53"/>
    </row>
    <row r="20" spans="2:8" ht="24" customHeight="1">
      <c r="B20" s="68" t="s">
        <v>443</v>
      </c>
      <c r="C20" s="73" t="e">
        <f>VLOOKUP($C$3,#REF!,47,0)</f>
        <v>#REF!</v>
      </c>
      <c r="D20" s="67"/>
      <c r="E20" s="64"/>
      <c r="F20" s="53"/>
      <c r="G20" s="53"/>
      <c r="H20" s="53"/>
    </row>
    <row r="21" spans="2:8" ht="24" customHeight="1">
      <c r="B21" s="68" t="s">
        <v>463</v>
      </c>
      <c r="C21" s="73" t="e">
        <f>VLOOKUP($C$3,#REF!,42,0)</f>
        <v>#REF!</v>
      </c>
      <c r="D21" s="67"/>
      <c r="E21" s="64"/>
      <c r="F21" s="53"/>
      <c r="G21" s="53"/>
      <c r="H21" s="53"/>
    </row>
    <row r="22" spans="2:8" ht="24" customHeight="1">
      <c r="B22" s="68" t="s">
        <v>464</v>
      </c>
      <c r="C22" s="73" t="e">
        <f>VLOOKUP($C$3,#REF!,44,0)</f>
        <v>#REF!</v>
      </c>
      <c r="D22" s="67"/>
      <c r="E22" s="64"/>
      <c r="F22" s="53"/>
      <c r="G22" s="53"/>
      <c r="H22" s="53"/>
    </row>
    <row r="23" spans="2:8" ht="24" customHeight="1">
      <c r="B23" s="71" t="s">
        <v>64</v>
      </c>
      <c r="C23" s="75" t="e">
        <f>SUM(C11:C22)</f>
        <v>#REF!</v>
      </c>
      <c r="D23" s="67"/>
      <c r="E23" s="64"/>
      <c r="F23" s="53"/>
      <c r="G23" s="53"/>
      <c r="H23" s="53"/>
    </row>
    <row r="24" spans="2:8" ht="24" customHeight="1">
      <c r="B24" s="71" t="s">
        <v>465</v>
      </c>
      <c r="C24" s="75" t="e">
        <f>SUM(C25:C32)</f>
        <v>#REF!</v>
      </c>
      <c r="D24" s="67"/>
      <c r="E24" s="64"/>
      <c r="F24" s="53"/>
      <c r="G24" s="53"/>
      <c r="H24" s="53"/>
    </row>
    <row r="25" spans="2:8" ht="24" customHeight="1">
      <c r="B25" s="68" t="s">
        <v>446</v>
      </c>
      <c r="C25" s="73" t="e">
        <f>VLOOKUP($C$3,#REF!,70,0)</f>
        <v>#REF!</v>
      </c>
      <c r="D25" s="67"/>
      <c r="E25" s="64"/>
      <c r="F25" s="53"/>
      <c r="G25" s="53"/>
      <c r="H25" s="53"/>
    </row>
    <row r="26" spans="2:8" ht="24" customHeight="1">
      <c r="B26" s="68" t="s">
        <v>84</v>
      </c>
      <c r="C26" s="73" t="e">
        <f>VLOOKUP($C$3,#REF!,73,0)</f>
        <v>#REF!</v>
      </c>
      <c r="D26" s="67"/>
      <c r="E26" s="64"/>
      <c r="F26" s="53"/>
      <c r="G26" s="53"/>
      <c r="H26" s="53"/>
    </row>
    <row r="27" spans="2:8" ht="24" customHeight="1">
      <c r="B27" s="68" t="s">
        <v>466</v>
      </c>
      <c r="C27" s="73" t="e">
        <f>VLOOKUP($C$3,#REF!,74,0)</f>
        <v>#REF!</v>
      </c>
      <c r="D27" s="67"/>
      <c r="E27" s="64"/>
      <c r="F27" s="53"/>
      <c r="G27" s="53"/>
      <c r="H27" s="53"/>
    </row>
    <row r="28" spans="2:8" ht="24" customHeight="1">
      <c r="B28" s="68" t="s">
        <v>467</v>
      </c>
      <c r="C28" s="73" t="e">
        <f>VLOOKUP($C$3,#REF!,75,0)</f>
        <v>#REF!</v>
      </c>
      <c r="D28" s="67"/>
      <c r="E28" s="64"/>
      <c r="F28" s="53"/>
      <c r="G28" s="53"/>
      <c r="H28" s="53"/>
    </row>
    <row r="29" spans="2:8" ht="24" customHeight="1">
      <c r="B29" s="68" t="s">
        <v>468</v>
      </c>
      <c r="C29" s="73" t="e">
        <f>VLOOKUP($C$3,#REF!,76,0)</f>
        <v>#REF!</v>
      </c>
      <c r="D29" s="67"/>
      <c r="E29" s="64"/>
      <c r="F29" s="53"/>
      <c r="G29" s="53"/>
      <c r="H29" s="53"/>
    </row>
    <row r="30" spans="2:8" ht="24" customHeight="1">
      <c r="B30" s="68" t="s">
        <v>469</v>
      </c>
      <c r="C30" s="73" t="e">
        <f>VLOOKUP($C$3,#REF!,77,0)</f>
        <v>#REF!</v>
      </c>
      <c r="D30" s="67"/>
      <c r="E30" s="64"/>
      <c r="F30" s="53"/>
      <c r="G30" s="53"/>
      <c r="H30" s="53"/>
    </row>
    <row r="31" spans="2:8" ht="24" customHeight="1">
      <c r="B31" s="68" t="s">
        <v>470</v>
      </c>
      <c r="C31" s="73" t="e">
        <f>C20</f>
        <v>#REF!</v>
      </c>
      <c r="D31" s="67"/>
      <c r="E31" s="64"/>
      <c r="F31" s="53"/>
      <c r="G31" s="53"/>
      <c r="H31" s="53"/>
    </row>
    <row r="32" spans="2:8" ht="24" customHeight="1">
      <c r="B32" s="68" t="s">
        <v>447</v>
      </c>
      <c r="C32" s="73" t="e">
        <f>VLOOKUP($C$3,#REF!,79,0)</f>
        <v>#REF!</v>
      </c>
      <c r="D32" s="67"/>
      <c r="E32" s="64"/>
      <c r="F32" s="53"/>
      <c r="G32" s="53"/>
      <c r="H32" s="53"/>
    </row>
    <row r="33" spans="2:8" ht="24" customHeight="1">
      <c r="B33" s="71" t="s">
        <v>471</v>
      </c>
      <c r="C33" s="76" t="e">
        <f>C23-C24</f>
        <v>#REF!</v>
      </c>
      <c r="D33" s="67"/>
      <c r="E33" s="64"/>
      <c r="F33" s="53"/>
      <c r="G33" s="53"/>
      <c r="H33" s="53"/>
    </row>
    <row r="34" spans="2:8" ht="30" customHeight="1">
      <c r="B34" s="77" t="s">
        <v>472</v>
      </c>
      <c r="C34" s="76">
        <v>6743867</v>
      </c>
      <c r="D34" s="78"/>
    </row>
    <row r="35" spans="2:8" ht="33" customHeight="1">
      <c r="B35" s="77" t="s">
        <v>473</v>
      </c>
      <c r="C35" s="76" t="e">
        <f>C34-C33</f>
        <v>#REF!</v>
      </c>
      <c r="D35" s="78"/>
    </row>
    <row r="36" spans="2:8" ht="15.75" customHeight="1"/>
    <row r="37" spans="2:8" ht="15.75" customHeight="1"/>
    <row r="38" spans="2:8" ht="15.75" customHeight="1"/>
    <row r="39" spans="2:8" ht="15.75" customHeight="1"/>
    <row r="40" spans="2:8" ht="15.75" customHeight="1"/>
    <row r="41" spans="2:8" ht="15.75" customHeight="1"/>
    <row r="42" spans="2:8" ht="15.75" customHeight="1"/>
    <row r="43" spans="2:8" ht="15.75" customHeight="1"/>
    <row r="44" spans="2:8" ht="15.75" customHeight="1"/>
    <row r="45" spans="2:8" ht="15.75" customHeight="1"/>
    <row r="46" spans="2:8" ht="15.75" customHeight="1"/>
    <row r="47" spans="2:8" ht="15.75" customHeight="1"/>
    <row r="48" spans="2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14.88671875" customWidth="1"/>
    <col min="2" max="2" width="21.33203125" customWidth="1"/>
    <col min="3" max="3" width="25" customWidth="1"/>
    <col min="4" max="4" width="17.88671875" customWidth="1"/>
    <col min="5" max="5" width="19.44140625" customWidth="1"/>
    <col min="6" max="6" width="14.33203125" customWidth="1"/>
    <col min="7" max="7" width="43.33203125" customWidth="1"/>
    <col min="8" max="8" width="23.6640625" customWidth="1"/>
    <col min="9" max="9" width="58.109375" customWidth="1"/>
  </cols>
  <sheetData>
    <row r="1" spans="1:26" ht="37.5" customHeight="1">
      <c r="A1" s="46" t="s">
        <v>474</v>
      </c>
      <c r="B1" s="46" t="s">
        <v>475</v>
      </c>
      <c r="C1" s="46"/>
      <c r="D1" s="46" t="s">
        <v>476</v>
      </c>
      <c r="E1" s="46" t="s">
        <v>477</v>
      </c>
      <c r="F1" s="46" t="s">
        <v>478</v>
      </c>
      <c r="G1" s="46" t="s">
        <v>479</v>
      </c>
      <c r="H1" s="46" t="s">
        <v>430</v>
      </c>
      <c r="I1" s="46" t="s">
        <v>479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7.25" customHeight="1">
      <c r="A2" s="42" t="s">
        <v>480</v>
      </c>
      <c r="B2" s="47"/>
      <c r="C2" s="47"/>
      <c r="D2" s="47"/>
      <c r="E2" s="47"/>
      <c r="F2" s="47"/>
      <c r="G2" s="47"/>
      <c r="H2" s="47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27" customHeight="1">
      <c r="A3" s="30" t="s">
        <v>481</v>
      </c>
      <c r="B3" s="30" t="s">
        <v>482</v>
      </c>
      <c r="C3" s="30" t="s">
        <v>483</v>
      </c>
      <c r="D3" s="31" t="s">
        <v>484</v>
      </c>
      <c r="E3" s="30" t="s">
        <v>220</v>
      </c>
      <c r="F3" s="48" t="e">
        <f>#REF!</f>
        <v>#REF!</v>
      </c>
      <c r="G3" s="30" t="s">
        <v>485</v>
      </c>
      <c r="H3" s="30" t="str">
        <f t="shared" ref="H3:H24" si="0">C3</f>
        <v>Le Huu Ha</v>
      </c>
      <c r="I3" s="35" t="str">
        <f t="shared" ref="I3:I24" si="1">G3&amp;" "&amp;H3</f>
        <v>Medigo TT Luong T10.2024 -  BOD -   Le Huu Ha</v>
      </c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27" customHeight="1">
      <c r="A4" s="30" t="s">
        <v>486</v>
      </c>
      <c r="B4" s="30" t="s">
        <v>482</v>
      </c>
      <c r="C4" s="33" t="s">
        <v>487</v>
      </c>
      <c r="D4" s="469" t="s">
        <v>488</v>
      </c>
      <c r="E4" s="30" t="s">
        <v>220</v>
      </c>
      <c r="F4" s="48" t="e">
        <f>#REF!</f>
        <v>#REF!</v>
      </c>
      <c r="G4" s="30" t="s">
        <v>489</v>
      </c>
      <c r="H4" s="30" t="str">
        <f t="shared" si="0"/>
        <v>Ngo Thi Huong</v>
      </c>
      <c r="I4" s="35" t="str">
        <f t="shared" si="1"/>
        <v>Medigo TT Luong T10.2024 -  P.HCNS -  Ngo Thi Huong</v>
      </c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27" customHeight="1">
      <c r="A5" s="30" t="s">
        <v>486</v>
      </c>
      <c r="B5" s="30" t="s">
        <v>482</v>
      </c>
      <c r="C5" s="33" t="s">
        <v>490</v>
      </c>
      <c r="D5" s="31" t="s">
        <v>491</v>
      </c>
      <c r="E5" s="30" t="s">
        <v>492</v>
      </c>
      <c r="F5" s="48" t="e">
        <f>#REF!</f>
        <v>#REF!</v>
      </c>
      <c r="G5" s="30" t="s">
        <v>489</v>
      </c>
      <c r="H5" s="30" t="str">
        <f t="shared" si="0"/>
        <v>Nguyen Ut Nguyen</v>
      </c>
      <c r="I5" s="35" t="str">
        <f t="shared" si="1"/>
        <v>Medigo TT Luong T10.2024 -  P.HCNS -  Nguyen Ut Nguyen</v>
      </c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26.25" customHeight="1">
      <c r="A6" s="30" t="s">
        <v>486</v>
      </c>
      <c r="B6" s="30" t="s">
        <v>482</v>
      </c>
      <c r="C6" s="31" t="s">
        <v>493</v>
      </c>
      <c r="D6" s="31">
        <v>1018179290</v>
      </c>
      <c r="E6" s="30" t="s">
        <v>494</v>
      </c>
      <c r="F6" s="48" t="e">
        <f>#REF!</f>
        <v>#REF!</v>
      </c>
      <c r="G6" s="30" t="s">
        <v>489</v>
      </c>
      <c r="H6" s="30" t="str">
        <f t="shared" si="0"/>
        <v>Ngo Thi Truc Phuong</v>
      </c>
      <c r="I6" s="35" t="str">
        <f t="shared" si="1"/>
        <v>Medigo TT Luong T10.2024 -  P.HCNS -  Ngo Thi Truc Phuong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27" customHeight="1">
      <c r="A7" s="30" t="s">
        <v>495</v>
      </c>
      <c r="B7" s="30" t="s">
        <v>482</v>
      </c>
      <c r="C7" s="33" t="s">
        <v>496</v>
      </c>
      <c r="D7" s="31" t="s">
        <v>497</v>
      </c>
      <c r="E7" s="30" t="s">
        <v>119</v>
      </c>
      <c r="F7" s="48" t="e">
        <f>#REF!</f>
        <v>#REF!</v>
      </c>
      <c r="G7" s="30" t="s">
        <v>498</v>
      </c>
      <c r="H7" s="30" t="str">
        <f t="shared" si="0"/>
        <v>Le Thai Hien</v>
      </c>
      <c r="I7" s="35" t="str">
        <f t="shared" si="1"/>
        <v>Medigo TT Luong T10.2024 -  P.IT -   Le Thai Hien</v>
      </c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27" customHeight="1">
      <c r="A8" s="30" t="s">
        <v>495</v>
      </c>
      <c r="B8" s="30" t="s">
        <v>482</v>
      </c>
      <c r="C8" s="31" t="s">
        <v>499</v>
      </c>
      <c r="D8" s="31" t="s">
        <v>500</v>
      </c>
      <c r="E8" s="30" t="s">
        <v>264</v>
      </c>
      <c r="F8" s="48" t="e">
        <f>#REF!</f>
        <v>#REF!</v>
      </c>
      <c r="G8" s="30" t="s">
        <v>498</v>
      </c>
      <c r="H8" s="30" t="str">
        <f t="shared" si="0"/>
        <v>Nguyen Thanh Tai</v>
      </c>
      <c r="I8" s="35" t="str">
        <f t="shared" si="1"/>
        <v>Medigo TT Luong T10.2024 -  P.IT -   Nguyen Thanh Tai</v>
      </c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27" customHeight="1">
      <c r="A9" s="30" t="s">
        <v>495</v>
      </c>
      <c r="B9" s="30" t="s">
        <v>482</v>
      </c>
      <c r="C9" s="31" t="s">
        <v>501</v>
      </c>
      <c r="D9" s="31" t="s">
        <v>502</v>
      </c>
      <c r="E9" s="30" t="s">
        <v>264</v>
      </c>
      <c r="F9" s="48" t="e">
        <f>#REF!</f>
        <v>#REF!</v>
      </c>
      <c r="G9" s="30" t="s">
        <v>498</v>
      </c>
      <c r="H9" s="30" t="str">
        <f t="shared" si="0"/>
        <v>Pham Dang Khoa</v>
      </c>
      <c r="I9" s="35" t="str">
        <f t="shared" si="1"/>
        <v>Medigo TT Luong T10.2024 -  P.IT -   Pham Dang Khoa</v>
      </c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27" customHeight="1">
      <c r="A10" s="30" t="s">
        <v>495</v>
      </c>
      <c r="B10" s="30" t="s">
        <v>482</v>
      </c>
      <c r="C10" s="31" t="s">
        <v>503</v>
      </c>
      <c r="D10" s="31" t="s">
        <v>504</v>
      </c>
      <c r="E10" s="30" t="s">
        <v>505</v>
      </c>
      <c r="F10" s="48" t="e">
        <f>#REF!</f>
        <v>#REF!</v>
      </c>
      <c r="G10" s="30" t="s">
        <v>498</v>
      </c>
      <c r="H10" s="30" t="str">
        <f t="shared" si="0"/>
        <v>Nguyen Dinh Hieu</v>
      </c>
      <c r="I10" s="35" t="str">
        <f t="shared" si="1"/>
        <v>Medigo TT Luong T10.2024 -  P.IT -   Nguyen Dinh Hieu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27" customHeight="1">
      <c r="A11" s="30" t="s">
        <v>506</v>
      </c>
      <c r="B11" s="30" t="s">
        <v>482</v>
      </c>
      <c r="C11" s="30" t="s">
        <v>507</v>
      </c>
      <c r="D11" s="31" t="s">
        <v>508</v>
      </c>
      <c r="E11" s="30" t="s">
        <v>132</v>
      </c>
      <c r="F11" s="48" t="e">
        <f>#REF!</f>
        <v>#REF!</v>
      </c>
      <c r="G11" s="30" t="s">
        <v>509</v>
      </c>
      <c r="H11" s="30" t="str">
        <f t="shared" si="0"/>
        <v>Le Thi Thuy My</v>
      </c>
      <c r="I11" s="35" t="str">
        <f t="shared" si="1"/>
        <v>Medigo TT Luong T10.2024 -  P.MARKETING -   Le Thi Thuy My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27" customHeight="1">
      <c r="A12" s="30" t="s">
        <v>510</v>
      </c>
      <c r="B12" s="30" t="s">
        <v>482</v>
      </c>
      <c r="C12" s="30" t="s">
        <v>511</v>
      </c>
      <c r="D12" s="469" t="s">
        <v>512</v>
      </c>
      <c r="E12" s="30" t="s">
        <v>513</v>
      </c>
      <c r="F12" s="48" t="e">
        <f>#REF!</f>
        <v>#REF!</v>
      </c>
      <c r="G12" s="30" t="s">
        <v>514</v>
      </c>
      <c r="H12" s="30" t="str">
        <f t="shared" si="0"/>
        <v>Le Phu Qui</v>
      </c>
      <c r="I12" s="35" t="str">
        <f t="shared" si="1"/>
        <v>Medigo TT Luong T10.2024 -  P.ADMIN-CSKH -   Le Phu Qui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7" customHeight="1">
      <c r="A13" s="30" t="s">
        <v>510</v>
      </c>
      <c r="B13" s="30" t="s">
        <v>482</v>
      </c>
      <c r="C13" s="30" t="s">
        <v>515</v>
      </c>
      <c r="D13" s="31" t="s">
        <v>516</v>
      </c>
      <c r="E13" s="30" t="s">
        <v>119</v>
      </c>
      <c r="F13" s="48" t="e">
        <f>#REF!</f>
        <v>#REF!</v>
      </c>
      <c r="G13" s="30" t="s">
        <v>514</v>
      </c>
      <c r="H13" s="30" t="str">
        <f t="shared" si="0"/>
        <v>Luu Thanh Tuyen</v>
      </c>
      <c r="I13" s="35" t="str">
        <f t="shared" si="1"/>
        <v>Medigo TT Luong T10.2024 -  P.ADMIN-CSKH -   Luu Thanh Tuyen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27" customHeight="1">
      <c r="A14" s="30" t="s">
        <v>510</v>
      </c>
      <c r="B14" s="30" t="s">
        <v>482</v>
      </c>
      <c r="C14" s="30" t="s">
        <v>517</v>
      </c>
      <c r="D14" s="31" t="s">
        <v>518</v>
      </c>
      <c r="E14" s="30" t="s">
        <v>220</v>
      </c>
      <c r="F14" s="48" t="e">
        <f>#REF!</f>
        <v>#REF!</v>
      </c>
      <c r="G14" s="30" t="s">
        <v>514</v>
      </c>
      <c r="H14" s="30" t="str">
        <f t="shared" si="0"/>
        <v>Nguyen Ho Phuong Anh</v>
      </c>
      <c r="I14" s="35" t="str">
        <f t="shared" si="1"/>
        <v>Medigo TT Luong T10.2024 -  P.ADMIN-CSKH -   Nguyen Ho Phuong Anh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27" customHeight="1">
      <c r="A15" s="30" t="s">
        <v>510</v>
      </c>
      <c r="B15" s="30" t="s">
        <v>482</v>
      </c>
      <c r="C15" s="30" t="s">
        <v>519</v>
      </c>
      <c r="D15" s="31" t="s">
        <v>520</v>
      </c>
      <c r="E15" s="30" t="s">
        <v>264</v>
      </c>
      <c r="F15" s="48" t="e">
        <f>#REF!</f>
        <v>#REF!</v>
      </c>
      <c r="G15" s="30" t="s">
        <v>514</v>
      </c>
      <c r="H15" s="30" t="str">
        <f t="shared" si="0"/>
        <v>Nguyen Thi Ngoc Han</v>
      </c>
      <c r="I15" s="35" t="str">
        <f t="shared" si="1"/>
        <v>Medigo TT Luong T10.2024 -  P.ADMIN-CSKH -   Nguyen Thi Ngoc Han</v>
      </c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27" customHeight="1">
      <c r="A16" s="30" t="s">
        <v>510</v>
      </c>
      <c r="B16" s="30" t="s">
        <v>482</v>
      </c>
      <c r="C16" s="30" t="s">
        <v>521</v>
      </c>
      <c r="D16" s="31" t="s">
        <v>522</v>
      </c>
      <c r="E16" s="30" t="s">
        <v>119</v>
      </c>
      <c r="F16" s="48" t="e">
        <f>#REF!</f>
        <v>#REF!</v>
      </c>
      <c r="G16" s="30" t="s">
        <v>514</v>
      </c>
      <c r="H16" s="30" t="str">
        <f t="shared" si="0"/>
        <v>Truong Hoang Ngan</v>
      </c>
      <c r="I16" s="35" t="str">
        <f t="shared" si="1"/>
        <v>Medigo TT Luong T10.2024 -  P.ADMIN-CSKH -   Truong Hoang Ngan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27" customHeight="1">
      <c r="A17" s="30" t="s">
        <v>510</v>
      </c>
      <c r="B17" s="30" t="s">
        <v>482</v>
      </c>
      <c r="C17" s="30" t="s">
        <v>523</v>
      </c>
      <c r="D17" s="31" t="s">
        <v>524</v>
      </c>
      <c r="E17" s="30" t="s">
        <v>525</v>
      </c>
      <c r="F17" s="48" t="e">
        <f>#REF!</f>
        <v>#REF!</v>
      </c>
      <c r="G17" s="30" t="s">
        <v>514</v>
      </c>
      <c r="H17" s="30" t="str">
        <f t="shared" si="0"/>
        <v>Nguyen Thi Diem Mi</v>
      </c>
      <c r="I17" s="35" t="str">
        <f t="shared" si="1"/>
        <v>Medigo TT Luong T10.2024 -  P.ADMIN-CSKH -   Nguyen Thi Diem Mi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26.25" customHeight="1">
      <c r="A18" s="30" t="s">
        <v>510</v>
      </c>
      <c r="B18" s="30" t="s">
        <v>482</v>
      </c>
      <c r="C18" s="30" t="s">
        <v>526</v>
      </c>
      <c r="D18" s="31" t="s">
        <v>527</v>
      </c>
      <c r="E18" s="30" t="s">
        <v>528</v>
      </c>
      <c r="F18" s="48" t="e">
        <f>#REF!</f>
        <v>#REF!</v>
      </c>
      <c r="G18" s="30" t="s">
        <v>514</v>
      </c>
      <c r="H18" s="30" t="str">
        <f t="shared" si="0"/>
        <v>Vo Thi Dieu Hien</v>
      </c>
      <c r="I18" s="35" t="str">
        <f t="shared" si="1"/>
        <v>Medigo TT Luong T10.2024 -  P.ADMIN-CSKH -   Vo Thi Dieu Hien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26.25" customHeight="1">
      <c r="A19" s="30" t="s">
        <v>529</v>
      </c>
      <c r="B19" s="30" t="s">
        <v>482</v>
      </c>
      <c r="C19" s="30" t="s">
        <v>530</v>
      </c>
      <c r="D19" s="31" t="s">
        <v>531</v>
      </c>
      <c r="E19" s="30" t="s">
        <v>119</v>
      </c>
      <c r="F19" s="48" t="e">
        <f>#REF!</f>
        <v>#REF!</v>
      </c>
      <c r="G19" s="30" t="s">
        <v>532</v>
      </c>
      <c r="H19" s="30" t="str">
        <f t="shared" si="0"/>
        <v>Nguyen Thi Cam Binh</v>
      </c>
      <c r="I19" s="35" t="str">
        <f t="shared" si="1"/>
        <v>Medigo TT Luong T10.2024 -  P.ADMIN-NT -   Nguyen Thi Cam Binh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26.25" customHeight="1">
      <c r="A20" s="30" t="s">
        <v>533</v>
      </c>
      <c r="B20" s="30" t="s">
        <v>482</v>
      </c>
      <c r="C20" s="30" t="s">
        <v>534</v>
      </c>
      <c r="D20" s="31" t="s">
        <v>535</v>
      </c>
      <c r="E20" s="30" t="s">
        <v>536</v>
      </c>
      <c r="F20" s="48" t="e">
        <f>#REF!</f>
        <v>#REF!</v>
      </c>
      <c r="G20" s="30" t="s">
        <v>537</v>
      </c>
      <c r="H20" s="30" t="str">
        <f t="shared" si="0"/>
        <v>Nguyen Tuan Nghia</v>
      </c>
      <c r="I20" s="35" t="str">
        <f t="shared" si="1"/>
        <v>Medigo TT Luong T10.2024 -  P.VẬN HÀNH NT -   Nguyen Tuan Nghia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26.25" customHeight="1">
      <c r="A21" s="30" t="s">
        <v>506</v>
      </c>
      <c r="B21" s="30" t="s">
        <v>482</v>
      </c>
      <c r="C21" s="30" t="s">
        <v>538</v>
      </c>
      <c r="D21" s="31" t="s">
        <v>539</v>
      </c>
      <c r="E21" s="30" t="s">
        <v>208</v>
      </c>
      <c r="F21" s="48" t="e">
        <f>#REF!</f>
        <v>#REF!</v>
      </c>
      <c r="G21" s="30" t="s">
        <v>540</v>
      </c>
      <c r="H21" s="30" t="str">
        <f t="shared" si="0"/>
        <v>Do Hoang Anh Vuong</v>
      </c>
      <c r="I21" s="35" t="str">
        <f t="shared" si="1"/>
        <v>Medigo TT Luong T10.2024 -  P.XN·-   Do Hoang Anh Vuong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26.25" customHeight="1">
      <c r="A22" s="30" t="s">
        <v>541</v>
      </c>
      <c r="B22" s="30" t="s">
        <v>482</v>
      </c>
      <c r="C22" s="30" t="s">
        <v>542</v>
      </c>
      <c r="D22" s="31" t="s">
        <v>543</v>
      </c>
      <c r="E22" s="30" t="s">
        <v>212</v>
      </c>
      <c r="F22" s="48" t="e">
        <f>#REF!</f>
        <v>#REF!</v>
      </c>
      <c r="G22" s="30" t="s">
        <v>540</v>
      </c>
      <c r="H22" s="30" t="str">
        <f t="shared" si="0"/>
        <v>Phan Thi Truc Giang</v>
      </c>
      <c r="I22" s="35" t="str">
        <f t="shared" si="1"/>
        <v>Medigo TT Luong T10.2024 -  P.XN·-   Phan Thi Truc Giang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26.25" customHeight="1">
      <c r="A23" s="30" t="s">
        <v>541</v>
      </c>
      <c r="B23" s="30" t="s">
        <v>482</v>
      </c>
      <c r="C23" s="30" t="s">
        <v>544</v>
      </c>
      <c r="D23" s="31" t="s">
        <v>545</v>
      </c>
      <c r="E23" s="30" t="s">
        <v>132</v>
      </c>
      <c r="F23" s="48" t="e">
        <f>#REF!</f>
        <v>#REF!</v>
      </c>
      <c r="G23" s="30" t="s">
        <v>540</v>
      </c>
      <c r="H23" s="30" t="str">
        <f t="shared" si="0"/>
        <v>Tran Thi Nhu Y</v>
      </c>
      <c r="I23" s="35" t="str">
        <f t="shared" si="1"/>
        <v>Medigo TT Luong T10.2024 -  P.XN·-   Tran Thi Nhu Y</v>
      </c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26.25" customHeight="1">
      <c r="A24" s="30" t="s">
        <v>541</v>
      </c>
      <c r="B24" s="30" t="s">
        <v>482</v>
      </c>
      <c r="C24" s="30" t="s">
        <v>546</v>
      </c>
      <c r="D24" s="31" t="s">
        <v>547</v>
      </c>
      <c r="E24" s="30" t="s">
        <v>141</v>
      </c>
      <c r="F24" s="48" t="e">
        <f>#REF!</f>
        <v>#REF!</v>
      </c>
      <c r="G24" s="30" t="s">
        <v>540</v>
      </c>
      <c r="H24" s="30" t="str">
        <f t="shared" si="0"/>
        <v>Tran Phu Quy</v>
      </c>
      <c r="I24" s="35" t="str">
        <f t="shared" si="1"/>
        <v>Medigo TT Luong T10.2024 -  P.XN·-   Tran Phu Quy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26.25" customHeight="1">
      <c r="A25" s="30" t="s">
        <v>548</v>
      </c>
      <c r="B25" s="30" t="s">
        <v>482</v>
      </c>
      <c r="C25" s="30" t="s">
        <v>549</v>
      </c>
      <c r="D25" s="31">
        <v>3863983701</v>
      </c>
      <c r="E25" s="30" t="s">
        <v>550</v>
      </c>
      <c r="F25" s="48" t="e">
        <f>#REF!</f>
        <v>#REF!</v>
      </c>
      <c r="G25" s="30" t="s">
        <v>540</v>
      </c>
      <c r="H25" s="30" t="s">
        <v>549</v>
      </c>
      <c r="I25" s="35" t="s">
        <v>551</v>
      </c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26.25" customHeight="1">
      <c r="A26" s="30" t="s">
        <v>552</v>
      </c>
      <c r="B26" s="30" t="s">
        <v>482</v>
      </c>
      <c r="C26" s="30" t="s">
        <v>553</v>
      </c>
      <c r="D26" s="31" t="s">
        <v>554</v>
      </c>
      <c r="E26" s="30" t="s">
        <v>119</v>
      </c>
      <c r="F26" s="48" t="e">
        <f>#REF!</f>
        <v>#REF!</v>
      </c>
      <c r="G26" s="30" t="s">
        <v>555</v>
      </c>
      <c r="H26" s="30" t="str">
        <f>C26</f>
        <v>Vu Quang Truong</v>
      </c>
      <c r="I26" s="35" t="str">
        <f t="shared" ref="I26:I31" si="2">G26&amp;" "&amp;H26</f>
        <v>Medigo TT Luong T10.2024 -  P.KT -   Vu Quang Truong</v>
      </c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26.25" customHeight="1">
      <c r="A27" s="30" t="s">
        <v>552</v>
      </c>
      <c r="B27" s="30" t="s">
        <v>482</v>
      </c>
      <c r="C27" s="30" t="s">
        <v>556</v>
      </c>
      <c r="D27" s="469" t="s">
        <v>557</v>
      </c>
      <c r="E27" s="30" t="s">
        <v>119</v>
      </c>
      <c r="F27" s="48" t="e">
        <f>#REF!</f>
        <v>#REF!</v>
      </c>
      <c r="G27" s="30" t="s">
        <v>555</v>
      </c>
      <c r="H27" s="30" t="str">
        <f>C27</f>
        <v>Nguyen Cao Nhan</v>
      </c>
      <c r="I27" s="35" t="str">
        <f t="shared" si="2"/>
        <v>Medigo TT Luong T10.2024 -  P.KT -   Nguyen Cao Nhan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26.25" customHeight="1">
      <c r="A28" s="30" t="s">
        <v>552</v>
      </c>
      <c r="B28" s="30" t="s">
        <v>482</v>
      </c>
      <c r="C28" s="30" t="s">
        <v>558</v>
      </c>
      <c r="D28" s="469" t="s">
        <v>559</v>
      </c>
      <c r="E28" s="30" t="s">
        <v>220</v>
      </c>
      <c r="F28" s="48" t="e">
        <f>#REF!</f>
        <v>#REF!</v>
      </c>
      <c r="G28" s="30" t="s">
        <v>555</v>
      </c>
      <c r="H28" s="30" t="str">
        <f>C28</f>
        <v>Nguyen Tan Trong</v>
      </c>
      <c r="I28" s="35" t="str">
        <f t="shared" si="2"/>
        <v>Medigo TT Luong T10.2024 -  P.KT -   Nguyen Tan Trong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26.25" customHeight="1">
      <c r="A29" s="30" t="s">
        <v>552</v>
      </c>
      <c r="B29" s="30" t="s">
        <v>482</v>
      </c>
      <c r="C29" s="30" t="s">
        <v>560</v>
      </c>
      <c r="D29" s="469" t="s">
        <v>561</v>
      </c>
      <c r="E29" s="30" t="s">
        <v>220</v>
      </c>
      <c r="F29" s="48" t="e">
        <f>#REF!</f>
        <v>#REF!</v>
      </c>
      <c r="G29" s="30" t="s">
        <v>555</v>
      </c>
      <c r="H29" s="30" t="str">
        <f>C29</f>
        <v>Nguyen Tương Vi</v>
      </c>
      <c r="I29" s="35" t="str">
        <f t="shared" si="2"/>
        <v>Medigo TT Luong T10.2024 -  P.KT -   Nguyen Tương Vi</v>
      </c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26.25" customHeight="1">
      <c r="A30" s="30" t="s">
        <v>552</v>
      </c>
      <c r="B30" s="30" t="s">
        <v>482</v>
      </c>
      <c r="C30" s="30" t="s">
        <v>562</v>
      </c>
      <c r="D30" s="469" t="s">
        <v>563</v>
      </c>
      <c r="E30" s="30" t="s">
        <v>220</v>
      </c>
      <c r="F30" s="48" t="e">
        <f>#REF!</f>
        <v>#REF!</v>
      </c>
      <c r="G30" s="30" t="s">
        <v>555</v>
      </c>
      <c r="H30" s="30" t="str">
        <f>C30</f>
        <v>Vu Thi Thu Ha</v>
      </c>
      <c r="I30" s="35" t="str">
        <f t="shared" si="2"/>
        <v>Medigo TT Luong T10.2024 -  P.KT -   Vu Thi Thu Ha</v>
      </c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26.25" customHeight="1">
      <c r="A31" s="30"/>
      <c r="B31" s="30"/>
      <c r="C31" s="30"/>
      <c r="D31" s="31"/>
      <c r="E31" s="48"/>
      <c r="F31" s="49" t="e">
        <f>SUM(F3:F30)</f>
        <v>#REF!</v>
      </c>
      <c r="G31" s="30"/>
      <c r="H31" s="30"/>
      <c r="I31" s="35" t="str">
        <f t="shared" si="2"/>
        <v/>
      </c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" customHeight="1">
      <c r="A32" s="42" t="s">
        <v>564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27" customHeight="1">
      <c r="A33" s="30" t="s">
        <v>565</v>
      </c>
      <c r="B33" s="30" t="s">
        <v>482</v>
      </c>
      <c r="C33" s="31" t="s">
        <v>566</v>
      </c>
      <c r="D33" s="30" t="s">
        <v>567</v>
      </c>
      <c r="E33" s="51" t="s">
        <v>494</v>
      </c>
      <c r="F33" s="48" t="e">
        <f>#REF!</f>
        <v>#REF!</v>
      </c>
      <c r="G33" s="30" t="s">
        <v>568</v>
      </c>
      <c r="H33" s="30" t="str">
        <f t="shared" ref="H33:H57" si="3">C33</f>
        <v>Truong Vinh Thai</v>
      </c>
      <c r="I33" s="35" t="str">
        <f t="shared" ref="I33:I57" si="4">G33&amp;" "&amp;H33</f>
        <v>Medigo TT Luong T10.2024 -  BS.ONL -   Truong Vinh Thai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27" customHeight="1">
      <c r="A34" s="30" t="s">
        <v>565</v>
      </c>
      <c r="B34" s="30" t="s">
        <v>482</v>
      </c>
      <c r="C34" s="31" t="s">
        <v>569</v>
      </c>
      <c r="D34" s="30" t="s">
        <v>570</v>
      </c>
      <c r="E34" s="30" t="s">
        <v>264</v>
      </c>
      <c r="F34" s="48" t="e">
        <f>#REF!</f>
        <v>#REF!</v>
      </c>
      <c r="G34" s="30" t="s">
        <v>568</v>
      </c>
      <c r="H34" s="30" t="str">
        <f t="shared" si="3"/>
        <v>Vo Tran Minh Tri</v>
      </c>
      <c r="I34" s="35" t="str">
        <f t="shared" si="4"/>
        <v>Medigo TT Luong T10.2024 -  BS.ONL -   Vo Tran Minh Tri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27" customHeight="1">
      <c r="A35" s="30" t="s">
        <v>565</v>
      </c>
      <c r="B35" s="30" t="s">
        <v>482</v>
      </c>
      <c r="C35" s="31" t="s">
        <v>571</v>
      </c>
      <c r="D35" s="31" t="s">
        <v>572</v>
      </c>
      <c r="E35" s="30" t="s">
        <v>264</v>
      </c>
      <c r="F35" s="48" t="e">
        <f>#REF!</f>
        <v>#REF!</v>
      </c>
      <c r="G35" s="30" t="s">
        <v>568</v>
      </c>
      <c r="H35" s="30" t="str">
        <f t="shared" si="3"/>
        <v>Le Thi Thu Huong</v>
      </c>
      <c r="I35" s="35" t="str">
        <f t="shared" si="4"/>
        <v>Medigo TT Luong T10.2024 -  BS.ONL -   Le Thi Thu Huong</v>
      </c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27" customHeight="1">
      <c r="A36" s="30" t="s">
        <v>565</v>
      </c>
      <c r="B36" s="30" t="s">
        <v>482</v>
      </c>
      <c r="C36" s="31" t="s">
        <v>573</v>
      </c>
      <c r="D36" s="30" t="s">
        <v>574</v>
      </c>
      <c r="E36" s="51" t="s">
        <v>494</v>
      </c>
      <c r="F36" s="48" t="e">
        <f>#REF!</f>
        <v>#REF!</v>
      </c>
      <c r="G36" s="30" t="s">
        <v>568</v>
      </c>
      <c r="H36" s="30" t="str">
        <f t="shared" si="3"/>
        <v>Luong To Quyen</v>
      </c>
      <c r="I36" s="35" t="str">
        <f t="shared" si="4"/>
        <v>Medigo TT Luong T10.2024 -  BS.ONL -   Luong To Quyen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27" customHeight="1">
      <c r="A37" s="30" t="s">
        <v>565</v>
      </c>
      <c r="B37" s="30" t="s">
        <v>482</v>
      </c>
      <c r="C37" s="31" t="s">
        <v>575</v>
      </c>
      <c r="D37" s="50" t="s">
        <v>576</v>
      </c>
      <c r="E37" s="50" t="s">
        <v>494</v>
      </c>
      <c r="F37" s="48" t="e">
        <f>#REF!</f>
        <v>#REF!</v>
      </c>
      <c r="G37" s="30" t="s">
        <v>568</v>
      </c>
      <c r="H37" s="30" t="str">
        <f t="shared" si="3"/>
        <v>Lê Thị Thùy Ngân</v>
      </c>
      <c r="I37" s="35" t="str">
        <f t="shared" si="4"/>
        <v>Medigo TT Luong T10.2024 -  BS.ONL -   Lê Thị Thùy Ngân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27" customHeight="1">
      <c r="A38" s="30" t="s">
        <v>565</v>
      </c>
      <c r="B38" s="30" t="s">
        <v>482</v>
      </c>
      <c r="C38" s="31" t="s">
        <v>577</v>
      </c>
      <c r="D38" s="30" t="s">
        <v>578</v>
      </c>
      <c r="E38" s="51" t="s">
        <v>208</v>
      </c>
      <c r="F38" s="48" t="e">
        <f>#REF!</f>
        <v>#REF!</v>
      </c>
      <c r="G38" s="30" t="s">
        <v>568</v>
      </c>
      <c r="H38" s="30" t="str">
        <f t="shared" si="3"/>
        <v>Pham Thi Ngoc Dung</v>
      </c>
      <c r="I38" s="35" t="str">
        <f t="shared" si="4"/>
        <v>Medigo TT Luong T10.2024 -  BS.ONL -   Pham Thi Ngoc Dung</v>
      </c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27" customHeight="1">
      <c r="A39" s="30" t="s">
        <v>565</v>
      </c>
      <c r="B39" s="30" t="s">
        <v>482</v>
      </c>
      <c r="C39" s="31" t="s">
        <v>579</v>
      </c>
      <c r="D39" s="30" t="s">
        <v>580</v>
      </c>
      <c r="E39" s="51" t="s">
        <v>581</v>
      </c>
      <c r="F39" s="48" t="e">
        <f>#REF!</f>
        <v>#REF!</v>
      </c>
      <c r="G39" s="30" t="s">
        <v>568</v>
      </c>
      <c r="H39" s="30" t="str">
        <f t="shared" si="3"/>
        <v>Vo Duy Tam</v>
      </c>
      <c r="I39" s="35" t="str">
        <f t="shared" si="4"/>
        <v>Medigo TT Luong T10.2024 -  BS.ONL -   Vo Duy Tam</v>
      </c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27" customHeight="1">
      <c r="A40" s="30" t="s">
        <v>565</v>
      </c>
      <c r="B40" s="30" t="s">
        <v>482</v>
      </c>
      <c r="C40" s="31" t="s">
        <v>582</v>
      </c>
      <c r="D40" s="30" t="s">
        <v>583</v>
      </c>
      <c r="E40" s="51" t="s">
        <v>581</v>
      </c>
      <c r="F40" s="48" t="e">
        <f>#REF!</f>
        <v>#REF!</v>
      </c>
      <c r="G40" s="30" t="s">
        <v>568</v>
      </c>
      <c r="H40" s="30" t="str">
        <f t="shared" si="3"/>
        <v>Duong Tan Thanh</v>
      </c>
      <c r="I40" s="35" t="str">
        <f t="shared" si="4"/>
        <v>Medigo TT Luong T10.2024 -  BS.ONL -   Duong Tan Thanh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27" customHeight="1">
      <c r="A41" s="30" t="s">
        <v>565</v>
      </c>
      <c r="B41" s="30" t="s">
        <v>482</v>
      </c>
      <c r="C41" s="31" t="s">
        <v>584</v>
      </c>
      <c r="D41" s="31" t="s">
        <v>585</v>
      </c>
      <c r="E41" s="30" t="s">
        <v>337</v>
      </c>
      <c r="F41" s="48" t="e">
        <f>#REF!</f>
        <v>#REF!</v>
      </c>
      <c r="G41" s="30" t="s">
        <v>568</v>
      </c>
      <c r="H41" s="30" t="str">
        <f t="shared" si="3"/>
        <v>Do Thi Lam Oanh</v>
      </c>
      <c r="I41" s="35" t="str">
        <f t="shared" si="4"/>
        <v>Medigo TT Luong T10.2024 -  BS.ONL -   Do Thi Lam Oanh</v>
      </c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27" customHeight="1">
      <c r="A42" s="30" t="s">
        <v>565</v>
      </c>
      <c r="B42" s="30" t="s">
        <v>482</v>
      </c>
      <c r="C42" s="31" t="s">
        <v>586</v>
      </c>
      <c r="D42" s="31" t="s">
        <v>587</v>
      </c>
      <c r="E42" s="30" t="s">
        <v>494</v>
      </c>
      <c r="F42" s="48" t="e">
        <f>#REF!</f>
        <v>#REF!</v>
      </c>
      <c r="G42" s="30" t="s">
        <v>568</v>
      </c>
      <c r="H42" s="30" t="str">
        <f t="shared" si="3"/>
        <v>Nguyen Thanh Hoang Loc</v>
      </c>
      <c r="I42" s="35" t="str">
        <f t="shared" si="4"/>
        <v>Medigo TT Luong T10.2024 -  BS.ONL -   Nguyen Thanh Hoang Loc</v>
      </c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27" customHeight="1">
      <c r="A43" s="30" t="s">
        <v>565</v>
      </c>
      <c r="B43" s="30" t="s">
        <v>482</v>
      </c>
      <c r="C43" s="31" t="s">
        <v>588</v>
      </c>
      <c r="D43" s="30" t="s">
        <v>589</v>
      </c>
      <c r="E43" s="51" t="s">
        <v>590</v>
      </c>
      <c r="F43" s="48" t="e">
        <f>#REF!</f>
        <v>#REF!</v>
      </c>
      <c r="G43" s="30" t="s">
        <v>568</v>
      </c>
      <c r="H43" s="30" t="str">
        <f t="shared" si="3"/>
        <v>Tran Thi Thu Ha</v>
      </c>
      <c r="I43" s="35" t="str">
        <f t="shared" si="4"/>
        <v>Medigo TT Luong T10.2024 -  BS.ONL -   Tran Thi Thu Ha</v>
      </c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27" customHeight="1">
      <c r="A44" s="30" t="s">
        <v>565</v>
      </c>
      <c r="B44" s="30" t="s">
        <v>482</v>
      </c>
      <c r="C44" s="31" t="s">
        <v>591</v>
      </c>
      <c r="D44" s="30" t="s">
        <v>592</v>
      </c>
      <c r="E44" s="51" t="s">
        <v>494</v>
      </c>
      <c r="F44" s="48" t="e">
        <f>#REF!</f>
        <v>#REF!</v>
      </c>
      <c r="G44" s="30" t="s">
        <v>568</v>
      </c>
      <c r="H44" s="30" t="str">
        <f t="shared" si="3"/>
        <v>Do Thai Phuong Ngoc</v>
      </c>
      <c r="I44" s="35" t="str">
        <f t="shared" si="4"/>
        <v>Medigo TT Luong T10.2024 -  BS.ONL -   Do Thai Phuong Ngoc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27" customHeight="1">
      <c r="A45" s="30" t="s">
        <v>565</v>
      </c>
      <c r="B45" s="30" t="s">
        <v>482</v>
      </c>
      <c r="C45" s="31" t="s">
        <v>593</v>
      </c>
      <c r="D45" s="31" t="s">
        <v>594</v>
      </c>
      <c r="E45" s="30" t="s">
        <v>337</v>
      </c>
      <c r="F45" s="48" t="e">
        <f>#REF!</f>
        <v>#REF!</v>
      </c>
      <c r="G45" s="30" t="s">
        <v>568</v>
      </c>
      <c r="H45" s="30" t="str">
        <f t="shared" si="3"/>
        <v>Tran Phuoc Duy Bao</v>
      </c>
      <c r="I45" s="35" t="str">
        <f t="shared" si="4"/>
        <v>Medigo TT Luong T10.2024 -  BS.ONL -   Tran Phuoc Duy Bao</v>
      </c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27" customHeight="1">
      <c r="A46" s="30" t="s">
        <v>565</v>
      </c>
      <c r="B46" s="30" t="s">
        <v>482</v>
      </c>
      <c r="C46" s="31" t="s">
        <v>595</v>
      </c>
      <c r="D46" s="31" t="s">
        <v>596</v>
      </c>
      <c r="E46" s="30" t="s">
        <v>264</v>
      </c>
      <c r="F46" s="48" t="e">
        <f>#REF!</f>
        <v>#REF!</v>
      </c>
      <c r="G46" s="30" t="s">
        <v>568</v>
      </c>
      <c r="H46" s="30" t="str">
        <f t="shared" si="3"/>
        <v>Nguyen Minh Bao</v>
      </c>
      <c r="I46" s="35" t="str">
        <f t="shared" si="4"/>
        <v>Medigo TT Luong T10.2024 -  BS.ONL -   Nguyen Minh Bao</v>
      </c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27" customHeight="1">
      <c r="A47" s="30" t="s">
        <v>565</v>
      </c>
      <c r="B47" s="30" t="s">
        <v>482</v>
      </c>
      <c r="C47" s="31" t="s">
        <v>597</v>
      </c>
      <c r="D47" s="30" t="s">
        <v>598</v>
      </c>
      <c r="E47" s="30" t="s">
        <v>494</v>
      </c>
      <c r="F47" s="48" t="e">
        <f>#REF!</f>
        <v>#REF!</v>
      </c>
      <c r="G47" s="30" t="s">
        <v>568</v>
      </c>
      <c r="H47" s="30" t="str">
        <f t="shared" si="3"/>
        <v>Nguyen Ly Nhat Tam</v>
      </c>
      <c r="I47" s="35" t="str">
        <f t="shared" si="4"/>
        <v>Medigo TT Luong T10.2024 -  BS.ONL -   Nguyen Ly Nhat Tam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27" customHeight="1">
      <c r="A48" s="30" t="s">
        <v>565</v>
      </c>
      <c r="B48" s="30" t="s">
        <v>482</v>
      </c>
      <c r="C48" s="31" t="s">
        <v>599</v>
      </c>
      <c r="D48" s="30" t="s">
        <v>600</v>
      </c>
      <c r="E48" s="30" t="s">
        <v>212</v>
      </c>
      <c r="F48" s="48" t="e">
        <f>#REF!</f>
        <v>#REF!</v>
      </c>
      <c r="G48" s="30" t="s">
        <v>568</v>
      </c>
      <c r="H48" s="30" t="str">
        <f t="shared" si="3"/>
        <v>Tran Thi Kieu My</v>
      </c>
      <c r="I48" s="35" t="str">
        <f t="shared" si="4"/>
        <v>Medigo TT Luong T10.2024 -  BS.ONL -   Tran Thi Kieu My</v>
      </c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27" customHeight="1">
      <c r="A49" s="30" t="s">
        <v>565</v>
      </c>
      <c r="B49" s="30" t="s">
        <v>482</v>
      </c>
      <c r="C49" s="31" t="s">
        <v>601</v>
      </c>
      <c r="D49" s="30" t="s">
        <v>602</v>
      </c>
      <c r="E49" s="51" t="s">
        <v>212</v>
      </c>
      <c r="F49" s="48" t="e">
        <f>#REF!</f>
        <v>#REF!</v>
      </c>
      <c r="G49" s="30" t="s">
        <v>568</v>
      </c>
      <c r="H49" s="30" t="str">
        <f t="shared" si="3"/>
        <v>Nguyen Thuy Thuy Duong</v>
      </c>
      <c r="I49" s="35" t="str">
        <f t="shared" si="4"/>
        <v>Medigo TT Luong T10.2024 -  BS.ONL -   Nguyen Thuy Thuy Duong</v>
      </c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27" customHeight="1">
      <c r="A50" s="30" t="s">
        <v>565</v>
      </c>
      <c r="B50" s="30" t="s">
        <v>482</v>
      </c>
      <c r="C50" s="31" t="s">
        <v>603</v>
      </c>
      <c r="D50" s="30" t="s">
        <v>604</v>
      </c>
      <c r="E50" s="51" t="s">
        <v>264</v>
      </c>
      <c r="F50" s="48" t="e">
        <f>#REF!</f>
        <v>#REF!</v>
      </c>
      <c r="G50" s="30" t="s">
        <v>568</v>
      </c>
      <c r="H50" s="30" t="str">
        <f t="shared" si="3"/>
        <v>Ho Duc Ha</v>
      </c>
      <c r="I50" s="35" t="str">
        <f t="shared" si="4"/>
        <v>Medigo TT Luong T10.2024 -  BS.ONL -   Ho Duc Ha</v>
      </c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27" customHeight="1">
      <c r="A51" s="30" t="s">
        <v>565</v>
      </c>
      <c r="B51" s="30" t="s">
        <v>482</v>
      </c>
      <c r="C51" s="31" t="s">
        <v>605</v>
      </c>
      <c r="D51" s="30" t="s">
        <v>606</v>
      </c>
      <c r="E51" s="51" t="s">
        <v>119</v>
      </c>
      <c r="F51" s="48" t="e">
        <f>#REF!</f>
        <v>#REF!</v>
      </c>
      <c r="G51" s="30" t="s">
        <v>568</v>
      </c>
      <c r="H51" s="30" t="str">
        <f t="shared" si="3"/>
        <v>Huynh Nhu Huynh</v>
      </c>
      <c r="I51" s="35" t="str">
        <f t="shared" si="4"/>
        <v>Medigo TT Luong T10.2024 -  BS.ONL -   Huynh Nhu Huynh</v>
      </c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27" customHeight="1">
      <c r="A52" s="30" t="s">
        <v>565</v>
      </c>
      <c r="B52" s="30" t="s">
        <v>482</v>
      </c>
      <c r="C52" s="31" t="s">
        <v>607</v>
      </c>
      <c r="D52" s="30" t="s">
        <v>608</v>
      </c>
      <c r="E52" s="51" t="s">
        <v>264</v>
      </c>
      <c r="F52" s="48" t="e">
        <f>#REF!</f>
        <v>#REF!</v>
      </c>
      <c r="G52" s="30" t="s">
        <v>568</v>
      </c>
      <c r="H52" s="30" t="str">
        <f t="shared" si="3"/>
        <v>Pham Hong Toan</v>
      </c>
      <c r="I52" s="35" t="str">
        <f t="shared" si="4"/>
        <v>Medigo TT Luong T10.2024 -  BS.ONL -   Pham Hong Toan</v>
      </c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27" customHeight="1">
      <c r="A53" s="30" t="s">
        <v>565</v>
      </c>
      <c r="B53" s="30" t="s">
        <v>482</v>
      </c>
      <c r="C53" s="31" t="s">
        <v>609</v>
      </c>
      <c r="D53" s="31" t="s">
        <v>610</v>
      </c>
      <c r="E53" s="30" t="s">
        <v>212</v>
      </c>
      <c r="F53" s="48" t="e">
        <f>#REF!</f>
        <v>#REF!</v>
      </c>
      <c r="G53" s="30" t="s">
        <v>568</v>
      </c>
      <c r="H53" s="30" t="str">
        <f t="shared" si="3"/>
        <v>Pham Hoang Vu</v>
      </c>
      <c r="I53" s="35" t="str">
        <f t="shared" si="4"/>
        <v>Medigo TT Luong T10.2024 -  BS.ONL -   Pham Hoang Vu</v>
      </c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27" customHeight="1">
      <c r="A54" s="30" t="s">
        <v>565</v>
      </c>
      <c r="B54" s="30" t="s">
        <v>482</v>
      </c>
      <c r="C54" s="31" t="s">
        <v>611</v>
      </c>
      <c r="D54" s="31">
        <v>1013264128</v>
      </c>
      <c r="E54" s="30" t="s">
        <v>119</v>
      </c>
      <c r="F54" s="48" t="e">
        <f>#REF!</f>
        <v>#REF!</v>
      </c>
      <c r="G54" s="30" t="s">
        <v>568</v>
      </c>
      <c r="H54" s="30" t="str">
        <f t="shared" si="3"/>
        <v>Nguyen Huynh Quang Tin</v>
      </c>
      <c r="I54" s="35" t="str">
        <f t="shared" si="4"/>
        <v>Medigo TT Luong T10.2024 -  BS.ONL -   Nguyen Huynh Quang Tin</v>
      </c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27" customHeight="1">
      <c r="A55" s="30" t="s">
        <v>565</v>
      </c>
      <c r="B55" s="30" t="s">
        <v>482</v>
      </c>
      <c r="C55" s="31" t="s">
        <v>612</v>
      </c>
      <c r="D55" s="31">
        <v>1035692744</v>
      </c>
      <c r="E55" s="30" t="s">
        <v>613</v>
      </c>
      <c r="F55" s="48" t="e">
        <f>#REF!</f>
        <v>#REF!</v>
      </c>
      <c r="G55" s="30" t="s">
        <v>568</v>
      </c>
      <c r="H55" s="30" t="str">
        <f t="shared" si="3"/>
        <v>Le Thi Kieu Trinh</v>
      </c>
      <c r="I55" s="35" t="str">
        <f t="shared" si="4"/>
        <v>Medigo TT Luong T10.2024 -  BS.ONL -   Le Thi Kieu Trinh</v>
      </c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27" customHeight="1">
      <c r="A56" s="30" t="s">
        <v>565</v>
      </c>
      <c r="B56" s="30" t="s">
        <v>482</v>
      </c>
      <c r="C56" s="30" t="s">
        <v>614</v>
      </c>
      <c r="D56" s="31" t="s">
        <v>615</v>
      </c>
      <c r="E56" s="30" t="s">
        <v>212</v>
      </c>
      <c r="F56" s="48" t="e">
        <f>#REF!</f>
        <v>#REF!</v>
      </c>
      <c r="G56" s="30" t="s">
        <v>568</v>
      </c>
      <c r="H56" s="30" t="str">
        <f t="shared" si="3"/>
        <v>Tran Thi Quynh</v>
      </c>
      <c r="I56" s="35" t="str">
        <f t="shared" si="4"/>
        <v>Medigo TT Luong T10.2024 -  BS.ONL -   Tran Thi Quynh</v>
      </c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27" customHeight="1">
      <c r="A57" s="30" t="s">
        <v>565</v>
      </c>
      <c r="B57" s="30" t="s">
        <v>482</v>
      </c>
      <c r="C57" s="31" t="s">
        <v>616</v>
      </c>
      <c r="D57" s="30" t="s">
        <v>617</v>
      </c>
      <c r="E57" s="51" t="s">
        <v>264</v>
      </c>
      <c r="F57" s="48" t="e">
        <f>#REF!</f>
        <v>#REF!</v>
      </c>
      <c r="G57" s="30" t="s">
        <v>568</v>
      </c>
      <c r="H57" s="30" t="str">
        <f t="shared" si="3"/>
        <v>Dinh Thi Thu Trang</v>
      </c>
      <c r="I57" s="35" t="str">
        <f t="shared" si="4"/>
        <v>Medigo TT Luong T10.2024 -  BS.ONL -   Dinh Thi Thu Trang</v>
      </c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23.25" customHeight="1">
      <c r="A58" s="50"/>
      <c r="B58" s="30"/>
      <c r="C58" s="30"/>
      <c r="D58" s="31"/>
      <c r="E58" s="30"/>
      <c r="F58" s="49" t="e">
        <f>SUM(F33:F57)</f>
        <v>#REF!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" customHeight="1">
      <c r="A59" s="34" t="s">
        <v>618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26.25" customHeight="1">
      <c r="A60" s="30" t="s">
        <v>495</v>
      </c>
      <c r="B60" s="30" t="s">
        <v>482</v>
      </c>
      <c r="C60" s="31" t="s">
        <v>619</v>
      </c>
      <c r="D60" s="31" t="s">
        <v>620</v>
      </c>
      <c r="E60" s="30" t="s">
        <v>621</v>
      </c>
      <c r="F60" s="48" t="e">
        <f>#REF!</f>
        <v>#REF!</v>
      </c>
      <c r="G60" s="30" t="s">
        <v>498</v>
      </c>
      <c r="H60" s="30" t="str">
        <f t="shared" ref="H60:H68" si="5">C60</f>
        <v>Vo Nguyen Doan Thao</v>
      </c>
      <c r="I60" s="35" t="str">
        <f t="shared" ref="I60:I68" si="6">G60&amp;" "&amp;H60</f>
        <v>Medigo TT Luong T10.2024 -  P.IT -   Vo Nguyen Doan Thao</v>
      </c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26.25" customHeight="1">
      <c r="A61" s="30" t="s">
        <v>495</v>
      </c>
      <c r="B61" s="30" t="s">
        <v>482</v>
      </c>
      <c r="C61" s="31" t="s">
        <v>622</v>
      </c>
      <c r="D61" s="469" t="s">
        <v>623</v>
      </c>
      <c r="E61" s="30" t="s">
        <v>212</v>
      </c>
      <c r="F61" s="48" t="e">
        <f>#REF!</f>
        <v>#REF!</v>
      </c>
      <c r="G61" s="30" t="s">
        <v>498</v>
      </c>
      <c r="H61" s="30" t="str">
        <f t="shared" si="5"/>
        <v>Dang Quang Vinh</v>
      </c>
      <c r="I61" s="35" t="str">
        <f t="shared" si="6"/>
        <v>Medigo TT Luong T10.2024 -  P.IT -   Dang Quang Vinh</v>
      </c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26.25" customHeight="1">
      <c r="A62" s="30" t="s">
        <v>495</v>
      </c>
      <c r="B62" s="30" t="s">
        <v>482</v>
      </c>
      <c r="C62" s="31" t="s">
        <v>624</v>
      </c>
      <c r="D62" s="469" t="s">
        <v>625</v>
      </c>
      <c r="E62" s="469" t="s">
        <v>621</v>
      </c>
      <c r="F62" s="48" t="e">
        <f>#REF!</f>
        <v>#REF!</v>
      </c>
      <c r="G62" s="30" t="s">
        <v>498</v>
      </c>
      <c r="H62" s="30" t="str">
        <f t="shared" si="5"/>
        <v>Luu Chan Hung</v>
      </c>
      <c r="I62" s="35" t="str">
        <f t="shared" si="6"/>
        <v>Medigo TT Luong T10.2024 -  P.IT -   Luu Chan Hung</v>
      </c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26.25" customHeight="1">
      <c r="A63" s="30" t="s">
        <v>495</v>
      </c>
      <c r="B63" s="30" t="s">
        <v>482</v>
      </c>
      <c r="C63" s="31" t="s">
        <v>626</v>
      </c>
      <c r="D63" s="469" t="s">
        <v>627</v>
      </c>
      <c r="E63" s="469" t="s">
        <v>337</v>
      </c>
      <c r="F63" s="48" t="e">
        <f>#REF!</f>
        <v>#REF!</v>
      </c>
      <c r="G63" s="30" t="s">
        <v>498</v>
      </c>
      <c r="H63" s="30" t="str">
        <f t="shared" si="5"/>
        <v>Nguyen Phan Hoang Phuc</v>
      </c>
      <c r="I63" s="35" t="str">
        <f t="shared" si="6"/>
        <v>Medigo TT Luong T10.2024 -  P.IT -   Nguyen Phan Hoang Phuc</v>
      </c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26.25" customHeight="1">
      <c r="A64" s="30" t="s">
        <v>628</v>
      </c>
      <c r="B64" s="52" t="s">
        <v>482</v>
      </c>
      <c r="C64" s="52" t="s">
        <v>629</v>
      </c>
      <c r="D64" s="470" t="s">
        <v>630</v>
      </c>
      <c r="E64" s="52" t="s">
        <v>264</v>
      </c>
      <c r="F64" s="48" t="e">
        <f>#REF!</f>
        <v>#REF!</v>
      </c>
      <c r="G64" s="30" t="s">
        <v>631</v>
      </c>
      <c r="H64" s="30" t="str">
        <f t="shared" si="5"/>
        <v>Nguyen Duc Viet Khoa</v>
      </c>
      <c r="I64" s="35" t="str">
        <f t="shared" si="6"/>
        <v>Medigo TT Luong T10.2024 -  P.VAN HANH NT -   Nguyen Duc Viet Khoa</v>
      </c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26.25" customHeight="1">
      <c r="A65" s="30" t="s">
        <v>632</v>
      </c>
      <c r="B65" s="30" t="s">
        <v>482</v>
      </c>
      <c r="C65" s="31" t="s">
        <v>633</v>
      </c>
      <c r="D65" s="31" t="s">
        <v>634</v>
      </c>
      <c r="E65" s="30" t="s">
        <v>635</v>
      </c>
      <c r="F65" s="48" t="e">
        <f>#REF!</f>
        <v>#REF!</v>
      </c>
      <c r="G65" s="30" t="s">
        <v>509</v>
      </c>
      <c r="H65" s="30" t="str">
        <f t="shared" si="5"/>
        <v>Nguyen Thi Xuan Phuong</v>
      </c>
      <c r="I65" s="35" t="str">
        <f t="shared" si="6"/>
        <v>Medigo TT Luong T10.2024 -  P.MARKETING -   Nguyen Thi Xuan Phuong</v>
      </c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26.25" customHeight="1">
      <c r="A66" s="30" t="s">
        <v>552</v>
      </c>
      <c r="B66" s="30" t="s">
        <v>482</v>
      </c>
      <c r="C66" s="31" t="s">
        <v>636</v>
      </c>
      <c r="D66" s="31" t="s">
        <v>637</v>
      </c>
      <c r="E66" s="30" t="s">
        <v>494</v>
      </c>
      <c r="F66" s="48" t="e">
        <f>#REF!</f>
        <v>#REF!</v>
      </c>
      <c r="G66" s="30" t="s">
        <v>638</v>
      </c>
      <c r="H66" s="30" t="str">
        <f t="shared" si="5"/>
        <v>Duong Ngoc Vy</v>
      </c>
      <c r="I66" s="35" t="str">
        <f t="shared" si="6"/>
        <v>Medigo TT Luong T10.2024 -  P.KT -  Duong Ngoc Vy</v>
      </c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26.25" customHeight="1">
      <c r="A67" s="30" t="s">
        <v>552</v>
      </c>
      <c r="B67" s="30" t="s">
        <v>482</v>
      </c>
      <c r="C67" s="31" t="s">
        <v>639</v>
      </c>
      <c r="D67" s="471" t="s">
        <v>640</v>
      </c>
      <c r="E67" s="30" t="s">
        <v>212</v>
      </c>
      <c r="F67" s="48" t="e">
        <f>#REF!</f>
        <v>#REF!</v>
      </c>
      <c r="G67" s="30" t="s">
        <v>638</v>
      </c>
      <c r="H67" s="30" t="str">
        <f t="shared" si="5"/>
        <v>Thai Ngoc Hanh</v>
      </c>
      <c r="I67" s="35" t="str">
        <f t="shared" si="6"/>
        <v>Medigo TT Luong T10.2024 -  P.KT -  Thai Ngoc Hanh</v>
      </c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26.25" customHeight="1">
      <c r="A68" s="30" t="s">
        <v>641</v>
      </c>
      <c r="B68" s="30" t="s">
        <v>482</v>
      </c>
      <c r="C68" s="31" t="s">
        <v>642</v>
      </c>
      <c r="D68" s="471" t="s">
        <v>643</v>
      </c>
      <c r="E68" s="30" t="s">
        <v>644</v>
      </c>
      <c r="F68" s="48" t="e">
        <f>#REF!</f>
        <v>#REF!</v>
      </c>
      <c r="G68" s="30" t="s">
        <v>645</v>
      </c>
      <c r="H68" s="30" t="str">
        <f t="shared" si="5"/>
        <v>Le Thi Thuy Huong</v>
      </c>
      <c r="I68" s="35" t="str">
        <f t="shared" si="6"/>
        <v>Medigo TT Luong T10.2024 -  P.PD -  Le Thi Thuy Huong</v>
      </c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.75" customHeight="1">
      <c r="A69" s="30"/>
      <c r="B69" s="30"/>
      <c r="C69" s="31"/>
      <c r="D69" s="30"/>
      <c r="E69" s="30"/>
      <c r="F69" s="49" t="e">
        <f>SUM(F60:F68)</f>
        <v>#REF!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.75" customHeight="1">
      <c r="A70" s="54" t="s">
        <v>646</v>
      </c>
      <c r="B70" s="30"/>
      <c r="C70" s="30"/>
      <c r="D70" s="31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.75" customHeight="1">
      <c r="A71" s="50"/>
      <c r="B71" s="30" t="s">
        <v>647</v>
      </c>
      <c r="C71" s="30" t="s">
        <v>483</v>
      </c>
      <c r="D71" s="31" t="s">
        <v>484</v>
      </c>
      <c r="E71" s="30" t="s">
        <v>220</v>
      </c>
      <c r="F71" s="48">
        <v>30665000</v>
      </c>
      <c r="G71" s="30" t="s">
        <v>648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.75" customHeight="1">
      <c r="A72" s="50"/>
      <c r="B72" s="30"/>
      <c r="C72" s="30"/>
      <c r="D72" s="31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.75" customHeight="1">
      <c r="A73" s="55" t="s">
        <v>649</v>
      </c>
      <c r="B73" s="56"/>
      <c r="C73" s="56"/>
      <c r="D73" s="57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spans="1:26" ht="26.25" customHeight="1">
      <c r="A74" s="30" t="s">
        <v>650</v>
      </c>
      <c r="B74" s="30" t="s">
        <v>651</v>
      </c>
      <c r="C74" s="30" t="s">
        <v>652</v>
      </c>
      <c r="D74" s="31" t="s">
        <v>653</v>
      </c>
      <c r="E74" s="30" t="s">
        <v>654</v>
      </c>
      <c r="F74" s="48" t="e">
        <f>#REF!</f>
        <v>#REF!</v>
      </c>
      <c r="G74" s="30" t="s">
        <v>655</v>
      </c>
      <c r="H74" s="30" t="str">
        <f t="shared" ref="H74:H86" si="7">C74</f>
        <v>Nong Thi Bich</v>
      </c>
      <c r="I74" s="35" t="str">
        <f t="shared" ref="I74:I86" si="8">G74&amp;" "&amp;H74</f>
        <v>Med TT Luong T10.2024 P.VAN HANH -  Nong Thi Bich</v>
      </c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26.25" customHeight="1">
      <c r="A75" s="30" t="s">
        <v>650</v>
      </c>
      <c r="B75" s="30" t="s">
        <v>651</v>
      </c>
      <c r="C75" s="30" t="s">
        <v>656</v>
      </c>
      <c r="D75" s="31" t="s">
        <v>657</v>
      </c>
      <c r="E75" s="30" t="s">
        <v>494</v>
      </c>
      <c r="F75" s="48" t="e">
        <f>#REF!</f>
        <v>#REF!</v>
      </c>
      <c r="G75" s="30" t="s">
        <v>655</v>
      </c>
      <c r="H75" s="30" t="str">
        <f t="shared" si="7"/>
        <v>Le Thi Quy Ngoc</v>
      </c>
      <c r="I75" s="35" t="str">
        <f t="shared" si="8"/>
        <v>Med TT Luong T10.2024 P.VAN HANH -  Le Thi Quy Ngoc</v>
      </c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26.25" customHeight="1">
      <c r="A76" s="30" t="s">
        <v>650</v>
      </c>
      <c r="B76" s="30" t="s">
        <v>651</v>
      </c>
      <c r="C76" s="30" t="s">
        <v>658</v>
      </c>
      <c r="D76" s="469" t="s">
        <v>659</v>
      </c>
      <c r="E76" s="30" t="s">
        <v>119</v>
      </c>
      <c r="F76" s="48" t="e">
        <f>#REF!</f>
        <v>#REF!</v>
      </c>
      <c r="G76" s="30" t="s">
        <v>655</v>
      </c>
      <c r="H76" s="30" t="str">
        <f t="shared" si="7"/>
        <v>Le Thu Ha</v>
      </c>
      <c r="I76" s="35" t="str">
        <f t="shared" si="8"/>
        <v>Med TT Luong T10.2024 P.VAN HANH -  Le Thu Ha</v>
      </c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26.25" customHeight="1">
      <c r="A77" s="30" t="s">
        <v>650</v>
      </c>
      <c r="B77" s="30" t="s">
        <v>651</v>
      </c>
      <c r="C77" s="30" t="s">
        <v>660</v>
      </c>
      <c r="D77" s="31" t="s">
        <v>661</v>
      </c>
      <c r="E77" s="30" t="s">
        <v>220</v>
      </c>
      <c r="F77" s="48" t="e">
        <f>#REF!</f>
        <v>#REF!</v>
      </c>
      <c r="G77" s="30" t="s">
        <v>655</v>
      </c>
      <c r="H77" s="30" t="str">
        <f t="shared" si="7"/>
        <v>Vu Thi Kim Phung</v>
      </c>
      <c r="I77" s="35" t="str">
        <f t="shared" si="8"/>
        <v>Med TT Luong T10.2024 P.VAN HANH -  Vu Thi Kim Phung</v>
      </c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26.25" customHeight="1">
      <c r="A78" s="30" t="s">
        <v>650</v>
      </c>
      <c r="B78" s="30" t="s">
        <v>651</v>
      </c>
      <c r="C78" s="30" t="s">
        <v>662</v>
      </c>
      <c r="D78" s="31" t="s">
        <v>663</v>
      </c>
      <c r="E78" s="30" t="s">
        <v>494</v>
      </c>
      <c r="F78" s="48" t="e">
        <f>#REF!</f>
        <v>#REF!</v>
      </c>
      <c r="G78" s="30" t="s">
        <v>655</v>
      </c>
      <c r="H78" s="30" t="str">
        <f t="shared" si="7"/>
        <v>Tran Pham Thi Khanh Vy</v>
      </c>
      <c r="I78" s="35" t="str">
        <f t="shared" si="8"/>
        <v>Med TT Luong T10.2024 P.VAN HANH -  Tran Pham Thi Khanh Vy</v>
      </c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26.25" customHeight="1">
      <c r="A79" s="30" t="s">
        <v>650</v>
      </c>
      <c r="B79" s="30" t="s">
        <v>651</v>
      </c>
      <c r="C79" s="30" t="s">
        <v>664</v>
      </c>
      <c r="D79" s="31" t="s">
        <v>665</v>
      </c>
      <c r="E79" s="30" t="s">
        <v>289</v>
      </c>
      <c r="F79" s="48" t="e">
        <f>#REF!</f>
        <v>#REF!</v>
      </c>
      <c r="G79" s="30" t="s">
        <v>655</v>
      </c>
      <c r="H79" s="30" t="str">
        <f t="shared" si="7"/>
        <v>Nguyen Thi Thanh Sang</v>
      </c>
      <c r="I79" s="35" t="str">
        <f t="shared" si="8"/>
        <v>Med TT Luong T10.2024 P.VAN HANH -  Nguyen Thi Thanh Sang</v>
      </c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26.25" customHeight="1">
      <c r="A80" s="30" t="s">
        <v>650</v>
      </c>
      <c r="B80" s="30" t="s">
        <v>651</v>
      </c>
      <c r="C80" s="30" t="s">
        <v>666</v>
      </c>
      <c r="D80" s="31" t="s">
        <v>667</v>
      </c>
      <c r="E80" s="30" t="s">
        <v>119</v>
      </c>
      <c r="F80" s="48" t="e">
        <f>#REF!</f>
        <v>#REF!</v>
      </c>
      <c r="G80" s="30" t="s">
        <v>655</v>
      </c>
      <c r="H80" s="30" t="str">
        <f t="shared" si="7"/>
        <v>Ngo Phuong Quynh</v>
      </c>
      <c r="I80" s="35" t="str">
        <f t="shared" si="8"/>
        <v>Med TT Luong T10.2024 P.VAN HANH -  Ngo Phuong Quynh</v>
      </c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26.25" customHeight="1">
      <c r="A81" s="30" t="s">
        <v>650</v>
      </c>
      <c r="B81" s="30" t="s">
        <v>651</v>
      </c>
      <c r="C81" s="30" t="s">
        <v>668</v>
      </c>
      <c r="D81" s="31" t="s">
        <v>669</v>
      </c>
      <c r="E81" s="30" t="s">
        <v>220</v>
      </c>
      <c r="F81" s="48" t="e">
        <f>#REF!</f>
        <v>#REF!</v>
      </c>
      <c r="G81" s="30" t="s">
        <v>655</v>
      </c>
      <c r="H81" s="30" t="str">
        <f t="shared" si="7"/>
        <v>Nguyen Hong Hai</v>
      </c>
      <c r="I81" s="35" t="str">
        <f t="shared" si="8"/>
        <v>Med TT Luong T10.2024 P.VAN HANH -  Nguyen Hong Hai</v>
      </c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26.25" customHeight="1">
      <c r="A82" s="30" t="s">
        <v>510</v>
      </c>
      <c r="B82" s="30" t="s">
        <v>651</v>
      </c>
      <c r="C82" s="30" t="s">
        <v>670</v>
      </c>
      <c r="D82" s="31" t="s">
        <v>671</v>
      </c>
      <c r="E82" s="30" t="s">
        <v>264</v>
      </c>
      <c r="F82" s="48" t="e">
        <f>#REF!</f>
        <v>#REF!</v>
      </c>
      <c r="G82" s="30" t="s">
        <v>672</v>
      </c>
      <c r="H82" s="30" t="str">
        <f t="shared" si="7"/>
        <v>Nguyen Thi Kim Hue</v>
      </c>
      <c r="I82" s="35" t="str">
        <f t="shared" si="8"/>
        <v>Med TT Luong T10.2024 P.ADMIN-CSKH -   Nguyen Thi Kim Hue</v>
      </c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26.25" customHeight="1">
      <c r="A83" s="30" t="s">
        <v>641</v>
      </c>
      <c r="B83" s="30" t="s">
        <v>651</v>
      </c>
      <c r="C83" s="30" t="s">
        <v>673</v>
      </c>
      <c r="D83" s="31" t="s">
        <v>674</v>
      </c>
      <c r="E83" s="30" t="s">
        <v>675</v>
      </c>
      <c r="F83" s="48" t="e">
        <f>#REF!</f>
        <v>#REF!</v>
      </c>
      <c r="G83" s="30" t="s">
        <v>676</v>
      </c>
      <c r="H83" s="30" t="str">
        <f t="shared" si="7"/>
        <v>Nguyen Hoang Nguyen Dan</v>
      </c>
      <c r="I83" s="35" t="str">
        <f t="shared" si="8"/>
        <v>Med TT Luong T10.2024 P.PD -   Nguyen Hoang Nguyen Dan</v>
      </c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26.25" customHeight="1">
      <c r="A84" s="30" t="s">
        <v>541</v>
      </c>
      <c r="B84" s="30" t="s">
        <v>651</v>
      </c>
      <c r="C84" s="30" t="s">
        <v>677</v>
      </c>
      <c r="D84" s="31" t="s">
        <v>678</v>
      </c>
      <c r="E84" s="30" t="s">
        <v>119</v>
      </c>
      <c r="F84" s="48" t="e">
        <f>#REF!</f>
        <v>#REF!</v>
      </c>
      <c r="G84" s="30" t="s">
        <v>679</v>
      </c>
      <c r="H84" s="30" t="str">
        <f t="shared" si="7"/>
        <v>Vo Hong Duyen</v>
      </c>
      <c r="I84" s="35" t="str">
        <f t="shared" si="8"/>
        <v>Med TT Luong T10.2024 P.XN -   Vo Hong Duyen</v>
      </c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26.25" customHeight="1">
      <c r="A85" s="30" t="s">
        <v>541</v>
      </c>
      <c r="B85" s="30" t="s">
        <v>651</v>
      </c>
      <c r="C85" s="30" t="s">
        <v>680</v>
      </c>
      <c r="D85" s="31" t="s">
        <v>681</v>
      </c>
      <c r="E85" s="30" t="s">
        <v>220</v>
      </c>
      <c r="F85" s="48" t="e">
        <f>#REF!</f>
        <v>#REF!</v>
      </c>
      <c r="G85" s="30" t="s">
        <v>679</v>
      </c>
      <c r="H85" s="30" t="str">
        <f t="shared" si="7"/>
        <v>Le Thanh Toan</v>
      </c>
      <c r="I85" s="35" t="str">
        <f t="shared" si="8"/>
        <v>Med TT Luong T10.2024 P.XN -   Le Thanh Toan</v>
      </c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26.25" customHeight="1">
      <c r="A86" s="30" t="s">
        <v>541</v>
      </c>
      <c r="B86" s="30" t="s">
        <v>651</v>
      </c>
      <c r="C86" s="30" t="s">
        <v>682</v>
      </c>
      <c r="D86" s="31" t="s">
        <v>683</v>
      </c>
      <c r="E86" s="30" t="s">
        <v>220</v>
      </c>
      <c r="F86" s="48" t="e">
        <f>#REF!</f>
        <v>#REF!</v>
      </c>
      <c r="G86" s="30" t="s">
        <v>679</v>
      </c>
      <c r="H86" s="30" t="str">
        <f t="shared" si="7"/>
        <v>Tran Minh Nhat</v>
      </c>
      <c r="I86" s="35" t="str">
        <f t="shared" si="8"/>
        <v>Med TT Luong T10.2024 P.XN -   Tran Minh Nhat</v>
      </c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.75" customHeight="1">
      <c r="A87" s="30"/>
      <c r="B87" s="30"/>
      <c r="C87" s="30"/>
      <c r="D87" s="31"/>
      <c r="E87" s="30"/>
      <c r="F87" s="49" t="e">
        <f>SUM(F74:F86)</f>
        <v>#REF!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.75" customHeight="1">
      <c r="A88" s="58" t="s">
        <v>684</v>
      </c>
      <c r="B88" s="58"/>
      <c r="C88" s="58"/>
      <c r="D88" s="31"/>
      <c r="E88" s="30"/>
      <c r="F88" s="48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.75" customHeight="1">
      <c r="A89" s="30" t="s">
        <v>641</v>
      </c>
      <c r="B89" s="30" t="s">
        <v>651</v>
      </c>
      <c r="C89" s="31" t="s">
        <v>685</v>
      </c>
      <c r="D89" s="31" t="s">
        <v>686</v>
      </c>
      <c r="E89" s="31" t="s">
        <v>264</v>
      </c>
      <c r="F89" s="48" t="e">
        <f>#REF!</f>
        <v>#REF!</v>
      </c>
      <c r="G89" s="30" t="s">
        <v>687</v>
      </c>
      <c r="H89" s="30"/>
      <c r="I89" s="30" t="s">
        <v>687</v>
      </c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.75" customHeight="1">
      <c r="A90" s="30"/>
      <c r="B90" s="30"/>
      <c r="C90" s="30"/>
      <c r="D90" s="31"/>
      <c r="E90" s="30"/>
      <c r="F90" s="49" t="e">
        <f>SUM(F89)</f>
        <v>#REF!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.75" customHeight="1">
      <c r="A91" s="59" t="s">
        <v>688</v>
      </c>
      <c r="B91" s="30"/>
      <c r="C91" s="30"/>
      <c r="D91" s="31"/>
      <c r="E91" s="30"/>
      <c r="F91" s="48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.75" customHeight="1">
      <c r="A92" s="30" t="s">
        <v>689</v>
      </c>
      <c r="B92" s="30"/>
      <c r="C92" s="30" t="s">
        <v>690</v>
      </c>
      <c r="D92" s="31" t="s">
        <v>691</v>
      </c>
      <c r="E92" s="30" t="s">
        <v>692</v>
      </c>
      <c r="F92" s="48" t="e">
        <f>#REF!</f>
        <v>#REF!</v>
      </c>
      <c r="G92" s="30" t="s">
        <v>693</v>
      </c>
      <c r="H92" s="30" t="str">
        <f t="shared" ref="H92:H103" si="9">C92</f>
        <v>Nguyen Anh Tuan</v>
      </c>
      <c r="I92" s="35" t="str">
        <f t="shared" ref="I92:I103" si="10">G92&amp;" "&amp;H92</f>
        <v>Med TT Luong T10.2024 - DSDB Nguyen Anh Tuan</v>
      </c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.75" customHeight="1">
      <c r="A93" s="30" t="s">
        <v>694</v>
      </c>
      <c r="B93" s="30"/>
      <c r="C93" s="30" t="s">
        <v>695</v>
      </c>
      <c r="D93" s="31" t="s">
        <v>696</v>
      </c>
      <c r="E93" s="30" t="s">
        <v>289</v>
      </c>
      <c r="F93" s="48" t="e">
        <f>#REF!</f>
        <v>#REF!</v>
      </c>
      <c r="G93" s="30" t="s">
        <v>693</v>
      </c>
      <c r="H93" s="30" t="str">
        <f t="shared" si="9"/>
        <v>Tran Thanh Long</v>
      </c>
      <c r="I93" s="35" t="str">
        <f t="shared" si="10"/>
        <v>Med TT Luong T10.2024 - DSDB Tran Thanh Long</v>
      </c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.75" customHeight="1">
      <c r="A94" s="30" t="s">
        <v>694</v>
      </c>
      <c r="B94" s="30"/>
      <c r="C94" s="30" t="s">
        <v>697</v>
      </c>
      <c r="D94" s="31" t="s">
        <v>698</v>
      </c>
      <c r="E94" s="30" t="s">
        <v>332</v>
      </c>
      <c r="F94" s="48" t="e">
        <f>#REF!</f>
        <v>#REF!</v>
      </c>
      <c r="G94" s="30" t="s">
        <v>693</v>
      </c>
      <c r="H94" s="30" t="str">
        <f t="shared" si="9"/>
        <v>Hoang Anh Tai</v>
      </c>
      <c r="I94" s="35" t="str">
        <f t="shared" si="10"/>
        <v>Med TT Luong T10.2024 - DSDB Hoang Anh Tai</v>
      </c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.75" customHeight="1">
      <c r="A95" s="30" t="s">
        <v>694</v>
      </c>
      <c r="B95" s="30"/>
      <c r="C95" s="30" t="s">
        <v>699</v>
      </c>
      <c r="D95" s="31" t="s">
        <v>700</v>
      </c>
      <c r="E95" s="30" t="s">
        <v>494</v>
      </c>
      <c r="F95" s="48" t="e">
        <f>#REF!</f>
        <v>#REF!</v>
      </c>
      <c r="G95" s="30" t="s">
        <v>693</v>
      </c>
      <c r="H95" s="30" t="str">
        <f t="shared" si="9"/>
        <v>Ton Nu Thanh Hien</v>
      </c>
      <c r="I95" s="35" t="str">
        <f t="shared" si="10"/>
        <v>Med TT Luong T10.2024 - DSDB Ton Nu Thanh Hien</v>
      </c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.75" customHeight="1">
      <c r="A96" s="30" t="s">
        <v>694</v>
      </c>
      <c r="B96" s="30"/>
      <c r="C96" s="30" t="s">
        <v>701</v>
      </c>
      <c r="D96" s="31" t="s">
        <v>702</v>
      </c>
      <c r="E96" s="30" t="s">
        <v>494</v>
      </c>
      <c r="F96" s="48" t="e">
        <f>#REF!</f>
        <v>#REF!</v>
      </c>
      <c r="G96" s="30" t="s">
        <v>693</v>
      </c>
      <c r="H96" s="30" t="str">
        <f t="shared" si="9"/>
        <v>Bui Thi Hong Phuong</v>
      </c>
      <c r="I96" s="35" t="str">
        <f t="shared" si="10"/>
        <v>Med TT Luong T10.2024 - DSDB Bui Thi Hong Phuong</v>
      </c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.75" customHeight="1">
      <c r="A97" s="30" t="s">
        <v>694</v>
      </c>
      <c r="B97" s="30"/>
      <c r="C97" s="30" t="s">
        <v>703</v>
      </c>
      <c r="D97" s="31" t="s">
        <v>704</v>
      </c>
      <c r="E97" s="30" t="s">
        <v>705</v>
      </c>
      <c r="F97" s="48" t="e">
        <f>#REF!</f>
        <v>#REF!</v>
      </c>
      <c r="G97" s="30" t="s">
        <v>693</v>
      </c>
      <c r="H97" s="30" t="str">
        <f t="shared" si="9"/>
        <v>Pham Tuyet Mai</v>
      </c>
      <c r="I97" s="35" t="str">
        <f t="shared" si="10"/>
        <v>Med TT Luong T10.2024 - DSDB Pham Tuyet Mai</v>
      </c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.75" customHeight="1">
      <c r="A98" s="30" t="s">
        <v>694</v>
      </c>
      <c r="B98" s="30"/>
      <c r="C98" s="30" t="s">
        <v>706</v>
      </c>
      <c r="D98" s="31" t="s">
        <v>707</v>
      </c>
      <c r="E98" s="30" t="s">
        <v>212</v>
      </c>
      <c r="F98" s="48" t="e">
        <f>#REF!</f>
        <v>#REF!</v>
      </c>
      <c r="G98" s="30" t="s">
        <v>693</v>
      </c>
      <c r="H98" s="30" t="str">
        <f t="shared" si="9"/>
        <v>Le Thi Mai</v>
      </c>
      <c r="I98" s="35" t="str">
        <f t="shared" si="10"/>
        <v>Med TT Luong T10.2024 - DSDB Le Thi Mai</v>
      </c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.75" customHeight="1">
      <c r="A99" s="30" t="s">
        <v>694</v>
      </c>
      <c r="B99" s="30"/>
      <c r="C99" s="30" t="s">
        <v>708</v>
      </c>
      <c r="D99" s="31" t="s">
        <v>709</v>
      </c>
      <c r="E99" s="30" t="s">
        <v>494</v>
      </c>
      <c r="F99" s="48" t="e">
        <f>#REF!</f>
        <v>#REF!</v>
      </c>
      <c r="G99" s="30" t="s">
        <v>693</v>
      </c>
      <c r="H99" s="30" t="str">
        <f t="shared" si="9"/>
        <v>Thi Meo</v>
      </c>
      <c r="I99" s="35" t="str">
        <f t="shared" si="10"/>
        <v>Med TT Luong T10.2024 - DSDB Thi Meo</v>
      </c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.75" customHeight="1">
      <c r="A100" s="30" t="s">
        <v>694</v>
      </c>
      <c r="B100" s="30"/>
      <c r="C100" s="30" t="s">
        <v>660</v>
      </c>
      <c r="D100" s="31" t="s">
        <v>661</v>
      </c>
      <c r="E100" s="30" t="s">
        <v>220</v>
      </c>
      <c r="F100" s="48" t="e">
        <f>#REF!</f>
        <v>#REF!</v>
      </c>
      <c r="G100" s="30" t="s">
        <v>693</v>
      </c>
      <c r="H100" s="30" t="str">
        <f t="shared" si="9"/>
        <v>Vu Thi Kim Phung</v>
      </c>
      <c r="I100" s="35" t="str">
        <f t="shared" si="10"/>
        <v>Med TT Luong T10.2024 - DSDB Vu Thi Kim Phung</v>
      </c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.75" customHeight="1">
      <c r="A101" s="30" t="s">
        <v>694</v>
      </c>
      <c r="B101" s="30"/>
      <c r="C101" s="30" t="s">
        <v>710</v>
      </c>
      <c r="D101" s="31" t="s">
        <v>711</v>
      </c>
      <c r="E101" s="30" t="s">
        <v>220</v>
      </c>
      <c r="F101" s="48" t="e">
        <f>#REF!</f>
        <v>#REF!</v>
      </c>
      <c r="G101" s="30" t="s">
        <v>693</v>
      </c>
      <c r="H101" s="30" t="str">
        <f t="shared" si="9"/>
        <v>Nguyen Thanh Van</v>
      </c>
      <c r="I101" s="35" t="str">
        <f t="shared" si="10"/>
        <v>Med TT Luong T10.2024 - DSDB Nguyen Thanh Van</v>
      </c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.75" customHeight="1">
      <c r="A102" s="30" t="s">
        <v>694</v>
      </c>
      <c r="B102" s="30"/>
      <c r="C102" s="30" t="s">
        <v>712</v>
      </c>
      <c r="D102" s="31" t="s">
        <v>713</v>
      </c>
      <c r="E102" s="30" t="s">
        <v>714</v>
      </c>
      <c r="F102" s="48" t="e">
        <f>#REF!</f>
        <v>#REF!</v>
      </c>
      <c r="G102" s="30" t="s">
        <v>693</v>
      </c>
      <c r="H102" s="30" t="str">
        <f t="shared" si="9"/>
        <v>Nguyen Van Manh</v>
      </c>
      <c r="I102" s="35" t="str">
        <f t="shared" si="10"/>
        <v>Med TT Luong T10.2024 - DSDB Nguyen Van Manh</v>
      </c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.75" customHeight="1">
      <c r="A103" s="30" t="s">
        <v>694</v>
      </c>
      <c r="B103" s="30"/>
      <c r="C103" s="30" t="s">
        <v>715</v>
      </c>
      <c r="D103" s="31" t="s">
        <v>716</v>
      </c>
      <c r="E103" s="30" t="s">
        <v>212</v>
      </c>
      <c r="F103" s="48" t="e">
        <f>#REF!</f>
        <v>#REF!</v>
      </c>
      <c r="G103" s="30" t="s">
        <v>693</v>
      </c>
      <c r="H103" s="30" t="str">
        <f t="shared" si="9"/>
        <v>Dang Nhu Minh Tam</v>
      </c>
      <c r="I103" s="35" t="str">
        <f t="shared" si="10"/>
        <v>Med TT Luong T10.2024 - DSDB Dang Nhu Minh Tam</v>
      </c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.75" customHeight="1">
      <c r="A104" s="30"/>
      <c r="B104" s="30"/>
      <c r="C104" s="30"/>
      <c r="D104" s="31"/>
      <c r="E104" s="30"/>
      <c r="F104" s="49" t="e">
        <f>SUM(F92:F103)</f>
        <v>#REF!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.75" customHeight="1">
      <c r="A105" s="30"/>
      <c r="B105" s="30"/>
      <c r="C105" s="30"/>
      <c r="D105" s="31"/>
      <c r="E105" s="30"/>
      <c r="F105" s="48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" customHeight="1">
      <c r="A106" s="60" t="s">
        <v>646</v>
      </c>
      <c r="B106" s="50"/>
      <c r="C106" s="50"/>
      <c r="D106" s="50"/>
      <c r="E106" s="50"/>
      <c r="F106" s="48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>
      <c r="A107" s="50"/>
      <c r="B107" s="30" t="s">
        <v>647</v>
      </c>
      <c r="C107" s="30" t="s">
        <v>515</v>
      </c>
      <c r="D107" s="469" t="s">
        <v>516</v>
      </c>
      <c r="E107" s="30" t="s">
        <v>119</v>
      </c>
      <c r="F107" s="48" t="e">
        <f>#REF!</f>
        <v>#REF!</v>
      </c>
      <c r="G107" s="30" t="s">
        <v>717</v>
      </c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.75" customHeight="1">
      <c r="A108" s="50"/>
      <c r="B108" s="30" t="s">
        <v>647</v>
      </c>
      <c r="C108" s="30" t="s">
        <v>718</v>
      </c>
      <c r="D108" s="31" t="s">
        <v>719</v>
      </c>
      <c r="E108" s="30" t="s">
        <v>581</v>
      </c>
      <c r="F108" s="48">
        <v>9000000</v>
      </c>
      <c r="G108" s="30" t="s">
        <v>720</v>
      </c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8" customHeight="1">
      <c r="A109" s="50"/>
      <c r="B109" s="30" t="s">
        <v>647</v>
      </c>
      <c r="C109" s="30" t="s">
        <v>487</v>
      </c>
      <c r="D109" s="31" t="s">
        <v>488</v>
      </c>
      <c r="E109" s="30" t="s">
        <v>220</v>
      </c>
      <c r="F109" s="48">
        <v>1400000</v>
      </c>
      <c r="G109" s="30" t="s">
        <v>721</v>
      </c>
      <c r="H109" s="61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.75" customHeight="1">
      <c r="A110" s="50"/>
      <c r="B110" s="30"/>
      <c r="C110" s="30"/>
      <c r="D110" s="31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.75" customHeight="1">
      <c r="A111" s="50"/>
      <c r="B111" s="30"/>
      <c r="C111" s="30"/>
      <c r="D111" s="31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.75" customHeight="1">
      <c r="A112" s="50"/>
      <c r="B112" s="30"/>
      <c r="C112" s="30"/>
      <c r="D112" s="31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.75" customHeight="1">
      <c r="A113" s="50"/>
      <c r="B113" s="30"/>
      <c r="C113" s="30"/>
      <c r="D113" s="31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.75" customHeight="1">
      <c r="A114" s="50"/>
      <c r="B114" s="30"/>
      <c r="C114" s="30"/>
      <c r="D114" s="31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.75" customHeight="1">
      <c r="A115" s="50"/>
      <c r="B115" s="30"/>
      <c r="C115" s="30"/>
      <c r="D115" s="31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.75" customHeight="1">
      <c r="A116" s="50"/>
      <c r="B116" s="30"/>
      <c r="C116" s="30"/>
      <c r="D116" s="31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.75" customHeight="1">
      <c r="A117" s="50"/>
      <c r="B117" s="30"/>
      <c r="C117" s="30"/>
      <c r="D117" s="31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.75" customHeight="1">
      <c r="A118" s="50"/>
      <c r="B118" s="30"/>
      <c r="C118" s="30"/>
      <c r="D118" s="31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.75" customHeight="1">
      <c r="A119" s="50"/>
      <c r="B119" s="30"/>
      <c r="C119" s="30"/>
      <c r="D119" s="31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.75" customHeight="1">
      <c r="A120" s="50"/>
      <c r="B120" s="30"/>
      <c r="C120" s="30"/>
      <c r="D120" s="31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.75" customHeight="1">
      <c r="A121" s="50"/>
      <c r="B121" s="30"/>
      <c r="C121" s="30"/>
      <c r="D121" s="31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.75" customHeight="1">
      <c r="A122" s="50"/>
      <c r="B122" s="30"/>
      <c r="C122" s="30"/>
      <c r="D122" s="31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.75" customHeight="1">
      <c r="A123" s="50"/>
      <c r="B123" s="30"/>
      <c r="C123" s="30"/>
      <c r="D123" s="31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.75" customHeight="1">
      <c r="A124" s="50"/>
      <c r="B124" s="30"/>
      <c r="C124" s="30"/>
      <c r="D124" s="31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.75" customHeight="1">
      <c r="A125" s="50"/>
      <c r="B125" s="30"/>
      <c r="C125" s="30"/>
      <c r="D125" s="31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.75" customHeight="1">
      <c r="A126" s="50"/>
      <c r="B126" s="30"/>
      <c r="C126" s="30"/>
      <c r="D126" s="31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.75" customHeight="1">
      <c r="A127" s="50"/>
      <c r="B127" s="30"/>
      <c r="C127" s="30"/>
      <c r="D127" s="31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.75" customHeight="1">
      <c r="A128" s="50"/>
      <c r="B128" s="30"/>
      <c r="C128" s="30"/>
      <c r="D128" s="31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.75" customHeight="1">
      <c r="A129" s="50"/>
      <c r="B129" s="30"/>
      <c r="C129" s="30"/>
      <c r="D129" s="31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.75" customHeight="1">
      <c r="A130" s="50"/>
      <c r="B130" s="30"/>
      <c r="C130" s="30"/>
      <c r="D130" s="31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.75" customHeight="1">
      <c r="A131" s="50"/>
      <c r="B131" s="30"/>
      <c r="C131" s="30"/>
      <c r="D131" s="31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.75" customHeight="1">
      <c r="A132" s="50"/>
      <c r="B132" s="30"/>
      <c r="C132" s="30"/>
      <c r="D132" s="31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.75" customHeight="1">
      <c r="A133" s="50"/>
      <c r="B133" s="30"/>
      <c r="C133" s="30"/>
      <c r="D133" s="31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.75" customHeight="1">
      <c r="A134" s="50"/>
      <c r="B134" s="30"/>
      <c r="C134" s="30"/>
      <c r="D134" s="31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.75" customHeight="1">
      <c r="A135" s="50"/>
      <c r="B135" s="30"/>
      <c r="C135" s="30"/>
      <c r="D135" s="31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.75" customHeight="1">
      <c r="A136" s="50"/>
      <c r="B136" s="30"/>
      <c r="C136" s="30"/>
      <c r="D136" s="31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.75" customHeight="1">
      <c r="A137" s="50"/>
      <c r="B137" s="30"/>
      <c r="C137" s="30"/>
      <c r="D137" s="31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.75" customHeight="1">
      <c r="A138" s="50"/>
      <c r="B138" s="30"/>
      <c r="C138" s="30"/>
      <c r="D138" s="31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.75" customHeight="1">
      <c r="A139" s="50"/>
      <c r="B139" s="30"/>
      <c r="C139" s="30"/>
      <c r="D139" s="31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.75" customHeight="1">
      <c r="A140" s="50"/>
      <c r="B140" s="30"/>
      <c r="C140" s="30"/>
      <c r="D140" s="31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.75" customHeight="1">
      <c r="A141" s="50"/>
      <c r="B141" s="30"/>
      <c r="C141" s="30"/>
      <c r="D141" s="31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.75" customHeight="1">
      <c r="A142" s="50"/>
      <c r="B142" s="30"/>
      <c r="C142" s="30"/>
      <c r="D142" s="31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.75" customHeight="1">
      <c r="A143" s="50"/>
      <c r="B143" s="30"/>
      <c r="C143" s="30"/>
      <c r="D143" s="31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.75" customHeight="1">
      <c r="A144" s="50"/>
      <c r="B144" s="30"/>
      <c r="C144" s="30"/>
      <c r="D144" s="31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.75" customHeight="1">
      <c r="A145" s="50"/>
      <c r="B145" s="30"/>
      <c r="C145" s="30"/>
      <c r="D145" s="31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.75" customHeight="1">
      <c r="A146" s="50"/>
      <c r="B146" s="30"/>
      <c r="C146" s="30"/>
      <c r="D146" s="31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.75" customHeight="1">
      <c r="A147" s="50"/>
      <c r="B147" s="30"/>
      <c r="C147" s="30"/>
      <c r="D147" s="31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.75" customHeight="1">
      <c r="A148" s="50"/>
      <c r="B148" s="30"/>
      <c r="C148" s="30"/>
      <c r="D148" s="31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.75" customHeight="1">
      <c r="A149" s="50"/>
      <c r="B149" s="30"/>
      <c r="C149" s="30"/>
      <c r="D149" s="31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.75" customHeight="1">
      <c r="A150" s="50"/>
      <c r="B150" s="30"/>
      <c r="C150" s="30"/>
      <c r="D150" s="31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.75" customHeight="1">
      <c r="A151" s="50"/>
      <c r="B151" s="30"/>
      <c r="C151" s="30"/>
      <c r="D151" s="31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.75" customHeight="1">
      <c r="A152" s="50"/>
      <c r="B152" s="30"/>
      <c r="C152" s="30"/>
      <c r="D152" s="31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.75" customHeight="1">
      <c r="A153" s="50"/>
      <c r="B153" s="30"/>
      <c r="C153" s="30"/>
      <c r="D153" s="31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.75" customHeight="1">
      <c r="A154" s="50"/>
      <c r="B154" s="30"/>
      <c r="C154" s="30"/>
      <c r="D154" s="31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.75" customHeight="1">
      <c r="A155" s="50"/>
      <c r="B155" s="30"/>
      <c r="C155" s="30"/>
      <c r="D155" s="31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.75" customHeight="1">
      <c r="A156" s="50"/>
      <c r="B156" s="30"/>
      <c r="C156" s="30"/>
      <c r="D156" s="31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.75" customHeight="1">
      <c r="A157" s="50"/>
      <c r="B157" s="30"/>
      <c r="C157" s="30"/>
      <c r="D157" s="31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.75" customHeight="1">
      <c r="A158" s="50"/>
      <c r="B158" s="30"/>
      <c r="C158" s="30"/>
      <c r="D158" s="31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.75" customHeight="1">
      <c r="A159" s="50"/>
      <c r="B159" s="30"/>
      <c r="C159" s="30"/>
      <c r="D159" s="31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.75" customHeight="1">
      <c r="A160" s="50"/>
      <c r="B160" s="30"/>
      <c r="C160" s="30"/>
      <c r="D160" s="31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.75" customHeight="1">
      <c r="A161" s="50"/>
      <c r="B161" s="30"/>
      <c r="C161" s="30"/>
      <c r="D161" s="31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.75" customHeight="1">
      <c r="A162" s="50"/>
      <c r="B162" s="30"/>
      <c r="C162" s="30"/>
      <c r="D162" s="31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.75" customHeight="1">
      <c r="A163" s="50"/>
      <c r="B163" s="30"/>
      <c r="C163" s="30"/>
      <c r="D163" s="31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.75" customHeight="1">
      <c r="A164" s="50"/>
      <c r="B164" s="30"/>
      <c r="C164" s="30"/>
      <c r="D164" s="31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.75" customHeight="1">
      <c r="A165" s="50"/>
      <c r="B165" s="30"/>
      <c r="C165" s="30"/>
      <c r="D165" s="31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.75" customHeight="1">
      <c r="A166" s="50"/>
      <c r="B166" s="30"/>
      <c r="C166" s="30"/>
      <c r="D166" s="31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.75" customHeight="1">
      <c r="A167" s="50"/>
      <c r="B167" s="30"/>
      <c r="C167" s="30"/>
      <c r="D167" s="31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.75" customHeight="1">
      <c r="A168" s="50"/>
      <c r="B168" s="30"/>
      <c r="C168" s="30"/>
      <c r="D168" s="31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.75" customHeight="1">
      <c r="A169" s="50"/>
      <c r="B169" s="30"/>
      <c r="C169" s="30"/>
      <c r="D169" s="31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.75" customHeight="1">
      <c r="A170" s="50"/>
      <c r="B170" s="30"/>
      <c r="C170" s="30"/>
      <c r="D170" s="31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.75" customHeight="1">
      <c r="A171" s="50"/>
      <c r="B171" s="30"/>
      <c r="C171" s="30"/>
      <c r="D171" s="31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.75" customHeight="1">
      <c r="A172" s="50"/>
      <c r="B172" s="30"/>
      <c r="C172" s="30"/>
      <c r="D172" s="31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.75" customHeight="1">
      <c r="A173" s="50"/>
      <c r="B173" s="30"/>
      <c r="C173" s="30"/>
      <c r="D173" s="31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.75" customHeight="1">
      <c r="A174" s="50"/>
      <c r="B174" s="30"/>
      <c r="C174" s="30"/>
      <c r="D174" s="31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.75" customHeight="1">
      <c r="A175" s="50"/>
      <c r="B175" s="30"/>
      <c r="C175" s="30"/>
      <c r="D175" s="31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.75" customHeight="1">
      <c r="A176" s="50"/>
      <c r="B176" s="30"/>
      <c r="C176" s="30"/>
      <c r="D176" s="31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.75" customHeight="1">
      <c r="A177" s="50"/>
      <c r="B177" s="30"/>
      <c r="C177" s="30"/>
      <c r="D177" s="31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.75" customHeight="1">
      <c r="A178" s="50"/>
      <c r="B178" s="30"/>
      <c r="C178" s="30"/>
      <c r="D178" s="31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.75" customHeight="1">
      <c r="A179" s="50"/>
      <c r="B179" s="30"/>
      <c r="C179" s="30"/>
      <c r="D179" s="31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.75" customHeight="1">
      <c r="A180" s="50"/>
      <c r="B180" s="30"/>
      <c r="C180" s="30"/>
      <c r="D180" s="31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.75" customHeight="1">
      <c r="A181" s="50"/>
      <c r="B181" s="30"/>
      <c r="C181" s="30"/>
      <c r="D181" s="31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.75" customHeight="1">
      <c r="A182" s="50"/>
      <c r="B182" s="30"/>
      <c r="C182" s="30"/>
      <c r="D182" s="31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.75" customHeight="1">
      <c r="A183" s="50"/>
      <c r="B183" s="30"/>
      <c r="C183" s="30"/>
      <c r="D183" s="31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.75" customHeight="1">
      <c r="A184" s="50"/>
      <c r="B184" s="30"/>
      <c r="C184" s="30"/>
      <c r="D184" s="31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.75" customHeight="1">
      <c r="A185" s="50"/>
      <c r="B185" s="30"/>
      <c r="C185" s="30"/>
      <c r="D185" s="31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.75" customHeight="1">
      <c r="A186" s="50"/>
      <c r="B186" s="30"/>
      <c r="C186" s="30"/>
      <c r="D186" s="31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.75" customHeight="1">
      <c r="A187" s="50"/>
      <c r="B187" s="30"/>
      <c r="C187" s="30"/>
      <c r="D187" s="31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.75" customHeight="1">
      <c r="A188" s="50"/>
      <c r="B188" s="30"/>
      <c r="C188" s="30"/>
      <c r="D188" s="31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.75" customHeight="1">
      <c r="A189" s="50"/>
      <c r="B189" s="30"/>
      <c r="C189" s="30"/>
      <c r="D189" s="31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.75" customHeight="1">
      <c r="A190" s="50"/>
      <c r="B190" s="30"/>
      <c r="C190" s="30"/>
      <c r="D190" s="31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.75" customHeight="1">
      <c r="A191" s="50"/>
      <c r="B191" s="30"/>
      <c r="C191" s="30"/>
      <c r="D191" s="31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.75" customHeight="1">
      <c r="A192" s="50"/>
      <c r="B192" s="30"/>
      <c r="C192" s="30"/>
      <c r="D192" s="31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.75" customHeight="1">
      <c r="A193" s="50"/>
      <c r="B193" s="30"/>
      <c r="C193" s="30"/>
      <c r="D193" s="31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.75" customHeight="1">
      <c r="A194" s="50"/>
      <c r="B194" s="30"/>
      <c r="C194" s="30"/>
      <c r="D194" s="31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.75" customHeight="1">
      <c r="A195" s="50"/>
      <c r="B195" s="30"/>
      <c r="C195" s="30"/>
      <c r="D195" s="31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.75" customHeight="1">
      <c r="A196" s="50"/>
      <c r="B196" s="30"/>
      <c r="C196" s="30"/>
      <c r="D196" s="31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.75" customHeight="1">
      <c r="A197" s="50"/>
      <c r="B197" s="30"/>
      <c r="C197" s="30"/>
      <c r="D197" s="31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.75" customHeight="1">
      <c r="A198" s="50"/>
      <c r="B198" s="30"/>
      <c r="C198" s="30"/>
      <c r="D198" s="31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.75" customHeight="1">
      <c r="A199" s="50"/>
      <c r="B199" s="30"/>
      <c r="C199" s="30"/>
      <c r="D199" s="31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.75" customHeight="1">
      <c r="A200" s="50"/>
      <c r="B200" s="30"/>
      <c r="C200" s="30"/>
      <c r="D200" s="31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.75" customHeight="1">
      <c r="A201" s="50"/>
      <c r="B201" s="30"/>
      <c r="C201" s="30"/>
      <c r="D201" s="31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.75" customHeight="1">
      <c r="A202" s="50"/>
      <c r="B202" s="30"/>
      <c r="C202" s="30"/>
      <c r="D202" s="31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.75" customHeight="1">
      <c r="A203" s="50"/>
      <c r="B203" s="30"/>
      <c r="C203" s="30"/>
      <c r="D203" s="31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.75" customHeight="1">
      <c r="A204" s="50"/>
      <c r="B204" s="30"/>
      <c r="C204" s="30"/>
      <c r="D204" s="31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.75" customHeight="1">
      <c r="A205" s="50"/>
      <c r="B205" s="30"/>
      <c r="C205" s="30"/>
      <c r="D205" s="31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.75" customHeight="1">
      <c r="A206" s="50"/>
      <c r="B206" s="30"/>
      <c r="C206" s="30"/>
      <c r="D206" s="31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.75" customHeight="1">
      <c r="A207" s="50"/>
      <c r="B207" s="30"/>
      <c r="C207" s="30"/>
      <c r="D207" s="31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.75" customHeight="1">
      <c r="A208" s="50"/>
      <c r="B208" s="30"/>
      <c r="C208" s="30"/>
      <c r="D208" s="31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.75" customHeight="1">
      <c r="A209" s="50"/>
      <c r="B209" s="30"/>
      <c r="C209" s="30"/>
      <c r="D209" s="31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.75" customHeight="1">
      <c r="A210" s="50"/>
      <c r="B210" s="30"/>
      <c r="C210" s="30"/>
      <c r="D210" s="31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.75" customHeight="1">
      <c r="A211" s="50"/>
      <c r="B211" s="30"/>
      <c r="C211" s="30"/>
      <c r="D211" s="31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.75" customHeight="1">
      <c r="A212" s="50"/>
      <c r="B212" s="30"/>
      <c r="C212" s="30"/>
      <c r="D212" s="31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.75" customHeight="1">
      <c r="A213" s="50"/>
      <c r="B213" s="30"/>
      <c r="C213" s="30"/>
      <c r="D213" s="31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.75" customHeight="1">
      <c r="A214" s="50"/>
      <c r="B214" s="30"/>
      <c r="C214" s="30"/>
      <c r="D214" s="31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.75" customHeight="1">
      <c r="A215" s="50"/>
      <c r="B215" s="30"/>
      <c r="C215" s="30"/>
      <c r="D215" s="31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.75" customHeight="1">
      <c r="A216" s="50"/>
      <c r="B216" s="30"/>
      <c r="C216" s="30"/>
      <c r="D216" s="31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.75" customHeight="1">
      <c r="A217" s="50"/>
      <c r="B217" s="30"/>
      <c r="C217" s="30"/>
      <c r="D217" s="31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.75" customHeight="1">
      <c r="A218" s="50"/>
      <c r="B218" s="30"/>
      <c r="C218" s="30"/>
      <c r="D218" s="31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.75" customHeight="1">
      <c r="A219" s="50"/>
      <c r="B219" s="30"/>
      <c r="C219" s="30"/>
      <c r="D219" s="31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.75" customHeight="1">
      <c r="A220" s="50"/>
      <c r="B220" s="30"/>
      <c r="C220" s="30"/>
      <c r="D220" s="31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.75" customHeight="1">
      <c r="A221" s="50"/>
      <c r="B221" s="30"/>
      <c r="C221" s="30"/>
      <c r="D221" s="31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.75" customHeight="1">
      <c r="A222" s="50"/>
      <c r="B222" s="30"/>
      <c r="C222" s="30"/>
      <c r="D222" s="31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.75" customHeight="1">
      <c r="A223" s="50"/>
      <c r="B223" s="30"/>
      <c r="C223" s="30"/>
      <c r="D223" s="31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.75" customHeight="1">
      <c r="A224" s="50"/>
      <c r="B224" s="30"/>
      <c r="C224" s="30"/>
      <c r="D224" s="31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.75" customHeight="1">
      <c r="A225" s="50"/>
      <c r="B225" s="30"/>
      <c r="C225" s="30"/>
      <c r="D225" s="31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.75" customHeight="1">
      <c r="A226" s="50"/>
      <c r="B226" s="30"/>
      <c r="C226" s="30"/>
      <c r="D226" s="31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.75" customHeight="1">
      <c r="A227" s="50"/>
      <c r="B227" s="30"/>
      <c r="C227" s="30"/>
      <c r="D227" s="31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.75" customHeight="1">
      <c r="A228" s="50"/>
      <c r="B228" s="30"/>
      <c r="C228" s="30"/>
      <c r="D228" s="31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.75" customHeight="1">
      <c r="A229" s="50"/>
      <c r="B229" s="30"/>
      <c r="C229" s="30"/>
      <c r="D229" s="31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.75" customHeight="1">
      <c r="A230" s="50"/>
      <c r="B230" s="30"/>
      <c r="C230" s="30"/>
      <c r="D230" s="31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.75" customHeight="1">
      <c r="A231" s="50"/>
      <c r="B231" s="30"/>
      <c r="C231" s="30"/>
      <c r="D231" s="31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.75" customHeight="1">
      <c r="A232" s="50"/>
      <c r="B232" s="30"/>
      <c r="C232" s="30"/>
      <c r="D232" s="31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.75" customHeight="1">
      <c r="A233" s="50"/>
      <c r="B233" s="30"/>
      <c r="C233" s="30"/>
      <c r="D233" s="31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.75" customHeight="1">
      <c r="A234" s="50"/>
      <c r="B234" s="30"/>
      <c r="C234" s="30"/>
      <c r="D234" s="31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.75" customHeight="1">
      <c r="A235" s="50"/>
      <c r="B235" s="30"/>
      <c r="C235" s="30"/>
      <c r="D235" s="31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.75" customHeight="1">
      <c r="A236" s="50"/>
      <c r="B236" s="30"/>
      <c r="C236" s="30"/>
      <c r="D236" s="31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.75" customHeight="1">
      <c r="A237" s="50"/>
      <c r="B237" s="30"/>
      <c r="C237" s="30"/>
      <c r="D237" s="31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.75" customHeight="1">
      <c r="A238" s="50"/>
      <c r="B238" s="30"/>
      <c r="C238" s="30"/>
      <c r="D238" s="31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.75" customHeight="1">
      <c r="A239" s="50"/>
      <c r="B239" s="30"/>
      <c r="C239" s="30"/>
      <c r="D239" s="31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.75" customHeight="1">
      <c r="A240" s="50"/>
      <c r="B240" s="30"/>
      <c r="C240" s="30"/>
      <c r="D240" s="31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.75" customHeight="1">
      <c r="A241" s="50"/>
      <c r="B241" s="30"/>
      <c r="C241" s="30"/>
      <c r="D241" s="31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.75" customHeight="1">
      <c r="A242" s="50"/>
      <c r="B242" s="30"/>
      <c r="C242" s="30"/>
      <c r="D242" s="31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.75" customHeight="1">
      <c r="A243" s="50"/>
      <c r="B243" s="30"/>
      <c r="C243" s="30"/>
      <c r="D243" s="31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.75" customHeight="1">
      <c r="A244" s="50"/>
      <c r="B244" s="30"/>
      <c r="C244" s="30"/>
      <c r="D244" s="31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.75" customHeight="1">
      <c r="A245" s="50"/>
      <c r="B245" s="30"/>
      <c r="C245" s="30"/>
      <c r="D245" s="31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.75" customHeight="1">
      <c r="A246" s="50"/>
      <c r="B246" s="30"/>
      <c r="C246" s="30"/>
      <c r="D246" s="31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.75" customHeight="1">
      <c r="A247" s="50"/>
      <c r="B247" s="30"/>
      <c r="C247" s="30"/>
      <c r="D247" s="31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.75" customHeight="1">
      <c r="A248" s="50"/>
      <c r="B248" s="30"/>
      <c r="C248" s="30"/>
      <c r="D248" s="31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.75" customHeight="1">
      <c r="A249" s="50"/>
      <c r="B249" s="30"/>
      <c r="C249" s="30"/>
      <c r="D249" s="31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.75" customHeight="1">
      <c r="A250" s="50"/>
      <c r="B250" s="30"/>
      <c r="C250" s="30"/>
      <c r="D250" s="31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.75" customHeight="1">
      <c r="A251" s="50"/>
      <c r="B251" s="30"/>
      <c r="C251" s="30"/>
      <c r="D251" s="31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.75" customHeight="1">
      <c r="A252" s="50"/>
      <c r="B252" s="30"/>
      <c r="C252" s="30"/>
      <c r="D252" s="31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.75" customHeight="1">
      <c r="A253" s="50"/>
      <c r="B253" s="30"/>
      <c r="C253" s="30"/>
      <c r="D253" s="31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.75" customHeight="1">
      <c r="A254" s="50"/>
      <c r="B254" s="30"/>
      <c r="C254" s="30"/>
      <c r="D254" s="31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.75" customHeight="1">
      <c r="A255" s="50"/>
      <c r="B255" s="30"/>
      <c r="C255" s="30"/>
      <c r="D255" s="31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.75" customHeight="1">
      <c r="A256" s="50"/>
      <c r="B256" s="30"/>
      <c r="C256" s="30"/>
      <c r="D256" s="31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.75" customHeight="1">
      <c r="A257" s="50"/>
      <c r="B257" s="30"/>
      <c r="C257" s="30"/>
      <c r="D257" s="31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.75" customHeight="1">
      <c r="A258" s="50"/>
      <c r="B258" s="30"/>
      <c r="C258" s="30"/>
      <c r="D258" s="31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.75" customHeight="1">
      <c r="A259" s="50"/>
      <c r="B259" s="30"/>
      <c r="C259" s="30"/>
      <c r="D259" s="31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.75" customHeight="1">
      <c r="A260" s="50"/>
      <c r="B260" s="30"/>
      <c r="C260" s="30"/>
      <c r="D260" s="31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.75" customHeight="1">
      <c r="A261" s="50"/>
      <c r="B261" s="30"/>
      <c r="C261" s="30"/>
      <c r="D261" s="31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.75" customHeight="1">
      <c r="A262" s="50"/>
      <c r="B262" s="30"/>
      <c r="C262" s="30"/>
      <c r="D262" s="31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>
      <c r="A263" s="50"/>
      <c r="B263" s="30"/>
      <c r="C263" s="30"/>
      <c r="D263" s="31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.75" customHeight="1">
      <c r="A264" s="50"/>
      <c r="B264" s="30"/>
      <c r="C264" s="30"/>
      <c r="D264" s="31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.75" customHeight="1">
      <c r="A265" s="50"/>
      <c r="B265" s="30"/>
      <c r="C265" s="30"/>
      <c r="D265" s="31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.75" customHeight="1">
      <c r="A266" s="50"/>
      <c r="B266" s="30"/>
      <c r="C266" s="30"/>
      <c r="D266" s="31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.75" customHeight="1">
      <c r="A267" s="50"/>
      <c r="B267" s="30"/>
      <c r="C267" s="30"/>
      <c r="D267" s="31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.75" customHeight="1">
      <c r="A268" s="50"/>
      <c r="B268" s="30"/>
      <c r="C268" s="30"/>
      <c r="D268" s="31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.75" customHeight="1">
      <c r="A269" s="50"/>
      <c r="B269" s="30"/>
      <c r="C269" s="30"/>
      <c r="D269" s="31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.75" customHeight="1">
      <c r="A270" s="50"/>
      <c r="B270" s="30"/>
      <c r="C270" s="30"/>
      <c r="D270" s="31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.75" customHeight="1">
      <c r="A271" s="50"/>
      <c r="B271" s="30"/>
      <c r="C271" s="30"/>
      <c r="D271" s="31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.75" customHeight="1">
      <c r="A272" s="50"/>
      <c r="B272" s="30"/>
      <c r="C272" s="30"/>
      <c r="D272" s="31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.75" customHeight="1">
      <c r="A273" s="50"/>
      <c r="B273" s="30"/>
      <c r="C273" s="30"/>
      <c r="D273" s="31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.75" customHeight="1">
      <c r="A274" s="50"/>
      <c r="B274" s="30"/>
      <c r="C274" s="30"/>
      <c r="D274" s="31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.75" customHeight="1">
      <c r="A275" s="50"/>
      <c r="B275" s="30"/>
      <c r="C275" s="30"/>
      <c r="D275" s="31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.75" customHeight="1">
      <c r="A276" s="50"/>
      <c r="B276" s="30"/>
      <c r="C276" s="30"/>
      <c r="D276" s="31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.75" customHeight="1">
      <c r="A277" s="50"/>
      <c r="B277" s="30"/>
      <c r="C277" s="30"/>
      <c r="D277" s="31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.75" customHeight="1">
      <c r="A278" s="50"/>
      <c r="B278" s="30"/>
      <c r="C278" s="30"/>
      <c r="D278" s="31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.75" customHeight="1">
      <c r="A279" s="50"/>
      <c r="B279" s="30"/>
      <c r="C279" s="30"/>
      <c r="D279" s="31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.75" customHeight="1">
      <c r="A280" s="50"/>
      <c r="B280" s="30"/>
      <c r="C280" s="30"/>
      <c r="D280" s="31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.75" customHeight="1">
      <c r="A281" s="50"/>
      <c r="B281" s="30"/>
      <c r="C281" s="30"/>
      <c r="D281" s="31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.75" customHeight="1">
      <c r="A282" s="50"/>
      <c r="B282" s="30"/>
      <c r="C282" s="30"/>
      <c r="D282" s="31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.75" customHeight="1">
      <c r="A283" s="50"/>
      <c r="B283" s="30"/>
      <c r="C283" s="30"/>
      <c r="D283" s="31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.75" customHeight="1">
      <c r="A284" s="50"/>
      <c r="B284" s="30"/>
      <c r="C284" s="30"/>
      <c r="D284" s="31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.75" customHeight="1">
      <c r="A285" s="50"/>
      <c r="B285" s="30"/>
      <c r="C285" s="30"/>
      <c r="D285" s="31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.75" customHeight="1">
      <c r="A286" s="50"/>
      <c r="B286" s="30"/>
      <c r="C286" s="30"/>
      <c r="D286" s="31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.75" customHeight="1">
      <c r="A287" s="50"/>
      <c r="B287" s="30"/>
      <c r="C287" s="30"/>
      <c r="D287" s="31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.75" customHeight="1">
      <c r="A288" s="50"/>
      <c r="B288" s="30"/>
      <c r="C288" s="30"/>
      <c r="D288" s="31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.75" customHeight="1">
      <c r="A289" s="50"/>
      <c r="B289" s="30"/>
      <c r="C289" s="30"/>
      <c r="D289" s="31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.75" customHeight="1">
      <c r="A290" s="50"/>
      <c r="B290" s="30"/>
      <c r="C290" s="30"/>
      <c r="D290" s="31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.75" customHeight="1">
      <c r="A291" s="50"/>
      <c r="B291" s="30"/>
      <c r="C291" s="30"/>
      <c r="D291" s="31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.75" customHeight="1">
      <c r="A292" s="50"/>
      <c r="B292" s="30"/>
      <c r="C292" s="30"/>
      <c r="D292" s="31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.75" customHeight="1">
      <c r="A293" s="50"/>
      <c r="B293" s="30"/>
      <c r="C293" s="30"/>
      <c r="D293" s="31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.75" customHeight="1">
      <c r="A294" s="50"/>
      <c r="B294" s="30"/>
      <c r="C294" s="30"/>
      <c r="D294" s="31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.75" customHeight="1">
      <c r="A295" s="50"/>
      <c r="B295" s="30"/>
      <c r="C295" s="30"/>
      <c r="D295" s="31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.75" customHeight="1">
      <c r="A296" s="50"/>
      <c r="B296" s="30"/>
      <c r="C296" s="30"/>
      <c r="D296" s="31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.75" customHeight="1">
      <c r="A297" s="50"/>
      <c r="B297" s="30"/>
      <c r="C297" s="30"/>
      <c r="D297" s="31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.75" customHeight="1">
      <c r="A298" s="50"/>
      <c r="B298" s="30"/>
      <c r="C298" s="30"/>
      <c r="D298" s="31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.75" customHeight="1">
      <c r="A299" s="50"/>
      <c r="B299" s="30"/>
      <c r="C299" s="30"/>
      <c r="D299" s="31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.75" customHeight="1">
      <c r="A300" s="50"/>
      <c r="B300" s="30"/>
      <c r="C300" s="30"/>
      <c r="D300" s="31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.75" customHeight="1">
      <c r="A301" s="50"/>
      <c r="B301" s="30"/>
      <c r="C301" s="30"/>
      <c r="D301" s="31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.75" customHeight="1">
      <c r="A302" s="50"/>
      <c r="B302" s="30"/>
      <c r="C302" s="30"/>
      <c r="D302" s="31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.75" customHeight="1">
      <c r="A303" s="50"/>
      <c r="B303" s="30"/>
      <c r="C303" s="30"/>
      <c r="D303" s="31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.75" customHeight="1">
      <c r="A304" s="50"/>
      <c r="B304" s="30"/>
      <c r="C304" s="30"/>
      <c r="D304" s="31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.75" customHeight="1">
      <c r="A305" s="50"/>
      <c r="B305" s="30"/>
      <c r="C305" s="30"/>
      <c r="D305" s="31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.75" customHeight="1">
      <c r="A306" s="50"/>
      <c r="B306" s="30"/>
      <c r="C306" s="30"/>
      <c r="D306" s="31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.75" customHeight="1">
      <c r="A307" s="50"/>
      <c r="B307" s="30"/>
      <c r="C307" s="30"/>
      <c r="D307" s="31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.75" customHeight="1">
      <c r="A308" s="50"/>
      <c r="B308" s="30"/>
      <c r="C308" s="30"/>
      <c r="D308" s="31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.75" customHeight="1">
      <c r="A309" s="50"/>
      <c r="B309" s="30"/>
      <c r="C309" s="30"/>
      <c r="D309" s="31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.75" customHeight="1"/>
    <row r="311" spans="1:26" ht="15.75" customHeight="1"/>
    <row r="312" spans="1:26" ht="15.75" customHeight="1"/>
    <row r="313" spans="1:26" ht="15.75" customHeight="1"/>
    <row r="314" spans="1:26" ht="15.75" customHeight="1"/>
    <row r="315" spans="1:26" ht="15.75" customHeight="1"/>
    <row r="316" spans="1:26" ht="15.75" customHeight="1"/>
    <row r="317" spans="1:26" ht="15.75" customHeight="1"/>
    <row r="318" spans="1:26" ht="15.75" customHeight="1"/>
    <row r="319" spans="1:26" ht="15.75" customHeight="1"/>
    <row r="320" spans="1:2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1:Y1" xr:uid="{00000000-0009-0000-0000-000005000000}"/>
  <conditionalFormatting sqref="I74:I86">
    <cfRule type="beginsWith" dxfId="25" priority="1" operator="beginsWith" text="tech">
      <formula>LEFT(I74,LEN("tech"))="tech"</formula>
    </cfRule>
    <cfRule type="beginsWith" dxfId="24" priority="2" operator="beginsWith" text="0">
      <formula>LEFT(I74,LEN("0"))="0"</formula>
    </cfRule>
  </conditionalFormatting>
  <conditionalFormatting sqref="I92:I103">
    <cfRule type="beginsWith" dxfId="23" priority="3" operator="beginsWith" text="tech">
      <formula>LEFT(I92,LEN("tech"))="tech"</formula>
    </cfRule>
    <cfRule type="beginsWith" dxfId="22" priority="4" operator="beginsWith" text="0">
      <formula>LEFT(I92,LEN("0"))="0"</formula>
    </cfRule>
  </conditionalFormatting>
  <dataValidations count="1">
    <dataValidation type="list" allowBlank="1" showErrorMessage="1" sqref="E68:E69" xr:uid="{00000000-0002-0000-0500-000000000000}">
      <formula1>$I$4:$I$5</formula1>
    </dataValidation>
  </dataValidations>
  <pageMargins left="0.7" right="0.7" top="0.75" bottom="0.75" header="0" footer="0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00"/>
  <sheetViews>
    <sheetView workbookViewId="0"/>
  </sheetViews>
  <sheetFormatPr defaultColWidth="14.44140625" defaultRowHeight="15" customHeight="1"/>
  <cols>
    <col min="1" max="1" width="14" customWidth="1"/>
    <col min="2" max="2" width="6.33203125" customWidth="1"/>
    <col min="3" max="3" width="23.109375" customWidth="1"/>
    <col min="4" max="4" width="23.109375" hidden="1" customWidth="1"/>
    <col min="5" max="5" width="16" customWidth="1"/>
    <col min="6" max="6" width="20.33203125" customWidth="1"/>
    <col min="7" max="7" width="15.33203125" customWidth="1"/>
    <col min="8" max="8" width="55.88671875" hidden="1" customWidth="1"/>
    <col min="9" max="9" width="37.6640625" hidden="1" customWidth="1"/>
    <col min="10" max="10" width="60.88671875" customWidth="1"/>
    <col min="11" max="26" width="12.44140625" customWidth="1"/>
    <col min="27" max="28" width="12.6640625" customWidth="1"/>
  </cols>
  <sheetData>
    <row r="1" spans="1:28" ht="15.75" customHeight="1">
      <c r="A1" s="25" t="s">
        <v>722</v>
      </c>
      <c r="B1" s="26"/>
      <c r="C1" s="26" t="s">
        <v>723</v>
      </c>
      <c r="D1" s="26"/>
      <c r="E1" s="26" t="s">
        <v>476</v>
      </c>
      <c r="F1" s="26" t="s">
        <v>477</v>
      </c>
      <c r="G1" s="26" t="s">
        <v>724</v>
      </c>
      <c r="H1" s="26" t="s">
        <v>725</v>
      </c>
      <c r="I1" s="25"/>
      <c r="J1" s="26" t="s">
        <v>725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7"/>
      <c r="AB1" s="27"/>
    </row>
    <row r="2" spans="1:28" ht="22.5" customHeight="1">
      <c r="A2" s="28" t="s">
        <v>116</v>
      </c>
      <c r="B2" s="29"/>
      <c r="C2" s="30"/>
      <c r="D2" s="30"/>
      <c r="E2" s="31"/>
      <c r="F2" s="31"/>
      <c r="G2" s="32"/>
      <c r="H2" s="30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8" ht="21" customHeight="1">
      <c r="A3" s="34"/>
      <c r="B3" s="29">
        <v>1</v>
      </c>
      <c r="C3" s="30" t="s">
        <v>726</v>
      </c>
      <c r="D3" s="30" t="s">
        <v>727</v>
      </c>
      <c r="E3" s="469" t="s">
        <v>728</v>
      </c>
      <c r="F3" s="31" t="s">
        <v>729</v>
      </c>
      <c r="G3" s="32" t="e">
        <f>#REF!</f>
        <v>#REF!</v>
      </c>
      <c r="H3" s="30" t="s">
        <v>730</v>
      </c>
      <c r="I3" s="24"/>
      <c r="J3" s="35" t="s">
        <v>731</v>
      </c>
      <c r="K3" s="30"/>
      <c r="L3" s="30"/>
      <c r="M3" s="33" t="s">
        <v>732</v>
      </c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28" ht="21" customHeight="1">
      <c r="A4" s="34"/>
      <c r="B4" s="29">
        <v>2</v>
      </c>
      <c r="C4" s="30" t="s">
        <v>139</v>
      </c>
      <c r="D4" s="30" t="s">
        <v>138</v>
      </c>
      <c r="E4" s="469" t="s">
        <v>140</v>
      </c>
      <c r="F4" s="31" t="s">
        <v>141</v>
      </c>
      <c r="G4" s="32" t="e">
        <f>#REF!</f>
        <v>#REF!</v>
      </c>
      <c r="H4" s="30" t="s">
        <v>730</v>
      </c>
      <c r="I4" s="24"/>
      <c r="J4" s="35" t="s">
        <v>733</v>
      </c>
      <c r="K4" s="30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spans="1:28" ht="21" customHeight="1">
      <c r="A5" s="34"/>
      <c r="B5" s="29">
        <v>3</v>
      </c>
      <c r="C5" s="30" t="s">
        <v>148</v>
      </c>
      <c r="D5" s="30" t="s">
        <v>147</v>
      </c>
      <c r="E5" s="469" t="s">
        <v>149</v>
      </c>
      <c r="F5" s="31" t="s">
        <v>132</v>
      </c>
      <c r="G5" s="32" t="e">
        <f>#REF!</f>
        <v>#REF!</v>
      </c>
      <c r="H5" s="30" t="s">
        <v>730</v>
      </c>
      <c r="I5" s="24"/>
      <c r="J5" s="35" t="s">
        <v>734</v>
      </c>
      <c r="K5" s="30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ht="21" customHeight="1">
      <c r="A6" s="34"/>
      <c r="B6" s="29">
        <v>4</v>
      </c>
      <c r="C6" s="30" t="s">
        <v>735</v>
      </c>
      <c r="D6" s="30" t="s">
        <v>736</v>
      </c>
      <c r="E6" s="469" t="s">
        <v>737</v>
      </c>
      <c r="F6" s="31" t="s">
        <v>738</v>
      </c>
      <c r="G6" s="32" t="e">
        <f>#REF!</f>
        <v>#REF!</v>
      </c>
      <c r="H6" s="30" t="s">
        <v>730</v>
      </c>
      <c r="I6" s="24"/>
      <c r="J6" s="35" t="s">
        <v>739</v>
      </c>
      <c r="K6" s="30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21" customHeight="1">
      <c r="A7" s="34"/>
      <c r="B7" s="29"/>
      <c r="C7" s="30"/>
      <c r="D7" s="30"/>
      <c r="E7" s="31"/>
      <c r="F7" s="31"/>
      <c r="G7" s="36" t="e">
        <f>SUM(G3:G6)</f>
        <v>#REF!</v>
      </c>
      <c r="H7" s="30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8" ht="21" customHeight="1">
      <c r="A8" s="37" t="s">
        <v>740</v>
      </c>
      <c r="B8" s="29"/>
      <c r="C8" s="30"/>
      <c r="D8" s="30"/>
      <c r="E8" s="31"/>
      <c r="F8" s="31"/>
      <c r="G8" s="32"/>
      <c r="H8" s="30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8" ht="21" customHeight="1">
      <c r="A9" s="34"/>
      <c r="B9" s="29">
        <v>1</v>
      </c>
      <c r="C9" s="30" t="s">
        <v>195</v>
      </c>
      <c r="D9" s="30" t="s">
        <v>194</v>
      </c>
      <c r="E9" s="469" t="s">
        <v>197</v>
      </c>
      <c r="F9" s="31" t="s">
        <v>141</v>
      </c>
      <c r="G9" s="32" t="e">
        <f>#REF!</f>
        <v>#REF!</v>
      </c>
      <c r="H9" s="30" t="s">
        <v>741</v>
      </c>
      <c r="I9" s="24"/>
      <c r="J9" s="35" t="s">
        <v>742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spans="1:28" ht="21" customHeight="1">
      <c r="A10" s="34"/>
      <c r="B10" s="29">
        <v>2</v>
      </c>
      <c r="C10" s="30" t="s">
        <v>135</v>
      </c>
      <c r="D10" s="30" t="s">
        <v>134</v>
      </c>
      <c r="E10" s="469" t="s">
        <v>136</v>
      </c>
      <c r="F10" s="31" t="s">
        <v>525</v>
      </c>
      <c r="G10" s="32" t="e">
        <f>#REF!</f>
        <v>#REF!</v>
      </c>
      <c r="H10" s="30" t="s">
        <v>741</v>
      </c>
      <c r="I10" s="24"/>
      <c r="J10" s="35" t="s">
        <v>743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ht="21" customHeight="1">
      <c r="A11" s="34"/>
      <c r="B11" s="29">
        <v>3</v>
      </c>
      <c r="C11" s="30" t="s">
        <v>744</v>
      </c>
      <c r="D11" s="30" t="s">
        <v>745</v>
      </c>
      <c r="E11" s="31">
        <v>1012757264</v>
      </c>
      <c r="F11" s="31" t="s">
        <v>119</v>
      </c>
      <c r="G11" s="32" t="e">
        <f>#REF!</f>
        <v>#REF!</v>
      </c>
      <c r="H11" s="30" t="s">
        <v>741</v>
      </c>
      <c r="I11" s="24"/>
      <c r="J11" s="35" t="s">
        <v>746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spans="1:28" ht="21" customHeight="1">
      <c r="A12" s="34"/>
      <c r="B12" s="29">
        <v>4</v>
      </c>
      <c r="C12" s="30" t="s">
        <v>206</v>
      </c>
      <c r="D12" s="30" t="s">
        <v>747</v>
      </c>
      <c r="E12" s="31">
        <v>23241857</v>
      </c>
      <c r="F12" s="31" t="s">
        <v>208</v>
      </c>
      <c r="G12" s="32" t="e">
        <f>#REF!</f>
        <v>#REF!</v>
      </c>
      <c r="H12" s="30" t="s">
        <v>741</v>
      </c>
      <c r="I12" s="24"/>
      <c r="J12" s="35" t="s">
        <v>748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spans="1:28" ht="21" customHeight="1">
      <c r="A13" s="34"/>
      <c r="B13" s="29"/>
      <c r="C13" s="30"/>
      <c r="D13" s="30"/>
      <c r="E13" s="31"/>
      <c r="F13" s="31"/>
      <c r="G13" s="36" t="e">
        <f>SUM(G9:G12)</f>
        <v>#REF!</v>
      </c>
      <c r="H13" s="30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8" ht="21" customHeight="1">
      <c r="A14" s="28" t="s">
        <v>749</v>
      </c>
      <c r="B14" s="29"/>
      <c r="C14" s="30"/>
      <c r="D14" s="30"/>
      <c r="E14" s="31"/>
      <c r="F14" s="31"/>
      <c r="G14" s="32"/>
      <c r="H14" s="30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8" ht="21" customHeight="1">
      <c r="A15" s="34"/>
      <c r="B15" s="29">
        <v>1</v>
      </c>
      <c r="C15" s="30" t="s">
        <v>750</v>
      </c>
      <c r="D15" s="30" t="s">
        <v>751</v>
      </c>
      <c r="E15" s="31">
        <v>1017320957</v>
      </c>
      <c r="F15" s="31" t="s">
        <v>119</v>
      </c>
      <c r="G15" s="32" t="e">
        <f>#REF!</f>
        <v>#REF!</v>
      </c>
      <c r="H15" s="30" t="s">
        <v>752</v>
      </c>
      <c r="I15" s="24"/>
      <c r="J15" s="35" t="s">
        <v>753</v>
      </c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1:28" ht="21" customHeight="1">
      <c r="A16" s="34"/>
      <c r="B16" s="29">
        <v>2</v>
      </c>
      <c r="C16" s="30" t="s">
        <v>754</v>
      </c>
      <c r="D16" s="30" t="s">
        <v>755</v>
      </c>
      <c r="E16" s="469" t="s">
        <v>756</v>
      </c>
      <c r="F16" s="31" t="s">
        <v>141</v>
      </c>
      <c r="G16" s="32" t="e">
        <f>#REF!</f>
        <v>#REF!</v>
      </c>
      <c r="H16" s="30" t="s">
        <v>752</v>
      </c>
      <c r="I16" s="24"/>
      <c r="J16" s="35" t="s">
        <v>757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spans="1:28" ht="21" customHeight="1">
      <c r="A17" s="34"/>
      <c r="B17" s="29">
        <v>3</v>
      </c>
      <c r="C17" s="30" t="s">
        <v>758</v>
      </c>
      <c r="D17" s="30" t="s">
        <v>759</v>
      </c>
      <c r="E17" s="469" t="s">
        <v>760</v>
      </c>
      <c r="F17" s="31" t="s">
        <v>337</v>
      </c>
      <c r="G17" s="32" t="e">
        <f>#REF!</f>
        <v>#REF!</v>
      </c>
      <c r="H17" s="30" t="s">
        <v>752</v>
      </c>
      <c r="I17" s="24"/>
      <c r="J17" s="35" t="s">
        <v>761</v>
      </c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spans="1:28" ht="21" customHeight="1">
      <c r="A18" s="34"/>
      <c r="B18" s="29">
        <v>4</v>
      </c>
      <c r="C18" s="30" t="s">
        <v>762</v>
      </c>
      <c r="D18" s="30" t="s">
        <v>763</v>
      </c>
      <c r="E18" s="469" t="s">
        <v>764</v>
      </c>
      <c r="F18" s="31" t="s">
        <v>765</v>
      </c>
      <c r="G18" s="32" t="e">
        <f>#REF!</f>
        <v>#REF!</v>
      </c>
      <c r="H18" s="30" t="s">
        <v>752</v>
      </c>
      <c r="I18" s="24"/>
      <c r="J18" s="35" t="s">
        <v>766</v>
      </c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ht="21" customHeight="1">
      <c r="A19" s="34"/>
      <c r="B19" s="29">
        <v>5</v>
      </c>
      <c r="C19" s="30" t="s">
        <v>165</v>
      </c>
      <c r="D19" s="30" t="s">
        <v>164</v>
      </c>
      <c r="E19" s="469" t="s">
        <v>167</v>
      </c>
      <c r="F19" s="31" t="s">
        <v>168</v>
      </c>
      <c r="G19" s="32" t="e">
        <f>#REF!</f>
        <v>#REF!</v>
      </c>
      <c r="H19" s="30" t="s">
        <v>752</v>
      </c>
      <c r="I19" s="24"/>
      <c r="J19" s="35" t="s">
        <v>767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ht="21" customHeight="1">
      <c r="A20" s="34"/>
      <c r="B20" s="29"/>
      <c r="C20" s="30"/>
      <c r="D20" s="30"/>
      <c r="E20" s="31"/>
      <c r="F20" s="31"/>
      <c r="G20" s="36" t="e">
        <f>SUM(G15:G19)</f>
        <v>#REF!</v>
      </c>
      <c r="H20" s="30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24"/>
      <c r="AB20" s="24"/>
    </row>
    <row r="21" spans="1:28" ht="21" customHeight="1">
      <c r="A21" s="28" t="s">
        <v>768</v>
      </c>
      <c r="B21" s="29"/>
      <c r="C21" s="30"/>
      <c r="D21" s="30"/>
      <c r="E21" s="31"/>
      <c r="F21" s="31"/>
      <c r="G21" s="36"/>
      <c r="H21" s="30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8" ht="21" customHeight="1">
      <c r="A22" s="34"/>
      <c r="B22" s="29">
        <v>1</v>
      </c>
      <c r="C22" s="30" t="s">
        <v>318</v>
      </c>
      <c r="D22" s="30" t="s">
        <v>317</v>
      </c>
      <c r="E22" s="469" t="s">
        <v>319</v>
      </c>
      <c r="F22" s="31" t="s">
        <v>769</v>
      </c>
      <c r="G22" s="32" t="e">
        <f>#REF!</f>
        <v>#REF!</v>
      </c>
      <c r="H22" s="30" t="s">
        <v>770</v>
      </c>
      <c r="I22" s="24"/>
      <c r="J22" s="35" t="s">
        <v>771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spans="1:28" ht="21" customHeight="1">
      <c r="A23" s="34"/>
      <c r="B23" s="29">
        <v>2</v>
      </c>
      <c r="C23" s="30" t="s">
        <v>772</v>
      </c>
      <c r="D23" s="30" t="s">
        <v>773</v>
      </c>
      <c r="E23" s="469" t="s">
        <v>774</v>
      </c>
      <c r="F23" s="31" t="s">
        <v>289</v>
      </c>
      <c r="G23" s="32" t="e">
        <f>#REF!</f>
        <v>#REF!</v>
      </c>
      <c r="H23" s="30" t="s">
        <v>770</v>
      </c>
      <c r="I23" s="24"/>
      <c r="J23" s="35" t="s">
        <v>775</v>
      </c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1:28" ht="21" customHeight="1">
      <c r="A24" s="34"/>
      <c r="B24" s="29">
        <v>3</v>
      </c>
      <c r="C24" s="30" t="s">
        <v>776</v>
      </c>
      <c r="D24" s="30" t="s">
        <v>777</v>
      </c>
      <c r="E24" s="472" t="s">
        <v>778</v>
      </c>
      <c r="F24" s="38" t="s">
        <v>141</v>
      </c>
      <c r="G24" s="32" t="e">
        <f>#REF!</f>
        <v>#REF!</v>
      </c>
      <c r="H24" s="30" t="s">
        <v>770</v>
      </c>
      <c r="I24" s="24"/>
      <c r="J24" s="35" t="s">
        <v>779</v>
      </c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spans="1:28" ht="21" customHeight="1">
      <c r="A25" s="34"/>
      <c r="B25" s="29">
        <v>4</v>
      </c>
      <c r="C25" s="30" t="s">
        <v>780</v>
      </c>
      <c r="D25" s="30" t="s">
        <v>781</v>
      </c>
      <c r="E25" s="38">
        <v>7601076077</v>
      </c>
      <c r="F25" s="38" t="s">
        <v>782</v>
      </c>
      <c r="G25" s="32" t="e">
        <f>#REF!</f>
        <v>#REF!</v>
      </c>
      <c r="H25" s="30" t="s">
        <v>770</v>
      </c>
      <c r="I25" s="24"/>
      <c r="J25" s="35" t="s">
        <v>783</v>
      </c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spans="1:28" ht="21" customHeight="1">
      <c r="A26" s="34"/>
      <c r="B26" s="29">
        <v>5</v>
      </c>
      <c r="C26" s="30" t="s">
        <v>784</v>
      </c>
      <c r="D26" s="30" t="s">
        <v>785</v>
      </c>
      <c r="E26" s="38">
        <v>4306017</v>
      </c>
      <c r="F26" s="38" t="s">
        <v>208</v>
      </c>
      <c r="G26" s="32" t="e">
        <f>#REF!</f>
        <v>#REF!</v>
      </c>
      <c r="H26" s="30" t="s">
        <v>770</v>
      </c>
      <c r="I26" s="24"/>
      <c r="J26" s="35" t="s">
        <v>786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spans="1:28" ht="21" customHeight="1">
      <c r="A27" s="34"/>
      <c r="B27" s="29"/>
      <c r="C27" s="30"/>
      <c r="D27" s="30"/>
      <c r="E27" s="31"/>
      <c r="F27" s="31"/>
      <c r="G27" s="36" t="e">
        <f>SUM(G22:G26)</f>
        <v>#REF!</v>
      </c>
      <c r="H27" s="30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8" ht="21" customHeight="1">
      <c r="A28" s="28" t="s">
        <v>787</v>
      </c>
      <c r="B28" s="29"/>
      <c r="C28" s="30"/>
      <c r="D28" s="30"/>
      <c r="E28" s="31"/>
      <c r="F28" s="31"/>
      <c r="G28" s="32"/>
      <c r="H28" s="30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8" ht="21" customHeight="1">
      <c r="A29" s="34"/>
      <c r="B29" s="29">
        <v>1</v>
      </c>
      <c r="C29" s="30" t="s">
        <v>298</v>
      </c>
      <c r="D29" s="30" t="s">
        <v>297</v>
      </c>
      <c r="E29" s="469" t="s">
        <v>301</v>
      </c>
      <c r="F29" s="31" t="s">
        <v>119</v>
      </c>
      <c r="G29" s="32" t="e">
        <f>#REF!</f>
        <v>#REF!</v>
      </c>
      <c r="H29" s="30" t="s">
        <v>788</v>
      </c>
      <c r="I29" s="24"/>
      <c r="J29" s="35" t="s">
        <v>789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spans="1:28" ht="21" customHeight="1">
      <c r="A30" s="34"/>
      <c r="B30" s="29">
        <v>2</v>
      </c>
      <c r="C30" s="30" t="s">
        <v>303</v>
      </c>
      <c r="D30" s="30" t="s">
        <v>302</v>
      </c>
      <c r="E30" s="469" t="s">
        <v>304</v>
      </c>
      <c r="F30" s="31" t="s">
        <v>581</v>
      </c>
      <c r="G30" s="32" t="e">
        <f>#REF!</f>
        <v>#REF!</v>
      </c>
      <c r="H30" s="30" t="s">
        <v>788</v>
      </c>
      <c r="I30" s="24"/>
      <c r="J30" s="35" t="s">
        <v>790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spans="1:28" ht="21" customHeight="1">
      <c r="A31" s="34"/>
      <c r="B31" s="29">
        <v>3</v>
      </c>
      <c r="C31" s="30" t="s">
        <v>791</v>
      </c>
      <c r="D31" s="30" t="s">
        <v>792</v>
      </c>
      <c r="E31" s="469" t="s">
        <v>793</v>
      </c>
      <c r="F31" s="31" t="s">
        <v>794</v>
      </c>
      <c r="G31" s="32" t="e">
        <f>#REF!</f>
        <v>#REF!</v>
      </c>
      <c r="H31" s="30" t="s">
        <v>788</v>
      </c>
      <c r="I31" s="24"/>
      <c r="J31" s="35" t="s">
        <v>795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spans="1:28" ht="21" customHeight="1">
      <c r="A32" s="34"/>
      <c r="B32" s="29">
        <v>4</v>
      </c>
      <c r="C32" s="30" t="s">
        <v>796</v>
      </c>
      <c r="D32" s="30" t="s">
        <v>797</v>
      </c>
      <c r="E32" s="31">
        <v>10000294427</v>
      </c>
      <c r="F32" s="31" t="s">
        <v>204</v>
      </c>
      <c r="G32" s="32" t="e">
        <f>#REF!</f>
        <v>#REF!</v>
      </c>
      <c r="H32" s="30" t="s">
        <v>788</v>
      </c>
      <c r="I32" s="24"/>
      <c r="J32" s="35" t="s">
        <v>798</v>
      </c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 spans="1:28" ht="21" customHeight="1">
      <c r="A33" s="34"/>
      <c r="B33" s="29">
        <v>5</v>
      </c>
      <c r="C33" s="30" t="s">
        <v>799</v>
      </c>
      <c r="D33" s="30" t="s">
        <v>800</v>
      </c>
      <c r="E33" s="469" t="s">
        <v>801</v>
      </c>
      <c r="F33" s="31" t="s">
        <v>119</v>
      </c>
      <c r="G33" s="32" t="e">
        <f>#REF!</f>
        <v>#REF!</v>
      </c>
      <c r="H33" s="30" t="s">
        <v>788</v>
      </c>
      <c r="I33" s="24"/>
      <c r="J33" s="35" t="s">
        <v>802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spans="1:28" ht="21" customHeight="1">
      <c r="A34" s="34"/>
      <c r="B34" s="29">
        <v>6</v>
      </c>
      <c r="C34" s="30" t="s">
        <v>803</v>
      </c>
      <c r="D34" s="30" t="s">
        <v>804</v>
      </c>
      <c r="E34" s="469" t="s">
        <v>805</v>
      </c>
      <c r="F34" s="31" t="s">
        <v>220</v>
      </c>
      <c r="G34" s="32" t="e">
        <f>#REF!</f>
        <v>#REF!</v>
      </c>
      <c r="H34" s="30" t="s">
        <v>788</v>
      </c>
      <c r="I34" s="24"/>
      <c r="J34" s="35" t="s">
        <v>806</v>
      </c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28" ht="21" customHeight="1">
      <c r="A35" s="34"/>
      <c r="B35" s="29"/>
      <c r="C35" s="30"/>
      <c r="D35" s="30"/>
      <c r="E35" s="31"/>
      <c r="F35" s="31"/>
      <c r="G35" s="36" t="e">
        <f>SUM(G29:G34)</f>
        <v>#REF!</v>
      </c>
      <c r="H35" s="30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24"/>
      <c r="AB35" s="24"/>
    </row>
    <row r="36" spans="1:28" ht="21" customHeight="1">
      <c r="A36" s="28" t="s">
        <v>807</v>
      </c>
      <c r="B36" s="29"/>
      <c r="C36" s="30"/>
      <c r="D36" s="30"/>
      <c r="E36" s="31"/>
      <c r="F36" s="31"/>
      <c r="G36" s="32"/>
      <c r="H36" s="30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8" ht="21" customHeight="1">
      <c r="A37" s="34"/>
      <c r="B37" s="29">
        <v>1</v>
      </c>
      <c r="C37" s="30" t="s">
        <v>115</v>
      </c>
      <c r="D37" s="30" t="s">
        <v>114</v>
      </c>
      <c r="E37" s="469" t="s">
        <v>118</v>
      </c>
      <c r="F37" s="31" t="s">
        <v>119</v>
      </c>
      <c r="G37" s="32" t="e">
        <f>#REF!</f>
        <v>#REF!</v>
      </c>
      <c r="H37" s="30" t="s">
        <v>808</v>
      </c>
      <c r="I37" s="24"/>
      <c r="J37" s="35" t="s">
        <v>809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3"/>
      <c r="W37" s="33"/>
      <c r="X37" s="33"/>
      <c r="Y37" s="33"/>
      <c r="Z37" s="33"/>
      <c r="AA37" s="33"/>
      <c r="AB37" s="33"/>
    </row>
    <row r="38" spans="1:28" ht="21" customHeight="1">
      <c r="A38" s="34"/>
      <c r="B38" s="29">
        <v>2</v>
      </c>
      <c r="C38" s="30" t="s">
        <v>810</v>
      </c>
      <c r="D38" s="30" t="s">
        <v>811</v>
      </c>
      <c r="E38" s="469" t="s">
        <v>812</v>
      </c>
      <c r="F38" s="31" t="s">
        <v>264</v>
      </c>
      <c r="G38" s="32" t="e">
        <f>#REF!</f>
        <v>#REF!</v>
      </c>
      <c r="H38" s="30" t="s">
        <v>808</v>
      </c>
      <c r="I38" s="24"/>
      <c r="J38" s="35" t="s">
        <v>813</v>
      </c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 spans="1:28" ht="21" customHeight="1">
      <c r="A39" s="34"/>
      <c r="B39" s="29">
        <v>3</v>
      </c>
      <c r="C39" s="30" t="s">
        <v>272</v>
      </c>
      <c r="D39" s="30" t="s">
        <v>271</v>
      </c>
      <c r="E39" s="469" t="s">
        <v>273</v>
      </c>
      <c r="F39" s="31" t="s">
        <v>220</v>
      </c>
      <c r="G39" s="32" t="e">
        <f>#REF!</f>
        <v>#REF!</v>
      </c>
      <c r="H39" s="30" t="s">
        <v>808</v>
      </c>
      <c r="I39" s="24"/>
      <c r="J39" s="35" t="s">
        <v>814</v>
      </c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 spans="1:28" ht="21" customHeight="1">
      <c r="A40" s="34"/>
      <c r="B40" s="29">
        <v>4</v>
      </c>
      <c r="C40" s="30" t="s">
        <v>815</v>
      </c>
      <c r="D40" s="30" t="s">
        <v>816</v>
      </c>
      <c r="E40" s="31">
        <v>9976633384</v>
      </c>
      <c r="F40" s="31" t="s">
        <v>119</v>
      </c>
      <c r="G40" s="32" t="e">
        <f>#REF!</f>
        <v>#REF!</v>
      </c>
      <c r="H40" s="30" t="s">
        <v>808</v>
      </c>
      <c r="I40" s="24"/>
      <c r="J40" s="35" t="s">
        <v>817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28" ht="21" customHeight="1">
      <c r="A41" s="34"/>
      <c r="B41" s="29">
        <v>5</v>
      </c>
      <c r="C41" s="30" t="s">
        <v>347</v>
      </c>
      <c r="D41" s="30" t="s">
        <v>818</v>
      </c>
      <c r="E41" s="31">
        <v>1028255437</v>
      </c>
      <c r="F41" s="31" t="s">
        <v>119</v>
      </c>
      <c r="G41" s="32" t="e">
        <f>#REF!</f>
        <v>#REF!</v>
      </c>
      <c r="H41" s="30" t="s">
        <v>808</v>
      </c>
      <c r="I41" s="24"/>
      <c r="J41" s="35" t="s">
        <v>819</v>
      </c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28" ht="21" customHeight="1">
      <c r="A42" s="34"/>
      <c r="B42" s="29"/>
      <c r="C42" s="30"/>
      <c r="D42" s="30"/>
      <c r="E42" s="31"/>
      <c r="F42" s="31"/>
      <c r="G42" s="36" t="e">
        <f>SUM(G37:G41)</f>
        <v>#REF!</v>
      </c>
      <c r="H42" s="30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8" ht="21" customHeight="1">
      <c r="A43" s="28" t="s">
        <v>820</v>
      </c>
      <c r="B43" s="29"/>
      <c r="C43" s="30"/>
      <c r="D43" s="30"/>
      <c r="E43" s="31"/>
      <c r="F43" s="31"/>
      <c r="G43" s="32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3"/>
      <c r="U43" s="33"/>
      <c r="V43" s="33"/>
      <c r="W43" s="33"/>
      <c r="X43" s="33"/>
      <c r="Y43" s="33"/>
      <c r="Z43" s="33"/>
    </row>
    <row r="44" spans="1:28" ht="21" customHeight="1">
      <c r="A44" s="34"/>
      <c r="B44" s="29">
        <v>1</v>
      </c>
      <c r="C44" s="30" t="s">
        <v>328</v>
      </c>
      <c r="D44" s="30" t="s">
        <v>327</v>
      </c>
      <c r="E44" s="469" t="s">
        <v>331</v>
      </c>
      <c r="F44" s="31" t="s">
        <v>332</v>
      </c>
      <c r="G44" s="32" t="e">
        <f>#REF!</f>
        <v>#REF!</v>
      </c>
      <c r="H44" s="30" t="s">
        <v>821</v>
      </c>
      <c r="I44" s="24"/>
      <c r="J44" s="35" t="s">
        <v>822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3"/>
      <c r="W44" s="33"/>
      <c r="X44" s="33"/>
      <c r="Y44" s="33"/>
      <c r="Z44" s="33"/>
      <c r="AA44" s="33"/>
      <c r="AB44" s="33"/>
    </row>
    <row r="45" spans="1:28" ht="21" customHeight="1">
      <c r="A45" s="34"/>
      <c r="B45" s="29">
        <v>2</v>
      </c>
      <c r="C45" s="30" t="s">
        <v>335</v>
      </c>
      <c r="D45" s="30" t="s">
        <v>334</v>
      </c>
      <c r="E45" s="469" t="s">
        <v>336</v>
      </c>
      <c r="F45" s="31" t="s">
        <v>337</v>
      </c>
      <c r="G45" s="32" t="e">
        <f>#REF!</f>
        <v>#REF!</v>
      </c>
      <c r="H45" s="30" t="s">
        <v>821</v>
      </c>
      <c r="I45" s="24"/>
      <c r="J45" s="35" t="s">
        <v>823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3"/>
      <c r="W45" s="33"/>
      <c r="X45" s="33"/>
      <c r="Y45" s="33"/>
      <c r="Z45" s="33"/>
      <c r="AA45" s="33"/>
      <c r="AB45" s="33"/>
    </row>
    <row r="46" spans="1:28" ht="21" customHeight="1">
      <c r="A46" s="34"/>
      <c r="B46" s="29">
        <v>3</v>
      </c>
      <c r="C46" s="30" t="s">
        <v>824</v>
      </c>
      <c r="D46" s="30" t="s">
        <v>825</v>
      </c>
      <c r="E46" s="469" t="s">
        <v>826</v>
      </c>
      <c r="F46" s="31" t="s">
        <v>119</v>
      </c>
      <c r="G46" s="32" t="e">
        <f>#REF!</f>
        <v>#REF!</v>
      </c>
      <c r="H46" s="30" t="s">
        <v>821</v>
      </c>
      <c r="I46" s="24"/>
      <c r="J46" s="35" t="s">
        <v>827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3"/>
      <c r="W46" s="33"/>
      <c r="X46" s="33"/>
      <c r="Y46" s="33"/>
      <c r="Z46" s="33"/>
      <c r="AA46" s="33"/>
      <c r="AB46" s="33"/>
    </row>
    <row r="47" spans="1:28" ht="21" customHeight="1">
      <c r="A47" s="34"/>
      <c r="B47" s="29">
        <v>4</v>
      </c>
      <c r="C47" s="30" t="s">
        <v>347</v>
      </c>
      <c r="D47" s="30" t="s">
        <v>818</v>
      </c>
      <c r="E47" s="31">
        <v>1028255437</v>
      </c>
      <c r="F47" s="31" t="s">
        <v>119</v>
      </c>
      <c r="G47" s="32" t="e">
        <f>#REF!</f>
        <v>#REF!</v>
      </c>
      <c r="H47" s="30" t="s">
        <v>821</v>
      </c>
      <c r="I47" s="24"/>
      <c r="J47" s="35" t="s">
        <v>828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3"/>
      <c r="W47" s="33"/>
      <c r="X47" s="33"/>
      <c r="Y47" s="33"/>
      <c r="Z47" s="33"/>
      <c r="AA47" s="33"/>
      <c r="AB47" s="33"/>
    </row>
    <row r="48" spans="1:28" ht="21" customHeight="1">
      <c r="A48" s="34"/>
      <c r="B48" s="29"/>
      <c r="C48" s="30"/>
      <c r="D48" s="30"/>
      <c r="E48" s="31"/>
      <c r="F48" s="31"/>
      <c r="G48" s="36" t="e">
        <f>SUM(G44:G47)</f>
        <v>#REF!</v>
      </c>
      <c r="H48" s="30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8" ht="21" customHeight="1">
      <c r="A49" s="28" t="s">
        <v>829</v>
      </c>
      <c r="B49" s="29"/>
      <c r="C49" s="30"/>
      <c r="D49" s="30"/>
      <c r="E49" s="31"/>
      <c r="F49" s="31"/>
      <c r="G49" s="32"/>
      <c r="H49" s="30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8" ht="21" customHeight="1">
      <c r="A50" s="34"/>
      <c r="B50" s="29">
        <v>1</v>
      </c>
      <c r="C50" s="30" t="s">
        <v>152</v>
      </c>
      <c r="D50" s="30" t="s">
        <v>151</v>
      </c>
      <c r="E50" s="469" t="s">
        <v>155</v>
      </c>
      <c r="F50" s="31" t="s">
        <v>119</v>
      </c>
      <c r="G50" s="32" t="e">
        <f>#REF!</f>
        <v>#REF!</v>
      </c>
      <c r="H50" s="30" t="s">
        <v>830</v>
      </c>
      <c r="I50" s="24"/>
      <c r="J50" s="35" t="s">
        <v>831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 spans="1:28" ht="21" customHeight="1">
      <c r="A51" s="34"/>
      <c r="B51" s="29">
        <v>2</v>
      </c>
      <c r="C51" s="30" t="s">
        <v>832</v>
      </c>
      <c r="D51" s="30" t="s">
        <v>833</v>
      </c>
      <c r="E51" s="469" t="s">
        <v>834</v>
      </c>
      <c r="F51" s="31" t="s">
        <v>264</v>
      </c>
      <c r="G51" s="32" t="e">
        <f>#REF!</f>
        <v>#REF!</v>
      </c>
      <c r="H51" s="30" t="s">
        <v>830</v>
      </c>
      <c r="I51" s="24"/>
      <c r="J51" s="35" t="s">
        <v>835</v>
      </c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 spans="1:28" ht="21" customHeight="1">
      <c r="A52" s="34"/>
      <c r="B52" s="29">
        <v>3</v>
      </c>
      <c r="C52" s="30" t="s">
        <v>836</v>
      </c>
      <c r="D52" s="30" t="s">
        <v>837</v>
      </c>
      <c r="E52" s="469" t="s">
        <v>838</v>
      </c>
      <c r="F52" s="31" t="s">
        <v>212</v>
      </c>
      <c r="G52" s="32" t="e">
        <f>#REF!</f>
        <v>#REF!</v>
      </c>
      <c r="H52" s="30" t="s">
        <v>830</v>
      </c>
      <c r="I52" s="24"/>
      <c r="J52" s="35" t="s">
        <v>839</v>
      </c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28" ht="21" customHeight="1">
      <c r="A53" s="34"/>
      <c r="B53" s="29">
        <v>4</v>
      </c>
      <c r="C53" s="30" t="s">
        <v>189</v>
      </c>
      <c r="D53" s="30" t="s">
        <v>188</v>
      </c>
      <c r="E53" s="469" t="s">
        <v>190</v>
      </c>
      <c r="F53" s="31" t="s">
        <v>191</v>
      </c>
      <c r="G53" s="32" t="e">
        <f>#REF!</f>
        <v>#REF!</v>
      </c>
      <c r="H53" s="30" t="s">
        <v>830</v>
      </c>
      <c r="I53" s="24"/>
      <c r="J53" s="35" t="s">
        <v>840</v>
      </c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28" ht="21" customHeight="1">
      <c r="A54" s="34"/>
      <c r="B54" s="29">
        <v>5</v>
      </c>
      <c r="C54" s="30" t="s">
        <v>803</v>
      </c>
      <c r="D54" s="30" t="s">
        <v>804</v>
      </c>
      <c r="E54" s="469" t="s">
        <v>805</v>
      </c>
      <c r="F54" s="31" t="s">
        <v>220</v>
      </c>
      <c r="G54" s="32" t="e">
        <f>#REF!</f>
        <v>#REF!</v>
      </c>
      <c r="H54" s="30" t="s">
        <v>830</v>
      </c>
      <c r="I54" s="24"/>
      <c r="J54" s="35" t="s">
        <v>841</v>
      </c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 spans="1:28" ht="21" customHeight="1">
      <c r="A55" s="34"/>
      <c r="B55" s="29">
        <v>6</v>
      </c>
      <c r="C55" s="30" t="s">
        <v>842</v>
      </c>
      <c r="D55" s="30" t="s">
        <v>843</v>
      </c>
      <c r="E55" s="469" t="s">
        <v>844</v>
      </c>
      <c r="F55" s="31" t="s">
        <v>119</v>
      </c>
      <c r="G55" s="32" t="e">
        <f>#REF!</f>
        <v>#REF!</v>
      </c>
      <c r="H55" s="30" t="s">
        <v>830</v>
      </c>
      <c r="I55" s="24"/>
      <c r="J55" s="35" t="s">
        <v>845</v>
      </c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 spans="1:28" ht="21" customHeight="1">
      <c r="A56" s="34"/>
      <c r="B56" s="29">
        <v>7</v>
      </c>
      <c r="C56" s="30" t="s">
        <v>846</v>
      </c>
      <c r="D56" s="30" t="s">
        <v>847</v>
      </c>
      <c r="E56" s="469" t="s">
        <v>848</v>
      </c>
      <c r="F56" s="31" t="s">
        <v>849</v>
      </c>
      <c r="G56" s="32" t="e">
        <f>#REF!</f>
        <v>#REF!</v>
      </c>
      <c r="H56" s="30" t="s">
        <v>830</v>
      </c>
      <c r="I56" s="24"/>
      <c r="J56" s="35" t="s">
        <v>850</v>
      </c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 spans="1:28" ht="15.75" customHeight="1">
      <c r="A57" s="33"/>
      <c r="B57" s="39"/>
      <c r="C57" s="33"/>
      <c r="D57" s="33"/>
      <c r="E57" s="31"/>
      <c r="F57" s="31"/>
      <c r="G57" s="36" t="e">
        <f>SUM(G50:G56)</f>
        <v>#REF!</v>
      </c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8" ht="15.75" customHeight="1">
      <c r="A58" s="25" t="s">
        <v>851</v>
      </c>
      <c r="B58" s="25"/>
      <c r="C58" s="25"/>
      <c r="D58" s="26" t="s">
        <v>852</v>
      </c>
      <c r="E58" s="40" t="s">
        <v>476</v>
      </c>
      <c r="F58" s="26" t="s">
        <v>477</v>
      </c>
      <c r="G58" s="26" t="s">
        <v>724</v>
      </c>
      <c r="H58" s="26" t="s">
        <v>853</v>
      </c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7"/>
      <c r="AB58" s="27"/>
    </row>
    <row r="59" spans="1:28" ht="20.25" customHeight="1">
      <c r="A59" s="34" t="s">
        <v>854</v>
      </c>
      <c r="B59" s="39"/>
      <c r="C59" s="33"/>
      <c r="D59" s="30"/>
      <c r="E59" s="41"/>
      <c r="F59" s="31"/>
      <c r="G59" s="42"/>
      <c r="H59" s="30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8" ht="20.25" customHeight="1">
      <c r="A60" s="34"/>
      <c r="B60" s="39">
        <v>1</v>
      </c>
      <c r="C60" s="33" t="s">
        <v>372</v>
      </c>
      <c r="D60" s="33" t="s">
        <v>371</v>
      </c>
      <c r="E60" s="41" t="s">
        <v>374</v>
      </c>
      <c r="F60" s="31" t="s">
        <v>375</v>
      </c>
      <c r="G60" s="43" t="e">
        <f>#REF!</f>
        <v>#REF!</v>
      </c>
      <c r="H60" s="30" t="s">
        <v>855</v>
      </c>
      <c r="I60" s="473" t="s">
        <v>371</v>
      </c>
      <c r="J60" s="33" t="s">
        <v>856</v>
      </c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 spans="1:28" ht="20.25" customHeight="1">
      <c r="A61" s="34"/>
      <c r="B61" s="39">
        <v>2</v>
      </c>
      <c r="C61" s="33" t="s">
        <v>379</v>
      </c>
      <c r="D61" s="30" t="s">
        <v>857</v>
      </c>
      <c r="E61" s="41" t="s">
        <v>858</v>
      </c>
      <c r="F61" s="31" t="s">
        <v>264</v>
      </c>
      <c r="G61" s="43" t="e">
        <f>#REF!</f>
        <v>#REF!</v>
      </c>
      <c r="H61" s="30" t="s">
        <v>855</v>
      </c>
      <c r="I61" s="473" t="s">
        <v>857</v>
      </c>
      <c r="J61" s="33" t="s">
        <v>859</v>
      </c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 spans="1:28" ht="20.25" customHeight="1">
      <c r="A62" s="34"/>
      <c r="B62" s="39">
        <v>3</v>
      </c>
      <c r="C62" s="33" t="s">
        <v>392</v>
      </c>
      <c r="D62" s="30" t="s">
        <v>391</v>
      </c>
      <c r="E62" s="41" t="s">
        <v>860</v>
      </c>
      <c r="F62" s="31" t="s">
        <v>264</v>
      </c>
      <c r="G62" s="43" t="e">
        <f>#REF!</f>
        <v>#REF!</v>
      </c>
      <c r="H62" s="30" t="s">
        <v>855</v>
      </c>
      <c r="I62" s="473" t="s">
        <v>391</v>
      </c>
      <c r="J62" s="33" t="s">
        <v>861</v>
      </c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 spans="1:28" ht="20.25" customHeight="1">
      <c r="A63" s="34"/>
      <c r="B63" s="39">
        <v>4</v>
      </c>
      <c r="C63" s="33" t="s">
        <v>862</v>
      </c>
      <c r="D63" s="30" t="s">
        <v>863</v>
      </c>
      <c r="E63" s="41" t="s">
        <v>864</v>
      </c>
      <c r="F63" s="31" t="s">
        <v>865</v>
      </c>
      <c r="G63" s="43" t="e">
        <f>#REF!</f>
        <v>#REF!</v>
      </c>
      <c r="H63" s="30" t="s">
        <v>855</v>
      </c>
      <c r="I63" s="473" t="s">
        <v>863</v>
      </c>
      <c r="J63" s="33" t="s">
        <v>866</v>
      </c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 spans="1:28" ht="20.25" customHeight="1">
      <c r="A64" s="34"/>
      <c r="B64" s="39">
        <v>5</v>
      </c>
      <c r="C64" s="33" t="s">
        <v>867</v>
      </c>
      <c r="D64" s="30" t="s">
        <v>868</v>
      </c>
      <c r="E64" s="41" t="s">
        <v>869</v>
      </c>
      <c r="F64" s="31" t="s">
        <v>870</v>
      </c>
      <c r="G64" s="43" t="e">
        <f>#REF!</f>
        <v>#REF!</v>
      </c>
      <c r="H64" s="30" t="s">
        <v>855</v>
      </c>
      <c r="I64" s="473" t="s">
        <v>868</v>
      </c>
      <c r="J64" s="33" t="s">
        <v>871</v>
      </c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 spans="1:28" ht="20.25" customHeight="1">
      <c r="A65" s="34"/>
      <c r="B65" s="39">
        <v>6</v>
      </c>
      <c r="C65" s="33" t="s">
        <v>872</v>
      </c>
      <c r="D65" s="33" t="s">
        <v>873</v>
      </c>
      <c r="E65" s="41" t="s">
        <v>874</v>
      </c>
      <c r="F65" s="31" t="s">
        <v>132</v>
      </c>
      <c r="G65" s="43" t="e">
        <f>#REF!</f>
        <v>#REF!</v>
      </c>
      <c r="H65" s="30" t="s">
        <v>855</v>
      </c>
      <c r="I65" s="33" t="s">
        <v>873</v>
      </c>
      <c r="J65" s="33" t="s">
        <v>875</v>
      </c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 spans="1:28" ht="20.25" customHeight="1">
      <c r="A66" s="34"/>
      <c r="B66" s="39"/>
      <c r="C66" s="33"/>
      <c r="D66" s="30"/>
      <c r="E66" s="41"/>
      <c r="F66" s="31"/>
      <c r="G66" s="44" t="e">
        <f>SUM(G60:G65)</f>
        <v>#REF!</v>
      </c>
      <c r="H66" s="30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8" ht="20.25" customHeight="1">
      <c r="A67" s="34" t="s">
        <v>876</v>
      </c>
      <c r="B67" s="39"/>
      <c r="C67" s="33"/>
      <c r="D67" s="30"/>
      <c r="E67" s="41"/>
      <c r="F67" s="31"/>
      <c r="G67" s="42"/>
      <c r="H67" s="30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8" ht="20.25" customHeight="1">
      <c r="A68" s="34"/>
      <c r="B68" s="39">
        <v>1</v>
      </c>
      <c r="C68" s="33" t="s">
        <v>877</v>
      </c>
      <c r="D68" s="30" t="s">
        <v>878</v>
      </c>
      <c r="E68" s="41" t="s">
        <v>879</v>
      </c>
      <c r="F68" s="31" t="s">
        <v>132</v>
      </c>
      <c r="G68" s="43" t="e">
        <f>#REF!</f>
        <v>#REF!</v>
      </c>
      <c r="H68" s="30" t="s">
        <v>880</v>
      </c>
      <c r="I68" s="473" t="s">
        <v>878</v>
      </c>
      <c r="J68" s="33" t="s">
        <v>881</v>
      </c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 spans="1:28" ht="20.25" customHeight="1">
      <c r="A69" s="34"/>
      <c r="B69" s="39">
        <v>2</v>
      </c>
      <c r="C69" s="33" t="s">
        <v>402</v>
      </c>
      <c r="D69" s="30" t="s">
        <v>401</v>
      </c>
      <c r="E69" s="41" t="s">
        <v>404</v>
      </c>
      <c r="F69" s="31" t="s">
        <v>132</v>
      </c>
      <c r="G69" s="43" t="e">
        <f>#REF!</f>
        <v>#REF!</v>
      </c>
      <c r="H69" s="30" t="s">
        <v>880</v>
      </c>
      <c r="I69" s="473" t="s">
        <v>401</v>
      </c>
      <c r="J69" s="33" t="s">
        <v>882</v>
      </c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 spans="1:28" ht="20.25" customHeight="1">
      <c r="A70" s="34"/>
      <c r="B70" s="39">
        <v>3</v>
      </c>
      <c r="C70" s="33" t="s">
        <v>883</v>
      </c>
      <c r="D70" s="30" t="s">
        <v>884</v>
      </c>
      <c r="E70" s="41" t="s">
        <v>885</v>
      </c>
      <c r="F70" s="31" t="s">
        <v>119</v>
      </c>
      <c r="G70" s="43" t="e">
        <f>#REF!</f>
        <v>#REF!</v>
      </c>
      <c r="H70" s="30" t="s">
        <v>880</v>
      </c>
      <c r="I70" s="473" t="s">
        <v>884</v>
      </c>
      <c r="J70" s="33" t="s">
        <v>886</v>
      </c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 spans="1:28" ht="20.25" customHeight="1">
      <c r="A71" s="34"/>
      <c r="B71" s="39">
        <v>4</v>
      </c>
      <c r="C71" s="33" t="s">
        <v>887</v>
      </c>
      <c r="D71" s="30" t="s">
        <v>888</v>
      </c>
      <c r="E71" s="41"/>
      <c r="F71" s="31"/>
      <c r="G71" s="43" t="e">
        <f>#REF!</f>
        <v>#REF!</v>
      </c>
      <c r="H71" s="30" t="s">
        <v>880</v>
      </c>
      <c r="I71" s="473" t="s">
        <v>888</v>
      </c>
      <c r="J71" s="33" t="s">
        <v>889</v>
      </c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 spans="1:28" ht="20.25" customHeight="1">
      <c r="A72" s="34"/>
      <c r="B72" s="39">
        <v>5</v>
      </c>
      <c r="C72" s="33" t="s">
        <v>890</v>
      </c>
      <c r="D72" s="30" t="s">
        <v>891</v>
      </c>
      <c r="E72" s="41" t="s">
        <v>892</v>
      </c>
      <c r="F72" s="31" t="s">
        <v>119</v>
      </c>
      <c r="G72" s="43" t="e">
        <f>#REF!</f>
        <v>#REF!</v>
      </c>
      <c r="H72" s="30" t="s">
        <v>880</v>
      </c>
      <c r="I72" s="473" t="s">
        <v>891</v>
      </c>
      <c r="J72" s="33" t="s">
        <v>893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 spans="1:28" ht="20.25" customHeight="1">
      <c r="A73" s="34"/>
      <c r="B73" s="39">
        <v>6</v>
      </c>
      <c r="C73" s="33" t="s">
        <v>894</v>
      </c>
      <c r="D73" s="30" t="s">
        <v>895</v>
      </c>
      <c r="E73" s="41" t="s">
        <v>896</v>
      </c>
      <c r="F73" s="31" t="s">
        <v>337</v>
      </c>
      <c r="G73" s="43" t="e">
        <f>#REF!</f>
        <v>#REF!</v>
      </c>
      <c r="H73" s="30" t="s">
        <v>880</v>
      </c>
      <c r="I73" s="473" t="s">
        <v>895</v>
      </c>
      <c r="J73" s="33" t="s">
        <v>897</v>
      </c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 spans="1:28" ht="20.25" customHeight="1">
      <c r="A74" s="34"/>
      <c r="B74" s="39">
        <v>7</v>
      </c>
      <c r="C74" s="33" t="s">
        <v>872</v>
      </c>
      <c r="D74" s="30" t="s">
        <v>873</v>
      </c>
      <c r="E74" s="41" t="s">
        <v>874</v>
      </c>
      <c r="F74" s="31" t="s">
        <v>132</v>
      </c>
      <c r="G74" s="43" t="e">
        <f>#REF!</f>
        <v>#REF!</v>
      </c>
      <c r="H74" s="30" t="s">
        <v>880</v>
      </c>
      <c r="I74" s="473" t="s">
        <v>873</v>
      </c>
      <c r="J74" s="33" t="s">
        <v>898</v>
      </c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 spans="1:28" ht="20.25" customHeight="1">
      <c r="A75" s="34"/>
      <c r="B75" s="39"/>
      <c r="C75" s="33"/>
      <c r="D75" s="30"/>
      <c r="E75" s="41"/>
      <c r="F75" s="31"/>
      <c r="G75" s="45" t="e">
        <f>SUM(G68:G74)</f>
        <v>#REF!</v>
      </c>
      <c r="H75" s="30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8" ht="20.25" customHeight="1">
      <c r="A76" s="34" t="s">
        <v>899</v>
      </c>
      <c r="B76" s="39"/>
      <c r="C76" s="33"/>
      <c r="D76" s="30"/>
      <c r="E76" s="41"/>
      <c r="F76" s="31"/>
      <c r="G76" s="45"/>
      <c r="H76" s="30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8" ht="20.25" customHeight="1">
      <c r="A77" s="34"/>
      <c r="B77" s="39">
        <v>1</v>
      </c>
      <c r="C77" s="33" t="s">
        <v>900</v>
      </c>
      <c r="D77" s="30" t="s">
        <v>901</v>
      </c>
      <c r="E77" s="41" t="s">
        <v>902</v>
      </c>
      <c r="F77" s="31" t="s">
        <v>119</v>
      </c>
      <c r="G77" s="43" t="e">
        <f>#REF!</f>
        <v>#REF!</v>
      </c>
      <c r="H77" s="30" t="s">
        <v>903</v>
      </c>
      <c r="I77" s="33" t="s">
        <v>901</v>
      </c>
      <c r="J77" s="33" t="s">
        <v>904</v>
      </c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24"/>
      <c r="AB77" s="24"/>
    </row>
    <row r="78" spans="1:28" ht="20.25" customHeight="1">
      <c r="A78" s="34"/>
      <c r="B78" s="39">
        <v>2</v>
      </c>
      <c r="C78" s="33" t="s">
        <v>905</v>
      </c>
      <c r="D78" s="30" t="s">
        <v>906</v>
      </c>
      <c r="E78" s="41" t="s">
        <v>907</v>
      </c>
      <c r="F78" s="31" t="s">
        <v>332</v>
      </c>
      <c r="G78" s="43" t="e">
        <f>#REF!</f>
        <v>#REF!</v>
      </c>
      <c r="H78" s="30" t="s">
        <v>903</v>
      </c>
      <c r="I78" s="33" t="s">
        <v>906</v>
      </c>
      <c r="J78" s="33" t="s">
        <v>908</v>
      </c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24"/>
      <c r="AB78" s="24"/>
    </row>
    <row r="79" spans="1:28" ht="20.25" customHeight="1">
      <c r="A79" s="34"/>
      <c r="B79" s="39">
        <v>3</v>
      </c>
      <c r="C79" s="33" t="s">
        <v>909</v>
      </c>
      <c r="D79" s="30" t="s">
        <v>910</v>
      </c>
      <c r="E79" s="41" t="s">
        <v>911</v>
      </c>
      <c r="F79" s="31" t="s">
        <v>912</v>
      </c>
      <c r="G79" s="43" t="e">
        <f>#REF!</f>
        <v>#REF!</v>
      </c>
      <c r="H79" s="30" t="s">
        <v>903</v>
      </c>
      <c r="I79" s="33" t="s">
        <v>910</v>
      </c>
      <c r="J79" s="33" t="s">
        <v>913</v>
      </c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24"/>
      <c r="AB79" s="24"/>
    </row>
    <row r="80" spans="1:28" ht="20.25" customHeight="1">
      <c r="B80" s="39">
        <v>4</v>
      </c>
      <c r="C80" s="33" t="s">
        <v>914</v>
      </c>
      <c r="D80" s="33" t="s">
        <v>915</v>
      </c>
      <c r="E80" s="474" t="s">
        <v>916</v>
      </c>
      <c r="F80" s="41" t="s">
        <v>212</v>
      </c>
      <c r="G80" s="43" t="e">
        <f>#REF!</f>
        <v>#REF!</v>
      </c>
      <c r="H80" s="30" t="s">
        <v>903</v>
      </c>
      <c r="I80" s="33" t="s">
        <v>915</v>
      </c>
      <c r="J80" s="33" t="s">
        <v>917</v>
      </c>
    </row>
    <row r="81" spans="1:28" ht="20.25" customHeight="1">
      <c r="A81" s="34"/>
      <c r="B81" s="39">
        <v>5</v>
      </c>
      <c r="C81" s="33" t="s">
        <v>862</v>
      </c>
      <c r="D81" s="30" t="s">
        <v>863</v>
      </c>
      <c r="E81" s="41" t="s">
        <v>864</v>
      </c>
      <c r="F81" s="31" t="s">
        <v>865</v>
      </c>
      <c r="G81" s="43" t="e">
        <f>#REF!</f>
        <v>#REF!</v>
      </c>
      <c r="H81" s="30" t="s">
        <v>903</v>
      </c>
      <c r="I81" s="473" t="s">
        <v>863</v>
      </c>
      <c r="J81" s="33" t="s">
        <v>918</v>
      </c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spans="1:28" ht="20.25" customHeight="1">
      <c r="A82" s="34"/>
      <c r="B82" s="39">
        <v>6</v>
      </c>
      <c r="C82" s="33" t="s">
        <v>372</v>
      </c>
      <c r="D82" s="30" t="s">
        <v>371</v>
      </c>
      <c r="E82" s="41" t="s">
        <v>374</v>
      </c>
      <c r="F82" s="31" t="s">
        <v>375</v>
      </c>
      <c r="G82" s="43" t="e">
        <f>#REF!</f>
        <v>#REF!</v>
      </c>
      <c r="H82" s="30" t="s">
        <v>903</v>
      </c>
      <c r="I82" s="473" t="s">
        <v>371</v>
      </c>
      <c r="J82" s="33" t="s">
        <v>919</v>
      </c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spans="1:28" ht="20.25" customHeight="1">
      <c r="A83" s="34"/>
      <c r="B83" s="39">
        <v>7</v>
      </c>
      <c r="C83" s="33" t="s">
        <v>872</v>
      </c>
      <c r="D83" s="30" t="s">
        <v>873</v>
      </c>
      <c r="E83" s="41" t="s">
        <v>874</v>
      </c>
      <c r="F83" s="31" t="s">
        <v>132</v>
      </c>
      <c r="G83" s="43" t="e">
        <f>#REF!</f>
        <v>#REF!</v>
      </c>
      <c r="H83" s="30" t="s">
        <v>903</v>
      </c>
      <c r="I83" s="473" t="s">
        <v>873</v>
      </c>
      <c r="J83" s="33" t="s">
        <v>920</v>
      </c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spans="1:28" ht="15.75" customHeight="1">
      <c r="A84" s="33"/>
      <c r="B84" s="39"/>
      <c r="C84" s="33"/>
      <c r="D84" s="33"/>
      <c r="E84" s="31"/>
      <c r="F84" s="31"/>
      <c r="G84" s="45" t="e">
        <f>SUM(G77:G83)</f>
        <v>#REF!</v>
      </c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8" ht="15.75" customHeight="1">
      <c r="A85" s="33"/>
      <c r="B85" s="39"/>
      <c r="C85" s="33"/>
      <c r="D85" s="33"/>
      <c r="E85" s="31"/>
      <c r="F85" s="31"/>
      <c r="G85" s="34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8" ht="15.75" customHeight="1">
      <c r="A86" s="33"/>
      <c r="B86" s="39"/>
      <c r="C86" s="33"/>
      <c r="D86" s="33"/>
      <c r="E86" s="31"/>
      <c r="F86" s="31"/>
      <c r="G86" s="34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8" ht="15.75" customHeight="1">
      <c r="A87" s="33"/>
      <c r="B87" s="39"/>
      <c r="C87" s="33"/>
      <c r="D87" s="33"/>
      <c r="E87" s="31"/>
      <c r="F87" s="31"/>
      <c r="G87" s="34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8" ht="15.75" customHeight="1">
      <c r="A88" s="33"/>
      <c r="B88" s="39"/>
      <c r="C88" s="33"/>
      <c r="D88" s="33"/>
      <c r="E88" s="31"/>
      <c r="F88" s="31"/>
      <c r="G88" s="34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8" ht="15.75" customHeight="1">
      <c r="A89" s="33"/>
      <c r="B89" s="39"/>
      <c r="C89" s="33"/>
      <c r="D89" s="33"/>
      <c r="E89" s="31"/>
      <c r="F89" s="31"/>
      <c r="G89" s="34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8" ht="15.75" customHeight="1">
      <c r="A90" s="33"/>
      <c r="B90" s="39"/>
      <c r="C90" s="33"/>
      <c r="D90" s="33"/>
      <c r="E90" s="31"/>
      <c r="F90" s="31"/>
      <c r="G90" s="34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8" ht="15.75" customHeight="1">
      <c r="A91" s="33"/>
      <c r="B91" s="39"/>
      <c r="C91" s="33"/>
      <c r="D91" s="33"/>
      <c r="E91" s="31"/>
      <c r="F91" s="31"/>
      <c r="G91" s="34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8" ht="15.75" customHeight="1">
      <c r="A92" s="33"/>
      <c r="B92" s="39"/>
      <c r="C92" s="33"/>
      <c r="D92" s="33"/>
      <c r="E92" s="31"/>
      <c r="F92" s="31"/>
      <c r="G92" s="34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8" ht="15.75" customHeight="1">
      <c r="A93" s="33"/>
      <c r="B93" s="39"/>
      <c r="C93" s="33"/>
      <c r="D93" s="33"/>
      <c r="E93" s="31"/>
      <c r="F93" s="31"/>
      <c r="G93" s="34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8" ht="15.75" customHeight="1">
      <c r="A94" s="33"/>
      <c r="B94" s="39"/>
      <c r="C94" s="33"/>
      <c r="D94" s="33"/>
      <c r="E94" s="31"/>
      <c r="F94" s="31"/>
      <c r="G94" s="34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8" ht="15.75" customHeight="1">
      <c r="A95" s="33"/>
      <c r="B95" s="39"/>
      <c r="C95" s="33"/>
      <c r="D95" s="33"/>
      <c r="E95" s="31"/>
      <c r="F95" s="31"/>
      <c r="G95" s="34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8" ht="15.75" customHeight="1">
      <c r="A96" s="33"/>
      <c r="B96" s="39"/>
      <c r="C96" s="33"/>
      <c r="D96" s="33"/>
      <c r="E96" s="31"/>
      <c r="F96" s="31"/>
      <c r="G96" s="34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>
      <c r="A97" s="33"/>
      <c r="B97" s="39"/>
      <c r="C97" s="33"/>
      <c r="D97" s="33"/>
      <c r="E97" s="31"/>
      <c r="F97" s="31"/>
      <c r="G97" s="34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>
      <c r="A98" s="33"/>
      <c r="B98" s="39"/>
      <c r="C98" s="33"/>
      <c r="D98" s="33"/>
      <c r="E98" s="31"/>
      <c r="F98" s="31"/>
      <c r="G98" s="34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>
      <c r="A99" s="33"/>
      <c r="B99" s="39"/>
      <c r="C99" s="33"/>
      <c r="D99" s="33"/>
      <c r="E99" s="31"/>
      <c r="F99" s="31"/>
      <c r="G99" s="34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>
      <c r="A100" s="33"/>
      <c r="B100" s="39"/>
      <c r="C100" s="33"/>
      <c r="D100" s="33"/>
      <c r="E100" s="31"/>
      <c r="F100" s="31"/>
      <c r="G100" s="34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>
      <c r="A101" s="33"/>
      <c r="B101" s="39"/>
      <c r="C101" s="33"/>
      <c r="D101" s="33"/>
      <c r="E101" s="31"/>
      <c r="F101" s="31"/>
      <c r="G101" s="34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>
      <c r="A102" s="33"/>
      <c r="B102" s="39"/>
      <c r="C102" s="33"/>
      <c r="D102" s="33"/>
      <c r="E102" s="31"/>
      <c r="F102" s="31"/>
      <c r="G102" s="34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>
      <c r="A103" s="33"/>
      <c r="B103" s="39"/>
      <c r="C103" s="33"/>
      <c r="D103" s="33"/>
      <c r="E103" s="31"/>
      <c r="F103" s="31"/>
      <c r="G103" s="34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>
      <c r="A104" s="33"/>
      <c r="B104" s="39"/>
      <c r="C104" s="33"/>
      <c r="D104" s="33"/>
      <c r="E104" s="31"/>
      <c r="F104" s="31"/>
      <c r="G104" s="34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>
      <c r="A105" s="33"/>
      <c r="B105" s="39"/>
      <c r="C105" s="33"/>
      <c r="D105" s="33"/>
      <c r="E105" s="31"/>
      <c r="F105" s="31"/>
      <c r="G105" s="34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>
      <c r="A106" s="33"/>
      <c r="B106" s="39"/>
      <c r="C106" s="33"/>
      <c r="D106" s="33"/>
      <c r="E106" s="31"/>
      <c r="F106" s="31"/>
      <c r="G106" s="34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>
      <c r="A107" s="33"/>
      <c r="B107" s="39"/>
      <c r="C107" s="33"/>
      <c r="D107" s="33"/>
      <c r="E107" s="31"/>
      <c r="F107" s="31"/>
      <c r="G107" s="34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>
      <c r="A108" s="33"/>
      <c r="B108" s="39"/>
      <c r="C108" s="33"/>
      <c r="D108" s="33"/>
      <c r="E108" s="31"/>
      <c r="F108" s="31"/>
      <c r="G108" s="34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>
      <c r="A109" s="33"/>
      <c r="B109" s="39"/>
      <c r="C109" s="33"/>
      <c r="D109" s="33"/>
      <c r="E109" s="31"/>
      <c r="F109" s="31"/>
      <c r="G109" s="34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>
      <c r="A110" s="33"/>
      <c r="B110" s="39"/>
      <c r="C110" s="33"/>
      <c r="D110" s="33"/>
      <c r="E110" s="31"/>
      <c r="F110" s="31"/>
      <c r="G110" s="34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>
      <c r="A111" s="33"/>
      <c r="B111" s="39"/>
      <c r="C111" s="33"/>
      <c r="D111" s="33"/>
      <c r="E111" s="31"/>
      <c r="F111" s="31"/>
      <c r="G111" s="34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>
      <c r="A112" s="33"/>
      <c r="B112" s="39"/>
      <c r="C112" s="33"/>
      <c r="D112" s="33"/>
      <c r="E112" s="31"/>
      <c r="F112" s="31"/>
      <c r="G112" s="34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>
      <c r="A113" s="33"/>
      <c r="B113" s="39"/>
      <c r="C113" s="33"/>
      <c r="D113" s="33"/>
      <c r="E113" s="31"/>
      <c r="F113" s="31"/>
      <c r="G113" s="34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>
      <c r="A114" s="33"/>
      <c r="B114" s="39"/>
      <c r="C114" s="33"/>
      <c r="D114" s="33"/>
      <c r="E114" s="31"/>
      <c r="F114" s="31"/>
      <c r="G114" s="34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>
      <c r="A115" s="33"/>
      <c r="B115" s="39"/>
      <c r="C115" s="33"/>
      <c r="D115" s="33"/>
      <c r="E115" s="31"/>
      <c r="F115" s="31"/>
      <c r="G115" s="34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>
      <c r="A116" s="33"/>
      <c r="B116" s="39"/>
      <c r="C116" s="33"/>
      <c r="D116" s="33"/>
      <c r="E116" s="31"/>
      <c r="F116" s="31"/>
      <c r="G116" s="34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>
      <c r="A117" s="33"/>
      <c r="B117" s="39"/>
      <c r="C117" s="33"/>
      <c r="D117" s="33"/>
      <c r="E117" s="31"/>
      <c r="F117" s="31"/>
      <c r="G117" s="34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>
      <c r="A118" s="33"/>
      <c r="B118" s="39"/>
      <c r="C118" s="33"/>
      <c r="D118" s="33"/>
      <c r="E118" s="31"/>
      <c r="F118" s="31"/>
      <c r="G118" s="34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>
      <c r="A119" s="33"/>
      <c r="B119" s="39"/>
      <c r="C119" s="33"/>
      <c r="D119" s="33"/>
      <c r="E119" s="31"/>
      <c r="F119" s="31"/>
      <c r="G119" s="34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>
      <c r="A120" s="33"/>
      <c r="B120" s="39"/>
      <c r="C120" s="33"/>
      <c r="D120" s="33"/>
      <c r="E120" s="31"/>
      <c r="F120" s="31"/>
      <c r="G120" s="34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>
      <c r="A121" s="33"/>
      <c r="B121" s="39"/>
      <c r="C121" s="33"/>
      <c r="D121" s="33"/>
      <c r="E121" s="31"/>
      <c r="F121" s="31"/>
      <c r="G121" s="34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>
      <c r="A122" s="33"/>
      <c r="B122" s="39"/>
      <c r="C122" s="33"/>
      <c r="D122" s="33"/>
      <c r="E122" s="31"/>
      <c r="F122" s="31"/>
      <c r="G122" s="34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>
      <c r="A123" s="33"/>
      <c r="B123" s="39"/>
      <c r="C123" s="33"/>
      <c r="D123" s="33"/>
      <c r="E123" s="31"/>
      <c r="F123" s="31"/>
      <c r="G123" s="34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>
      <c r="A124" s="33"/>
      <c r="B124" s="39"/>
      <c r="C124" s="33"/>
      <c r="D124" s="33"/>
      <c r="E124" s="31"/>
      <c r="F124" s="31"/>
      <c r="G124" s="34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>
      <c r="A125" s="33"/>
      <c r="B125" s="39"/>
      <c r="C125" s="33"/>
      <c r="D125" s="33"/>
      <c r="E125" s="31"/>
      <c r="F125" s="31"/>
      <c r="G125" s="34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>
      <c r="A126" s="33"/>
      <c r="B126" s="39"/>
      <c r="C126" s="33"/>
      <c r="D126" s="33"/>
      <c r="E126" s="31"/>
      <c r="F126" s="31"/>
      <c r="G126" s="34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>
      <c r="A127" s="33"/>
      <c r="B127" s="39"/>
      <c r="C127" s="33"/>
      <c r="D127" s="33"/>
      <c r="E127" s="31"/>
      <c r="F127" s="31"/>
      <c r="G127" s="34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>
      <c r="A128" s="33"/>
      <c r="B128" s="39"/>
      <c r="C128" s="33"/>
      <c r="D128" s="33"/>
      <c r="E128" s="31"/>
      <c r="F128" s="31"/>
      <c r="G128" s="34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>
      <c r="A129" s="33"/>
      <c r="B129" s="39"/>
      <c r="C129" s="33"/>
      <c r="D129" s="33"/>
      <c r="E129" s="31"/>
      <c r="F129" s="31"/>
      <c r="G129" s="34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>
      <c r="A130" s="33"/>
      <c r="B130" s="39"/>
      <c r="C130" s="33"/>
      <c r="D130" s="33"/>
      <c r="E130" s="31"/>
      <c r="F130" s="31"/>
      <c r="G130" s="34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>
      <c r="A131" s="33"/>
      <c r="B131" s="39"/>
      <c r="C131" s="33"/>
      <c r="D131" s="33"/>
      <c r="E131" s="31"/>
      <c r="F131" s="31"/>
      <c r="G131" s="34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>
      <c r="A132" s="33"/>
      <c r="B132" s="39"/>
      <c r="C132" s="33"/>
      <c r="D132" s="33"/>
      <c r="E132" s="31"/>
      <c r="F132" s="31"/>
      <c r="G132" s="34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>
      <c r="A133" s="33"/>
      <c r="B133" s="39"/>
      <c r="C133" s="33"/>
      <c r="D133" s="33"/>
      <c r="E133" s="31"/>
      <c r="F133" s="31"/>
      <c r="G133" s="34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>
      <c r="A134" s="33"/>
      <c r="B134" s="39"/>
      <c r="C134" s="33"/>
      <c r="D134" s="33"/>
      <c r="E134" s="31"/>
      <c r="F134" s="31"/>
      <c r="G134" s="34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>
      <c r="A135" s="33"/>
      <c r="B135" s="39"/>
      <c r="C135" s="33"/>
      <c r="D135" s="33"/>
      <c r="E135" s="31"/>
      <c r="F135" s="31"/>
      <c r="G135" s="34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>
      <c r="A136" s="33"/>
      <c r="B136" s="39"/>
      <c r="C136" s="33"/>
      <c r="D136" s="33"/>
      <c r="E136" s="31"/>
      <c r="F136" s="31"/>
      <c r="G136" s="34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>
      <c r="A137" s="33"/>
      <c r="B137" s="39"/>
      <c r="C137" s="33"/>
      <c r="D137" s="33"/>
      <c r="E137" s="31"/>
      <c r="F137" s="31"/>
      <c r="G137" s="34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>
      <c r="A138" s="33"/>
      <c r="B138" s="39"/>
      <c r="C138" s="33"/>
      <c r="D138" s="33"/>
      <c r="E138" s="31"/>
      <c r="F138" s="31"/>
      <c r="G138" s="34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>
      <c r="A139" s="33"/>
      <c r="B139" s="39"/>
      <c r="C139" s="33"/>
      <c r="D139" s="33"/>
      <c r="E139" s="31"/>
      <c r="F139" s="31"/>
      <c r="G139" s="34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>
      <c r="A140" s="33"/>
      <c r="B140" s="39"/>
      <c r="C140" s="33"/>
      <c r="D140" s="33"/>
      <c r="E140" s="31"/>
      <c r="F140" s="31"/>
      <c r="G140" s="34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>
      <c r="A141" s="33"/>
      <c r="B141" s="39"/>
      <c r="C141" s="33"/>
      <c r="D141" s="33"/>
      <c r="E141" s="31"/>
      <c r="F141" s="31"/>
      <c r="G141" s="34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>
      <c r="A142" s="33"/>
      <c r="B142" s="39"/>
      <c r="C142" s="33"/>
      <c r="D142" s="33"/>
      <c r="E142" s="31"/>
      <c r="F142" s="31"/>
      <c r="G142" s="34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>
      <c r="A143" s="33"/>
      <c r="B143" s="39"/>
      <c r="C143" s="33"/>
      <c r="D143" s="33"/>
      <c r="E143" s="31"/>
      <c r="F143" s="31"/>
      <c r="G143" s="34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>
      <c r="A144" s="33"/>
      <c r="B144" s="39"/>
      <c r="C144" s="33"/>
      <c r="D144" s="33"/>
      <c r="E144" s="31"/>
      <c r="F144" s="31"/>
      <c r="G144" s="34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>
      <c r="A145" s="33"/>
      <c r="B145" s="39"/>
      <c r="C145" s="33"/>
      <c r="D145" s="33"/>
      <c r="E145" s="31"/>
      <c r="F145" s="31"/>
      <c r="G145" s="34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>
      <c r="A146" s="33"/>
      <c r="B146" s="39"/>
      <c r="C146" s="33"/>
      <c r="D146" s="33"/>
      <c r="E146" s="31"/>
      <c r="F146" s="31"/>
      <c r="G146" s="34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>
      <c r="A147" s="33"/>
      <c r="B147" s="39"/>
      <c r="C147" s="33"/>
      <c r="D147" s="33"/>
      <c r="E147" s="31"/>
      <c r="F147" s="31"/>
      <c r="G147" s="34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>
      <c r="A148" s="33"/>
      <c r="B148" s="39"/>
      <c r="C148" s="33"/>
      <c r="D148" s="33"/>
      <c r="E148" s="31"/>
      <c r="F148" s="31"/>
      <c r="G148" s="34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>
      <c r="A149" s="33"/>
      <c r="B149" s="39"/>
      <c r="C149" s="33"/>
      <c r="D149" s="33"/>
      <c r="E149" s="31"/>
      <c r="F149" s="31"/>
      <c r="G149" s="34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>
      <c r="A150" s="33"/>
      <c r="B150" s="39"/>
      <c r="C150" s="33"/>
      <c r="D150" s="33"/>
      <c r="E150" s="31"/>
      <c r="F150" s="31"/>
      <c r="G150" s="34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>
      <c r="A151" s="33"/>
      <c r="B151" s="39"/>
      <c r="C151" s="33"/>
      <c r="D151" s="33"/>
      <c r="E151" s="31"/>
      <c r="F151" s="31"/>
      <c r="G151" s="34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>
      <c r="A152" s="33"/>
      <c r="B152" s="39"/>
      <c r="C152" s="33"/>
      <c r="D152" s="33"/>
      <c r="E152" s="31"/>
      <c r="F152" s="31"/>
      <c r="G152" s="34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>
      <c r="A153" s="33"/>
      <c r="B153" s="39"/>
      <c r="C153" s="33"/>
      <c r="D153" s="33"/>
      <c r="E153" s="31"/>
      <c r="F153" s="31"/>
      <c r="G153" s="34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>
      <c r="A154" s="33"/>
      <c r="B154" s="39"/>
      <c r="C154" s="33"/>
      <c r="D154" s="33"/>
      <c r="E154" s="31"/>
      <c r="F154" s="31"/>
      <c r="G154" s="34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>
      <c r="A155" s="33"/>
      <c r="B155" s="39"/>
      <c r="C155" s="33"/>
      <c r="D155" s="33"/>
      <c r="E155" s="31"/>
      <c r="F155" s="31"/>
      <c r="G155" s="34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>
      <c r="A156" s="33"/>
      <c r="B156" s="39"/>
      <c r="C156" s="33"/>
      <c r="D156" s="33"/>
      <c r="E156" s="31"/>
      <c r="F156" s="31"/>
      <c r="G156" s="34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>
      <c r="A157" s="33"/>
      <c r="B157" s="39"/>
      <c r="C157" s="33"/>
      <c r="D157" s="33"/>
      <c r="E157" s="31"/>
      <c r="F157" s="31"/>
      <c r="G157" s="34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>
      <c r="A158" s="33"/>
      <c r="B158" s="39"/>
      <c r="C158" s="33"/>
      <c r="D158" s="33"/>
      <c r="E158" s="31"/>
      <c r="F158" s="31"/>
      <c r="G158" s="34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>
      <c r="A159" s="33"/>
      <c r="B159" s="39"/>
      <c r="C159" s="33"/>
      <c r="D159" s="33"/>
      <c r="E159" s="31"/>
      <c r="F159" s="31"/>
      <c r="G159" s="34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>
      <c r="A160" s="33"/>
      <c r="B160" s="39"/>
      <c r="C160" s="33"/>
      <c r="D160" s="33"/>
      <c r="E160" s="31"/>
      <c r="F160" s="31"/>
      <c r="G160" s="34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>
      <c r="A161" s="33"/>
      <c r="B161" s="39"/>
      <c r="C161" s="33"/>
      <c r="D161" s="33"/>
      <c r="E161" s="31"/>
      <c r="F161" s="31"/>
      <c r="G161" s="34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>
      <c r="A162" s="33"/>
      <c r="B162" s="39"/>
      <c r="C162" s="33"/>
      <c r="D162" s="33"/>
      <c r="E162" s="31"/>
      <c r="F162" s="31"/>
      <c r="G162" s="34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>
      <c r="A163" s="33"/>
      <c r="B163" s="39"/>
      <c r="C163" s="33"/>
      <c r="D163" s="33"/>
      <c r="E163" s="31"/>
      <c r="F163" s="31"/>
      <c r="G163" s="34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>
      <c r="A164" s="33"/>
      <c r="B164" s="39"/>
      <c r="C164" s="33"/>
      <c r="D164" s="33"/>
      <c r="E164" s="31"/>
      <c r="F164" s="31"/>
      <c r="G164" s="34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>
      <c r="A165" s="33"/>
      <c r="B165" s="39"/>
      <c r="C165" s="33"/>
      <c r="D165" s="33"/>
      <c r="E165" s="31"/>
      <c r="F165" s="31"/>
      <c r="G165" s="34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>
      <c r="A166" s="33"/>
      <c r="B166" s="39"/>
      <c r="C166" s="33"/>
      <c r="D166" s="33"/>
      <c r="E166" s="31"/>
      <c r="F166" s="31"/>
      <c r="G166" s="34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>
      <c r="A167" s="33"/>
      <c r="B167" s="39"/>
      <c r="C167" s="33"/>
      <c r="D167" s="33"/>
      <c r="E167" s="31"/>
      <c r="F167" s="31"/>
      <c r="G167" s="34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>
      <c r="A168" s="33"/>
      <c r="B168" s="39"/>
      <c r="C168" s="33"/>
      <c r="D168" s="33"/>
      <c r="E168" s="31"/>
      <c r="F168" s="31"/>
      <c r="G168" s="34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>
      <c r="A169" s="33"/>
      <c r="B169" s="39"/>
      <c r="C169" s="33"/>
      <c r="D169" s="33"/>
      <c r="E169" s="31"/>
      <c r="F169" s="31"/>
      <c r="G169" s="34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>
      <c r="A170" s="33"/>
      <c r="B170" s="39"/>
      <c r="C170" s="33"/>
      <c r="D170" s="33"/>
      <c r="E170" s="31"/>
      <c r="F170" s="31"/>
      <c r="G170" s="34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>
      <c r="A171" s="33"/>
      <c r="B171" s="39"/>
      <c r="C171" s="33"/>
      <c r="D171" s="33"/>
      <c r="E171" s="31"/>
      <c r="F171" s="31"/>
      <c r="G171" s="34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>
      <c r="A172" s="33"/>
      <c r="B172" s="39"/>
      <c r="C172" s="33"/>
      <c r="D172" s="33"/>
      <c r="E172" s="31"/>
      <c r="F172" s="31"/>
      <c r="G172" s="34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>
      <c r="A173" s="33"/>
      <c r="B173" s="39"/>
      <c r="C173" s="33"/>
      <c r="D173" s="33"/>
      <c r="E173" s="31"/>
      <c r="F173" s="31"/>
      <c r="G173" s="34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>
      <c r="A174" s="33"/>
      <c r="B174" s="39"/>
      <c r="C174" s="33"/>
      <c r="D174" s="33"/>
      <c r="E174" s="31"/>
      <c r="F174" s="31"/>
      <c r="G174" s="34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>
      <c r="A175" s="33"/>
      <c r="B175" s="39"/>
      <c r="C175" s="33"/>
      <c r="D175" s="33"/>
      <c r="E175" s="31"/>
      <c r="F175" s="31"/>
      <c r="G175" s="34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>
      <c r="A176" s="33"/>
      <c r="B176" s="39"/>
      <c r="C176" s="33"/>
      <c r="D176" s="33"/>
      <c r="E176" s="31"/>
      <c r="F176" s="31"/>
      <c r="G176" s="34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>
      <c r="A177" s="33"/>
      <c r="B177" s="39"/>
      <c r="C177" s="33"/>
      <c r="D177" s="33"/>
      <c r="E177" s="31"/>
      <c r="F177" s="31"/>
      <c r="G177" s="34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>
      <c r="A178" s="33"/>
      <c r="B178" s="39"/>
      <c r="C178" s="33"/>
      <c r="D178" s="33"/>
      <c r="E178" s="31"/>
      <c r="F178" s="31"/>
      <c r="G178" s="34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>
      <c r="A179" s="33"/>
      <c r="B179" s="39"/>
      <c r="C179" s="33"/>
      <c r="D179" s="33"/>
      <c r="E179" s="31"/>
      <c r="F179" s="31"/>
      <c r="G179" s="34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>
      <c r="A180" s="33"/>
      <c r="B180" s="39"/>
      <c r="C180" s="33"/>
      <c r="D180" s="33"/>
      <c r="E180" s="31"/>
      <c r="F180" s="31"/>
      <c r="G180" s="34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>
      <c r="A181" s="33"/>
      <c r="B181" s="39"/>
      <c r="C181" s="33"/>
      <c r="D181" s="33"/>
      <c r="E181" s="31"/>
      <c r="F181" s="31"/>
      <c r="G181" s="34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>
      <c r="A182" s="33"/>
      <c r="B182" s="39"/>
      <c r="C182" s="33"/>
      <c r="D182" s="33"/>
      <c r="E182" s="31"/>
      <c r="F182" s="31"/>
      <c r="G182" s="34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>
      <c r="A183" s="33"/>
      <c r="B183" s="39"/>
      <c r="C183" s="33"/>
      <c r="D183" s="33"/>
      <c r="E183" s="31"/>
      <c r="F183" s="31"/>
      <c r="G183" s="34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>
      <c r="A184" s="33"/>
      <c r="B184" s="39"/>
      <c r="C184" s="33"/>
      <c r="D184" s="33"/>
      <c r="E184" s="31"/>
      <c r="F184" s="31"/>
      <c r="G184" s="34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>
      <c r="A185" s="33"/>
      <c r="B185" s="39"/>
      <c r="C185" s="33"/>
      <c r="D185" s="33"/>
      <c r="E185" s="31"/>
      <c r="F185" s="31"/>
      <c r="G185" s="34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>
      <c r="A186" s="33"/>
      <c r="B186" s="39"/>
      <c r="C186" s="33"/>
      <c r="D186" s="33"/>
      <c r="E186" s="31"/>
      <c r="F186" s="31"/>
      <c r="G186" s="34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>
      <c r="A187" s="33"/>
      <c r="B187" s="39"/>
      <c r="C187" s="33"/>
      <c r="D187" s="33"/>
      <c r="E187" s="31"/>
      <c r="F187" s="31"/>
      <c r="G187" s="34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>
      <c r="A188" s="33"/>
      <c r="B188" s="39"/>
      <c r="C188" s="33"/>
      <c r="D188" s="33"/>
      <c r="E188" s="31"/>
      <c r="F188" s="31"/>
      <c r="G188" s="34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>
      <c r="A189" s="33"/>
      <c r="B189" s="39"/>
      <c r="C189" s="33"/>
      <c r="D189" s="33"/>
      <c r="E189" s="31"/>
      <c r="F189" s="31"/>
      <c r="G189" s="34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>
      <c r="A190" s="33"/>
      <c r="B190" s="39"/>
      <c r="C190" s="33"/>
      <c r="D190" s="33"/>
      <c r="E190" s="31"/>
      <c r="F190" s="31"/>
      <c r="G190" s="34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>
      <c r="A191" s="33"/>
      <c r="B191" s="39"/>
      <c r="C191" s="33"/>
      <c r="D191" s="33"/>
      <c r="E191" s="31"/>
      <c r="F191" s="31"/>
      <c r="G191" s="34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>
      <c r="A192" s="33"/>
      <c r="B192" s="39"/>
      <c r="C192" s="33"/>
      <c r="D192" s="33"/>
      <c r="E192" s="31"/>
      <c r="F192" s="31"/>
      <c r="G192" s="34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>
      <c r="A193" s="33"/>
      <c r="B193" s="39"/>
      <c r="C193" s="33"/>
      <c r="D193" s="33"/>
      <c r="E193" s="31"/>
      <c r="F193" s="31"/>
      <c r="G193" s="34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>
      <c r="A194" s="33"/>
      <c r="B194" s="39"/>
      <c r="C194" s="33"/>
      <c r="D194" s="33"/>
      <c r="E194" s="31"/>
      <c r="F194" s="31"/>
      <c r="G194" s="34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>
      <c r="A195" s="33"/>
      <c r="B195" s="39"/>
      <c r="C195" s="33"/>
      <c r="D195" s="33"/>
      <c r="E195" s="31"/>
      <c r="F195" s="31"/>
      <c r="G195" s="34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>
      <c r="A196" s="33"/>
      <c r="B196" s="39"/>
      <c r="C196" s="33"/>
      <c r="D196" s="33"/>
      <c r="E196" s="31"/>
      <c r="F196" s="31"/>
      <c r="G196" s="34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>
      <c r="A197" s="33"/>
      <c r="B197" s="39"/>
      <c r="C197" s="33"/>
      <c r="D197" s="33"/>
      <c r="E197" s="31"/>
      <c r="F197" s="31"/>
      <c r="G197" s="34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>
      <c r="A198" s="33"/>
      <c r="B198" s="39"/>
      <c r="C198" s="33"/>
      <c r="D198" s="33"/>
      <c r="E198" s="31"/>
      <c r="F198" s="31"/>
      <c r="G198" s="34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>
      <c r="A199" s="33"/>
      <c r="B199" s="39"/>
      <c r="C199" s="33"/>
      <c r="D199" s="33"/>
      <c r="E199" s="31"/>
      <c r="F199" s="31"/>
      <c r="G199" s="34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>
      <c r="A200" s="33"/>
      <c r="B200" s="39"/>
      <c r="C200" s="33"/>
      <c r="D200" s="33"/>
      <c r="E200" s="31"/>
      <c r="F200" s="31"/>
      <c r="G200" s="34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>
      <c r="A201" s="33"/>
      <c r="B201" s="39"/>
      <c r="C201" s="33"/>
      <c r="D201" s="33"/>
      <c r="E201" s="31"/>
      <c r="F201" s="31"/>
      <c r="G201" s="34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>
      <c r="A202" s="33"/>
      <c r="B202" s="39"/>
      <c r="C202" s="33"/>
      <c r="D202" s="33"/>
      <c r="E202" s="31"/>
      <c r="F202" s="31"/>
      <c r="G202" s="34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>
      <c r="A203" s="33"/>
      <c r="B203" s="39"/>
      <c r="C203" s="33"/>
      <c r="D203" s="33"/>
      <c r="E203" s="31"/>
      <c r="F203" s="31"/>
      <c r="G203" s="34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>
      <c r="A204" s="33"/>
      <c r="B204" s="39"/>
      <c r="C204" s="33"/>
      <c r="D204" s="33"/>
      <c r="E204" s="31"/>
      <c r="F204" s="31"/>
      <c r="G204" s="34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>
      <c r="A205" s="33"/>
      <c r="B205" s="39"/>
      <c r="C205" s="33"/>
      <c r="D205" s="33"/>
      <c r="E205" s="31"/>
      <c r="F205" s="31"/>
      <c r="G205" s="34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>
      <c r="A206" s="33"/>
      <c r="B206" s="39"/>
      <c r="C206" s="33"/>
      <c r="D206" s="33"/>
      <c r="E206" s="31"/>
      <c r="F206" s="31"/>
      <c r="G206" s="34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>
      <c r="A207" s="33"/>
      <c r="B207" s="39"/>
      <c r="C207" s="33"/>
      <c r="D207" s="33"/>
      <c r="E207" s="31"/>
      <c r="F207" s="31"/>
      <c r="G207" s="34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>
      <c r="A208" s="33"/>
      <c r="B208" s="39"/>
      <c r="C208" s="33"/>
      <c r="D208" s="33"/>
      <c r="E208" s="31"/>
      <c r="F208" s="31"/>
      <c r="G208" s="34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>
      <c r="A209" s="33"/>
      <c r="B209" s="39"/>
      <c r="C209" s="33"/>
      <c r="D209" s="33"/>
      <c r="E209" s="31"/>
      <c r="F209" s="31"/>
      <c r="G209" s="34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>
      <c r="A210" s="33"/>
      <c r="B210" s="39"/>
      <c r="C210" s="33"/>
      <c r="D210" s="33"/>
      <c r="E210" s="31"/>
      <c r="F210" s="31"/>
      <c r="G210" s="34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>
      <c r="A211" s="33"/>
      <c r="B211" s="39"/>
      <c r="C211" s="33"/>
      <c r="D211" s="33"/>
      <c r="E211" s="31"/>
      <c r="F211" s="31"/>
      <c r="G211" s="34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>
      <c r="A212" s="33"/>
      <c r="B212" s="39"/>
      <c r="C212" s="33"/>
      <c r="D212" s="33"/>
      <c r="E212" s="31"/>
      <c r="F212" s="31"/>
      <c r="G212" s="34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>
      <c r="A213" s="33"/>
      <c r="B213" s="39"/>
      <c r="C213" s="33"/>
      <c r="D213" s="33"/>
      <c r="E213" s="31"/>
      <c r="F213" s="31"/>
      <c r="G213" s="34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>
      <c r="A214" s="33"/>
      <c r="B214" s="39"/>
      <c r="C214" s="33"/>
      <c r="D214" s="33"/>
      <c r="E214" s="31"/>
      <c r="F214" s="31"/>
      <c r="G214" s="34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>
      <c r="A215" s="33"/>
      <c r="B215" s="39"/>
      <c r="C215" s="33"/>
      <c r="D215" s="33"/>
      <c r="E215" s="31"/>
      <c r="F215" s="31"/>
      <c r="G215" s="34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>
      <c r="A216" s="33"/>
      <c r="B216" s="39"/>
      <c r="C216" s="33"/>
      <c r="D216" s="33"/>
      <c r="E216" s="31"/>
      <c r="F216" s="31"/>
      <c r="G216" s="34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>
      <c r="A217" s="33"/>
      <c r="B217" s="39"/>
      <c r="C217" s="33"/>
      <c r="D217" s="33"/>
      <c r="E217" s="31"/>
      <c r="F217" s="31"/>
      <c r="G217" s="34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>
      <c r="A218" s="33"/>
      <c r="B218" s="39"/>
      <c r="C218" s="33"/>
      <c r="D218" s="33"/>
      <c r="E218" s="31"/>
      <c r="F218" s="31"/>
      <c r="G218" s="34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>
      <c r="A219" s="33"/>
      <c r="B219" s="39"/>
      <c r="C219" s="33"/>
      <c r="D219" s="33"/>
      <c r="E219" s="31"/>
      <c r="F219" s="31"/>
      <c r="G219" s="34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>
      <c r="A220" s="33"/>
      <c r="B220" s="39"/>
      <c r="C220" s="33"/>
      <c r="D220" s="33"/>
      <c r="E220" s="31"/>
      <c r="F220" s="31"/>
      <c r="G220" s="34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>
      <c r="A221" s="33"/>
      <c r="B221" s="39"/>
      <c r="C221" s="33"/>
      <c r="D221" s="33"/>
      <c r="E221" s="31"/>
      <c r="F221" s="31"/>
      <c r="G221" s="34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>
      <c r="A222" s="33"/>
      <c r="B222" s="39"/>
      <c r="C222" s="33"/>
      <c r="D222" s="33"/>
      <c r="E222" s="31"/>
      <c r="F222" s="31"/>
      <c r="G222" s="34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>
      <c r="A223" s="33"/>
      <c r="B223" s="39"/>
      <c r="C223" s="33"/>
      <c r="D223" s="33"/>
      <c r="E223" s="31"/>
      <c r="F223" s="31"/>
      <c r="G223" s="34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>
      <c r="A224" s="33"/>
      <c r="B224" s="39"/>
      <c r="C224" s="33"/>
      <c r="D224" s="33"/>
      <c r="E224" s="31"/>
      <c r="F224" s="31"/>
      <c r="G224" s="34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>
      <c r="A225" s="33"/>
      <c r="B225" s="39"/>
      <c r="C225" s="33"/>
      <c r="D225" s="33"/>
      <c r="E225" s="31"/>
      <c r="F225" s="31"/>
      <c r="G225" s="34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>
      <c r="A226" s="33"/>
      <c r="B226" s="39"/>
      <c r="C226" s="33"/>
      <c r="D226" s="33"/>
      <c r="E226" s="31"/>
      <c r="F226" s="31"/>
      <c r="G226" s="34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>
      <c r="A227" s="33"/>
      <c r="B227" s="39"/>
      <c r="C227" s="33"/>
      <c r="D227" s="33"/>
      <c r="E227" s="31"/>
      <c r="F227" s="31"/>
      <c r="G227" s="34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>
      <c r="A228" s="33"/>
      <c r="B228" s="39"/>
      <c r="C228" s="33"/>
      <c r="D228" s="33"/>
      <c r="E228" s="31"/>
      <c r="F228" s="31"/>
      <c r="G228" s="34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>
      <c r="A229" s="33"/>
      <c r="B229" s="39"/>
      <c r="C229" s="33"/>
      <c r="D229" s="33"/>
      <c r="E229" s="31"/>
      <c r="F229" s="31"/>
      <c r="G229" s="34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>
      <c r="A230" s="33"/>
      <c r="B230" s="39"/>
      <c r="C230" s="33"/>
      <c r="D230" s="33"/>
      <c r="E230" s="31"/>
      <c r="F230" s="31"/>
      <c r="G230" s="34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>
      <c r="A231" s="33"/>
      <c r="B231" s="39"/>
      <c r="C231" s="33"/>
      <c r="D231" s="33"/>
      <c r="E231" s="31"/>
      <c r="F231" s="31"/>
      <c r="G231" s="34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>
      <c r="A232" s="33"/>
      <c r="B232" s="39"/>
      <c r="C232" s="33"/>
      <c r="D232" s="33"/>
      <c r="E232" s="31"/>
      <c r="F232" s="31"/>
      <c r="G232" s="34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>
      <c r="A233" s="33"/>
      <c r="B233" s="39"/>
      <c r="C233" s="33"/>
      <c r="D233" s="33"/>
      <c r="E233" s="31"/>
      <c r="F233" s="31"/>
      <c r="G233" s="34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>
      <c r="A234" s="33"/>
      <c r="B234" s="39"/>
      <c r="C234" s="33"/>
      <c r="D234" s="33"/>
      <c r="E234" s="31"/>
      <c r="F234" s="31"/>
      <c r="G234" s="34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>
      <c r="A235" s="33"/>
      <c r="B235" s="39"/>
      <c r="C235" s="33"/>
      <c r="D235" s="33"/>
      <c r="E235" s="31"/>
      <c r="F235" s="31"/>
      <c r="G235" s="34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>
      <c r="A236" s="33"/>
      <c r="B236" s="39"/>
      <c r="C236" s="33"/>
      <c r="D236" s="33"/>
      <c r="E236" s="31"/>
      <c r="F236" s="31"/>
      <c r="G236" s="34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5.75" customHeight="1">
      <c r="A237" s="33"/>
      <c r="B237" s="39"/>
      <c r="C237" s="33"/>
      <c r="D237" s="33"/>
      <c r="E237" s="31"/>
      <c r="F237" s="31"/>
      <c r="G237" s="34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5.75" customHeight="1">
      <c r="A238" s="33"/>
      <c r="B238" s="39"/>
      <c r="C238" s="33"/>
      <c r="D238" s="33"/>
      <c r="E238" s="31"/>
      <c r="F238" s="31"/>
      <c r="G238" s="34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5.75" customHeight="1">
      <c r="A239" s="33"/>
      <c r="B239" s="39"/>
      <c r="C239" s="33"/>
      <c r="D239" s="33"/>
      <c r="E239" s="31"/>
      <c r="F239" s="31"/>
      <c r="G239" s="34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5.75" customHeight="1">
      <c r="A240" s="33"/>
      <c r="B240" s="39"/>
      <c r="C240" s="33"/>
      <c r="D240" s="33"/>
      <c r="E240" s="31"/>
      <c r="F240" s="31"/>
      <c r="G240" s="34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5.75" customHeight="1">
      <c r="A241" s="33"/>
      <c r="B241" s="39"/>
      <c r="C241" s="33"/>
      <c r="D241" s="33"/>
      <c r="E241" s="31"/>
      <c r="F241" s="31"/>
      <c r="G241" s="34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5.75" customHeight="1">
      <c r="A242" s="33"/>
      <c r="B242" s="39"/>
      <c r="C242" s="33"/>
      <c r="D242" s="33"/>
      <c r="E242" s="31"/>
      <c r="F242" s="31"/>
      <c r="G242" s="34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5.75" customHeight="1">
      <c r="A243" s="33"/>
      <c r="B243" s="39"/>
      <c r="C243" s="33"/>
      <c r="D243" s="33"/>
      <c r="E243" s="31"/>
      <c r="F243" s="31"/>
      <c r="G243" s="34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5.75" customHeight="1">
      <c r="A244" s="33"/>
      <c r="B244" s="39"/>
      <c r="C244" s="33"/>
      <c r="D244" s="33"/>
      <c r="E244" s="31"/>
      <c r="F244" s="31"/>
      <c r="G244" s="34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5.75" customHeight="1">
      <c r="A245" s="33"/>
      <c r="B245" s="39"/>
      <c r="C245" s="33"/>
      <c r="D245" s="33"/>
      <c r="E245" s="31"/>
      <c r="F245" s="31"/>
      <c r="G245" s="34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5.75" customHeight="1">
      <c r="A246" s="33"/>
      <c r="B246" s="39"/>
      <c r="C246" s="33"/>
      <c r="D246" s="33"/>
      <c r="E246" s="31"/>
      <c r="F246" s="31"/>
      <c r="G246" s="34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5.75" customHeight="1">
      <c r="A247" s="33"/>
      <c r="B247" s="39"/>
      <c r="C247" s="33"/>
      <c r="D247" s="33"/>
      <c r="E247" s="31"/>
      <c r="F247" s="31"/>
      <c r="G247" s="34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5.75" customHeight="1">
      <c r="A248" s="33"/>
      <c r="B248" s="39"/>
      <c r="C248" s="33"/>
      <c r="D248" s="33"/>
      <c r="E248" s="38"/>
      <c r="F248" s="38"/>
      <c r="G248" s="34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5.75" customHeight="1">
      <c r="A249" s="33"/>
      <c r="B249" s="39"/>
      <c r="C249" s="33"/>
      <c r="D249" s="33"/>
      <c r="E249" s="38"/>
      <c r="F249" s="38"/>
      <c r="G249" s="34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5.75" customHeight="1">
      <c r="A250" s="33"/>
      <c r="B250" s="39"/>
      <c r="C250" s="33"/>
      <c r="D250" s="33"/>
      <c r="E250" s="38"/>
      <c r="F250" s="38"/>
      <c r="G250" s="34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5.75" customHeight="1">
      <c r="A251" s="33"/>
      <c r="B251" s="39"/>
      <c r="C251" s="33"/>
      <c r="D251" s="33"/>
      <c r="E251" s="38"/>
      <c r="F251" s="38"/>
      <c r="G251" s="34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5.75" customHeight="1">
      <c r="A252" s="33"/>
      <c r="B252" s="39"/>
      <c r="C252" s="33"/>
      <c r="D252" s="33"/>
      <c r="E252" s="38"/>
      <c r="F252" s="38"/>
      <c r="G252" s="34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5.75" customHeight="1">
      <c r="A253" s="33"/>
      <c r="B253" s="39"/>
      <c r="C253" s="33"/>
      <c r="D253" s="33"/>
      <c r="E253" s="38"/>
      <c r="F253" s="38"/>
      <c r="G253" s="34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5.75" customHeight="1">
      <c r="A254" s="33"/>
      <c r="B254" s="39"/>
      <c r="C254" s="33"/>
      <c r="D254" s="33"/>
      <c r="E254" s="38"/>
      <c r="F254" s="38"/>
      <c r="G254" s="34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5.75" customHeight="1">
      <c r="A255" s="33"/>
      <c r="B255" s="39"/>
      <c r="C255" s="33"/>
      <c r="D255" s="33"/>
      <c r="E255" s="38"/>
      <c r="F255" s="38"/>
      <c r="G255" s="34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5.75" customHeight="1">
      <c r="A256" s="33"/>
      <c r="B256" s="39"/>
      <c r="C256" s="33"/>
      <c r="D256" s="33"/>
      <c r="E256" s="38"/>
      <c r="F256" s="38"/>
      <c r="G256" s="34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5.75" customHeight="1">
      <c r="A257" s="33"/>
      <c r="B257" s="39"/>
      <c r="C257" s="33"/>
      <c r="D257" s="33"/>
      <c r="E257" s="38"/>
      <c r="F257" s="38"/>
      <c r="G257" s="34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5.75" customHeight="1">
      <c r="A258" s="33"/>
      <c r="B258" s="39"/>
      <c r="C258" s="33"/>
      <c r="D258" s="33"/>
      <c r="E258" s="38"/>
      <c r="F258" s="38"/>
      <c r="G258" s="34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5.75" customHeight="1">
      <c r="A259" s="33"/>
      <c r="B259" s="39"/>
      <c r="C259" s="33"/>
      <c r="D259" s="33"/>
      <c r="E259" s="38"/>
      <c r="F259" s="38"/>
      <c r="G259" s="34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5.75" customHeight="1">
      <c r="A260" s="33"/>
      <c r="B260" s="39"/>
      <c r="C260" s="33"/>
      <c r="D260" s="33"/>
      <c r="E260" s="38"/>
      <c r="F260" s="38"/>
      <c r="G260" s="34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5.75" customHeight="1">
      <c r="A261" s="33"/>
      <c r="B261" s="39"/>
      <c r="C261" s="33"/>
      <c r="D261" s="33"/>
      <c r="E261" s="38"/>
      <c r="F261" s="38"/>
      <c r="G261" s="34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5.75" customHeight="1">
      <c r="A262" s="33"/>
      <c r="B262" s="39"/>
      <c r="C262" s="33"/>
      <c r="D262" s="33"/>
      <c r="E262" s="38"/>
      <c r="F262" s="38"/>
      <c r="G262" s="34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5.75" customHeight="1">
      <c r="A263" s="33"/>
      <c r="B263" s="39"/>
      <c r="C263" s="33"/>
      <c r="D263" s="33"/>
      <c r="E263" s="38"/>
      <c r="F263" s="38"/>
      <c r="G263" s="34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5.75" customHeight="1">
      <c r="A264" s="33"/>
      <c r="B264" s="39"/>
      <c r="C264" s="33"/>
      <c r="D264" s="33"/>
      <c r="E264" s="38"/>
      <c r="F264" s="38"/>
      <c r="G264" s="34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5.75" customHeight="1">
      <c r="A265" s="33"/>
      <c r="B265" s="39"/>
      <c r="C265" s="33"/>
      <c r="D265" s="33"/>
      <c r="E265" s="38"/>
      <c r="F265" s="38"/>
      <c r="G265" s="34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5.75" customHeight="1">
      <c r="A266" s="33"/>
      <c r="B266" s="39"/>
      <c r="C266" s="33"/>
      <c r="D266" s="33"/>
      <c r="E266" s="38"/>
      <c r="F266" s="38"/>
      <c r="G266" s="34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5.75" customHeight="1">
      <c r="A267" s="33"/>
      <c r="B267" s="39"/>
      <c r="C267" s="33"/>
      <c r="D267" s="33"/>
      <c r="E267" s="38"/>
      <c r="F267" s="38"/>
      <c r="G267" s="34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5.75" customHeight="1">
      <c r="A268" s="33"/>
      <c r="B268" s="39"/>
      <c r="C268" s="33"/>
      <c r="D268" s="33"/>
      <c r="E268" s="38"/>
      <c r="F268" s="38"/>
      <c r="G268" s="34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5.75" customHeight="1">
      <c r="A269" s="33"/>
      <c r="B269" s="39"/>
      <c r="C269" s="33"/>
      <c r="D269" s="33"/>
      <c r="E269" s="38"/>
      <c r="F269" s="38"/>
      <c r="G269" s="34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5.75" customHeight="1">
      <c r="A270" s="33"/>
      <c r="B270" s="39"/>
      <c r="C270" s="33"/>
      <c r="D270" s="33"/>
      <c r="E270" s="38"/>
      <c r="F270" s="38"/>
      <c r="G270" s="34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5.75" customHeight="1">
      <c r="A271" s="33"/>
      <c r="B271" s="39"/>
      <c r="C271" s="33"/>
      <c r="D271" s="33"/>
      <c r="E271" s="38"/>
      <c r="F271" s="38"/>
      <c r="G271" s="34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5.75" customHeight="1">
      <c r="A272" s="33"/>
      <c r="B272" s="39"/>
      <c r="C272" s="33"/>
      <c r="D272" s="33"/>
      <c r="E272" s="38"/>
      <c r="F272" s="38"/>
      <c r="G272" s="34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5.75" customHeight="1">
      <c r="A273" s="33"/>
      <c r="B273" s="39"/>
      <c r="C273" s="33"/>
      <c r="D273" s="33"/>
      <c r="E273" s="38"/>
      <c r="F273" s="38"/>
      <c r="G273" s="34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5.75" customHeight="1">
      <c r="A274" s="33"/>
      <c r="B274" s="39"/>
      <c r="C274" s="33"/>
      <c r="D274" s="33"/>
      <c r="E274" s="38"/>
      <c r="F274" s="38"/>
      <c r="G274" s="34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5.75" customHeight="1">
      <c r="A275" s="33"/>
      <c r="B275" s="39"/>
      <c r="C275" s="33"/>
      <c r="D275" s="33"/>
      <c r="E275" s="38"/>
      <c r="F275" s="38"/>
      <c r="G275" s="34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5.75" customHeight="1">
      <c r="A276" s="33"/>
      <c r="B276" s="39"/>
      <c r="C276" s="33"/>
      <c r="D276" s="33"/>
      <c r="E276" s="38"/>
      <c r="F276" s="38"/>
      <c r="G276" s="34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5.75" customHeight="1">
      <c r="A277" s="33"/>
      <c r="B277" s="39"/>
      <c r="C277" s="33"/>
      <c r="D277" s="33"/>
      <c r="E277" s="38"/>
      <c r="F277" s="38"/>
      <c r="G277" s="34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5.75" customHeight="1">
      <c r="A278" s="33"/>
      <c r="B278" s="39"/>
      <c r="C278" s="33"/>
      <c r="D278" s="33"/>
      <c r="E278" s="38"/>
      <c r="F278" s="38"/>
      <c r="G278" s="34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5.75" customHeight="1">
      <c r="A279" s="33"/>
      <c r="B279" s="39"/>
      <c r="C279" s="33"/>
      <c r="D279" s="33"/>
      <c r="E279" s="38"/>
      <c r="F279" s="38"/>
      <c r="G279" s="34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5.75" customHeight="1">
      <c r="A280" s="33"/>
      <c r="B280" s="39"/>
      <c r="C280" s="33"/>
      <c r="D280" s="33"/>
      <c r="E280" s="38"/>
      <c r="F280" s="38"/>
      <c r="G280" s="34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5.75" customHeight="1">
      <c r="A281" s="33"/>
      <c r="B281" s="39"/>
      <c r="C281" s="33"/>
      <c r="D281" s="33"/>
      <c r="E281" s="38"/>
      <c r="F281" s="38"/>
      <c r="G281" s="34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5.75" customHeight="1">
      <c r="A282" s="33"/>
      <c r="B282" s="39"/>
      <c r="C282" s="33"/>
      <c r="D282" s="33"/>
      <c r="E282" s="38"/>
      <c r="F282" s="38"/>
      <c r="G282" s="34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5.75" customHeight="1">
      <c r="A283" s="33"/>
      <c r="B283" s="39"/>
      <c r="C283" s="33"/>
      <c r="D283" s="33"/>
      <c r="E283" s="38"/>
      <c r="F283" s="38"/>
      <c r="G283" s="34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5.75" customHeight="1">
      <c r="A284" s="33"/>
      <c r="B284" s="39"/>
      <c r="C284" s="33"/>
      <c r="D284" s="33"/>
      <c r="E284" s="38"/>
      <c r="F284" s="38"/>
      <c r="G284" s="34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A10">
    <cfRule type="cellIs" dxfId="21" priority="5" operator="equal">
      <formula>"Med service"</formula>
    </cfRule>
  </conditionalFormatting>
  <conditionalFormatting sqref="A14:A15">
    <cfRule type="cellIs" dxfId="20" priority="7" operator="equal">
      <formula>"Med service"</formula>
    </cfRule>
  </conditionalFormatting>
  <conditionalFormatting sqref="A21:A26">
    <cfRule type="cellIs" dxfId="19" priority="8" operator="equal">
      <formula>"Med service"</formula>
    </cfRule>
  </conditionalFormatting>
  <conditionalFormatting sqref="A29:A34">
    <cfRule type="cellIs" dxfId="18" priority="9" operator="equal">
      <formula>"Med service"</formula>
    </cfRule>
  </conditionalFormatting>
  <conditionalFormatting sqref="A36:A42">
    <cfRule type="cellIs" dxfId="17" priority="10" operator="equal">
      <formula>"Med service"</formula>
    </cfRule>
  </conditionalFormatting>
  <conditionalFormatting sqref="A44:A56">
    <cfRule type="cellIs" dxfId="16" priority="13" operator="equal">
      <formula>"Med service"</formula>
    </cfRule>
  </conditionalFormatting>
  <conditionalFormatting sqref="A60:S65">
    <cfRule type="beginsWith" dxfId="15" priority="22" operator="beginsWith" text="Tech">
      <formula>LEFT(A60,LEN("Tech"))="Tech"</formula>
    </cfRule>
    <cfRule type="beginsWith" dxfId="14" priority="23" operator="beginsWith" text="0">
      <formula>LEFT(A60,LEN("0"))="0"</formula>
    </cfRule>
  </conditionalFormatting>
  <conditionalFormatting sqref="A68:S74">
    <cfRule type="beginsWith" dxfId="13" priority="24" operator="beginsWith" text="Tech">
      <formula>LEFT(A68,LEN("Tech"))="Tech"</formula>
    </cfRule>
    <cfRule type="beginsWith" dxfId="12" priority="25" operator="beginsWith" text="0">
      <formula>LEFT(A68,LEN("0"))="0"</formula>
    </cfRule>
  </conditionalFormatting>
  <conditionalFormatting sqref="C80:F80">
    <cfRule type="beginsWith" dxfId="11" priority="2" operator="beginsWith" text="Tech">
      <formula>LEFT(C80,LEN("Tech"))="Tech"</formula>
    </cfRule>
  </conditionalFormatting>
  <conditionalFormatting sqref="G2:G6">
    <cfRule type="cellIs" dxfId="10" priority="1" operator="equal">
      <formula>0</formula>
    </cfRule>
  </conditionalFormatting>
  <conditionalFormatting sqref="G3:G6">
    <cfRule type="cellIs" dxfId="9" priority="15" operator="equal">
      <formula>"Med service"</formula>
    </cfRule>
  </conditionalFormatting>
  <conditionalFormatting sqref="G77:G83">
    <cfRule type="beginsWith" dxfId="8" priority="16" operator="beginsWith" text="0">
      <formula>LEFT(G77,LEN("0"))="0"</formula>
    </cfRule>
  </conditionalFormatting>
  <conditionalFormatting sqref="G77:G84">
    <cfRule type="beginsWith" dxfId="7" priority="17" operator="beginsWith" text="Tech">
      <formula>LEFT(G77,LEN("Tech"))="Tech"</formula>
    </cfRule>
  </conditionalFormatting>
  <conditionalFormatting sqref="H30:H34">
    <cfRule type="beginsWith" dxfId="6" priority="18" operator="beginsWith" text="tech">
      <formula>LEFT(H30,LEN("tech"))="tech"</formula>
    </cfRule>
    <cfRule type="beginsWith" dxfId="5" priority="19" operator="beginsWith" text="0">
      <formula>LEFT(H30,LEN("0"))="0"</formula>
    </cfRule>
  </conditionalFormatting>
  <conditionalFormatting sqref="H80:J80">
    <cfRule type="beginsWith" dxfId="4" priority="3" operator="beginsWith" text="0">
      <formula>LEFT(H80,LEN("0"))="0"</formula>
    </cfRule>
    <cfRule type="beginsWith" dxfId="3" priority="4" operator="beginsWith" text="Tech">
      <formula>LEFT(H80,LEN("Tech"))="Tech"</formula>
    </cfRule>
  </conditionalFormatting>
  <conditionalFormatting sqref="K3:T6">
    <cfRule type="beginsWith" dxfId="2" priority="20" operator="beginsWith" text="tech">
      <formula>LEFT(K3,LEN("tech"))="tech"</formula>
    </cfRule>
    <cfRule type="beginsWith" dxfId="1" priority="21" operator="beginsWith" text="0">
      <formula>LEFT(K3,LEN("0"))="0"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5496"/>
  </sheetPr>
  <dimension ref="A2:AL1000"/>
  <sheetViews>
    <sheetView showGridLines="0" workbookViewId="0"/>
  </sheetViews>
  <sheetFormatPr defaultColWidth="14.44140625" defaultRowHeight="15" customHeight="1"/>
  <cols>
    <col min="1" max="2" width="23.33203125" customWidth="1"/>
    <col min="3" max="4" width="11.33203125" customWidth="1"/>
    <col min="5" max="6" width="9.6640625" customWidth="1"/>
    <col min="7" max="20" width="11.33203125" customWidth="1"/>
    <col min="21" max="21" width="16" customWidth="1"/>
    <col min="22" max="22" width="16" hidden="1" customWidth="1"/>
    <col min="23" max="38" width="8.6640625" customWidth="1"/>
  </cols>
  <sheetData>
    <row r="2" spans="1:38" ht="27" customHeight="1">
      <c r="A2" s="481" t="s">
        <v>921</v>
      </c>
      <c r="B2" s="482"/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  <c r="V2" s="482"/>
    </row>
    <row r="3" spans="1:38" ht="30" customHeight="1">
      <c r="A3" s="489" t="s">
        <v>922</v>
      </c>
      <c r="B3" s="489" t="s">
        <v>923</v>
      </c>
      <c r="C3" s="483" t="s">
        <v>924</v>
      </c>
      <c r="D3" s="484"/>
      <c r="E3" s="484"/>
      <c r="F3" s="484"/>
      <c r="G3" s="485"/>
      <c r="H3" s="486" t="s">
        <v>925</v>
      </c>
      <c r="I3" s="487"/>
      <c r="J3" s="488"/>
      <c r="K3" s="486" t="s">
        <v>926</v>
      </c>
      <c r="L3" s="487"/>
      <c r="M3" s="487"/>
      <c r="N3" s="488"/>
      <c r="O3" s="486" t="s">
        <v>927</v>
      </c>
      <c r="P3" s="487"/>
      <c r="Q3" s="488"/>
      <c r="R3" s="1" t="s">
        <v>928</v>
      </c>
      <c r="S3" s="2" t="s">
        <v>929</v>
      </c>
      <c r="T3" s="491" t="s">
        <v>930</v>
      </c>
      <c r="U3" s="493" t="s">
        <v>931</v>
      </c>
      <c r="V3" s="495" t="s">
        <v>932</v>
      </c>
    </row>
    <row r="4" spans="1:38" ht="23.25" customHeight="1">
      <c r="A4" s="490"/>
      <c r="B4" s="490"/>
      <c r="C4" s="3">
        <v>6000</v>
      </c>
      <c r="D4" s="3">
        <v>4000</v>
      </c>
      <c r="E4" s="3">
        <v>500</v>
      </c>
      <c r="F4" s="3">
        <v>300</v>
      </c>
      <c r="G4" s="3">
        <v>-2000</v>
      </c>
      <c r="H4" s="4">
        <v>100</v>
      </c>
      <c r="I4" s="4">
        <v>300</v>
      </c>
      <c r="J4" s="4">
        <v>800</v>
      </c>
      <c r="K4" s="4">
        <v>200</v>
      </c>
      <c r="L4" s="4">
        <v>100</v>
      </c>
      <c r="M4" s="4">
        <v>300</v>
      </c>
      <c r="N4" s="4">
        <v>800</v>
      </c>
      <c r="O4" s="4">
        <v>3000</v>
      </c>
      <c r="P4" s="4">
        <v>30000</v>
      </c>
      <c r="Q4" s="4">
        <v>10000</v>
      </c>
      <c r="R4" s="4">
        <v>500</v>
      </c>
      <c r="S4" s="4">
        <v>1500</v>
      </c>
      <c r="T4" s="492"/>
      <c r="U4" s="494"/>
      <c r="V4" s="496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ht="23.25" customHeight="1">
      <c r="A5" s="6" t="s">
        <v>933</v>
      </c>
      <c r="B5" s="7" t="s">
        <v>934</v>
      </c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>
        <f>SUBTOTAL(9,T6:T19)</f>
        <v>0</v>
      </c>
      <c r="U5" s="10">
        <f>SUBTOTAL(9,U6:U20)</f>
        <v>104000</v>
      </c>
      <c r="V5" s="10">
        <f>SUBTOTAL(9,V6:V20)</f>
        <v>115555.555555556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ht="23.25" customHeight="1">
      <c r="A6" s="11" t="s">
        <v>935</v>
      </c>
      <c r="B6" s="7" t="s">
        <v>934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>
        <f t="shared" ref="U6:U20" si="0">C$4*$C6+D$4*$D6+E$4*$E6+F$4*$F6+G$4*$G6+H$4*$H6+I$4*$I6+J$4*$J6+K$4*$K6+L$4*$L6+M$4*$M6+N$4*$N6+O$4*$O6+P$4*$P6+Q$4*$Q6+R$4*$R6+S$4*$S6+T6</f>
        <v>0</v>
      </c>
      <c r="V6" s="14">
        <f t="shared" ref="V6:V20" si="1">+U6/0.9</f>
        <v>0</v>
      </c>
    </row>
    <row r="7" spans="1:38" ht="23.25" customHeight="1">
      <c r="A7" s="11" t="s">
        <v>936</v>
      </c>
      <c r="B7" s="7" t="s">
        <v>934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>
        <f t="shared" si="0"/>
        <v>0</v>
      </c>
      <c r="V7" s="14">
        <f t="shared" si="1"/>
        <v>0</v>
      </c>
    </row>
    <row r="8" spans="1:38" ht="23.25" customHeight="1">
      <c r="A8" s="11" t="s">
        <v>937</v>
      </c>
      <c r="B8" s="7" t="s">
        <v>934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>
        <f t="shared" si="0"/>
        <v>0</v>
      </c>
      <c r="V8" s="14">
        <f t="shared" si="1"/>
        <v>0</v>
      </c>
    </row>
    <row r="9" spans="1:38" ht="23.25" customHeight="1">
      <c r="A9" s="11" t="s">
        <v>938</v>
      </c>
      <c r="B9" s="7" t="s">
        <v>934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>
        <f t="shared" si="0"/>
        <v>0</v>
      </c>
      <c r="V9" s="14">
        <f t="shared" si="1"/>
        <v>0</v>
      </c>
    </row>
    <row r="10" spans="1:38" ht="23.25" customHeight="1">
      <c r="A10" s="11" t="s">
        <v>939</v>
      </c>
      <c r="B10" s="7" t="s">
        <v>934</v>
      </c>
      <c r="C10" s="12">
        <v>6</v>
      </c>
      <c r="D10" s="12">
        <v>17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>
        <f t="shared" si="0"/>
        <v>104000</v>
      </c>
      <c r="V10" s="14">
        <f t="shared" si="1"/>
        <v>115555.555555556</v>
      </c>
    </row>
    <row r="11" spans="1:38" ht="23.25" customHeight="1">
      <c r="A11" s="11" t="s">
        <v>940</v>
      </c>
      <c r="B11" s="7" t="s">
        <v>934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3">
        <f t="shared" si="0"/>
        <v>0</v>
      </c>
      <c r="V11" s="14">
        <f t="shared" si="1"/>
        <v>0</v>
      </c>
    </row>
    <row r="12" spans="1:38" ht="23.25" customHeight="1">
      <c r="A12" s="11" t="s">
        <v>941</v>
      </c>
      <c r="B12" s="7" t="s">
        <v>934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3">
        <f t="shared" si="0"/>
        <v>0</v>
      </c>
      <c r="V12" s="14">
        <f t="shared" si="1"/>
        <v>0</v>
      </c>
    </row>
    <row r="13" spans="1:38" ht="23.25" customHeight="1">
      <c r="A13" s="11" t="s">
        <v>942</v>
      </c>
      <c r="B13" s="7" t="s">
        <v>934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3">
        <f t="shared" si="0"/>
        <v>0</v>
      </c>
      <c r="V13" s="14">
        <f t="shared" si="1"/>
        <v>0</v>
      </c>
    </row>
    <row r="14" spans="1:38" ht="23.25" customHeight="1">
      <c r="A14" s="11" t="s">
        <v>943</v>
      </c>
      <c r="B14" s="7" t="s">
        <v>934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>
        <f t="shared" si="0"/>
        <v>0</v>
      </c>
      <c r="V14" s="14">
        <f t="shared" si="1"/>
        <v>0</v>
      </c>
    </row>
    <row r="15" spans="1:38" ht="23.25" customHeight="1">
      <c r="A15" s="11" t="s">
        <v>944</v>
      </c>
      <c r="B15" s="7" t="s">
        <v>934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>
        <f t="shared" si="0"/>
        <v>0</v>
      </c>
      <c r="V15" s="14">
        <f t="shared" si="1"/>
        <v>0</v>
      </c>
    </row>
    <row r="16" spans="1:38" ht="23.25" customHeight="1">
      <c r="A16" s="11"/>
      <c r="B16" s="7" t="s">
        <v>934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3">
        <f t="shared" si="0"/>
        <v>0</v>
      </c>
      <c r="V16" s="14">
        <f t="shared" si="1"/>
        <v>0</v>
      </c>
    </row>
    <row r="17" spans="1:22" ht="23.25" customHeight="1">
      <c r="A17" s="11" t="s">
        <v>945</v>
      </c>
      <c r="B17" s="7" t="s">
        <v>934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3">
        <f t="shared" si="0"/>
        <v>0</v>
      </c>
      <c r="V17" s="14">
        <f t="shared" si="1"/>
        <v>0</v>
      </c>
    </row>
    <row r="18" spans="1:22" ht="23.25" customHeight="1">
      <c r="A18" s="15" t="s">
        <v>946</v>
      </c>
      <c r="B18" s="7" t="s">
        <v>934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3">
        <f t="shared" si="0"/>
        <v>0</v>
      </c>
      <c r="V18" s="14">
        <f t="shared" si="1"/>
        <v>0</v>
      </c>
    </row>
    <row r="19" spans="1:22" ht="23.25" customHeight="1">
      <c r="A19" s="15" t="s">
        <v>947</v>
      </c>
      <c r="B19" s="7" t="s">
        <v>934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3">
        <f t="shared" si="0"/>
        <v>0</v>
      </c>
      <c r="V19" s="14">
        <f t="shared" si="1"/>
        <v>0</v>
      </c>
    </row>
    <row r="20" spans="1:22" ht="23.25" customHeight="1">
      <c r="A20" s="17"/>
      <c r="B20" s="7" t="s">
        <v>934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3">
        <f t="shared" si="0"/>
        <v>0</v>
      </c>
      <c r="V20" s="14">
        <f t="shared" si="1"/>
        <v>0</v>
      </c>
    </row>
    <row r="21" spans="1:22" ht="23.25" customHeight="1">
      <c r="A21" s="19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2"/>
      <c r="V21" s="23"/>
    </row>
    <row r="22" spans="1:22" ht="15.75" customHeight="1"/>
    <row r="23" spans="1:22" ht="15.75" customHeight="1">
      <c r="A23" s="24">
        <v>1</v>
      </c>
      <c r="B23" s="24">
        <f t="shared" ref="B23:R23" si="2">A23+1</f>
        <v>2</v>
      </c>
      <c r="C23" s="24">
        <f t="shared" si="2"/>
        <v>3</v>
      </c>
      <c r="D23" s="24">
        <f t="shared" si="2"/>
        <v>4</v>
      </c>
      <c r="E23" s="24">
        <f t="shared" si="2"/>
        <v>5</v>
      </c>
      <c r="F23" s="24">
        <f t="shared" si="2"/>
        <v>6</v>
      </c>
      <c r="G23" s="24">
        <f t="shared" si="2"/>
        <v>7</v>
      </c>
      <c r="H23" s="24">
        <f t="shared" si="2"/>
        <v>8</v>
      </c>
      <c r="I23" s="24">
        <f t="shared" si="2"/>
        <v>9</v>
      </c>
      <c r="J23" s="24">
        <f t="shared" si="2"/>
        <v>10</v>
      </c>
      <c r="K23" s="24">
        <f t="shared" si="2"/>
        <v>11</v>
      </c>
      <c r="L23" s="24">
        <f t="shared" si="2"/>
        <v>12</v>
      </c>
      <c r="M23" s="24">
        <f t="shared" si="2"/>
        <v>13</v>
      </c>
      <c r="N23" s="24">
        <f t="shared" si="2"/>
        <v>14</v>
      </c>
      <c r="O23" s="24">
        <f t="shared" si="2"/>
        <v>15</v>
      </c>
      <c r="P23" s="24">
        <f t="shared" si="2"/>
        <v>16</v>
      </c>
      <c r="Q23" s="24">
        <f t="shared" si="2"/>
        <v>17</v>
      </c>
      <c r="R23" s="24">
        <f t="shared" si="2"/>
        <v>18</v>
      </c>
      <c r="S23" s="24">
        <v>19</v>
      </c>
      <c r="T23" s="24">
        <v>20</v>
      </c>
      <c r="U23" s="24">
        <v>21</v>
      </c>
      <c r="V23" s="24">
        <f>U23+1</f>
        <v>22</v>
      </c>
    </row>
    <row r="24" spans="1:22" ht="15.75" customHeight="1"/>
    <row r="25" spans="1:22" ht="15.75" customHeight="1"/>
    <row r="26" spans="1:22" ht="15.75" customHeight="1"/>
    <row r="27" spans="1:22" ht="15.75" customHeight="1"/>
    <row r="28" spans="1:22" ht="15.75" customHeight="1"/>
    <row r="29" spans="1:22" ht="15.75" customHeight="1"/>
    <row r="30" spans="1:22" ht="15.75" customHeight="1"/>
    <row r="31" spans="1:22" ht="15.75" customHeight="1"/>
    <row r="32" spans="1:2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:V2"/>
    <mergeCell ref="C3:G3"/>
    <mergeCell ref="H3:J3"/>
    <mergeCell ref="K3:N3"/>
    <mergeCell ref="O3:Q3"/>
    <mergeCell ref="A3:A4"/>
    <mergeCell ref="B3:B4"/>
    <mergeCell ref="T3:T4"/>
    <mergeCell ref="U3:U4"/>
    <mergeCell ref="V3:V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</vt:lpstr>
      <vt:lpstr>Sheet1</vt:lpstr>
      <vt:lpstr>PL MDG</vt:lpstr>
      <vt:lpstr>Bản sao của PL MDG</vt:lpstr>
      <vt:lpstr>PL MED</vt:lpstr>
      <vt:lpstr>PL CNT</vt:lpstr>
      <vt:lpstr>TT CK LƯƠNG</vt:lpstr>
      <vt:lpstr>TT CK CNT</vt:lpstr>
      <vt:lpstr>CTVKHO - Bảng lương chi tiết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Hoàng Nguyễn</cp:lastModifiedBy>
  <cp:lastPrinted>2026-08-31T11:15:00Z</cp:lastPrinted>
  <dcterms:created xsi:type="dcterms:W3CDTF">2022-12-28T09:36:00Z</dcterms:created>
  <dcterms:modified xsi:type="dcterms:W3CDTF">2026-09-09T08:44:24Z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AD7076BC444149C49D09DBFB1B9B93F0_13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