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hợp thưởng Whatsapp" sheetId="1" state="visible" r:id="rId1"/>
    <sheet name="Thống kê theo Nhà thuốc" sheetId="2" state="visible" r:id="rId2"/>
    <sheet name="Chính sách thưởng Whatsap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15803D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9F1"/>
        <bgColor rgb="00EBF9F1"/>
      </patternFill>
    </fill>
    <fill>
      <patternFill patternType="solid">
        <fgColor rgb="00E2EFDA"/>
        <bgColor rgb="00E2EFDA"/>
      </patternFill>
    </fill>
  </fills>
  <borders count="4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left"/>
    </xf>
    <xf numFmtId="3" fontId="4" fillId="0" borderId="2" applyAlignment="1" pivotButton="0" quotePrefix="0" xfId="0">
      <alignment horizontal="right"/>
    </xf>
    <xf numFmtId="164" fontId="4" fillId="0" borderId="2" applyAlignment="1" pivotButton="0" quotePrefix="0" xfId="0">
      <alignment horizontal="center"/>
    </xf>
    <xf numFmtId="3" fontId="5" fillId="3" borderId="2" applyAlignment="1" pivotButton="0" quotePrefix="0" xfId="0">
      <alignment horizontal="right"/>
    </xf>
    <xf numFmtId="0" fontId="5" fillId="4" borderId="3" pivotButton="0" quotePrefix="0" xfId="0"/>
    <xf numFmtId="0" fontId="5" fillId="4" borderId="3" applyAlignment="1" pivotButton="0" quotePrefix="0" xfId="0">
      <alignment horizontal="center"/>
    </xf>
    <xf numFmtId="3" fontId="5" fillId="4" borderId="3" applyAlignment="1" pivotButton="0" quotePrefix="0" xfId="0">
      <alignment horizontal="right"/>
    </xf>
    <xf numFmtId="3" fontId="6" fillId="4" borderId="3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right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4" customWidth="1" min="4" max="4"/>
    <col width="26" customWidth="1" min="5" max="5"/>
    <col width="18" customWidth="1" min="6" max="6"/>
    <col width="26" customWidth="1" min="7" max="7"/>
  </cols>
  <sheetData>
    <row r="1" ht="30" customHeight="1">
      <c r="A1" s="1" t="inlineStr">
        <is>
          <t>BẢNG TỔNG HỢP DOANH THU &amp; THƯỞNG ĐƠN WHATSAPP THÁNG 08/2026</t>
        </is>
      </c>
    </row>
    <row r="2" ht="20" customHeight="1">
      <c r="A2" s="2" t="inlineStr">
        <is>
          <t>Trích xuất từ Hóa đơn bán hàng &amp; Sheet Whatsapp trong Bảng lương Tháng 8</t>
        </is>
      </c>
    </row>
    <row r="4" ht="28" customHeight="1">
      <c r="A4" s="3" t="inlineStr">
        <is>
          <t>STT</t>
        </is>
      </c>
      <c r="B4" s="3" t="inlineStr">
        <is>
          <t>Chi nhánh</t>
        </is>
      </c>
      <c r="C4" s="3" t="inlineStr">
        <is>
          <t>Họ và tên Dược sĩ</t>
        </is>
      </c>
      <c r="D4" s="3" t="inlineStr">
        <is>
          <t>Chức danh</t>
        </is>
      </c>
      <c r="E4" s="3" t="inlineStr">
        <is>
          <t>Doanh thu đơn Whatsapp (VNĐ)</t>
        </is>
      </c>
      <c r="F4" s="3" t="inlineStr">
        <is>
          <t>Tỷ lệ thưởng (%)</t>
        </is>
      </c>
      <c r="G4" s="3" t="inlineStr">
        <is>
          <t>Tiền thưởng Whatsapp (VNĐ)</t>
        </is>
      </c>
    </row>
    <row r="5" ht="22" customHeight="1">
      <c r="A5" s="4" t="n">
        <v>1</v>
      </c>
      <c r="B5" s="5" t="inlineStr">
        <is>
          <t>Đỗ Quang Đẩu</t>
        </is>
      </c>
      <c r="C5" s="5" t="inlineStr">
        <is>
          <t>Ngô Thị Thanh Thắm</t>
        </is>
      </c>
      <c r="D5" s="4" t="inlineStr">
        <is>
          <t>CHT</t>
        </is>
      </c>
      <c r="E5" s="6" t="n">
        <v>67046300</v>
      </c>
      <c r="F5" s="7" t="n">
        <v>0.04</v>
      </c>
      <c r="G5" s="8">
        <f>E5*F5</f>
        <v/>
      </c>
    </row>
    <row r="6" ht="22" customHeight="1">
      <c r="A6" s="4" t="n">
        <v>2</v>
      </c>
      <c r="B6" s="5" t="inlineStr">
        <is>
          <t>Đỗ Quang Đẩu</t>
        </is>
      </c>
      <c r="C6" s="5" t="inlineStr">
        <is>
          <t>Hoàng Thanh Thủy</t>
        </is>
      </c>
      <c r="D6" s="4" t="inlineStr">
        <is>
          <t>DSXC</t>
        </is>
      </c>
      <c r="E6" s="6" t="n">
        <v>92439700</v>
      </c>
      <c r="F6" s="7" t="n">
        <v>0.04</v>
      </c>
      <c r="G6" s="8">
        <f>E6*F6</f>
        <v/>
      </c>
    </row>
    <row r="7" ht="22" customHeight="1">
      <c r="A7" s="4" t="n">
        <v>3</v>
      </c>
      <c r="B7" s="5" t="inlineStr">
        <is>
          <t>Đỗ Quang Đẩu</t>
        </is>
      </c>
      <c r="C7" s="5" t="inlineStr">
        <is>
          <t>Lê Thị Huyền Trân</t>
        </is>
      </c>
      <c r="D7" s="4" t="inlineStr">
        <is>
          <t>DSXC</t>
        </is>
      </c>
      <c r="E7" s="6" t="n">
        <v>58824400</v>
      </c>
      <c r="F7" s="7" t="n">
        <v>0.04</v>
      </c>
      <c r="G7" s="8">
        <f>E7*F7</f>
        <v/>
      </c>
    </row>
    <row r="8" ht="22" customHeight="1">
      <c r="A8" s="4" t="n">
        <v>4</v>
      </c>
      <c r="B8" s="5" t="inlineStr">
        <is>
          <t>Đỗ Quang Đẩu</t>
        </is>
      </c>
      <c r="C8" s="5" t="inlineStr">
        <is>
          <t>Trần Thiên Phát</t>
        </is>
      </c>
      <c r="D8" s="4" t="inlineStr">
        <is>
          <t>DSCD</t>
        </is>
      </c>
      <c r="E8" s="6" t="n">
        <v>9377800</v>
      </c>
      <c r="F8" s="7" t="n">
        <v>0.04</v>
      </c>
      <c r="G8" s="8">
        <f>E8*F8</f>
        <v/>
      </c>
    </row>
    <row r="9" ht="22" customHeight="1">
      <c r="A9" s="4" t="n">
        <v>5</v>
      </c>
      <c r="B9" s="5" t="inlineStr">
        <is>
          <t>Đỗ Quang Đẩu</t>
        </is>
      </c>
      <c r="C9" s="5" t="inlineStr">
        <is>
          <t>Phạm Thị Nghĩa Hương</t>
        </is>
      </c>
      <c r="D9" s="4" t="inlineStr">
        <is>
          <t>DSCD</t>
        </is>
      </c>
      <c r="E9" s="6" t="n">
        <v>8501100</v>
      </c>
      <c r="F9" s="7" t="n">
        <v>0.04</v>
      </c>
      <c r="G9" s="8">
        <f>E9*F9</f>
        <v/>
      </c>
    </row>
    <row r="10" ht="22" customHeight="1">
      <c r="A10" s="4" t="n">
        <v>6</v>
      </c>
      <c r="B10" s="5" t="inlineStr">
        <is>
          <t>Hàng Bông</t>
        </is>
      </c>
      <c r="C10" s="5" t="inlineStr">
        <is>
          <t>Đinh Thị Khánh Ly</t>
        </is>
      </c>
      <c r="D10" s="4" t="inlineStr">
        <is>
          <t>DSXC</t>
        </is>
      </c>
      <c r="E10" s="6" t="n">
        <v>19489000</v>
      </c>
      <c r="F10" s="7" t="n">
        <v>0.015</v>
      </c>
      <c r="G10" s="8">
        <f>E10*F10</f>
        <v/>
      </c>
    </row>
    <row r="11" ht="26" customHeight="1">
      <c r="A11" s="9" t="inlineStr"/>
      <c r="B11" s="10" t="inlineStr">
        <is>
          <t>TỔNG CỘNG</t>
        </is>
      </c>
      <c r="C11" s="9" t="n"/>
      <c r="D11" s="9" t="n"/>
      <c r="E11" s="11">
        <f>SUM(E5:E10)</f>
        <v/>
      </c>
      <c r="F11" s="9" t="inlineStr"/>
      <c r="G11" s="12">
        <f>SUM(G5:G10)</f>
        <v/>
      </c>
    </row>
  </sheetData>
  <mergeCells count="3">
    <mergeCell ref="B11:D11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30" customWidth="1" min="4" max="4"/>
    <col width="22" customWidth="1" min="5" max="5"/>
    <col width="26" customWidth="1" min="6" max="6"/>
  </cols>
  <sheetData>
    <row r="1" ht="30" customHeight="1">
      <c r="A1" s="1" t="inlineStr">
        <is>
          <t>THỐNG KÊ DOANH THU &amp; XÉT MỨC THƯỞNG WHATSAPP THEO NHÀ THUỐC</t>
        </is>
      </c>
    </row>
    <row r="3" ht="28" customHeight="1">
      <c r="A3" s="3" t="inlineStr">
        <is>
          <t>STT</t>
        </is>
      </c>
      <c r="B3" s="3" t="inlineStr">
        <is>
          <t>Nhà thuốc</t>
        </is>
      </c>
      <c r="C3" s="3" t="inlineStr">
        <is>
          <t>Doanh thu Whatsapp (VNĐ)</t>
        </is>
      </c>
      <c r="D3" s="3" t="inlineStr">
        <is>
          <t>Mốc KPI Cửa hàng đạt</t>
        </is>
      </c>
      <c r="E3" s="3" t="inlineStr">
        <is>
          <t>Tỷ lệ thưởng áp dụng</t>
        </is>
      </c>
      <c r="F3" s="3" t="inlineStr">
        <is>
          <t>Tổng tiền thưởng (VNĐ)</t>
        </is>
      </c>
    </row>
    <row r="4" ht="24" customHeight="1">
      <c r="A4" s="4" t="n">
        <v>1</v>
      </c>
      <c r="B4" s="5" t="inlineStr">
        <is>
          <t>Đỗ Quang Đẩu</t>
        </is>
      </c>
      <c r="C4" s="6" t="n">
        <v>236189300</v>
      </c>
      <c r="D4" s="4" t="inlineStr">
        <is>
          <t>Mức 2 (&gt;= 200 Triệu)</t>
        </is>
      </c>
      <c r="E4" s="7" t="n">
        <v>0.04</v>
      </c>
      <c r="F4" s="13" t="n">
        <v>9447572</v>
      </c>
    </row>
    <row r="5" ht="24" customHeight="1">
      <c r="A5" s="4" t="n">
        <v>2</v>
      </c>
      <c r="B5" s="5" t="inlineStr">
        <is>
          <t>Hàng Bông</t>
        </is>
      </c>
      <c r="C5" s="6" t="n">
        <v>19489000</v>
      </c>
      <c r="D5" s="4" t="inlineStr">
        <is>
          <t>Chưa đạt mức 1 (&lt; 150 Triệu)</t>
        </is>
      </c>
      <c r="E5" s="7" t="n">
        <v>0.015</v>
      </c>
      <c r="F5" s="13" t="n">
        <v>292335</v>
      </c>
    </row>
    <row r="6" ht="26" customHeight="1">
      <c r="A6" s="9" t="inlineStr"/>
      <c r="B6" s="10" t="inlineStr">
        <is>
          <t>TỔNG CỘNG</t>
        </is>
      </c>
      <c r="C6" s="11">
        <f>SUM(C4:C5)</f>
        <v/>
      </c>
      <c r="D6" s="9" t="inlineStr"/>
      <c r="E6" s="9" t="inlineStr"/>
      <c r="F6" s="11">
        <f>SUM(F4:F5)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4" customWidth="1" min="3" max="3"/>
    <col width="65" customWidth="1" min="4" max="4"/>
  </cols>
  <sheetData>
    <row r="1" ht="30" customHeight="1">
      <c r="A1" s="1" t="inlineStr">
        <is>
          <t>QUY ĐỊNH CHƯƠNG TRÌNH THƯỞNG ĐƠN HÀNG QUA ỨNG DỤNG WHATSAPP</t>
        </is>
      </c>
    </row>
    <row r="3" ht="28" customHeight="1">
      <c r="A3" s="3" t="inlineStr">
        <is>
          <t>Mức KPI Doanh thu Cửa hàng</t>
        </is>
      </c>
      <c r="B3" s="3" t="inlineStr">
        <is>
          <t>Ngưỡng Doanh thu (VNĐ)</t>
        </is>
      </c>
      <c r="C3" s="3" t="inlineStr">
        <is>
          <t>Tỷ lệ thưởng Dược sĩ (%)</t>
        </is>
      </c>
      <c r="D3" s="3" t="inlineStr">
        <is>
          <t>Ghi chú điều kiện</t>
        </is>
      </c>
    </row>
    <row r="4" ht="24" customHeight="1">
      <c r="A4" s="4" t="inlineStr">
        <is>
          <t>Mức 1</t>
        </is>
      </c>
      <c r="B4" s="14" t="inlineStr">
        <is>
          <t>150,000,000 đ</t>
        </is>
      </c>
      <c r="C4" s="4" t="inlineStr">
        <is>
          <t>3.0%</t>
        </is>
      </c>
      <c r="D4" s="5" t="inlineStr">
        <is>
          <t>Cửa hàng đạt mốc 150 triệu -&gt; Thưởng 3% doanh thu đơn cá nhân</t>
        </is>
      </c>
    </row>
    <row r="5" ht="24" customHeight="1">
      <c r="A5" s="4" t="inlineStr">
        <is>
          <t>Mức 2</t>
        </is>
      </c>
      <c r="B5" s="14" t="inlineStr">
        <is>
          <t>200,000,000 đ</t>
        </is>
      </c>
      <c r="C5" s="4" t="inlineStr">
        <is>
          <t>4.0%</t>
        </is>
      </c>
      <c r="D5" s="5" t="inlineStr">
        <is>
          <t>Cửa hàng đạt mốc 200 triệu -&gt; Thưởng 4% doanh thu đơn cá nhân</t>
        </is>
      </c>
    </row>
    <row r="6" ht="24" customHeight="1">
      <c r="A6" s="4" t="inlineStr">
        <is>
          <t>Mức 3</t>
        </is>
      </c>
      <c r="B6" s="14" t="inlineStr">
        <is>
          <t>280,000,000 đ</t>
        </is>
      </c>
      <c r="C6" s="4" t="inlineStr">
        <is>
          <t>6.0%</t>
        </is>
      </c>
      <c r="D6" s="5" t="inlineStr">
        <is>
          <t>Cửa hàng đạt mốc 280 triệu -&gt; Thưởng 6% doanh thu đơn cá nhân</t>
        </is>
      </c>
    </row>
    <row r="7" ht="24" customHeight="1">
      <c r="A7" s="4" t="inlineStr">
        <is>
          <t>Cơ bản (Không đạt)</t>
        </is>
      </c>
      <c r="B7" s="14" t="inlineStr">
        <is>
          <t>&lt; 150,000,000 đ</t>
        </is>
      </c>
      <c r="C7" s="4" t="inlineStr">
        <is>
          <t>1.5%</t>
        </is>
      </c>
      <c r="D7" s="5" t="inlineStr">
        <is>
          <t>Cửa hàng không đạt KPI -&gt; Thưởng mức cơ bản 1.5% doanh thu đơn cá nhân</t>
        </is>
      </c>
    </row>
    <row r="9">
      <c r="A9" s="15" t="inlineStr">
        <is>
          <t>ĐIỀU KIỆN GHI NHẬN ĐƠN HÀNG HỢP LỆ:</t>
        </is>
      </c>
    </row>
    <row r="10">
      <c r="A10" s="16" t="inlineStr">
        <is>
          <t>1. Dược sĩ lên đơn trên phần mềm KiotViet, bắt buộc phải ghi chú "Whatsapp" trong đơn hàng.</t>
        </is>
      </c>
    </row>
    <row r="11">
      <c r="A11" s="16" t="inlineStr">
        <is>
          <t>2. Khách hàng có tương tác trực tiếp qua WhatsApp (hỏi giá, tư vấn dùng thuốc, xác nhận đơn hàng...).</t>
        </is>
      </c>
    </row>
    <row r="12">
      <c r="A12" s="16" t="inlineStr">
        <is>
          <t>3. Đơn hàng được tạo sau cuộc trao đổi và truy vết được (SĐT, tên khách, thời gian tạo, ghi chú trên KiotViet).</t>
        </is>
      </c>
    </row>
    <row r="13">
      <c r="A13" s="16" t="inlineStr">
        <is>
          <t>4. Chỉ áp dụng cho tệp khách hàng quốc tế kết nối qua QR WhatsApp của nhà thuốc.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2026-09-10T05:40:48Z</dcterms:created>
  <dcterms:modified xsi:type="dcterms:W3CDTF">2026-09-10T05:40:48Z</dcterms:modified>
</cp:coreProperties>
</file>